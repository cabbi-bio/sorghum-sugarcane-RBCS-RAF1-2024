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0726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33" i="1" l="1"/>
  <c r="AM233" i="1"/>
  <c r="AK233" i="1"/>
  <c r="AL233" i="1" s="1"/>
  <c r="AJ233" i="1"/>
  <c r="AH233" i="1"/>
  <c r="L233" i="1" s="1"/>
  <c r="Z233" i="1"/>
  <c r="Y233" i="1"/>
  <c r="X233" i="1"/>
  <c r="Q233" i="1"/>
  <c r="O233" i="1"/>
  <c r="AN232" i="1"/>
  <c r="AM232" i="1"/>
  <c r="AK232" i="1"/>
  <c r="AL232" i="1" s="1"/>
  <c r="AJ232" i="1"/>
  <c r="AH232" i="1"/>
  <c r="L232" i="1" s="1"/>
  <c r="Z232" i="1"/>
  <c r="Y232" i="1"/>
  <c r="X232" i="1"/>
  <c r="Q232" i="1"/>
  <c r="O232" i="1"/>
  <c r="AN231" i="1"/>
  <c r="AM231" i="1"/>
  <c r="AK231" i="1"/>
  <c r="AJ231" i="1"/>
  <c r="AH231" i="1"/>
  <c r="J231" i="1" s="1"/>
  <c r="I231" i="1" s="1"/>
  <c r="Z231" i="1"/>
  <c r="Y231" i="1"/>
  <c r="X231" i="1"/>
  <c r="Q231" i="1"/>
  <c r="O231" i="1"/>
  <c r="L231" i="1"/>
  <c r="K231" i="1"/>
  <c r="AN230" i="1"/>
  <c r="AM230" i="1"/>
  <c r="AK230" i="1"/>
  <c r="AL230" i="1" s="1"/>
  <c r="AJ230" i="1"/>
  <c r="AH230" i="1" s="1"/>
  <c r="AI230" i="1" s="1"/>
  <c r="Z230" i="1"/>
  <c r="Y230" i="1"/>
  <c r="X230" i="1" s="1"/>
  <c r="Q230" i="1"/>
  <c r="AN229" i="1"/>
  <c r="AM229" i="1"/>
  <c r="AK229" i="1"/>
  <c r="AL229" i="1" s="1"/>
  <c r="AJ229" i="1"/>
  <c r="AI229" i="1"/>
  <c r="AH229" i="1"/>
  <c r="L229" i="1" s="1"/>
  <c r="Z229" i="1"/>
  <c r="Y229" i="1"/>
  <c r="X229" i="1" s="1"/>
  <c r="Q229" i="1"/>
  <c r="O229" i="1"/>
  <c r="K229" i="1"/>
  <c r="AN228" i="1"/>
  <c r="AM228" i="1"/>
  <c r="AK228" i="1"/>
  <c r="AL228" i="1" s="1"/>
  <c r="AJ228" i="1"/>
  <c r="AI228" i="1"/>
  <c r="AH228" i="1"/>
  <c r="L228" i="1" s="1"/>
  <c r="Z228" i="1"/>
  <c r="Y228" i="1"/>
  <c r="X228" i="1" s="1"/>
  <c r="Q228" i="1"/>
  <c r="O228" i="1"/>
  <c r="K228" i="1"/>
  <c r="AN227" i="1"/>
  <c r="AM227" i="1"/>
  <c r="AK227" i="1"/>
  <c r="AJ227" i="1"/>
  <c r="AI227" i="1"/>
  <c r="AH227" i="1"/>
  <c r="J227" i="1" s="1"/>
  <c r="I227" i="1" s="1"/>
  <c r="Z227" i="1"/>
  <c r="Y227" i="1"/>
  <c r="X227" i="1" s="1"/>
  <c r="Q227" i="1"/>
  <c r="O227" i="1"/>
  <c r="L227" i="1"/>
  <c r="K227" i="1"/>
  <c r="AN226" i="1"/>
  <c r="AM226" i="1"/>
  <c r="AK226" i="1"/>
  <c r="AL226" i="1" s="1"/>
  <c r="AJ226" i="1"/>
  <c r="AH226" i="1" s="1"/>
  <c r="Z226" i="1"/>
  <c r="Y226" i="1"/>
  <c r="X226" i="1" s="1"/>
  <c r="Q226" i="1"/>
  <c r="AN225" i="1"/>
  <c r="AM225" i="1"/>
  <c r="AK225" i="1"/>
  <c r="AL225" i="1" s="1"/>
  <c r="AJ225" i="1"/>
  <c r="AI225" i="1"/>
  <c r="AH225" i="1"/>
  <c r="L225" i="1" s="1"/>
  <c r="Z225" i="1"/>
  <c r="Y225" i="1"/>
  <c r="X225" i="1" s="1"/>
  <c r="Q225" i="1"/>
  <c r="O225" i="1"/>
  <c r="K225" i="1"/>
  <c r="AN224" i="1"/>
  <c r="AM224" i="1"/>
  <c r="AK224" i="1"/>
  <c r="AJ224" i="1"/>
  <c r="AH224" i="1" s="1"/>
  <c r="Z224" i="1"/>
  <c r="Y224" i="1"/>
  <c r="X224" i="1" s="1"/>
  <c r="Q224" i="1"/>
  <c r="AN223" i="1"/>
  <c r="AM223" i="1"/>
  <c r="AK223" i="1"/>
  <c r="AJ223" i="1"/>
  <c r="AI223" i="1"/>
  <c r="AH223" i="1"/>
  <c r="J223" i="1" s="1"/>
  <c r="I223" i="1" s="1"/>
  <c r="Z223" i="1"/>
  <c r="Y223" i="1"/>
  <c r="X223" i="1" s="1"/>
  <c r="Q223" i="1"/>
  <c r="O223" i="1"/>
  <c r="L223" i="1"/>
  <c r="K223" i="1"/>
  <c r="AN222" i="1"/>
  <c r="AM222" i="1"/>
  <c r="AK222" i="1"/>
  <c r="AL222" i="1" s="1"/>
  <c r="AJ222" i="1"/>
  <c r="AH222" i="1" s="1"/>
  <c r="AI222" i="1"/>
  <c r="Z222" i="1"/>
  <c r="Y222" i="1"/>
  <c r="X222" i="1" s="1"/>
  <c r="Q222" i="1"/>
  <c r="AN221" i="1"/>
  <c r="AM221" i="1"/>
  <c r="AK221" i="1"/>
  <c r="AL221" i="1" s="1"/>
  <c r="AJ221" i="1"/>
  <c r="AH221" i="1" s="1"/>
  <c r="Z221" i="1"/>
  <c r="Y221" i="1"/>
  <c r="X221" i="1" s="1"/>
  <c r="Q221" i="1"/>
  <c r="AN220" i="1"/>
  <c r="AM220" i="1"/>
  <c r="AK220" i="1"/>
  <c r="AL220" i="1" s="1"/>
  <c r="AJ220" i="1"/>
  <c r="AH220" i="1" s="1"/>
  <c r="Z220" i="1"/>
  <c r="Y220" i="1"/>
  <c r="X220" i="1" s="1"/>
  <c r="Q220" i="1"/>
  <c r="AN219" i="1"/>
  <c r="AM219" i="1"/>
  <c r="AK219" i="1"/>
  <c r="AJ219" i="1"/>
  <c r="AI219" i="1"/>
  <c r="AH219" i="1"/>
  <c r="J219" i="1" s="1"/>
  <c r="I219" i="1" s="1"/>
  <c r="Z219" i="1"/>
  <c r="Y219" i="1"/>
  <c r="X219" i="1" s="1"/>
  <c r="Q219" i="1"/>
  <c r="O219" i="1"/>
  <c r="K219" i="1"/>
  <c r="AN218" i="1"/>
  <c r="AM218" i="1"/>
  <c r="AK218" i="1"/>
  <c r="AL218" i="1" s="1"/>
  <c r="AJ218" i="1"/>
  <c r="AH218" i="1" s="1"/>
  <c r="Z218" i="1"/>
  <c r="Y218" i="1"/>
  <c r="X218" i="1" s="1"/>
  <c r="Q218" i="1"/>
  <c r="AN217" i="1"/>
  <c r="AM217" i="1"/>
  <c r="AK217" i="1"/>
  <c r="AL217" i="1" s="1"/>
  <c r="AJ217" i="1"/>
  <c r="AH217" i="1" s="1"/>
  <c r="Z217" i="1"/>
  <c r="Y217" i="1"/>
  <c r="X217" i="1" s="1"/>
  <c r="Q217" i="1"/>
  <c r="O217" i="1"/>
  <c r="AN216" i="1"/>
  <c r="AM216" i="1"/>
  <c r="AK216" i="1"/>
  <c r="AL216" i="1" s="1"/>
  <c r="AJ216" i="1"/>
  <c r="AH216" i="1" s="1"/>
  <c r="Z216" i="1"/>
  <c r="Y216" i="1"/>
  <c r="X216" i="1" s="1"/>
  <c r="Q216" i="1"/>
  <c r="AN215" i="1"/>
  <c r="AM215" i="1"/>
  <c r="AK215" i="1"/>
  <c r="AJ215" i="1"/>
  <c r="AI215" i="1"/>
  <c r="AH215" i="1"/>
  <c r="J215" i="1" s="1"/>
  <c r="I215" i="1" s="1"/>
  <c r="Z215" i="1"/>
  <c r="Y215" i="1"/>
  <c r="X215" i="1" s="1"/>
  <c r="Q215" i="1"/>
  <c r="O215" i="1"/>
  <c r="K215" i="1"/>
  <c r="AN214" i="1"/>
  <c r="AM214" i="1"/>
  <c r="AK214" i="1"/>
  <c r="AJ214" i="1"/>
  <c r="AH214" i="1" s="1"/>
  <c r="Z214" i="1"/>
  <c r="Y214" i="1"/>
  <c r="X214" i="1" s="1"/>
  <c r="Q214" i="1"/>
  <c r="AN213" i="1"/>
  <c r="AM213" i="1"/>
  <c r="AK213" i="1"/>
  <c r="AJ213" i="1"/>
  <c r="AH213" i="1" s="1"/>
  <c r="AI213" i="1"/>
  <c r="Z213" i="1"/>
  <c r="Y213" i="1"/>
  <c r="X213" i="1" s="1"/>
  <c r="Q213" i="1"/>
  <c r="O213" i="1"/>
  <c r="K213" i="1"/>
  <c r="AN212" i="1"/>
  <c r="AM212" i="1"/>
  <c r="AK212" i="1"/>
  <c r="AJ212" i="1"/>
  <c r="AH212" i="1" s="1"/>
  <c r="AI212" i="1"/>
  <c r="Z212" i="1"/>
  <c r="Y212" i="1"/>
  <c r="X212" i="1" s="1"/>
  <c r="Q212" i="1"/>
  <c r="O212" i="1"/>
  <c r="AN211" i="1"/>
  <c r="AM211" i="1"/>
  <c r="AK211" i="1"/>
  <c r="AJ211" i="1"/>
  <c r="AI211" i="1"/>
  <c r="AH211" i="1"/>
  <c r="J211" i="1" s="1"/>
  <c r="Z211" i="1"/>
  <c r="Y211" i="1"/>
  <c r="X211" i="1" s="1"/>
  <c r="Q211" i="1"/>
  <c r="O211" i="1"/>
  <c r="K211" i="1"/>
  <c r="I211" i="1"/>
  <c r="AN210" i="1"/>
  <c r="AM210" i="1"/>
  <c r="AK210" i="1"/>
  <c r="AJ210" i="1"/>
  <c r="AH210" i="1" s="1"/>
  <c r="AI210" i="1"/>
  <c r="Z210" i="1"/>
  <c r="Y210" i="1"/>
  <c r="X210" i="1" s="1"/>
  <c r="Q210" i="1"/>
  <c r="O210" i="1"/>
  <c r="K210" i="1"/>
  <c r="AN209" i="1"/>
  <c r="AM209" i="1"/>
  <c r="AK209" i="1"/>
  <c r="AJ209" i="1"/>
  <c r="AH209" i="1" s="1"/>
  <c r="Z209" i="1"/>
  <c r="Y209" i="1"/>
  <c r="X209" i="1" s="1"/>
  <c r="Q209" i="1"/>
  <c r="AN208" i="1"/>
  <c r="AM208" i="1"/>
  <c r="AK208" i="1"/>
  <c r="AJ208" i="1"/>
  <c r="AH208" i="1" s="1"/>
  <c r="L208" i="1" s="1"/>
  <c r="AI208" i="1"/>
  <c r="Z208" i="1"/>
  <c r="Y208" i="1"/>
  <c r="X208" i="1" s="1"/>
  <c r="Q208" i="1"/>
  <c r="K208" i="1"/>
  <c r="AN207" i="1"/>
  <c r="AM207" i="1"/>
  <c r="AK207" i="1"/>
  <c r="AJ207" i="1"/>
  <c r="AH207" i="1"/>
  <c r="Z207" i="1"/>
  <c r="Y207" i="1"/>
  <c r="X207" i="1"/>
  <c r="Q207" i="1"/>
  <c r="AN206" i="1"/>
  <c r="AM206" i="1"/>
  <c r="AL206" i="1"/>
  <c r="AK206" i="1"/>
  <c r="T206" i="1" s="1"/>
  <c r="AJ206" i="1"/>
  <c r="AH206" i="1" s="1"/>
  <c r="J206" i="1" s="1"/>
  <c r="AI206" i="1"/>
  <c r="AB206" i="1"/>
  <c r="Z206" i="1"/>
  <c r="Y206" i="1"/>
  <c r="X206" i="1" s="1"/>
  <c r="U206" i="1"/>
  <c r="V206" i="1" s="1"/>
  <c r="W206" i="1" s="1"/>
  <c r="AA206" i="1" s="1"/>
  <c r="Q206" i="1"/>
  <c r="O206" i="1"/>
  <c r="L206" i="1"/>
  <c r="K206" i="1"/>
  <c r="I206" i="1"/>
  <c r="AN205" i="1"/>
  <c r="AM205" i="1"/>
  <c r="AL205" i="1" s="1"/>
  <c r="AK205" i="1"/>
  <c r="AJ205" i="1"/>
  <c r="AH205" i="1" s="1"/>
  <c r="O205" i="1" s="1"/>
  <c r="Z205" i="1"/>
  <c r="Y205" i="1"/>
  <c r="U205" i="1"/>
  <c r="V205" i="1" s="1"/>
  <c r="T205" i="1"/>
  <c r="R205" i="1"/>
  <c r="P205" i="1" s="1"/>
  <c r="S205" i="1" s="1"/>
  <c r="M205" i="1" s="1"/>
  <c r="N205" i="1" s="1"/>
  <c r="Q205" i="1"/>
  <c r="L205" i="1"/>
  <c r="K205" i="1"/>
  <c r="J205" i="1"/>
  <c r="I205" i="1"/>
  <c r="AB205" i="1" s="1"/>
  <c r="AN204" i="1"/>
  <c r="T204" i="1" s="1"/>
  <c r="AM204" i="1"/>
  <c r="AK204" i="1"/>
  <c r="AL204" i="1" s="1"/>
  <c r="AJ204" i="1"/>
  <c r="AH204" i="1" s="1"/>
  <c r="Z204" i="1"/>
  <c r="X204" i="1" s="1"/>
  <c r="Y204" i="1"/>
  <c r="Q204" i="1"/>
  <c r="O204" i="1"/>
  <c r="J204" i="1"/>
  <c r="I204" i="1" s="1"/>
  <c r="AB204" i="1" s="1"/>
  <c r="AN203" i="1"/>
  <c r="T203" i="1" s="1"/>
  <c r="AM203" i="1"/>
  <c r="AL203" i="1" s="1"/>
  <c r="AK203" i="1"/>
  <c r="AJ203" i="1"/>
  <c r="AH203" i="1"/>
  <c r="Z203" i="1"/>
  <c r="Y203" i="1"/>
  <c r="X203" i="1"/>
  <c r="Q203" i="1"/>
  <c r="AN202" i="1"/>
  <c r="AM202" i="1"/>
  <c r="AK202" i="1"/>
  <c r="AJ202" i="1"/>
  <c r="AH202" i="1" s="1"/>
  <c r="Z202" i="1"/>
  <c r="X202" i="1" s="1"/>
  <c r="Y202" i="1"/>
  <c r="Q202" i="1"/>
  <c r="K202" i="1"/>
  <c r="AN201" i="1"/>
  <c r="AM201" i="1"/>
  <c r="AL201" i="1"/>
  <c r="AK201" i="1"/>
  <c r="AJ201" i="1"/>
  <c r="AH201" i="1" s="1"/>
  <c r="AI201" i="1" s="1"/>
  <c r="Z201" i="1"/>
  <c r="Y201" i="1"/>
  <c r="X201" i="1" s="1"/>
  <c r="T201" i="1"/>
  <c r="Q201" i="1"/>
  <c r="L201" i="1"/>
  <c r="AN200" i="1"/>
  <c r="AM200" i="1"/>
  <c r="AK200" i="1"/>
  <c r="AL200" i="1" s="1"/>
  <c r="AJ200" i="1"/>
  <c r="AH200" i="1" s="1"/>
  <c r="Z200" i="1"/>
  <c r="X200" i="1" s="1"/>
  <c r="Y200" i="1"/>
  <c r="Q200" i="1"/>
  <c r="AN199" i="1"/>
  <c r="AM199" i="1"/>
  <c r="AK199" i="1"/>
  <c r="AL199" i="1" s="1"/>
  <c r="AJ199" i="1"/>
  <c r="AH199" i="1"/>
  <c r="Z199" i="1"/>
  <c r="Y199" i="1"/>
  <c r="X199" i="1"/>
  <c r="Q199" i="1"/>
  <c r="AN198" i="1"/>
  <c r="AM198" i="1"/>
  <c r="AK198" i="1"/>
  <c r="AJ198" i="1"/>
  <c r="AH198" i="1" s="1"/>
  <c r="Z198" i="1"/>
  <c r="Y198" i="1"/>
  <c r="X198" i="1" s="1"/>
  <c r="Q198" i="1"/>
  <c r="K198" i="1"/>
  <c r="AN197" i="1"/>
  <c r="AM197" i="1"/>
  <c r="AL197" i="1"/>
  <c r="AK197" i="1"/>
  <c r="AJ197" i="1"/>
  <c r="AH197" i="1" s="1"/>
  <c r="Z197" i="1"/>
  <c r="Y197" i="1"/>
  <c r="X197" i="1" s="1"/>
  <c r="T197" i="1"/>
  <c r="Q197" i="1"/>
  <c r="AN196" i="1"/>
  <c r="AM196" i="1"/>
  <c r="AK196" i="1"/>
  <c r="AJ196" i="1"/>
  <c r="AH196" i="1" s="1"/>
  <c r="Z196" i="1"/>
  <c r="X196" i="1" s="1"/>
  <c r="Y196" i="1"/>
  <c r="Q196" i="1"/>
  <c r="O196" i="1"/>
  <c r="J196" i="1"/>
  <c r="I196" i="1" s="1"/>
  <c r="AB196" i="1" s="1"/>
  <c r="AN195" i="1"/>
  <c r="AM195" i="1"/>
  <c r="AK195" i="1"/>
  <c r="AJ195" i="1"/>
  <c r="AH195" i="1"/>
  <c r="Z195" i="1"/>
  <c r="Y195" i="1"/>
  <c r="X195" i="1"/>
  <c r="Q195" i="1"/>
  <c r="K195" i="1"/>
  <c r="AN194" i="1"/>
  <c r="AM194" i="1"/>
  <c r="AK194" i="1"/>
  <c r="AJ194" i="1"/>
  <c r="AH194" i="1" s="1"/>
  <c r="AI194" i="1"/>
  <c r="Z194" i="1"/>
  <c r="Y194" i="1"/>
  <c r="X194" i="1" s="1"/>
  <c r="Q194" i="1"/>
  <c r="K194" i="1"/>
  <c r="AN193" i="1"/>
  <c r="AM193" i="1"/>
  <c r="AL193" i="1"/>
  <c r="AK193" i="1"/>
  <c r="AJ193" i="1"/>
  <c r="AH193" i="1" s="1"/>
  <c r="AI193" i="1" s="1"/>
  <c r="Z193" i="1"/>
  <c r="Y193" i="1"/>
  <c r="X193" i="1" s="1"/>
  <c r="T193" i="1"/>
  <c r="Q193" i="1"/>
  <c r="L193" i="1"/>
  <c r="AN192" i="1"/>
  <c r="AM192" i="1"/>
  <c r="AK192" i="1"/>
  <c r="AJ192" i="1"/>
  <c r="AH192" i="1" s="1"/>
  <c r="O192" i="1" s="1"/>
  <c r="Z192" i="1"/>
  <c r="X192" i="1" s="1"/>
  <c r="Y192" i="1"/>
  <c r="Q192" i="1"/>
  <c r="J192" i="1"/>
  <c r="I192" i="1" s="1"/>
  <c r="AN191" i="1"/>
  <c r="AM191" i="1"/>
  <c r="AK191" i="1"/>
  <c r="AJ191" i="1"/>
  <c r="AH191" i="1"/>
  <c r="Z191" i="1"/>
  <c r="Y191" i="1"/>
  <c r="X191" i="1"/>
  <c r="Q191" i="1"/>
  <c r="K191" i="1"/>
  <c r="AN190" i="1"/>
  <c r="AM190" i="1"/>
  <c r="AK190" i="1"/>
  <c r="AJ190" i="1"/>
  <c r="AH190" i="1" s="1"/>
  <c r="AI190" i="1" s="1"/>
  <c r="Z190" i="1"/>
  <c r="Y190" i="1"/>
  <c r="X190" i="1" s="1"/>
  <c r="Q190" i="1"/>
  <c r="AN189" i="1"/>
  <c r="AM189" i="1"/>
  <c r="AL189" i="1"/>
  <c r="AK189" i="1"/>
  <c r="AJ189" i="1"/>
  <c r="AH189" i="1" s="1"/>
  <c r="K189" i="1" s="1"/>
  <c r="Z189" i="1"/>
  <c r="Y189" i="1"/>
  <c r="X189" i="1" s="1"/>
  <c r="T189" i="1"/>
  <c r="Q189" i="1"/>
  <c r="AN188" i="1"/>
  <c r="T188" i="1" s="1"/>
  <c r="AM188" i="1"/>
  <c r="AL188" i="1" s="1"/>
  <c r="AK188" i="1"/>
  <c r="AJ188" i="1"/>
  <c r="AH188" i="1" s="1"/>
  <c r="Z188" i="1"/>
  <c r="X188" i="1" s="1"/>
  <c r="Y188" i="1"/>
  <c r="Q188" i="1"/>
  <c r="O188" i="1"/>
  <c r="AN187" i="1"/>
  <c r="AM187" i="1"/>
  <c r="AK187" i="1"/>
  <c r="AJ187" i="1"/>
  <c r="AH187" i="1"/>
  <c r="Z187" i="1"/>
  <c r="Y187" i="1"/>
  <c r="X187" i="1"/>
  <c r="Q187" i="1"/>
  <c r="AN186" i="1"/>
  <c r="AM186" i="1"/>
  <c r="AL186" i="1"/>
  <c r="AK186" i="1"/>
  <c r="AJ186" i="1"/>
  <c r="AH186" i="1" s="1"/>
  <c r="O186" i="1" s="1"/>
  <c r="Z186" i="1"/>
  <c r="Y186" i="1"/>
  <c r="T186" i="1"/>
  <c r="Q186" i="1"/>
  <c r="L186" i="1"/>
  <c r="J186" i="1"/>
  <c r="I186" i="1" s="1"/>
  <c r="AN185" i="1"/>
  <c r="AM185" i="1"/>
  <c r="AL185" i="1"/>
  <c r="AK185" i="1"/>
  <c r="AJ185" i="1"/>
  <c r="AH185" i="1"/>
  <c r="Z185" i="1"/>
  <c r="Y185" i="1"/>
  <c r="T185" i="1"/>
  <c r="Q185" i="1"/>
  <c r="AN184" i="1"/>
  <c r="T184" i="1" s="1"/>
  <c r="AM184" i="1"/>
  <c r="AL184" i="1" s="1"/>
  <c r="AK184" i="1"/>
  <c r="AJ184" i="1"/>
  <c r="AH184" i="1" s="1"/>
  <c r="Z184" i="1"/>
  <c r="Y184" i="1"/>
  <c r="U184" i="1"/>
  <c r="V184" i="1" s="1"/>
  <c r="Q184" i="1"/>
  <c r="AC184" i="1" s="1"/>
  <c r="O184" i="1"/>
  <c r="J184" i="1"/>
  <c r="I184" i="1" s="1"/>
  <c r="AN183" i="1"/>
  <c r="AM183" i="1"/>
  <c r="AL183" i="1" s="1"/>
  <c r="AK183" i="1"/>
  <c r="AJ183" i="1"/>
  <c r="AH183" i="1" s="1"/>
  <c r="Z183" i="1"/>
  <c r="X183" i="1" s="1"/>
  <c r="Y183" i="1"/>
  <c r="T183" i="1"/>
  <c r="Q183" i="1"/>
  <c r="AN182" i="1"/>
  <c r="AM182" i="1"/>
  <c r="AK182" i="1"/>
  <c r="AJ182" i="1"/>
  <c r="AH182" i="1" s="1"/>
  <c r="AI182" i="1" s="1"/>
  <c r="Z182" i="1"/>
  <c r="Y182" i="1"/>
  <c r="X182" i="1" s="1"/>
  <c r="Q182" i="1"/>
  <c r="J182" i="1"/>
  <c r="I182" i="1"/>
  <c r="AN181" i="1"/>
  <c r="AM181" i="1"/>
  <c r="AK181" i="1"/>
  <c r="AJ181" i="1"/>
  <c r="AI181" i="1"/>
  <c r="AH181" i="1"/>
  <c r="Z181" i="1"/>
  <c r="Y181" i="1"/>
  <c r="X181" i="1"/>
  <c r="Q181" i="1"/>
  <c r="O181" i="1"/>
  <c r="K181" i="1"/>
  <c r="AN180" i="1"/>
  <c r="T180" i="1" s="1"/>
  <c r="AM180" i="1"/>
  <c r="AL180" i="1" s="1"/>
  <c r="AK180" i="1"/>
  <c r="AJ180" i="1"/>
  <c r="AI180" i="1"/>
  <c r="AH180" i="1"/>
  <c r="J180" i="1" s="1"/>
  <c r="I180" i="1" s="1"/>
  <c r="Z180" i="1"/>
  <c r="Y180" i="1"/>
  <c r="X180" i="1" s="1"/>
  <c r="Q180" i="1"/>
  <c r="O180" i="1"/>
  <c r="L180" i="1"/>
  <c r="K180" i="1"/>
  <c r="AN179" i="1"/>
  <c r="AM179" i="1"/>
  <c r="AK179" i="1"/>
  <c r="AL179" i="1" s="1"/>
  <c r="AJ179" i="1"/>
  <c r="AH179" i="1" s="1"/>
  <c r="Z179" i="1"/>
  <c r="Y179" i="1"/>
  <c r="X179" i="1" s="1"/>
  <c r="T179" i="1"/>
  <c r="Q179" i="1"/>
  <c r="O179" i="1"/>
  <c r="AN178" i="1"/>
  <c r="AM178" i="1"/>
  <c r="AK178" i="1"/>
  <c r="AJ178" i="1"/>
  <c r="AH178" i="1" s="1"/>
  <c r="AI178" i="1"/>
  <c r="Z178" i="1"/>
  <c r="Y178" i="1"/>
  <c r="X178" i="1" s="1"/>
  <c r="Q178" i="1"/>
  <c r="AN177" i="1"/>
  <c r="AM177" i="1"/>
  <c r="AK177" i="1"/>
  <c r="AJ177" i="1"/>
  <c r="AI177" i="1"/>
  <c r="AH177" i="1"/>
  <c r="Z177" i="1"/>
  <c r="Y177" i="1"/>
  <c r="X177" i="1"/>
  <c r="Q177" i="1"/>
  <c r="O177" i="1"/>
  <c r="K177" i="1"/>
  <c r="AN176" i="1"/>
  <c r="AM176" i="1"/>
  <c r="AL176" i="1"/>
  <c r="AK176" i="1"/>
  <c r="AJ176" i="1"/>
  <c r="AI176" i="1"/>
  <c r="AH176" i="1"/>
  <c r="J176" i="1" s="1"/>
  <c r="Z176" i="1"/>
  <c r="Y176" i="1"/>
  <c r="X176" i="1" s="1"/>
  <c r="U176" i="1"/>
  <c r="V176" i="1" s="1"/>
  <c r="T176" i="1"/>
  <c r="Q176" i="1"/>
  <c r="O176" i="1"/>
  <c r="L176" i="1"/>
  <c r="K176" i="1"/>
  <c r="I176" i="1"/>
  <c r="AN175" i="1"/>
  <c r="AM175" i="1"/>
  <c r="AL175" i="1"/>
  <c r="AK175" i="1"/>
  <c r="T175" i="1" s="1"/>
  <c r="AJ175" i="1"/>
  <c r="AH175" i="1" s="1"/>
  <c r="Z175" i="1"/>
  <c r="Y175" i="1"/>
  <c r="X175" i="1" s="1"/>
  <c r="Q175" i="1"/>
  <c r="K175" i="1"/>
  <c r="AN174" i="1"/>
  <c r="AM174" i="1"/>
  <c r="AK174" i="1"/>
  <c r="AJ174" i="1"/>
  <c r="AH174" i="1"/>
  <c r="Z174" i="1"/>
  <c r="Y174" i="1"/>
  <c r="X174" i="1"/>
  <c r="Q174" i="1"/>
  <c r="AN173" i="1"/>
  <c r="AM173" i="1"/>
  <c r="AK173" i="1"/>
  <c r="AJ173" i="1"/>
  <c r="AI173" i="1"/>
  <c r="AH173" i="1"/>
  <c r="Z173" i="1"/>
  <c r="Y173" i="1"/>
  <c r="X173" i="1"/>
  <c r="Q173" i="1"/>
  <c r="K173" i="1"/>
  <c r="AN172" i="1"/>
  <c r="AM172" i="1"/>
  <c r="AL172" i="1" s="1"/>
  <c r="AK172" i="1"/>
  <c r="AJ172" i="1"/>
  <c r="AI172" i="1"/>
  <c r="AH172" i="1"/>
  <c r="J172" i="1" s="1"/>
  <c r="Z172" i="1"/>
  <c r="Y172" i="1"/>
  <c r="X172" i="1" s="1"/>
  <c r="T172" i="1"/>
  <c r="Q172" i="1"/>
  <c r="O172" i="1"/>
  <c r="L172" i="1"/>
  <c r="K172" i="1"/>
  <c r="I172" i="1"/>
  <c r="AN171" i="1"/>
  <c r="AM171" i="1"/>
  <c r="AL171" i="1"/>
  <c r="AK171" i="1"/>
  <c r="AJ171" i="1"/>
  <c r="AH171" i="1" s="1"/>
  <c r="L171" i="1" s="1"/>
  <c r="Z171" i="1"/>
  <c r="Y171" i="1"/>
  <c r="T171" i="1"/>
  <c r="Q171" i="1"/>
  <c r="AN170" i="1"/>
  <c r="AM170" i="1"/>
  <c r="AK170" i="1"/>
  <c r="AJ170" i="1"/>
  <c r="AH170" i="1" s="1"/>
  <c r="AI170" i="1"/>
  <c r="Z170" i="1"/>
  <c r="Y170" i="1"/>
  <c r="X170" i="1" s="1"/>
  <c r="Q170" i="1"/>
  <c r="K170" i="1"/>
  <c r="AN169" i="1"/>
  <c r="AM169" i="1"/>
  <c r="AK169" i="1"/>
  <c r="AJ169" i="1"/>
  <c r="AH169" i="1"/>
  <c r="Z169" i="1"/>
  <c r="Y169" i="1"/>
  <c r="X169" i="1" s="1"/>
  <c r="Q169" i="1"/>
  <c r="AN168" i="1"/>
  <c r="T168" i="1" s="1"/>
  <c r="AM168" i="1"/>
  <c r="AL168" i="1"/>
  <c r="AK168" i="1"/>
  <c r="AJ168" i="1"/>
  <c r="AI168" i="1"/>
  <c r="AH168" i="1"/>
  <c r="J168" i="1" s="1"/>
  <c r="AB168" i="1"/>
  <c r="Z168" i="1"/>
  <c r="Y168" i="1"/>
  <c r="X168" i="1" s="1"/>
  <c r="Q168" i="1"/>
  <c r="O168" i="1"/>
  <c r="L168" i="1"/>
  <c r="K168" i="1"/>
  <c r="I168" i="1"/>
  <c r="AN167" i="1"/>
  <c r="AM167" i="1"/>
  <c r="AK167" i="1"/>
  <c r="T167" i="1" s="1"/>
  <c r="AJ167" i="1"/>
  <c r="AH167" i="1" s="1"/>
  <c r="Z167" i="1"/>
  <c r="Y167" i="1"/>
  <c r="X167" i="1" s="1"/>
  <c r="Q167" i="1"/>
  <c r="AN166" i="1"/>
  <c r="AM166" i="1"/>
  <c r="AK166" i="1"/>
  <c r="AL166" i="1" s="1"/>
  <c r="AJ166" i="1"/>
  <c r="AH166" i="1"/>
  <c r="Z166" i="1"/>
  <c r="Y166" i="1"/>
  <c r="X166" i="1"/>
  <c r="Q166" i="1"/>
  <c r="AN165" i="1"/>
  <c r="AM165" i="1"/>
  <c r="AK165" i="1"/>
  <c r="AJ165" i="1"/>
  <c r="AH165" i="1" s="1"/>
  <c r="Z165" i="1"/>
  <c r="Y165" i="1"/>
  <c r="X165" i="1" s="1"/>
  <c r="Q165" i="1"/>
  <c r="AN164" i="1"/>
  <c r="AM164" i="1"/>
  <c r="AL164" i="1"/>
  <c r="AK164" i="1"/>
  <c r="AJ164" i="1"/>
  <c r="AH164" i="1" s="1"/>
  <c r="AI164" i="1"/>
  <c r="Z164" i="1"/>
  <c r="Y164" i="1"/>
  <c r="X164" i="1" s="1"/>
  <c r="T164" i="1"/>
  <c r="Q164" i="1"/>
  <c r="O164" i="1"/>
  <c r="L164" i="1"/>
  <c r="AN163" i="1"/>
  <c r="AM163" i="1"/>
  <c r="AK163" i="1"/>
  <c r="AL163" i="1" s="1"/>
  <c r="AJ163" i="1"/>
  <c r="AH163" i="1" s="1"/>
  <c r="O163" i="1" s="1"/>
  <c r="Z163" i="1"/>
  <c r="X163" i="1" s="1"/>
  <c r="Y163" i="1"/>
  <c r="Q163" i="1"/>
  <c r="J163" i="1"/>
  <c r="I163" i="1" s="1"/>
  <c r="AB163" i="1" s="1"/>
  <c r="AN162" i="1"/>
  <c r="AM162" i="1"/>
  <c r="AK162" i="1"/>
  <c r="AJ162" i="1"/>
  <c r="AH162" i="1"/>
  <c r="Z162" i="1"/>
  <c r="Y162" i="1"/>
  <c r="X162" i="1"/>
  <c r="Q162" i="1"/>
  <c r="K162" i="1"/>
  <c r="AN161" i="1"/>
  <c r="T161" i="1" s="1"/>
  <c r="AM161" i="1"/>
  <c r="AK161" i="1"/>
  <c r="AL161" i="1" s="1"/>
  <c r="AJ161" i="1"/>
  <c r="AH161" i="1" s="1"/>
  <c r="AI161" i="1"/>
  <c r="Z161" i="1"/>
  <c r="Y161" i="1"/>
  <c r="X161" i="1" s="1"/>
  <c r="Q161" i="1"/>
  <c r="L161" i="1"/>
  <c r="K161" i="1"/>
  <c r="AN160" i="1"/>
  <c r="AM160" i="1"/>
  <c r="AL160" i="1"/>
  <c r="AK160" i="1"/>
  <c r="AJ160" i="1"/>
  <c r="AH160" i="1" s="1"/>
  <c r="Z160" i="1"/>
  <c r="Y160" i="1"/>
  <c r="X160" i="1" s="1"/>
  <c r="T160" i="1"/>
  <c r="Q160" i="1"/>
  <c r="AN159" i="1"/>
  <c r="AM159" i="1"/>
  <c r="AK159" i="1"/>
  <c r="AL159" i="1" s="1"/>
  <c r="AJ159" i="1"/>
  <c r="AH159" i="1"/>
  <c r="Z159" i="1"/>
  <c r="X159" i="1" s="1"/>
  <c r="Y159" i="1"/>
  <c r="Q159" i="1"/>
  <c r="AN158" i="1"/>
  <c r="AM158" i="1"/>
  <c r="AK158" i="1"/>
  <c r="AJ158" i="1"/>
  <c r="AH158" i="1"/>
  <c r="Z158" i="1"/>
  <c r="Y158" i="1"/>
  <c r="X158" i="1"/>
  <c r="Q158" i="1"/>
  <c r="K158" i="1"/>
  <c r="AN157" i="1"/>
  <c r="AM157" i="1"/>
  <c r="AL157" i="1"/>
  <c r="AK157" i="1"/>
  <c r="AJ157" i="1"/>
  <c r="AH157" i="1" s="1"/>
  <c r="Z157" i="1"/>
  <c r="Y157" i="1"/>
  <c r="X157" i="1" s="1"/>
  <c r="T157" i="1"/>
  <c r="Q157" i="1"/>
  <c r="K157" i="1"/>
  <c r="AN156" i="1"/>
  <c r="AM156" i="1"/>
  <c r="AL156" i="1" s="1"/>
  <c r="AK156" i="1"/>
  <c r="AJ156" i="1"/>
  <c r="AH156" i="1" s="1"/>
  <c r="K156" i="1" s="1"/>
  <c r="Z156" i="1"/>
  <c r="Y156" i="1"/>
  <c r="T156" i="1"/>
  <c r="Q156" i="1"/>
  <c r="O156" i="1"/>
  <c r="AN155" i="1"/>
  <c r="AM155" i="1"/>
  <c r="AK155" i="1"/>
  <c r="AJ155" i="1"/>
  <c r="AH155" i="1"/>
  <c r="Z155" i="1"/>
  <c r="Y155" i="1"/>
  <c r="X155" i="1"/>
  <c r="Q155" i="1"/>
  <c r="J155" i="1"/>
  <c r="I155" i="1" s="1"/>
  <c r="AN154" i="1"/>
  <c r="AM154" i="1"/>
  <c r="AK154" i="1"/>
  <c r="AJ154" i="1"/>
  <c r="AI154" i="1"/>
  <c r="AH154" i="1"/>
  <c r="Z154" i="1"/>
  <c r="Y154" i="1"/>
  <c r="X154" i="1" s="1"/>
  <c r="Q154" i="1"/>
  <c r="AN153" i="1"/>
  <c r="AM153" i="1"/>
  <c r="AL153" i="1"/>
  <c r="AK153" i="1"/>
  <c r="T153" i="1" s="1"/>
  <c r="AJ153" i="1"/>
  <c r="AH153" i="1" s="1"/>
  <c r="J153" i="1" s="1"/>
  <c r="AI153" i="1"/>
  <c r="AB153" i="1"/>
  <c r="Z153" i="1"/>
  <c r="Y153" i="1"/>
  <c r="X153" i="1" s="1"/>
  <c r="Q153" i="1"/>
  <c r="O153" i="1"/>
  <c r="L153" i="1"/>
  <c r="K153" i="1"/>
  <c r="I153" i="1"/>
  <c r="AN152" i="1"/>
  <c r="AM152" i="1"/>
  <c r="AL152" i="1" s="1"/>
  <c r="AK152" i="1"/>
  <c r="AJ152" i="1"/>
  <c r="AH152" i="1" s="1"/>
  <c r="Z152" i="1"/>
  <c r="Y152" i="1"/>
  <c r="T152" i="1"/>
  <c r="Q152" i="1"/>
  <c r="AN151" i="1"/>
  <c r="AM151" i="1"/>
  <c r="AK151" i="1"/>
  <c r="AJ151" i="1"/>
  <c r="AH151" i="1"/>
  <c r="Z151" i="1"/>
  <c r="Y151" i="1"/>
  <c r="X151" i="1"/>
  <c r="Q151" i="1"/>
  <c r="AN150" i="1"/>
  <c r="AM150" i="1"/>
  <c r="AK150" i="1"/>
  <c r="AJ150" i="1"/>
  <c r="AI150" i="1"/>
  <c r="AH150" i="1"/>
  <c r="AB150" i="1"/>
  <c r="Z150" i="1"/>
  <c r="Y150" i="1"/>
  <c r="X150" i="1" s="1"/>
  <c r="T150" i="1"/>
  <c r="U150" i="1" s="1"/>
  <c r="V150" i="1" s="1"/>
  <c r="Q150" i="1"/>
  <c r="O150" i="1"/>
  <c r="L150" i="1"/>
  <c r="K150" i="1"/>
  <c r="J150" i="1"/>
  <c r="I150" i="1"/>
  <c r="R150" i="1" s="1"/>
  <c r="P150" i="1" s="1"/>
  <c r="S150" i="1" s="1"/>
  <c r="M150" i="1" s="1"/>
  <c r="N150" i="1" s="1"/>
  <c r="AN149" i="1"/>
  <c r="AM149" i="1"/>
  <c r="AK149" i="1"/>
  <c r="AJ149" i="1"/>
  <c r="AH149" i="1" s="1"/>
  <c r="Z149" i="1"/>
  <c r="Y149" i="1"/>
  <c r="Q149" i="1"/>
  <c r="J149" i="1"/>
  <c r="I149" i="1" s="1"/>
  <c r="AB149" i="1" s="1"/>
  <c r="AN148" i="1"/>
  <c r="AM148" i="1"/>
  <c r="AK148" i="1"/>
  <c r="AJ148" i="1"/>
  <c r="AH148" i="1"/>
  <c r="Z148" i="1"/>
  <c r="Y148" i="1"/>
  <c r="X148" i="1"/>
  <c r="Q148" i="1"/>
  <c r="K148" i="1"/>
  <c r="AN147" i="1"/>
  <c r="AM147" i="1"/>
  <c r="AK147" i="1"/>
  <c r="AL147" i="1" s="1"/>
  <c r="AJ147" i="1"/>
  <c r="AI147" i="1"/>
  <c r="AH147" i="1"/>
  <c r="L147" i="1" s="1"/>
  <c r="Z147" i="1"/>
  <c r="Y147" i="1"/>
  <c r="X147" i="1" s="1"/>
  <c r="Q147" i="1"/>
  <c r="O147" i="1"/>
  <c r="AN146" i="1"/>
  <c r="AM146" i="1"/>
  <c r="AL146" i="1"/>
  <c r="AK146" i="1"/>
  <c r="AJ146" i="1"/>
  <c r="AH146" i="1" s="1"/>
  <c r="Z146" i="1"/>
  <c r="Y146" i="1"/>
  <c r="X146" i="1" s="1"/>
  <c r="T146" i="1"/>
  <c r="Q146" i="1"/>
  <c r="O146" i="1"/>
  <c r="L146" i="1"/>
  <c r="AN145" i="1"/>
  <c r="AM145" i="1"/>
  <c r="AK145" i="1"/>
  <c r="AL145" i="1" s="1"/>
  <c r="AJ145" i="1"/>
  <c r="AH145" i="1" s="1"/>
  <c r="Z145" i="1"/>
  <c r="Y145" i="1"/>
  <c r="X145" i="1" s="1"/>
  <c r="Q145" i="1"/>
  <c r="J145" i="1"/>
  <c r="I145" i="1" s="1"/>
  <c r="AB145" i="1" s="1"/>
  <c r="AN144" i="1"/>
  <c r="AM144" i="1"/>
  <c r="AK144" i="1"/>
  <c r="AJ144" i="1"/>
  <c r="AH144" i="1"/>
  <c r="Z144" i="1"/>
  <c r="Y144" i="1"/>
  <c r="X144" i="1"/>
  <c r="Q144" i="1"/>
  <c r="K144" i="1"/>
  <c r="AN143" i="1"/>
  <c r="AM143" i="1"/>
  <c r="AK143" i="1"/>
  <c r="AL143" i="1" s="1"/>
  <c r="AJ143" i="1"/>
  <c r="AI143" i="1"/>
  <c r="AH143" i="1"/>
  <c r="L143" i="1" s="1"/>
  <c r="Z143" i="1"/>
  <c r="Y143" i="1"/>
  <c r="X143" i="1" s="1"/>
  <c r="Q143" i="1"/>
  <c r="O143" i="1"/>
  <c r="K143" i="1"/>
  <c r="AN142" i="1"/>
  <c r="AM142" i="1"/>
  <c r="AL142" i="1"/>
  <c r="AK142" i="1"/>
  <c r="AJ142" i="1"/>
  <c r="AH142" i="1" s="1"/>
  <c r="L142" i="1" s="1"/>
  <c r="Z142" i="1"/>
  <c r="Y142" i="1"/>
  <c r="X142" i="1" s="1"/>
  <c r="T142" i="1"/>
  <c r="Q142" i="1"/>
  <c r="O142" i="1"/>
  <c r="AN141" i="1"/>
  <c r="AM141" i="1"/>
  <c r="AK141" i="1"/>
  <c r="AJ141" i="1"/>
  <c r="AH141" i="1" s="1"/>
  <c r="L141" i="1" s="1"/>
  <c r="Z141" i="1"/>
  <c r="Y141" i="1"/>
  <c r="X141" i="1" s="1"/>
  <c r="Q141" i="1"/>
  <c r="K141" i="1"/>
  <c r="J141" i="1"/>
  <c r="I141" i="1"/>
  <c r="AB141" i="1" s="1"/>
  <c r="AN140" i="1"/>
  <c r="AM140" i="1"/>
  <c r="AK140" i="1"/>
  <c r="AJ140" i="1"/>
  <c r="AH140" i="1"/>
  <c r="Z140" i="1"/>
  <c r="Y140" i="1"/>
  <c r="X140" i="1" s="1"/>
  <c r="Q140" i="1"/>
  <c r="AN139" i="1"/>
  <c r="AM139" i="1"/>
  <c r="AK139" i="1"/>
  <c r="AJ139" i="1"/>
  <c r="AI139" i="1"/>
  <c r="AH139" i="1"/>
  <c r="L139" i="1" s="1"/>
  <c r="Z139" i="1"/>
  <c r="Y139" i="1"/>
  <c r="X139" i="1" s="1"/>
  <c r="Q139" i="1"/>
  <c r="O139" i="1"/>
  <c r="K139" i="1"/>
  <c r="AN138" i="1"/>
  <c r="AM138" i="1"/>
  <c r="AL138" i="1"/>
  <c r="AK138" i="1"/>
  <c r="T138" i="1" s="1"/>
  <c r="AJ138" i="1"/>
  <c r="AH138" i="1" s="1"/>
  <c r="J138" i="1" s="1"/>
  <c r="I138" i="1" s="1"/>
  <c r="Z138" i="1"/>
  <c r="Y138" i="1"/>
  <c r="X138" i="1" s="1"/>
  <c r="Q138" i="1"/>
  <c r="K138" i="1"/>
  <c r="AN137" i="1"/>
  <c r="AM137" i="1"/>
  <c r="AK137" i="1"/>
  <c r="AL137" i="1" s="1"/>
  <c r="AJ137" i="1"/>
  <c r="AH137" i="1" s="1"/>
  <c r="AI137" i="1"/>
  <c r="Z137" i="1"/>
  <c r="Y137" i="1"/>
  <c r="X137" i="1" s="1"/>
  <c r="T137" i="1"/>
  <c r="Q137" i="1"/>
  <c r="O137" i="1"/>
  <c r="L137" i="1"/>
  <c r="K137" i="1"/>
  <c r="J137" i="1"/>
  <c r="I137" i="1" s="1"/>
  <c r="AN136" i="1"/>
  <c r="AM136" i="1"/>
  <c r="AK136" i="1"/>
  <c r="AJ136" i="1"/>
  <c r="AH136" i="1" s="1"/>
  <c r="Z136" i="1"/>
  <c r="X136" i="1" s="1"/>
  <c r="Y136" i="1"/>
  <c r="Q136" i="1"/>
  <c r="AN135" i="1"/>
  <c r="AM135" i="1"/>
  <c r="AK135" i="1"/>
  <c r="AJ135" i="1"/>
  <c r="AI135" i="1"/>
  <c r="AH135" i="1"/>
  <c r="Z135" i="1"/>
  <c r="Y135" i="1"/>
  <c r="X135" i="1"/>
  <c r="Q135" i="1"/>
  <c r="O135" i="1"/>
  <c r="K135" i="1"/>
  <c r="AN134" i="1"/>
  <c r="AM134" i="1"/>
  <c r="AL134" i="1"/>
  <c r="AK134" i="1"/>
  <c r="T134" i="1" s="1"/>
  <c r="AJ134" i="1"/>
  <c r="AH134" i="1" s="1"/>
  <c r="J134" i="1" s="1"/>
  <c r="I134" i="1" s="1"/>
  <c r="Z134" i="1"/>
  <c r="Y134" i="1"/>
  <c r="X134" i="1" s="1"/>
  <c r="Q134" i="1"/>
  <c r="K134" i="1"/>
  <c r="AN133" i="1"/>
  <c r="AM133" i="1"/>
  <c r="AK133" i="1"/>
  <c r="AJ133" i="1"/>
  <c r="AH133" i="1" s="1"/>
  <c r="AI133" i="1"/>
  <c r="Z133" i="1"/>
  <c r="Y133" i="1"/>
  <c r="X133" i="1" s="1"/>
  <c r="T133" i="1"/>
  <c r="Q133" i="1"/>
  <c r="O133" i="1"/>
  <c r="L133" i="1"/>
  <c r="K133" i="1"/>
  <c r="J133" i="1"/>
  <c r="I133" i="1" s="1"/>
  <c r="AN132" i="1"/>
  <c r="AM132" i="1"/>
  <c r="AK132" i="1"/>
  <c r="AJ132" i="1"/>
  <c r="AH132" i="1" s="1"/>
  <c r="Z132" i="1"/>
  <c r="X132" i="1" s="1"/>
  <c r="Y132" i="1"/>
  <c r="Q132" i="1"/>
  <c r="AN131" i="1"/>
  <c r="AM131" i="1"/>
  <c r="AK131" i="1"/>
  <c r="AJ131" i="1"/>
  <c r="AI131" i="1"/>
  <c r="AH131" i="1"/>
  <c r="J131" i="1" s="1"/>
  <c r="Z131" i="1"/>
  <c r="Y131" i="1"/>
  <c r="X131" i="1" s="1"/>
  <c r="Q131" i="1"/>
  <c r="O131" i="1"/>
  <c r="K131" i="1"/>
  <c r="I131" i="1"/>
  <c r="AN130" i="1"/>
  <c r="AM130" i="1"/>
  <c r="AK130" i="1"/>
  <c r="AL130" i="1" s="1"/>
  <c r="AJ130" i="1"/>
  <c r="AH130" i="1" s="1"/>
  <c r="Z130" i="1"/>
  <c r="Y130" i="1"/>
  <c r="X130" i="1" s="1"/>
  <c r="T130" i="1"/>
  <c r="Q130" i="1"/>
  <c r="L130" i="1"/>
  <c r="AN129" i="1"/>
  <c r="AM129" i="1"/>
  <c r="AK129" i="1"/>
  <c r="AL129" i="1" s="1"/>
  <c r="AJ129" i="1"/>
  <c r="AH129" i="1" s="1"/>
  <c r="Z129" i="1"/>
  <c r="Y129" i="1"/>
  <c r="X129" i="1" s="1"/>
  <c r="T129" i="1"/>
  <c r="Q129" i="1"/>
  <c r="J129" i="1"/>
  <c r="I129" i="1" s="1"/>
  <c r="AB129" i="1" s="1"/>
  <c r="AN128" i="1"/>
  <c r="AM128" i="1"/>
  <c r="AK128" i="1"/>
  <c r="AJ128" i="1"/>
  <c r="AH128" i="1"/>
  <c r="Z128" i="1"/>
  <c r="Y128" i="1"/>
  <c r="X128" i="1"/>
  <c r="Q128" i="1"/>
  <c r="AN127" i="1"/>
  <c r="AM127" i="1"/>
  <c r="AK127" i="1"/>
  <c r="AJ127" i="1"/>
  <c r="AH127" i="1" s="1"/>
  <c r="Z127" i="1"/>
  <c r="Y127" i="1"/>
  <c r="X127" i="1" s="1"/>
  <c r="Q127" i="1"/>
  <c r="K127" i="1"/>
  <c r="AN126" i="1"/>
  <c r="AM126" i="1"/>
  <c r="AL126" i="1"/>
  <c r="AK126" i="1"/>
  <c r="AJ126" i="1"/>
  <c r="AI126" i="1"/>
  <c r="AH126" i="1"/>
  <c r="K126" i="1" s="1"/>
  <c r="Z126" i="1"/>
  <c r="Y126" i="1"/>
  <c r="X126" i="1" s="1"/>
  <c r="T126" i="1"/>
  <c r="Q126" i="1"/>
  <c r="O126" i="1"/>
  <c r="L126" i="1"/>
  <c r="AN125" i="1"/>
  <c r="AM125" i="1"/>
  <c r="AK125" i="1"/>
  <c r="AL125" i="1" s="1"/>
  <c r="AJ125" i="1"/>
  <c r="AH125" i="1" s="1"/>
  <c r="Z125" i="1"/>
  <c r="X125" i="1" s="1"/>
  <c r="Y125" i="1"/>
  <c r="Q125" i="1"/>
  <c r="O125" i="1"/>
  <c r="J125" i="1"/>
  <c r="I125" i="1" s="1"/>
  <c r="AN124" i="1"/>
  <c r="AM124" i="1"/>
  <c r="AK124" i="1"/>
  <c r="AL124" i="1" s="1"/>
  <c r="AJ124" i="1"/>
  <c r="AH124" i="1"/>
  <c r="Z124" i="1"/>
  <c r="Y124" i="1"/>
  <c r="X124" i="1"/>
  <c r="T124" i="1"/>
  <c r="Q124" i="1"/>
  <c r="AN123" i="1"/>
  <c r="AM123" i="1"/>
  <c r="AK123" i="1"/>
  <c r="AJ123" i="1"/>
  <c r="AH123" i="1" s="1"/>
  <c r="AI123" i="1"/>
  <c r="Z123" i="1"/>
  <c r="Y123" i="1"/>
  <c r="Q123" i="1"/>
  <c r="J123" i="1"/>
  <c r="I123" i="1" s="1"/>
  <c r="AN122" i="1"/>
  <c r="AM122" i="1"/>
  <c r="AL122" i="1"/>
  <c r="AK122" i="1"/>
  <c r="AJ122" i="1"/>
  <c r="AH122" i="1"/>
  <c r="O122" i="1" s="1"/>
  <c r="Z122" i="1"/>
  <c r="Y122" i="1"/>
  <c r="X122" i="1" s="1"/>
  <c r="T122" i="1"/>
  <c r="Q122" i="1"/>
  <c r="L122" i="1"/>
  <c r="AN121" i="1"/>
  <c r="AM121" i="1"/>
  <c r="AK121" i="1"/>
  <c r="AJ121" i="1"/>
  <c r="AH121" i="1" s="1"/>
  <c r="Z121" i="1"/>
  <c r="Y121" i="1"/>
  <c r="Q121" i="1"/>
  <c r="O121" i="1"/>
  <c r="K121" i="1"/>
  <c r="J121" i="1"/>
  <c r="I121" i="1" s="1"/>
  <c r="AB121" i="1" s="1"/>
  <c r="AN120" i="1"/>
  <c r="AM120" i="1"/>
  <c r="AK120" i="1"/>
  <c r="AL120" i="1" s="1"/>
  <c r="AJ120" i="1"/>
  <c r="AI120" i="1"/>
  <c r="AH120" i="1"/>
  <c r="Z120" i="1"/>
  <c r="Y120" i="1"/>
  <c r="X120" i="1" s="1"/>
  <c r="Q120" i="1"/>
  <c r="L120" i="1"/>
  <c r="K120" i="1"/>
  <c r="AN119" i="1"/>
  <c r="AM119" i="1"/>
  <c r="AK119" i="1"/>
  <c r="AJ119" i="1"/>
  <c r="AH119" i="1" s="1"/>
  <c r="L119" i="1" s="1"/>
  <c r="Z119" i="1"/>
  <c r="Y119" i="1"/>
  <c r="X119" i="1" s="1"/>
  <c r="Q119" i="1"/>
  <c r="O119" i="1"/>
  <c r="J119" i="1"/>
  <c r="I119" i="1" s="1"/>
  <c r="AN118" i="1"/>
  <c r="AM118" i="1"/>
  <c r="AL118" i="1" s="1"/>
  <c r="AK118" i="1"/>
  <c r="AJ118" i="1"/>
  <c r="AH118" i="1"/>
  <c r="Z118" i="1"/>
  <c r="Y118" i="1"/>
  <c r="X118" i="1" s="1"/>
  <c r="T118" i="1"/>
  <c r="Q118" i="1"/>
  <c r="AN117" i="1"/>
  <c r="AM117" i="1"/>
  <c r="AK117" i="1"/>
  <c r="AJ117" i="1"/>
  <c r="AH117" i="1" s="1"/>
  <c r="J117" i="1" s="1"/>
  <c r="I117" i="1" s="1"/>
  <c r="Z117" i="1"/>
  <c r="Y117" i="1"/>
  <c r="Q117" i="1"/>
  <c r="O117" i="1"/>
  <c r="K117" i="1"/>
  <c r="AN116" i="1"/>
  <c r="AM116" i="1"/>
  <c r="AK116" i="1"/>
  <c r="AJ116" i="1"/>
  <c r="AH116" i="1"/>
  <c r="Z116" i="1"/>
  <c r="Y116" i="1"/>
  <c r="X116" i="1" s="1"/>
  <c r="Q116" i="1"/>
  <c r="L116" i="1"/>
  <c r="K116" i="1"/>
  <c r="AN115" i="1"/>
  <c r="AM115" i="1"/>
  <c r="AK115" i="1"/>
  <c r="AJ115" i="1"/>
  <c r="AH115" i="1" s="1"/>
  <c r="L115" i="1" s="1"/>
  <c r="AI115" i="1"/>
  <c r="Z115" i="1"/>
  <c r="Y115" i="1"/>
  <c r="Q115" i="1"/>
  <c r="O115" i="1"/>
  <c r="K115" i="1"/>
  <c r="J115" i="1"/>
  <c r="I115" i="1" s="1"/>
  <c r="AB115" i="1" s="1"/>
  <c r="AN114" i="1"/>
  <c r="AM114" i="1"/>
  <c r="AL114" i="1" s="1"/>
  <c r="AK114" i="1"/>
  <c r="AJ114" i="1"/>
  <c r="AH114" i="1"/>
  <c r="L114" i="1" s="1"/>
  <c r="Z114" i="1"/>
  <c r="Y114" i="1"/>
  <c r="X114" i="1" s="1"/>
  <c r="T114" i="1"/>
  <c r="Q114" i="1"/>
  <c r="AN113" i="1"/>
  <c r="AM113" i="1"/>
  <c r="AK113" i="1"/>
  <c r="AL113" i="1" s="1"/>
  <c r="AJ113" i="1"/>
  <c r="AH113" i="1" s="1"/>
  <c r="AI113" i="1" s="1"/>
  <c r="AB113" i="1"/>
  <c r="Z113" i="1"/>
  <c r="Y113" i="1"/>
  <c r="X113" i="1" s="1"/>
  <c r="Q113" i="1"/>
  <c r="O113" i="1"/>
  <c r="J113" i="1"/>
  <c r="I113" i="1" s="1"/>
  <c r="AN112" i="1"/>
  <c r="AM112" i="1"/>
  <c r="AK112" i="1"/>
  <c r="T112" i="1" s="1"/>
  <c r="AJ112" i="1"/>
  <c r="AH112" i="1"/>
  <c r="Z112" i="1"/>
  <c r="X112" i="1" s="1"/>
  <c r="Y112" i="1"/>
  <c r="Q112" i="1"/>
  <c r="O112" i="1"/>
  <c r="AN111" i="1"/>
  <c r="AM111" i="1"/>
  <c r="AL111" i="1" s="1"/>
  <c r="AK111" i="1"/>
  <c r="AJ111" i="1"/>
  <c r="AH111" i="1"/>
  <c r="L111" i="1" s="1"/>
  <c r="Z111" i="1"/>
  <c r="Y111" i="1"/>
  <c r="X111" i="1"/>
  <c r="T111" i="1"/>
  <c r="Q111" i="1"/>
  <c r="AN110" i="1"/>
  <c r="AM110" i="1"/>
  <c r="AK110" i="1"/>
  <c r="AJ110" i="1"/>
  <c r="AH110" i="1" s="1"/>
  <c r="Z110" i="1"/>
  <c r="X110" i="1" s="1"/>
  <c r="Y110" i="1"/>
  <c r="Q110" i="1"/>
  <c r="K110" i="1"/>
  <c r="AN109" i="1"/>
  <c r="AM109" i="1"/>
  <c r="AL109" i="1"/>
  <c r="AK109" i="1"/>
  <c r="AJ109" i="1"/>
  <c r="AI109" i="1"/>
  <c r="AH109" i="1"/>
  <c r="O109" i="1" s="1"/>
  <c r="Z109" i="1"/>
  <c r="Y109" i="1"/>
  <c r="X109" i="1" s="1"/>
  <c r="T109" i="1"/>
  <c r="Q109" i="1"/>
  <c r="L109" i="1"/>
  <c r="AN108" i="1"/>
  <c r="T108" i="1" s="1"/>
  <c r="AM108" i="1"/>
  <c r="AL108" i="1"/>
  <c r="AK108" i="1"/>
  <c r="AJ108" i="1"/>
  <c r="AH108" i="1" s="1"/>
  <c r="Z108" i="1"/>
  <c r="Y108" i="1"/>
  <c r="X108" i="1" s="1"/>
  <c r="Q108" i="1"/>
  <c r="O108" i="1"/>
  <c r="AN107" i="1"/>
  <c r="AM107" i="1"/>
  <c r="AL107" i="1" s="1"/>
  <c r="AK107" i="1"/>
  <c r="AJ107" i="1"/>
  <c r="AH107" i="1"/>
  <c r="L107" i="1" s="1"/>
  <c r="Z107" i="1"/>
  <c r="Y107" i="1"/>
  <c r="X107" i="1"/>
  <c r="T107" i="1"/>
  <c r="Q107" i="1"/>
  <c r="AN106" i="1"/>
  <c r="AM106" i="1"/>
  <c r="AK106" i="1"/>
  <c r="AJ106" i="1"/>
  <c r="AH106" i="1" s="1"/>
  <c r="Z106" i="1"/>
  <c r="X106" i="1" s="1"/>
  <c r="Y106" i="1"/>
  <c r="Q106" i="1"/>
  <c r="AN105" i="1"/>
  <c r="AM105" i="1"/>
  <c r="AL105" i="1"/>
  <c r="AK105" i="1"/>
  <c r="AJ105" i="1"/>
  <c r="AI105" i="1"/>
  <c r="AH105" i="1"/>
  <c r="O105" i="1" s="1"/>
  <c r="Z105" i="1"/>
  <c r="Y105" i="1"/>
  <c r="X105" i="1" s="1"/>
  <c r="T105" i="1"/>
  <c r="Q105" i="1"/>
  <c r="L105" i="1"/>
  <c r="AN104" i="1"/>
  <c r="T104" i="1" s="1"/>
  <c r="AM104" i="1"/>
  <c r="AL104" i="1"/>
  <c r="AK104" i="1"/>
  <c r="AJ104" i="1"/>
  <c r="AH104" i="1" s="1"/>
  <c r="Z104" i="1"/>
  <c r="X104" i="1" s="1"/>
  <c r="Y104" i="1"/>
  <c r="Q104" i="1"/>
  <c r="AN103" i="1"/>
  <c r="AM103" i="1"/>
  <c r="AL103" i="1" s="1"/>
  <c r="AK103" i="1"/>
  <c r="AJ103" i="1"/>
  <c r="AH103" i="1"/>
  <c r="L103" i="1" s="1"/>
  <c r="Z103" i="1"/>
  <c r="Y103" i="1"/>
  <c r="X103" i="1"/>
  <c r="T103" i="1"/>
  <c r="Q103" i="1"/>
  <c r="AN102" i="1"/>
  <c r="AM102" i="1"/>
  <c r="AK102" i="1"/>
  <c r="AJ102" i="1"/>
  <c r="AH102" i="1" s="1"/>
  <c r="Z102" i="1"/>
  <c r="X102" i="1" s="1"/>
  <c r="Y102" i="1"/>
  <c r="Q102" i="1"/>
  <c r="O102" i="1"/>
  <c r="AN101" i="1"/>
  <c r="AM101" i="1"/>
  <c r="AL101" i="1" s="1"/>
  <c r="AK101" i="1"/>
  <c r="AJ101" i="1"/>
  <c r="AI101" i="1"/>
  <c r="AH101" i="1"/>
  <c r="O101" i="1" s="1"/>
  <c r="Z101" i="1"/>
  <c r="Y101" i="1"/>
  <c r="X101" i="1" s="1"/>
  <c r="T101" i="1"/>
  <c r="Q101" i="1"/>
  <c r="L101" i="1"/>
  <c r="AN100" i="1"/>
  <c r="AM100" i="1"/>
  <c r="AK100" i="1"/>
  <c r="AJ100" i="1"/>
  <c r="AH100" i="1" s="1"/>
  <c r="K100" i="1" s="1"/>
  <c r="Z100" i="1"/>
  <c r="X100" i="1" s="1"/>
  <c r="Y100" i="1"/>
  <c r="Q100" i="1"/>
  <c r="O100" i="1"/>
  <c r="AN99" i="1"/>
  <c r="AM99" i="1"/>
  <c r="AL99" i="1" s="1"/>
  <c r="AK99" i="1"/>
  <c r="AJ99" i="1"/>
  <c r="AI99" i="1"/>
  <c r="AH99" i="1"/>
  <c r="L99" i="1" s="1"/>
  <c r="Z99" i="1"/>
  <c r="Y99" i="1"/>
  <c r="X99" i="1" s="1"/>
  <c r="T99" i="1"/>
  <c r="Q99" i="1"/>
  <c r="AN98" i="1"/>
  <c r="AM98" i="1"/>
  <c r="AK98" i="1"/>
  <c r="AJ98" i="1"/>
  <c r="AH98" i="1" s="1"/>
  <c r="Z98" i="1"/>
  <c r="X98" i="1" s="1"/>
  <c r="Y98" i="1"/>
  <c r="Q98" i="1"/>
  <c r="O98" i="1"/>
  <c r="K98" i="1"/>
  <c r="AN97" i="1"/>
  <c r="AM97" i="1"/>
  <c r="AL97" i="1" s="1"/>
  <c r="AK97" i="1"/>
  <c r="AJ97" i="1"/>
  <c r="AI97" i="1"/>
  <c r="AH97" i="1"/>
  <c r="O97" i="1" s="1"/>
  <c r="Z97" i="1"/>
  <c r="Y97" i="1"/>
  <c r="X97" i="1" s="1"/>
  <c r="T97" i="1"/>
  <c r="Q97" i="1"/>
  <c r="L97" i="1"/>
  <c r="AN96" i="1"/>
  <c r="AM96" i="1"/>
  <c r="AK96" i="1"/>
  <c r="AJ96" i="1"/>
  <c r="AH96" i="1" s="1"/>
  <c r="Z96" i="1"/>
  <c r="X96" i="1" s="1"/>
  <c r="Y96" i="1"/>
  <c r="Q96" i="1"/>
  <c r="O96" i="1"/>
  <c r="AN95" i="1"/>
  <c r="AM95" i="1"/>
  <c r="AL95" i="1" s="1"/>
  <c r="AK95" i="1"/>
  <c r="AJ95" i="1"/>
  <c r="AI95" i="1"/>
  <c r="AH95" i="1"/>
  <c r="L95" i="1" s="1"/>
  <c r="Z95" i="1"/>
  <c r="Y95" i="1"/>
  <c r="X95" i="1" s="1"/>
  <c r="T95" i="1"/>
  <c r="Q95" i="1"/>
  <c r="AN94" i="1"/>
  <c r="AM94" i="1"/>
  <c r="AK94" i="1"/>
  <c r="AJ94" i="1"/>
  <c r="AH94" i="1" s="1"/>
  <c r="K94" i="1" s="1"/>
  <c r="Z94" i="1"/>
  <c r="X94" i="1" s="1"/>
  <c r="Y94" i="1"/>
  <c r="Q94" i="1"/>
  <c r="O94" i="1"/>
  <c r="AN93" i="1"/>
  <c r="AM93" i="1"/>
  <c r="AL93" i="1" s="1"/>
  <c r="AK93" i="1"/>
  <c r="AJ93" i="1"/>
  <c r="AI93" i="1"/>
  <c r="AH93" i="1"/>
  <c r="O93" i="1" s="1"/>
  <c r="Z93" i="1"/>
  <c r="Y93" i="1"/>
  <c r="X93" i="1" s="1"/>
  <c r="T93" i="1"/>
  <c r="Q93" i="1"/>
  <c r="L93" i="1"/>
  <c r="AN92" i="1"/>
  <c r="AM92" i="1"/>
  <c r="AK92" i="1"/>
  <c r="AJ92" i="1"/>
  <c r="AH92" i="1" s="1"/>
  <c r="K92" i="1" s="1"/>
  <c r="Z92" i="1"/>
  <c r="X92" i="1" s="1"/>
  <c r="Y92" i="1"/>
  <c r="Q92" i="1"/>
  <c r="O92" i="1"/>
  <c r="AN91" i="1"/>
  <c r="AM91" i="1"/>
  <c r="AL91" i="1" s="1"/>
  <c r="AK91" i="1"/>
  <c r="AJ91" i="1"/>
  <c r="AH91" i="1"/>
  <c r="Z91" i="1"/>
  <c r="Y91" i="1"/>
  <c r="X91" i="1" s="1"/>
  <c r="T91" i="1"/>
  <c r="Q91" i="1"/>
  <c r="AN90" i="1"/>
  <c r="AM90" i="1"/>
  <c r="AK90" i="1"/>
  <c r="AJ90" i="1"/>
  <c r="AH90" i="1" s="1"/>
  <c r="K90" i="1" s="1"/>
  <c r="Z90" i="1"/>
  <c r="X90" i="1" s="1"/>
  <c r="Y90" i="1"/>
  <c r="Q90" i="1"/>
  <c r="O90" i="1"/>
  <c r="AN89" i="1"/>
  <c r="AM89" i="1"/>
  <c r="AL89" i="1" s="1"/>
  <c r="AK89" i="1"/>
  <c r="AJ89" i="1"/>
  <c r="AI89" i="1"/>
  <c r="AH89" i="1"/>
  <c r="O89" i="1" s="1"/>
  <c r="Z89" i="1"/>
  <c r="Y89" i="1"/>
  <c r="X89" i="1" s="1"/>
  <c r="T89" i="1"/>
  <c r="Q89" i="1"/>
  <c r="L89" i="1"/>
  <c r="AN88" i="1"/>
  <c r="AM88" i="1"/>
  <c r="AK88" i="1"/>
  <c r="AJ88" i="1"/>
  <c r="AH88" i="1" s="1"/>
  <c r="K88" i="1" s="1"/>
  <c r="Z88" i="1"/>
  <c r="X88" i="1" s="1"/>
  <c r="Y88" i="1"/>
  <c r="Q88" i="1"/>
  <c r="O88" i="1"/>
  <c r="AN87" i="1"/>
  <c r="AM87" i="1"/>
  <c r="AL87" i="1" s="1"/>
  <c r="AK87" i="1"/>
  <c r="AJ87" i="1"/>
  <c r="AH87" i="1"/>
  <c r="Z87" i="1"/>
  <c r="Y87" i="1"/>
  <c r="X87" i="1" s="1"/>
  <c r="T87" i="1"/>
  <c r="Q87" i="1"/>
  <c r="AN86" i="1"/>
  <c r="AM86" i="1"/>
  <c r="AK86" i="1"/>
  <c r="AJ86" i="1"/>
  <c r="AH86" i="1" s="1"/>
  <c r="K86" i="1" s="1"/>
  <c r="Z86" i="1"/>
  <c r="X86" i="1" s="1"/>
  <c r="Y86" i="1"/>
  <c r="Q86" i="1"/>
  <c r="O86" i="1"/>
  <c r="AN85" i="1"/>
  <c r="AM85" i="1"/>
  <c r="AL85" i="1" s="1"/>
  <c r="AK85" i="1"/>
  <c r="AJ85" i="1"/>
  <c r="AI85" i="1"/>
  <c r="AH85" i="1"/>
  <c r="O85" i="1" s="1"/>
  <c r="Z85" i="1"/>
  <c r="Y85" i="1"/>
  <c r="X85" i="1" s="1"/>
  <c r="T85" i="1"/>
  <c r="Q85" i="1"/>
  <c r="L85" i="1"/>
  <c r="AN84" i="1"/>
  <c r="AM84" i="1"/>
  <c r="AK84" i="1"/>
  <c r="AJ84" i="1"/>
  <c r="AH84" i="1" s="1"/>
  <c r="K84" i="1" s="1"/>
  <c r="Z84" i="1"/>
  <c r="X84" i="1" s="1"/>
  <c r="Y84" i="1"/>
  <c r="Q84" i="1"/>
  <c r="O84" i="1"/>
  <c r="AN83" i="1"/>
  <c r="AM83" i="1"/>
  <c r="AL83" i="1" s="1"/>
  <c r="AK83" i="1"/>
  <c r="AJ83" i="1"/>
  <c r="AH83" i="1"/>
  <c r="Z83" i="1"/>
  <c r="Y83" i="1"/>
  <c r="X83" i="1" s="1"/>
  <c r="T83" i="1"/>
  <c r="Q83" i="1"/>
  <c r="AN82" i="1"/>
  <c r="AM82" i="1"/>
  <c r="AK82" i="1"/>
  <c r="AJ82" i="1"/>
  <c r="AH82" i="1" s="1"/>
  <c r="K82" i="1" s="1"/>
  <c r="Z82" i="1"/>
  <c r="Y82" i="1"/>
  <c r="X82" i="1" s="1"/>
  <c r="Q82" i="1"/>
  <c r="O82" i="1"/>
  <c r="AN81" i="1"/>
  <c r="AM81" i="1"/>
  <c r="AL81" i="1" s="1"/>
  <c r="AK81" i="1"/>
  <c r="AJ81" i="1"/>
  <c r="AI81" i="1"/>
  <c r="AH81" i="1"/>
  <c r="O81" i="1" s="1"/>
  <c r="Z81" i="1"/>
  <c r="Y81" i="1"/>
  <c r="X81" i="1" s="1"/>
  <c r="T81" i="1"/>
  <c r="Q81" i="1"/>
  <c r="L81" i="1"/>
  <c r="AN80" i="1"/>
  <c r="AM80" i="1"/>
  <c r="AK80" i="1"/>
  <c r="AJ80" i="1"/>
  <c r="AH80" i="1" s="1"/>
  <c r="Z80" i="1"/>
  <c r="Y80" i="1"/>
  <c r="X80" i="1" s="1"/>
  <c r="Q80" i="1"/>
  <c r="O80" i="1"/>
  <c r="K80" i="1"/>
  <c r="J80" i="1"/>
  <c r="I80" i="1" s="1"/>
  <c r="AB80" i="1" s="1"/>
  <c r="AN79" i="1"/>
  <c r="AM79" i="1"/>
  <c r="AL79" i="1" s="1"/>
  <c r="AK79" i="1"/>
  <c r="AJ79" i="1"/>
  <c r="AH79" i="1"/>
  <c r="L79" i="1" s="1"/>
  <c r="Z79" i="1"/>
  <c r="Y79" i="1"/>
  <c r="X79" i="1"/>
  <c r="T79" i="1"/>
  <c r="Q79" i="1"/>
  <c r="AN78" i="1"/>
  <c r="AM78" i="1"/>
  <c r="AK78" i="1"/>
  <c r="AJ78" i="1"/>
  <c r="AH78" i="1" s="1"/>
  <c r="O78" i="1" s="1"/>
  <c r="Z78" i="1"/>
  <c r="Y78" i="1"/>
  <c r="X78" i="1" s="1"/>
  <c r="Q78" i="1"/>
  <c r="K78" i="1"/>
  <c r="J78" i="1"/>
  <c r="I78" i="1" s="1"/>
  <c r="AB78" i="1" s="1"/>
  <c r="AN77" i="1"/>
  <c r="AM77" i="1"/>
  <c r="AL77" i="1"/>
  <c r="AK77" i="1"/>
  <c r="AJ77" i="1"/>
  <c r="AH77" i="1"/>
  <c r="Z77" i="1"/>
  <c r="Y77" i="1"/>
  <c r="X77" i="1"/>
  <c r="T77" i="1"/>
  <c r="Q77" i="1"/>
  <c r="AN76" i="1"/>
  <c r="AM76" i="1"/>
  <c r="AK76" i="1"/>
  <c r="AJ76" i="1"/>
  <c r="AH76" i="1" s="1"/>
  <c r="Z76" i="1"/>
  <c r="Y76" i="1"/>
  <c r="X76" i="1" s="1"/>
  <c r="Q76" i="1"/>
  <c r="AN75" i="1"/>
  <c r="AM75" i="1"/>
  <c r="AL75" i="1" s="1"/>
  <c r="AK75" i="1"/>
  <c r="AJ75" i="1"/>
  <c r="AH75" i="1"/>
  <c r="Z75" i="1"/>
  <c r="Y75" i="1"/>
  <c r="X75" i="1" s="1"/>
  <c r="T75" i="1"/>
  <c r="Q75" i="1"/>
  <c r="L75" i="1"/>
  <c r="AN74" i="1"/>
  <c r="AM74" i="1"/>
  <c r="AK74" i="1"/>
  <c r="AJ74" i="1"/>
  <c r="AH74" i="1" s="1"/>
  <c r="Z74" i="1"/>
  <c r="Y74" i="1"/>
  <c r="Q74" i="1"/>
  <c r="AN73" i="1"/>
  <c r="AM73" i="1"/>
  <c r="AL73" i="1" s="1"/>
  <c r="AK73" i="1"/>
  <c r="AJ73" i="1"/>
  <c r="AI73" i="1"/>
  <c r="AH73" i="1"/>
  <c r="Z73" i="1"/>
  <c r="Y73" i="1"/>
  <c r="X73" i="1" s="1"/>
  <c r="T73" i="1"/>
  <c r="Q73" i="1"/>
  <c r="L73" i="1"/>
  <c r="AN72" i="1"/>
  <c r="AM72" i="1"/>
  <c r="AK72" i="1"/>
  <c r="AJ72" i="1"/>
  <c r="AH72" i="1" s="1"/>
  <c r="O72" i="1" s="1"/>
  <c r="Z72" i="1"/>
  <c r="Y72" i="1"/>
  <c r="X72" i="1" s="1"/>
  <c r="Q72" i="1"/>
  <c r="K72" i="1"/>
  <c r="J72" i="1"/>
  <c r="I72" i="1" s="1"/>
  <c r="AB72" i="1" s="1"/>
  <c r="AN71" i="1"/>
  <c r="AM71" i="1"/>
  <c r="AL71" i="1" s="1"/>
  <c r="AK71" i="1"/>
  <c r="AJ71" i="1"/>
  <c r="AI71" i="1"/>
  <c r="AH71" i="1"/>
  <c r="L71" i="1" s="1"/>
  <c r="Z71" i="1"/>
  <c r="Y71" i="1"/>
  <c r="X71" i="1"/>
  <c r="T71" i="1"/>
  <c r="Q71" i="1"/>
  <c r="K71" i="1"/>
  <c r="AN70" i="1"/>
  <c r="AM70" i="1"/>
  <c r="AK70" i="1"/>
  <c r="AJ70" i="1"/>
  <c r="AH70" i="1" s="1"/>
  <c r="Z70" i="1"/>
  <c r="Y70" i="1"/>
  <c r="Q70" i="1"/>
  <c r="AN69" i="1"/>
  <c r="AM69" i="1"/>
  <c r="AL69" i="1"/>
  <c r="AK69" i="1"/>
  <c r="AJ69" i="1"/>
  <c r="AH69" i="1"/>
  <c r="J69" i="1" s="1"/>
  <c r="I69" i="1" s="1"/>
  <c r="AB69" i="1"/>
  <c r="Z69" i="1"/>
  <c r="Y69" i="1"/>
  <c r="X69" i="1"/>
  <c r="T69" i="1"/>
  <c r="Q69" i="1"/>
  <c r="O69" i="1"/>
  <c r="K69" i="1"/>
  <c r="AN68" i="1"/>
  <c r="AM68" i="1"/>
  <c r="AK68" i="1"/>
  <c r="AJ68" i="1"/>
  <c r="AH68" i="1" s="1"/>
  <c r="AI68" i="1" s="1"/>
  <c r="Z68" i="1"/>
  <c r="Y68" i="1"/>
  <c r="Q68" i="1"/>
  <c r="O68" i="1"/>
  <c r="L68" i="1"/>
  <c r="K68" i="1"/>
  <c r="J68" i="1"/>
  <c r="I68" i="1"/>
  <c r="AB68" i="1" s="1"/>
  <c r="AN67" i="1"/>
  <c r="AM67" i="1"/>
  <c r="AK67" i="1"/>
  <c r="AJ67" i="1"/>
  <c r="AH67" i="1" s="1"/>
  <c r="Z67" i="1"/>
  <c r="X67" i="1" s="1"/>
  <c r="Y67" i="1"/>
  <c r="Q67" i="1"/>
  <c r="J67" i="1"/>
  <c r="I67" i="1" s="1"/>
  <c r="AB67" i="1" s="1"/>
  <c r="AN66" i="1"/>
  <c r="AM66" i="1"/>
  <c r="AK66" i="1"/>
  <c r="AJ66" i="1"/>
  <c r="AH66" i="1"/>
  <c r="Z66" i="1"/>
  <c r="Y66" i="1"/>
  <c r="X66" i="1"/>
  <c r="Q66" i="1"/>
  <c r="K66" i="1"/>
  <c r="AN65" i="1"/>
  <c r="T65" i="1" s="1"/>
  <c r="AM65" i="1"/>
  <c r="AL65" i="1" s="1"/>
  <c r="AK65" i="1"/>
  <c r="AJ65" i="1"/>
  <c r="AH65" i="1" s="1"/>
  <c r="AI65" i="1"/>
  <c r="Z65" i="1"/>
  <c r="Y65" i="1"/>
  <c r="X65" i="1" s="1"/>
  <c r="Q65" i="1"/>
  <c r="AN64" i="1"/>
  <c r="AM64" i="1"/>
  <c r="AL64" i="1"/>
  <c r="AK64" i="1"/>
  <c r="AJ64" i="1"/>
  <c r="AH64" i="1"/>
  <c r="K64" i="1" s="1"/>
  <c r="Z64" i="1"/>
  <c r="Y64" i="1"/>
  <c r="X64" i="1"/>
  <c r="T64" i="1"/>
  <c r="Q64" i="1"/>
  <c r="O64" i="1"/>
  <c r="L64" i="1"/>
  <c r="AN63" i="1"/>
  <c r="AM63" i="1"/>
  <c r="AK63" i="1"/>
  <c r="AJ63" i="1"/>
  <c r="AH63" i="1" s="1"/>
  <c r="Z63" i="1"/>
  <c r="Y63" i="1"/>
  <c r="X63" i="1" s="1"/>
  <c r="Q63" i="1"/>
  <c r="J63" i="1"/>
  <c r="I63" i="1" s="1"/>
  <c r="AB63" i="1" s="1"/>
  <c r="AN62" i="1"/>
  <c r="AM62" i="1"/>
  <c r="AK62" i="1"/>
  <c r="AJ62" i="1"/>
  <c r="AH62" i="1"/>
  <c r="Z62" i="1"/>
  <c r="Y62" i="1"/>
  <c r="X62" i="1"/>
  <c r="Q62" i="1"/>
  <c r="K62" i="1"/>
  <c r="AN61" i="1"/>
  <c r="T61" i="1" s="1"/>
  <c r="AM61" i="1"/>
  <c r="AL61" i="1" s="1"/>
  <c r="AK61" i="1"/>
  <c r="AJ61" i="1"/>
  <c r="AH61" i="1" s="1"/>
  <c r="Z61" i="1"/>
  <c r="Y61" i="1"/>
  <c r="X61" i="1" s="1"/>
  <c r="Q61" i="1"/>
  <c r="AN60" i="1"/>
  <c r="AM60" i="1"/>
  <c r="AL60" i="1"/>
  <c r="AK60" i="1"/>
  <c r="AJ60" i="1"/>
  <c r="AH60" i="1"/>
  <c r="J60" i="1" s="1"/>
  <c r="I60" i="1" s="1"/>
  <c r="AB60" i="1"/>
  <c r="Z60" i="1"/>
  <c r="Y60" i="1"/>
  <c r="X60" i="1"/>
  <c r="T60" i="1"/>
  <c r="U60" i="1" s="1"/>
  <c r="V60" i="1" s="1"/>
  <c r="AD60" i="1" s="1"/>
  <c r="Q60" i="1"/>
  <c r="O60" i="1"/>
  <c r="L60" i="1"/>
  <c r="K60" i="1"/>
  <c r="AN59" i="1"/>
  <c r="AM59" i="1"/>
  <c r="AK59" i="1"/>
  <c r="AL59" i="1" s="1"/>
  <c r="AJ59" i="1"/>
  <c r="AH59" i="1" s="1"/>
  <c r="Z59" i="1"/>
  <c r="Y59" i="1"/>
  <c r="X59" i="1" s="1"/>
  <c r="Q59" i="1"/>
  <c r="AN58" i="1"/>
  <c r="AM58" i="1"/>
  <c r="AK58" i="1"/>
  <c r="AJ58" i="1"/>
  <c r="AH58" i="1"/>
  <c r="Z58" i="1"/>
  <c r="Y58" i="1"/>
  <c r="X58" i="1"/>
  <c r="Q58" i="1"/>
  <c r="K58" i="1"/>
  <c r="AN57" i="1"/>
  <c r="AM57" i="1"/>
  <c r="AK57" i="1"/>
  <c r="AL57" i="1" s="1"/>
  <c r="AJ57" i="1"/>
  <c r="AH57" i="1" s="1"/>
  <c r="AI57" i="1"/>
  <c r="Z57" i="1"/>
  <c r="Y57" i="1"/>
  <c r="X57" i="1" s="1"/>
  <c r="Q57" i="1"/>
  <c r="AN56" i="1"/>
  <c r="AM56" i="1"/>
  <c r="AL56" i="1"/>
  <c r="AK56" i="1"/>
  <c r="AJ56" i="1"/>
  <c r="AH56" i="1"/>
  <c r="J56" i="1" s="1"/>
  <c r="I56" i="1" s="1"/>
  <c r="AB56" i="1" s="1"/>
  <c r="Z56" i="1"/>
  <c r="Y56" i="1"/>
  <c r="X56" i="1"/>
  <c r="T56" i="1"/>
  <c r="Q56" i="1"/>
  <c r="O56" i="1"/>
  <c r="L56" i="1"/>
  <c r="K56" i="1"/>
  <c r="AN55" i="1"/>
  <c r="AM55" i="1"/>
  <c r="AK55" i="1"/>
  <c r="AL55" i="1" s="1"/>
  <c r="AJ55" i="1"/>
  <c r="AH55" i="1" s="1"/>
  <c r="Z55" i="1"/>
  <c r="Y55" i="1"/>
  <c r="Q55" i="1"/>
  <c r="J55" i="1"/>
  <c r="I55" i="1" s="1"/>
  <c r="AB55" i="1" s="1"/>
  <c r="AN54" i="1"/>
  <c r="AM54" i="1"/>
  <c r="AK54" i="1"/>
  <c r="AJ54" i="1"/>
  <c r="AH54" i="1"/>
  <c r="Z54" i="1"/>
  <c r="Y54" i="1"/>
  <c r="X54" i="1"/>
  <c r="Q54" i="1"/>
  <c r="AN53" i="1"/>
  <c r="AM53" i="1"/>
  <c r="AK53" i="1"/>
  <c r="AL53" i="1" s="1"/>
  <c r="AJ53" i="1"/>
  <c r="AH53" i="1" s="1"/>
  <c r="AI53" i="1"/>
  <c r="Z53" i="1"/>
  <c r="Y53" i="1"/>
  <c r="X53" i="1" s="1"/>
  <c r="Q53" i="1"/>
  <c r="AN52" i="1"/>
  <c r="AM52" i="1"/>
  <c r="AL52" i="1"/>
  <c r="AK52" i="1"/>
  <c r="AJ52" i="1"/>
  <c r="AH52" i="1"/>
  <c r="J52" i="1" s="1"/>
  <c r="I52" i="1" s="1"/>
  <c r="AB52" i="1"/>
  <c r="Z52" i="1"/>
  <c r="Y52" i="1"/>
  <c r="X52" i="1"/>
  <c r="T52" i="1"/>
  <c r="Q52" i="1"/>
  <c r="O52" i="1"/>
  <c r="L52" i="1"/>
  <c r="K52" i="1"/>
  <c r="AN51" i="1"/>
  <c r="AM51" i="1"/>
  <c r="AK51" i="1"/>
  <c r="AL51" i="1" s="1"/>
  <c r="AJ51" i="1"/>
  <c r="AH51" i="1" s="1"/>
  <c r="Z51" i="1"/>
  <c r="Y51" i="1"/>
  <c r="X51" i="1" s="1"/>
  <c r="Q51" i="1"/>
  <c r="J51" i="1"/>
  <c r="I51" i="1" s="1"/>
  <c r="AB51" i="1" s="1"/>
  <c r="AN50" i="1"/>
  <c r="AM50" i="1"/>
  <c r="AK50" i="1"/>
  <c r="AJ50" i="1"/>
  <c r="AH50" i="1"/>
  <c r="Z50" i="1"/>
  <c r="Y50" i="1"/>
  <c r="X50" i="1"/>
  <c r="Q50" i="1"/>
  <c r="K50" i="1"/>
  <c r="AN49" i="1"/>
  <c r="AM49" i="1"/>
  <c r="AK49" i="1"/>
  <c r="AL49" i="1" s="1"/>
  <c r="AJ49" i="1"/>
  <c r="AH49" i="1" s="1"/>
  <c r="AI49" i="1" s="1"/>
  <c r="Z49" i="1"/>
  <c r="Y49" i="1"/>
  <c r="X49" i="1" s="1"/>
  <c r="Q49" i="1"/>
  <c r="AN48" i="1"/>
  <c r="AM48" i="1"/>
  <c r="AL48" i="1"/>
  <c r="AK48" i="1"/>
  <c r="AJ48" i="1"/>
  <c r="AH48" i="1"/>
  <c r="J48" i="1" s="1"/>
  <c r="I48" i="1" s="1"/>
  <c r="Z48" i="1"/>
  <c r="Y48" i="1"/>
  <c r="X48" i="1"/>
  <c r="T48" i="1"/>
  <c r="Q48" i="1"/>
  <c r="O48" i="1"/>
  <c r="L48" i="1"/>
  <c r="K48" i="1"/>
  <c r="AN47" i="1"/>
  <c r="AM47" i="1"/>
  <c r="AK47" i="1"/>
  <c r="AJ47" i="1"/>
  <c r="AH47" i="1" s="1"/>
  <c r="Z47" i="1"/>
  <c r="Y47" i="1"/>
  <c r="X47" i="1" s="1"/>
  <c r="Q47" i="1"/>
  <c r="J47" i="1"/>
  <c r="I47" i="1" s="1"/>
  <c r="AB47" i="1" s="1"/>
  <c r="AN46" i="1"/>
  <c r="AM46" i="1"/>
  <c r="AK46" i="1"/>
  <c r="AJ46" i="1"/>
  <c r="AH46" i="1"/>
  <c r="Z46" i="1"/>
  <c r="Y46" i="1"/>
  <c r="X46" i="1"/>
  <c r="Q46" i="1"/>
  <c r="K46" i="1"/>
  <c r="AN45" i="1"/>
  <c r="AM45" i="1"/>
  <c r="AK45" i="1"/>
  <c r="AL45" i="1" s="1"/>
  <c r="AJ45" i="1"/>
  <c r="AH45" i="1" s="1"/>
  <c r="Z45" i="1"/>
  <c r="Y45" i="1"/>
  <c r="X45" i="1" s="1"/>
  <c r="Q45" i="1"/>
  <c r="AN44" i="1"/>
  <c r="AM44" i="1"/>
  <c r="AL44" i="1"/>
  <c r="AK44" i="1"/>
  <c r="AJ44" i="1"/>
  <c r="AH44" i="1"/>
  <c r="J44" i="1" s="1"/>
  <c r="I44" i="1" s="1"/>
  <c r="AB44" i="1"/>
  <c r="Z44" i="1"/>
  <c r="Y44" i="1"/>
  <c r="X44" i="1"/>
  <c r="T44" i="1"/>
  <c r="U44" i="1" s="1"/>
  <c r="V44" i="1" s="1"/>
  <c r="AD44" i="1" s="1"/>
  <c r="Q44" i="1"/>
  <c r="O44" i="1"/>
  <c r="L44" i="1"/>
  <c r="K44" i="1"/>
  <c r="AN43" i="1"/>
  <c r="AM43" i="1"/>
  <c r="AK43" i="1"/>
  <c r="AL43" i="1" s="1"/>
  <c r="AJ43" i="1"/>
  <c r="AH43" i="1" s="1"/>
  <c r="AI43" i="1"/>
  <c r="Z43" i="1"/>
  <c r="Y43" i="1"/>
  <c r="X43" i="1" s="1"/>
  <c r="Q43" i="1"/>
  <c r="J43" i="1"/>
  <c r="I43" i="1"/>
  <c r="AB43" i="1" s="1"/>
  <c r="AN42" i="1"/>
  <c r="AM42" i="1"/>
  <c r="AK42" i="1"/>
  <c r="AJ42" i="1"/>
  <c r="AH42" i="1"/>
  <c r="O42" i="1" s="1"/>
  <c r="Z42" i="1"/>
  <c r="Y42" i="1"/>
  <c r="X42" i="1"/>
  <c r="Q42" i="1"/>
  <c r="K42" i="1"/>
  <c r="AN41" i="1"/>
  <c r="AM41" i="1"/>
  <c r="AK41" i="1"/>
  <c r="AJ41" i="1"/>
  <c r="AH41" i="1" s="1"/>
  <c r="AI41" i="1"/>
  <c r="Z41" i="1"/>
  <c r="Y41" i="1"/>
  <c r="X41" i="1" s="1"/>
  <c r="Q41" i="1"/>
  <c r="AN40" i="1"/>
  <c r="AM40" i="1"/>
  <c r="AL40" i="1"/>
  <c r="AK40" i="1"/>
  <c r="AJ40" i="1"/>
  <c r="AI40" i="1"/>
  <c r="AH40" i="1"/>
  <c r="J40" i="1" s="1"/>
  <c r="AB40" i="1"/>
  <c r="Z40" i="1"/>
  <c r="Y40" i="1"/>
  <c r="X40" i="1"/>
  <c r="T40" i="1"/>
  <c r="Q40" i="1"/>
  <c r="O40" i="1"/>
  <c r="L40" i="1"/>
  <c r="K40" i="1"/>
  <c r="I40" i="1"/>
  <c r="AN39" i="1"/>
  <c r="AM39" i="1"/>
  <c r="AK39" i="1"/>
  <c r="AL39" i="1" s="1"/>
  <c r="AJ39" i="1"/>
  <c r="AH39" i="1" s="1"/>
  <c r="AI39" i="1"/>
  <c r="Z39" i="1"/>
  <c r="Y39" i="1"/>
  <c r="X39" i="1" s="1"/>
  <c r="Q39" i="1"/>
  <c r="O39" i="1"/>
  <c r="J39" i="1"/>
  <c r="I39" i="1" s="1"/>
  <c r="AN38" i="1"/>
  <c r="AM38" i="1"/>
  <c r="AK38" i="1"/>
  <c r="T38" i="1" s="1"/>
  <c r="AJ38" i="1"/>
  <c r="AH38" i="1"/>
  <c r="Z38" i="1"/>
  <c r="Y38" i="1"/>
  <c r="X38" i="1"/>
  <c r="Q38" i="1"/>
  <c r="O38" i="1"/>
  <c r="L38" i="1"/>
  <c r="K38" i="1"/>
  <c r="AN37" i="1"/>
  <c r="AM37" i="1"/>
  <c r="AK37" i="1"/>
  <c r="AJ37" i="1"/>
  <c r="AH37" i="1" s="1"/>
  <c r="AI37" i="1"/>
  <c r="Z37" i="1"/>
  <c r="Y37" i="1"/>
  <c r="X37" i="1" s="1"/>
  <c r="Q37" i="1"/>
  <c r="AN36" i="1"/>
  <c r="AM36" i="1"/>
  <c r="AK36" i="1"/>
  <c r="T36" i="1" s="1"/>
  <c r="AJ36" i="1"/>
  <c r="AI36" i="1"/>
  <c r="AH36" i="1"/>
  <c r="AB36" i="1"/>
  <c r="Z36" i="1"/>
  <c r="Y36" i="1"/>
  <c r="X36" i="1" s="1"/>
  <c r="Q36" i="1"/>
  <c r="O36" i="1"/>
  <c r="L36" i="1"/>
  <c r="K36" i="1"/>
  <c r="J36" i="1"/>
  <c r="I36" i="1"/>
  <c r="AN35" i="1"/>
  <c r="AM35" i="1"/>
  <c r="AK35" i="1"/>
  <c r="AL35" i="1" s="1"/>
  <c r="AJ35" i="1"/>
  <c r="AH35" i="1" s="1"/>
  <c r="Z35" i="1"/>
  <c r="Y35" i="1"/>
  <c r="X35" i="1"/>
  <c r="Q35" i="1"/>
  <c r="AN34" i="1"/>
  <c r="AM34" i="1"/>
  <c r="AK34" i="1"/>
  <c r="AL34" i="1" s="1"/>
  <c r="AJ34" i="1"/>
  <c r="AH34" i="1"/>
  <c r="Z34" i="1"/>
  <c r="Y34" i="1"/>
  <c r="X34" i="1"/>
  <c r="T34" i="1"/>
  <c r="Q34" i="1"/>
  <c r="O34" i="1"/>
  <c r="L34" i="1"/>
  <c r="K34" i="1"/>
  <c r="AN33" i="1"/>
  <c r="AM33" i="1"/>
  <c r="AL33" i="1"/>
  <c r="AK33" i="1"/>
  <c r="AJ33" i="1"/>
  <c r="AH33" i="1" s="1"/>
  <c r="O33" i="1" s="1"/>
  <c r="Z33" i="1"/>
  <c r="Y33" i="1"/>
  <c r="T33" i="1"/>
  <c r="Q33" i="1"/>
  <c r="L33" i="1"/>
  <c r="J33" i="1"/>
  <c r="I33" i="1"/>
  <c r="AB33" i="1" s="1"/>
  <c r="AN32" i="1"/>
  <c r="AM32" i="1"/>
  <c r="AL32" i="1"/>
  <c r="AK32" i="1"/>
  <c r="AJ32" i="1"/>
  <c r="AH32" i="1"/>
  <c r="O32" i="1" s="1"/>
  <c r="Z32" i="1"/>
  <c r="X32" i="1" s="1"/>
  <c r="Y32" i="1"/>
  <c r="T32" i="1"/>
  <c r="Q32" i="1"/>
  <c r="J32" i="1"/>
  <c r="I32" i="1"/>
  <c r="AB32" i="1" s="1"/>
  <c r="AN31" i="1"/>
  <c r="AM31" i="1"/>
  <c r="AK31" i="1"/>
  <c r="AL31" i="1" s="1"/>
  <c r="AJ31" i="1"/>
  <c r="AH31" i="1" s="1"/>
  <c r="Z31" i="1"/>
  <c r="Y31" i="1"/>
  <c r="X31" i="1" s="1"/>
  <c r="Q31" i="1"/>
  <c r="AN30" i="1"/>
  <c r="AM30" i="1"/>
  <c r="AK30" i="1"/>
  <c r="T30" i="1" s="1"/>
  <c r="AJ30" i="1"/>
  <c r="AH30" i="1"/>
  <c r="Z30" i="1"/>
  <c r="Y30" i="1"/>
  <c r="X30" i="1"/>
  <c r="Q30" i="1"/>
  <c r="O30" i="1"/>
  <c r="L30" i="1"/>
  <c r="K30" i="1"/>
  <c r="AN29" i="1"/>
  <c r="T29" i="1" s="1"/>
  <c r="AM29" i="1"/>
  <c r="AL29" i="1"/>
  <c r="AK29" i="1"/>
  <c r="AJ29" i="1"/>
  <c r="AH29" i="1" s="1"/>
  <c r="L29" i="1" s="1"/>
  <c r="AI29" i="1"/>
  <c r="Z29" i="1"/>
  <c r="Y29" i="1"/>
  <c r="X29" i="1"/>
  <c r="Q29" i="1"/>
  <c r="O29" i="1"/>
  <c r="AN28" i="1"/>
  <c r="AM28" i="1"/>
  <c r="AK28" i="1"/>
  <c r="AL28" i="1" s="1"/>
  <c r="AJ28" i="1"/>
  <c r="AH28" i="1" s="1"/>
  <c r="Z28" i="1"/>
  <c r="Y28" i="1"/>
  <c r="X28" i="1" s="1"/>
  <c r="Q28" i="1"/>
  <c r="AN27" i="1"/>
  <c r="AM27" i="1"/>
  <c r="AL27" i="1"/>
  <c r="AK27" i="1"/>
  <c r="AJ27" i="1"/>
  <c r="AH27" i="1" s="1"/>
  <c r="Z27" i="1"/>
  <c r="Y27" i="1"/>
  <c r="X27" i="1" s="1"/>
  <c r="T27" i="1"/>
  <c r="Q27" i="1"/>
  <c r="AN26" i="1"/>
  <c r="AM26" i="1"/>
  <c r="AK26" i="1"/>
  <c r="AL26" i="1" s="1"/>
  <c r="AJ26" i="1"/>
  <c r="AH26" i="1" s="1"/>
  <c r="Z26" i="1"/>
  <c r="X26" i="1" s="1"/>
  <c r="Y26" i="1"/>
  <c r="Q26" i="1"/>
  <c r="AN25" i="1"/>
  <c r="AM25" i="1"/>
  <c r="AK25" i="1"/>
  <c r="AL25" i="1" s="1"/>
  <c r="AJ25" i="1"/>
  <c r="AH25" i="1"/>
  <c r="L25" i="1" s="1"/>
  <c r="Z25" i="1"/>
  <c r="Y25" i="1"/>
  <c r="X25" i="1"/>
  <c r="Q25" i="1"/>
  <c r="AN24" i="1"/>
  <c r="AM24" i="1"/>
  <c r="AK24" i="1"/>
  <c r="AL24" i="1" s="1"/>
  <c r="AJ24" i="1"/>
  <c r="AH24" i="1" s="1"/>
  <c r="Z24" i="1"/>
  <c r="Y24" i="1"/>
  <c r="X24" i="1" s="1"/>
  <c r="Q24" i="1"/>
  <c r="AN23" i="1"/>
  <c r="AM23" i="1"/>
  <c r="AL23" i="1"/>
  <c r="AK23" i="1"/>
  <c r="AJ23" i="1"/>
  <c r="AH23" i="1" s="1"/>
  <c r="Z23" i="1"/>
  <c r="Y23" i="1"/>
  <c r="X23" i="1" s="1"/>
  <c r="T23" i="1"/>
  <c r="Q23" i="1"/>
  <c r="AN22" i="1"/>
  <c r="AM22" i="1"/>
  <c r="AK22" i="1"/>
  <c r="AL22" i="1" s="1"/>
  <c r="AJ22" i="1"/>
  <c r="AH22" i="1" s="1"/>
  <c r="Z22" i="1"/>
  <c r="X22" i="1" s="1"/>
  <c r="Y22" i="1"/>
  <c r="Q22" i="1"/>
  <c r="AN21" i="1"/>
  <c r="AM21" i="1"/>
  <c r="AK21" i="1"/>
  <c r="AL21" i="1" s="1"/>
  <c r="AJ21" i="1"/>
  <c r="AH21" i="1"/>
  <c r="L21" i="1" s="1"/>
  <c r="Z21" i="1"/>
  <c r="Y21" i="1"/>
  <c r="X21" i="1"/>
  <c r="Q21" i="1"/>
  <c r="AN20" i="1"/>
  <c r="AM20" i="1"/>
  <c r="AK20" i="1"/>
  <c r="AL20" i="1" s="1"/>
  <c r="AJ20" i="1"/>
  <c r="AH20" i="1" s="1"/>
  <c r="Z20" i="1"/>
  <c r="Y20" i="1"/>
  <c r="X20" i="1" s="1"/>
  <c r="Q20" i="1"/>
  <c r="AN19" i="1"/>
  <c r="AM19" i="1"/>
  <c r="AL19" i="1"/>
  <c r="AK19" i="1"/>
  <c r="AJ19" i="1"/>
  <c r="AH19" i="1" s="1"/>
  <c r="Z19" i="1"/>
  <c r="Y19" i="1"/>
  <c r="X19" i="1" s="1"/>
  <c r="T19" i="1"/>
  <c r="Q19" i="1"/>
  <c r="AN18" i="1"/>
  <c r="AM18" i="1"/>
  <c r="AK18" i="1"/>
  <c r="AL18" i="1" s="1"/>
  <c r="AJ18" i="1"/>
  <c r="AH18" i="1" s="1"/>
  <c r="Z18" i="1"/>
  <c r="X18" i="1" s="1"/>
  <c r="Y18" i="1"/>
  <c r="Q18" i="1"/>
  <c r="AN17" i="1"/>
  <c r="AM17" i="1"/>
  <c r="AK17" i="1"/>
  <c r="AL17" i="1" s="1"/>
  <c r="AJ17" i="1"/>
  <c r="AH17" i="1"/>
  <c r="L17" i="1" s="1"/>
  <c r="Z17" i="1"/>
  <c r="Y17" i="1"/>
  <c r="X17" i="1"/>
  <c r="Q17" i="1"/>
  <c r="L18" i="1" l="1"/>
  <c r="K18" i="1"/>
  <c r="J18" i="1"/>
  <c r="I18" i="1" s="1"/>
  <c r="AI18" i="1"/>
  <c r="O18" i="1"/>
  <c r="O19" i="1"/>
  <c r="L19" i="1"/>
  <c r="K19" i="1"/>
  <c r="J19" i="1"/>
  <c r="I19" i="1" s="1"/>
  <c r="AI19" i="1"/>
  <c r="J20" i="1"/>
  <c r="I20" i="1" s="1"/>
  <c r="AI20" i="1"/>
  <c r="O20" i="1"/>
  <c r="K20" i="1"/>
  <c r="L20" i="1"/>
  <c r="J22" i="1"/>
  <c r="I22" i="1" s="1"/>
  <c r="L22" i="1"/>
  <c r="K22" i="1"/>
  <c r="AI22" i="1"/>
  <c r="O22" i="1"/>
  <c r="O23" i="1"/>
  <c r="L23" i="1"/>
  <c r="K23" i="1"/>
  <c r="J23" i="1"/>
  <c r="I23" i="1" s="1"/>
  <c r="AI23" i="1"/>
  <c r="J24" i="1"/>
  <c r="I24" i="1" s="1"/>
  <c r="AI24" i="1"/>
  <c r="O24" i="1"/>
  <c r="K24" i="1"/>
  <c r="L24" i="1"/>
  <c r="L26" i="1"/>
  <c r="K26" i="1"/>
  <c r="J26" i="1"/>
  <c r="I26" i="1" s="1"/>
  <c r="AI26" i="1"/>
  <c r="O26" i="1"/>
  <c r="L27" i="1"/>
  <c r="O27" i="1"/>
  <c r="K27" i="1"/>
  <c r="AI27" i="1"/>
  <c r="J27" i="1"/>
  <c r="I27" i="1" s="1"/>
  <c r="U27" i="1" s="1"/>
  <c r="V27" i="1" s="1"/>
  <c r="J28" i="1"/>
  <c r="I28" i="1" s="1"/>
  <c r="AI28" i="1"/>
  <c r="O28" i="1"/>
  <c r="L28" i="1"/>
  <c r="K28" i="1"/>
  <c r="AB39" i="1"/>
  <c r="L35" i="1"/>
  <c r="K35" i="1"/>
  <c r="AI35" i="1"/>
  <c r="J35" i="1"/>
  <c r="I35" i="1" s="1"/>
  <c r="O35" i="1"/>
  <c r="U36" i="1"/>
  <c r="V36" i="1" s="1"/>
  <c r="AC36" i="1" s="1"/>
  <c r="L31" i="1"/>
  <c r="K31" i="1"/>
  <c r="AI31" i="1"/>
  <c r="J31" i="1"/>
  <c r="I31" i="1" s="1"/>
  <c r="O31" i="1"/>
  <c r="O54" i="1"/>
  <c r="L54" i="1"/>
  <c r="J54" i="1"/>
  <c r="I54" i="1" s="1"/>
  <c r="AI54" i="1"/>
  <c r="AI74" i="1"/>
  <c r="L74" i="1"/>
  <c r="K74" i="1"/>
  <c r="J74" i="1"/>
  <c r="I74" i="1" s="1"/>
  <c r="T20" i="1"/>
  <c r="T24" i="1"/>
  <c r="T28" i="1"/>
  <c r="AL30" i="1"/>
  <c r="AL36" i="1"/>
  <c r="J38" i="1"/>
  <c r="I38" i="1" s="1"/>
  <c r="U38" i="1" s="1"/>
  <c r="V38" i="1" s="1"/>
  <c r="AI38" i="1"/>
  <c r="AC44" i="1"/>
  <c r="AE44" i="1" s="1"/>
  <c r="AI47" i="1"/>
  <c r="O47" i="1"/>
  <c r="L47" i="1"/>
  <c r="K47" i="1"/>
  <c r="U48" i="1"/>
  <c r="V48" i="1" s="1"/>
  <c r="R48" i="1" s="1"/>
  <c r="P48" i="1" s="1"/>
  <c r="S48" i="1" s="1"/>
  <c r="M48" i="1" s="1"/>
  <c r="N48" i="1" s="1"/>
  <c r="AI63" i="1"/>
  <c r="O63" i="1"/>
  <c r="L63" i="1"/>
  <c r="K63" i="1"/>
  <c r="O66" i="1"/>
  <c r="L66" i="1"/>
  <c r="J66" i="1"/>
  <c r="I66" i="1" s="1"/>
  <c r="AI66" i="1"/>
  <c r="L45" i="1"/>
  <c r="K45" i="1"/>
  <c r="J45" i="1"/>
  <c r="I45" i="1" s="1"/>
  <c r="O45" i="1"/>
  <c r="AC48" i="1"/>
  <c r="K54" i="1"/>
  <c r="AL58" i="1"/>
  <c r="T58" i="1"/>
  <c r="L61" i="1"/>
  <c r="K61" i="1"/>
  <c r="J61" i="1"/>
  <c r="I61" i="1" s="1"/>
  <c r="O61" i="1"/>
  <c r="L70" i="1"/>
  <c r="O70" i="1"/>
  <c r="K70" i="1"/>
  <c r="J70" i="1"/>
  <c r="I70" i="1" s="1"/>
  <c r="AI70" i="1"/>
  <c r="O17" i="1"/>
  <c r="O21" i="1"/>
  <c r="O25" i="1"/>
  <c r="U40" i="1"/>
  <c r="V40" i="1" s="1"/>
  <c r="AC40" i="1" s="1"/>
  <c r="O43" i="1"/>
  <c r="L43" i="1"/>
  <c r="K43" i="1"/>
  <c r="R44" i="1"/>
  <c r="P44" i="1" s="1"/>
  <c r="S44" i="1" s="1"/>
  <c r="M44" i="1" s="1"/>
  <c r="N44" i="1" s="1"/>
  <c r="AL47" i="1"/>
  <c r="O50" i="1"/>
  <c r="L50" i="1"/>
  <c r="J50" i="1"/>
  <c r="I50" i="1" s="1"/>
  <c r="AI50" i="1"/>
  <c r="AL54" i="1"/>
  <c r="T54" i="1"/>
  <c r="X55" i="1"/>
  <c r="L57" i="1"/>
  <c r="K57" i="1"/>
  <c r="J57" i="1"/>
  <c r="I57" i="1" s="1"/>
  <c r="O57" i="1"/>
  <c r="AC60" i="1"/>
  <c r="AE60" i="1" s="1"/>
  <c r="R60" i="1"/>
  <c r="P60" i="1" s="1"/>
  <c r="S60" i="1" s="1"/>
  <c r="M60" i="1" s="1"/>
  <c r="N60" i="1" s="1"/>
  <c r="AL63" i="1"/>
  <c r="O74" i="1"/>
  <c r="L76" i="1"/>
  <c r="AI76" i="1"/>
  <c r="O76" i="1"/>
  <c r="K76" i="1"/>
  <c r="J76" i="1"/>
  <c r="I76" i="1" s="1"/>
  <c r="AI17" i="1"/>
  <c r="U19" i="1"/>
  <c r="V19" i="1" s="1"/>
  <c r="AC19" i="1" s="1"/>
  <c r="AI21" i="1"/>
  <c r="AI25" i="1"/>
  <c r="U32" i="1"/>
  <c r="V32" i="1" s="1"/>
  <c r="AC32" i="1" s="1"/>
  <c r="L37" i="1"/>
  <c r="O37" i="1"/>
  <c r="AL38" i="1"/>
  <c r="L41" i="1"/>
  <c r="K41" i="1"/>
  <c r="J41" i="1"/>
  <c r="I41" i="1" s="1"/>
  <c r="O41" i="1"/>
  <c r="W44" i="1"/>
  <c r="AA44" i="1" s="1"/>
  <c r="O46" i="1"/>
  <c r="L46" i="1"/>
  <c r="J46" i="1"/>
  <c r="I46" i="1" s="1"/>
  <c r="AI46" i="1"/>
  <c r="AL50" i="1"/>
  <c r="T50" i="1"/>
  <c r="L53" i="1"/>
  <c r="K53" i="1"/>
  <c r="J53" i="1"/>
  <c r="I53" i="1" s="1"/>
  <c r="O53" i="1"/>
  <c r="R56" i="1"/>
  <c r="P56" i="1" s="1"/>
  <c r="S56" i="1" s="1"/>
  <c r="M56" i="1" s="1"/>
  <c r="N56" i="1" s="1"/>
  <c r="W60" i="1"/>
  <c r="AA60" i="1" s="1"/>
  <c r="O62" i="1"/>
  <c r="L62" i="1"/>
  <c r="J62" i="1"/>
  <c r="I62" i="1" s="1"/>
  <c r="AI62" i="1"/>
  <c r="AC69" i="1"/>
  <c r="U138" i="1"/>
  <c r="V138" i="1" s="1"/>
  <c r="AL66" i="1"/>
  <c r="T66" i="1"/>
  <c r="O77" i="1"/>
  <c r="K77" i="1"/>
  <c r="J77" i="1"/>
  <c r="I77" i="1" s="1"/>
  <c r="L77" i="1"/>
  <c r="AI77" i="1"/>
  <c r="L104" i="1"/>
  <c r="K104" i="1"/>
  <c r="J104" i="1"/>
  <c r="I104" i="1" s="1"/>
  <c r="AI104" i="1"/>
  <c r="O104" i="1"/>
  <c r="J17" i="1"/>
  <c r="I17" i="1" s="1"/>
  <c r="T18" i="1"/>
  <c r="J21" i="1"/>
  <c r="I21" i="1" s="1"/>
  <c r="T22" i="1"/>
  <c r="J25" i="1"/>
  <c r="I25" i="1" s="1"/>
  <c r="T26" i="1"/>
  <c r="J29" i="1"/>
  <c r="I29" i="1" s="1"/>
  <c r="K32" i="1"/>
  <c r="AI32" i="1"/>
  <c r="K33" i="1"/>
  <c r="U33" i="1"/>
  <c r="V33" i="1" s="1"/>
  <c r="R33" i="1" s="1"/>
  <c r="P33" i="1" s="1"/>
  <c r="S33" i="1" s="1"/>
  <c r="M33" i="1" s="1"/>
  <c r="N33" i="1" s="1"/>
  <c r="AI33" i="1"/>
  <c r="J37" i="1"/>
  <c r="I37" i="1" s="1"/>
  <c r="AL37" i="1"/>
  <c r="T37" i="1"/>
  <c r="AL41" i="1"/>
  <c r="AL42" i="1"/>
  <c r="T42" i="1"/>
  <c r="AI55" i="1"/>
  <c r="O55" i="1"/>
  <c r="L55" i="1"/>
  <c r="K55" i="1"/>
  <c r="U56" i="1"/>
  <c r="V56" i="1" s="1"/>
  <c r="L65" i="1"/>
  <c r="K65" i="1"/>
  <c r="J65" i="1"/>
  <c r="I65" i="1" s="1"/>
  <c r="O65" i="1"/>
  <c r="U69" i="1"/>
  <c r="V69" i="1" s="1"/>
  <c r="R69" i="1" s="1"/>
  <c r="P69" i="1" s="1"/>
  <c r="S69" i="1" s="1"/>
  <c r="M69" i="1" s="1"/>
  <c r="N69" i="1" s="1"/>
  <c r="L96" i="1"/>
  <c r="J96" i="1"/>
  <c r="I96" i="1" s="1"/>
  <c r="AI96" i="1"/>
  <c r="K96" i="1"/>
  <c r="AL100" i="1"/>
  <c r="T100" i="1"/>
  <c r="AL119" i="1"/>
  <c r="T119" i="1"/>
  <c r="L42" i="1"/>
  <c r="J42" i="1"/>
  <c r="I42" i="1" s="1"/>
  <c r="AI42" i="1"/>
  <c r="AI59" i="1"/>
  <c r="O59" i="1"/>
  <c r="L59" i="1"/>
  <c r="K59" i="1"/>
  <c r="K17" i="1"/>
  <c r="K21" i="1"/>
  <c r="K25" i="1"/>
  <c r="K29" i="1"/>
  <c r="J30" i="1"/>
  <c r="I30" i="1" s="1"/>
  <c r="U30" i="1" s="1"/>
  <c r="V30" i="1" s="1"/>
  <c r="AI30" i="1"/>
  <c r="L32" i="1"/>
  <c r="K37" i="1"/>
  <c r="AL46" i="1"/>
  <c r="T46" i="1"/>
  <c r="AB48" i="1"/>
  <c r="L49" i="1"/>
  <c r="K49" i="1"/>
  <c r="J49" i="1"/>
  <c r="I49" i="1" s="1"/>
  <c r="O49" i="1"/>
  <c r="AC52" i="1"/>
  <c r="O58" i="1"/>
  <c r="L58" i="1"/>
  <c r="J58" i="1"/>
  <c r="I58" i="1" s="1"/>
  <c r="AI58" i="1"/>
  <c r="AL62" i="1"/>
  <c r="T62" i="1"/>
  <c r="AI67" i="1"/>
  <c r="O67" i="1"/>
  <c r="L67" i="1"/>
  <c r="K67" i="1"/>
  <c r="T68" i="1"/>
  <c r="AL68" i="1"/>
  <c r="R40" i="1"/>
  <c r="P40" i="1" s="1"/>
  <c r="S40" i="1" s="1"/>
  <c r="M40" i="1" s="1"/>
  <c r="N40" i="1" s="1"/>
  <c r="J59" i="1"/>
  <c r="I59" i="1" s="1"/>
  <c r="T17" i="1"/>
  <c r="T21" i="1"/>
  <c r="T25" i="1"/>
  <c r="X33" i="1"/>
  <c r="J34" i="1"/>
  <c r="I34" i="1" s="1"/>
  <c r="AI34" i="1"/>
  <c r="L39" i="1"/>
  <c r="K39" i="1"/>
  <c r="AI45" i="1"/>
  <c r="AI51" i="1"/>
  <c r="O51" i="1"/>
  <c r="L51" i="1"/>
  <c r="K51" i="1"/>
  <c r="U52" i="1"/>
  <c r="V52" i="1" s="1"/>
  <c r="R52" i="1" s="1"/>
  <c r="P52" i="1" s="1"/>
  <c r="S52" i="1" s="1"/>
  <c r="M52" i="1" s="1"/>
  <c r="N52" i="1" s="1"/>
  <c r="AI61" i="1"/>
  <c r="T67" i="1"/>
  <c r="AL67" i="1"/>
  <c r="J106" i="1"/>
  <c r="I106" i="1" s="1"/>
  <c r="AI106" i="1"/>
  <c r="O106" i="1"/>
  <c r="L106" i="1"/>
  <c r="K106" i="1"/>
  <c r="AL110" i="1"/>
  <c r="T110" i="1"/>
  <c r="L69" i="1"/>
  <c r="AL76" i="1"/>
  <c r="T76" i="1"/>
  <c r="J84" i="1"/>
  <c r="I84" i="1" s="1"/>
  <c r="J88" i="1"/>
  <c r="I88" i="1" s="1"/>
  <c r="J92" i="1"/>
  <c r="I92" i="1" s="1"/>
  <c r="AL96" i="1"/>
  <c r="T96" i="1"/>
  <c r="J102" i="1"/>
  <c r="I102" i="1" s="1"/>
  <c r="AI102" i="1"/>
  <c r="L102" i="1"/>
  <c r="AL106" i="1"/>
  <c r="T106" i="1"/>
  <c r="AB119" i="1"/>
  <c r="U133" i="1"/>
  <c r="V133" i="1" s="1"/>
  <c r="T31" i="1"/>
  <c r="T35" i="1"/>
  <c r="T39" i="1"/>
  <c r="T43" i="1"/>
  <c r="T47" i="1"/>
  <c r="T51" i="1"/>
  <c r="T55" i="1"/>
  <c r="T59" i="1"/>
  <c r="T63" i="1"/>
  <c r="X68" i="1"/>
  <c r="L80" i="1"/>
  <c r="AI80" i="1"/>
  <c r="K102" i="1"/>
  <c r="AL102" i="1"/>
  <c r="T102" i="1"/>
  <c r="K75" i="1"/>
  <c r="J75" i="1"/>
  <c r="I75" i="1" s="1"/>
  <c r="U75" i="1" s="1"/>
  <c r="V75" i="1" s="1"/>
  <c r="O75" i="1"/>
  <c r="AL80" i="1"/>
  <c r="T80" i="1"/>
  <c r="L83" i="1"/>
  <c r="K83" i="1"/>
  <c r="J83" i="1"/>
  <c r="I83" i="1" s="1"/>
  <c r="O83" i="1"/>
  <c r="L87" i="1"/>
  <c r="K87" i="1"/>
  <c r="J87" i="1"/>
  <c r="I87" i="1" s="1"/>
  <c r="O87" i="1"/>
  <c r="L91" i="1"/>
  <c r="K91" i="1"/>
  <c r="J91" i="1"/>
  <c r="I91" i="1" s="1"/>
  <c r="O91" i="1"/>
  <c r="T116" i="1"/>
  <c r="AL116" i="1"/>
  <c r="AB117" i="1"/>
  <c r="AL70" i="1"/>
  <c r="T70" i="1"/>
  <c r="AL74" i="1"/>
  <c r="T74" i="1"/>
  <c r="AI75" i="1"/>
  <c r="AI83" i="1"/>
  <c r="L84" i="1"/>
  <c r="AI84" i="1"/>
  <c r="AI87" i="1"/>
  <c r="L88" i="1"/>
  <c r="AI88" i="1"/>
  <c r="AI91" i="1"/>
  <c r="L92" i="1"/>
  <c r="AI92" i="1"/>
  <c r="J98" i="1"/>
  <c r="I98" i="1" s="1"/>
  <c r="AI98" i="1"/>
  <c r="L98" i="1"/>
  <c r="U104" i="1"/>
  <c r="V104" i="1" s="1"/>
  <c r="K118" i="1"/>
  <c r="J118" i="1"/>
  <c r="I118" i="1" s="1"/>
  <c r="O118" i="1"/>
  <c r="L118" i="1"/>
  <c r="AI118" i="1"/>
  <c r="AB125" i="1"/>
  <c r="AI44" i="1"/>
  <c r="AI48" i="1"/>
  <c r="AI52" i="1"/>
  <c r="AI56" i="1"/>
  <c r="AI60" i="1"/>
  <c r="AI64" i="1"/>
  <c r="AI69" i="1"/>
  <c r="X70" i="1"/>
  <c r="AI78" i="1"/>
  <c r="L78" i="1"/>
  <c r="K79" i="1"/>
  <c r="J79" i="1"/>
  <c r="I79" i="1" s="1"/>
  <c r="O79" i="1"/>
  <c r="J82" i="1"/>
  <c r="I82" i="1" s="1"/>
  <c r="AI82" i="1"/>
  <c r="L82" i="1"/>
  <c r="AL84" i="1"/>
  <c r="T84" i="1"/>
  <c r="U85" i="1"/>
  <c r="V85" i="1" s="1"/>
  <c r="J86" i="1"/>
  <c r="I86" i="1" s="1"/>
  <c r="AI86" i="1"/>
  <c r="L86" i="1"/>
  <c r="AL88" i="1"/>
  <c r="T88" i="1"/>
  <c r="J90" i="1"/>
  <c r="I90" i="1" s="1"/>
  <c r="AI90" i="1"/>
  <c r="L90" i="1"/>
  <c r="AL92" i="1"/>
  <c r="T92" i="1"/>
  <c r="J94" i="1"/>
  <c r="I94" i="1" s="1"/>
  <c r="AI94" i="1"/>
  <c r="L94" i="1"/>
  <c r="AL98" i="1"/>
  <c r="T98" i="1"/>
  <c r="L112" i="1"/>
  <c r="K112" i="1"/>
  <c r="J112" i="1"/>
  <c r="I112" i="1" s="1"/>
  <c r="U112" i="1" s="1"/>
  <c r="V112" i="1" s="1"/>
  <c r="AI112" i="1"/>
  <c r="T41" i="1"/>
  <c r="T45" i="1"/>
  <c r="T49" i="1"/>
  <c r="T53" i="1"/>
  <c r="T57" i="1"/>
  <c r="J64" i="1"/>
  <c r="I64" i="1" s="1"/>
  <c r="J71" i="1"/>
  <c r="I71" i="1" s="1"/>
  <c r="O71" i="1"/>
  <c r="L72" i="1"/>
  <c r="AI72" i="1"/>
  <c r="O73" i="1"/>
  <c r="K73" i="1"/>
  <c r="J73" i="1"/>
  <c r="I73" i="1" s="1"/>
  <c r="X74" i="1"/>
  <c r="AL78" i="1"/>
  <c r="T78" i="1"/>
  <c r="AI79" i="1"/>
  <c r="AL82" i="1"/>
  <c r="T82" i="1"/>
  <c r="AL86" i="1"/>
  <c r="T86" i="1"/>
  <c r="AL90" i="1"/>
  <c r="T90" i="1"/>
  <c r="AL94" i="1"/>
  <c r="T94" i="1"/>
  <c r="U114" i="1"/>
  <c r="V114" i="1" s="1"/>
  <c r="AL72" i="1"/>
  <c r="T72" i="1"/>
  <c r="L100" i="1"/>
  <c r="J100" i="1"/>
  <c r="I100" i="1" s="1"/>
  <c r="AI100" i="1"/>
  <c r="L108" i="1"/>
  <c r="K108" i="1"/>
  <c r="J108" i="1"/>
  <c r="I108" i="1" s="1"/>
  <c r="AI108" i="1"/>
  <c r="J110" i="1"/>
  <c r="I110" i="1" s="1"/>
  <c r="AI110" i="1"/>
  <c r="O110" i="1"/>
  <c r="L110" i="1"/>
  <c r="AB123" i="1"/>
  <c r="J81" i="1"/>
  <c r="I81" i="1" s="1"/>
  <c r="J85" i="1"/>
  <c r="I85" i="1" s="1"/>
  <c r="J89" i="1"/>
  <c r="I89" i="1" s="1"/>
  <c r="U89" i="1" s="1"/>
  <c r="V89" i="1" s="1"/>
  <c r="J93" i="1"/>
  <c r="I93" i="1" s="1"/>
  <c r="J97" i="1"/>
  <c r="I97" i="1" s="1"/>
  <c r="J101" i="1"/>
  <c r="I101" i="1" s="1"/>
  <c r="J105" i="1"/>
  <c r="I105" i="1" s="1"/>
  <c r="U105" i="1" s="1"/>
  <c r="V105" i="1" s="1"/>
  <c r="J109" i="1"/>
  <c r="I109" i="1" s="1"/>
  <c r="U109" i="1" s="1"/>
  <c r="V109" i="1" s="1"/>
  <c r="K113" i="1"/>
  <c r="T113" i="1"/>
  <c r="K119" i="1"/>
  <c r="O123" i="1"/>
  <c r="L123" i="1"/>
  <c r="AC126" i="1"/>
  <c r="AB134" i="1"/>
  <c r="AB137" i="1"/>
  <c r="AC138" i="1"/>
  <c r="AL140" i="1"/>
  <c r="T140" i="1"/>
  <c r="K81" i="1"/>
  <c r="K85" i="1"/>
  <c r="K89" i="1"/>
  <c r="K93" i="1"/>
  <c r="O95" i="1"/>
  <c r="K97" i="1"/>
  <c r="O99" i="1"/>
  <c r="K101" i="1"/>
  <c r="O103" i="1"/>
  <c r="K105" i="1"/>
  <c r="O107" i="1"/>
  <c r="K109" i="1"/>
  <c r="O111" i="1"/>
  <c r="L113" i="1"/>
  <c r="T120" i="1"/>
  <c r="J120" i="1"/>
  <c r="I120" i="1" s="1"/>
  <c r="O120" i="1"/>
  <c r="L121" i="1"/>
  <c r="AI121" i="1"/>
  <c r="AL123" i="1"/>
  <c r="T123" i="1"/>
  <c r="L125" i="1"/>
  <c r="K125" i="1"/>
  <c r="AI125" i="1"/>
  <c r="U126" i="1"/>
  <c r="V126" i="1" s="1"/>
  <c r="L128" i="1"/>
  <c r="K128" i="1"/>
  <c r="J128" i="1"/>
  <c r="I128" i="1" s="1"/>
  <c r="AI128" i="1"/>
  <c r="O128" i="1"/>
  <c r="AB172" i="1"/>
  <c r="K114" i="1"/>
  <c r="J114" i="1"/>
  <c r="I114" i="1" s="1"/>
  <c r="AL115" i="1"/>
  <c r="T115" i="1"/>
  <c r="AL121" i="1"/>
  <c r="T121" i="1"/>
  <c r="J124" i="1"/>
  <c r="I124" i="1" s="1"/>
  <c r="AI124" i="1"/>
  <c r="O124" i="1"/>
  <c r="K130" i="1"/>
  <c r="J130" i="1"/>
  <c r="I130" i="1" s="1"/>
  <c r="AI130" i="1"/>
  <c r="AB133" i="1"/>
  <c r="R133" i="1"/>
  <c r="P133" i="1" s="1"/>
  <c r="S133" i="1" s="1"/>
  <c r="M133" i="1" s="1"/>
  <c r="N133" i="1" s="1"/>
  <c r="AL135" i="1"/>
  <c r="T135" i="1"/>
  <c r="AI103" i="1"/>
  <c r="AI107" i="1"/>
  <c r="AI111" i="1"/>
  <c r="AL112" i="1"/>
  <c r="AI114" i="1"/>
  <c r="X115" i="1"/>
  <c r="X121" i="1"/>
  <c r="X123" i="1"/>
  <c r="U124" i="1"/>
  <c r="V124" i="1" s="1"/>
  <c r="AL128" i="1"/>
  <c r="O130" i="1"/>
  <c r="U134" i="1"/>
  <c r="V134" i="1" s="1"/>
  <c r="R134" i="1" s="1"/>
  <c r="P134" i="1" s="1"/>
  <c r="S134" i="1" s="1"/>
  <c r="M134" i="1" s="1"/>
  <c r="N134" i="1" s="1"/>
  <c r="J95" i="1"/>
  <c r="I95" i="1" s="1"/>
  <c r="J99" i="1"/>
  <c r="I99" i="1" s="1"/>
  <c r="J103" i="1"/>
  <c r="I103" i="1" s="1"/>
  <c r="J107" i="1"/>
  <c r="I107" i="1" s="1"/>
  <c r="J111" i="1"/>
  <c r="I111" i="1" s="1"/>
  <c r="O114" i="1"/>
  <c r="J116" i="1"/>
  <c r="I116" i="1" s="1"/>
  <c r="O116" i="1"/>
  <c r="L117" i="1"/>
  <c r="AI117" i="1"/>
  <c r="K122" i="1"/>
  <c r="J122" i="1"/>
  <c r="I122" i="1" s="1"/>
  <c r="K124" i="1"/>
  <c r="AL131" i="1"/>
  <c r="T131" i="1"/>
  <c r="L136" i="1"/>
  <c r="O136" i="1"/>
  <c r="AI136" i="1"/>
  <c r="K136" i="1"/>
  <c r="J136" i="1"/>
  <c r="I136" i="1" s="1"/>
  <c r="AI167" i="1"/>
  <c r="L167" i="1"/>
  <c r="K167" i="1"/>
  <c r="O167" i="1"/>
  <c r="J167" i="1"/>
  <c r="I167" i="1" s="1"/>
  <c r="K95" i="1"/>
  <c r="K99" i="1"/>
  <c r="K103" i="1"/>
  <c r="K107" i="1"/>
  <c r="K111" i="1"/>
  <c r="AI116" i="1"/>
  <c r="AL117" i="1"/>
  <c r="T117" i="1"/>
  <c r="AI119" i="1"/>
  <c r="AI122" i="1"/>
  <c r="K123" i="1"/>
  <c r="L124" i="1"/>
  <c r="J127" i="1"/>
  <c r="I127" i="1" s="1"/>
  <c r="AI127" i="1"/>
  <c r="O127" i="1"/>
  <c r="L127" i="1"/>
  <c r="U137" i="1"/>
  <c r="V137" i="1" s="1"/>
  <c r="AC137" i="1" s="1"/>
  <c r="X117" i="1"/>
  <c r="AL127" i="1"/>
  <c r="T127" i="1"/>
  <c r="AI129" i="1"/>
  <c r="O129" i="1"/>
  <c r="L129" i="1"/>
  <c r="K129" i="1"/>
  <c r="AB131" i="1"/>
  <c r="L132" i="1"/>
  <c r="O132" i="1"/>
  <c r="AI132" i="1"/>
  <c r="K132" i="1"/>
  <c r="J132" i="1"/>
  <c r="I132" i="1" s="1"/>
  <c r="AC133" i="1"/>
  <c r="AL133" i="1"/>
  <c r="R138" i="1"/>
  <c r="P138" i="1" s="1"/>
  <c r="S138" i="1" s="1"/>
  <c r="AB138" i="1"/>
  <c r="L140" i="1"/>
  <c r="J140" i="1"/>
  <c r="I140" i="1" s="1"/>
  <c r="O140" i="1"/>
  <c r="K140" i="1"/>
  <c r="AI140" i="1"/>
  <c r="J126" i="1"/>
  <c r="I126" i="1" s="1"/>
  <c r="AL148" i="1"/>
  <c r="T148" i="1"/>
  <c r="X149" i="1"/>
  <c r="L151" i="1"/>
  <c r="AI151" i="1"/>
  <c r="O151" i="1"/>
  <c r="K151" i="1"/>
  <c r="K160" i="1"/>
  <c r="J160" i="1"/>
  <c r="I160" i="1" s="1"/>
  <c r="AI160" i="1"/>
  <c r="O160" i="1"/>
  <c r="L131" i="1"/>
  <c r="O141" i="1"/>
  <c r="O144" i="1"/>
  <c r="L144" i="1"/>
  <c r="J144" i="1"/>
  <c r="I144" i="1" s="1"/>
  <c r="AI144" i="1"/>
  <c r="J151" i="1"/>
  <c r="I151" i="1" s="1"/>
  <c r="L160" i="1"/>
  <c r="J165" i="1"/>
  <c r="I165" i="1" s="1"/>
  <c r="AI165" i="1"/>
  <c r="O165" i="1"/>
  <c r="L165" i="1"/>
  <c r="K165" i="1"/>
  <c r="L134" i="1"/>
  <c r="L138" i="1"/>
  <c r="AL144" i="1"/>
  <c r="T144" i="1"/>
  <c r="K146" i="1"/>
  <c r="J146" i="1"/>
  <c r="I146" i="1" s="1"/>
  <c r="AI146" i="1"/>
  <c r="AI149" i="1"/>
  <c r="O149" i="1"/>
  <c r="L149" i="1"/>
  <c r="K149" i="1"/>
  <c r="T125" i="1"/>
  <c r="U129" i="1"/>
  <c r="V129" i="1" s="1"/>
  <c r="R129" i="1" s="1"/>
  <c r="P129" i="1" s="1"/>
  <c r="S129" i="1" s="1"/>
  <c r="M129" i="1" s="1"/>
  <c r="N129" i="1" s="1"/>
  <c r="AI134" i="1"/>
  <c r="L135" i="1"/>
  <c r="J135" i="1"/>
  <c r="I135" i="1" s="1"/>
  <c r="AI138" i="1"/>
  <c r="AI141" i="1"/>
  <c r="AL149" i="1"/>
  <c r="K152" i="1"/>
  <c r="AI152" i="1"/>
  <c r="O152" i="1"/>
  <c r="L152" i="1"/>
  <c r="J152" i="1"/>
  <c r="I152" i="1" s="1"/>
  <c r="L155" i="1"/>
  <c r="AI155" i="1"/>
  <c r="K155" i="1"/>
  <c r="U175" i="1"/>
  <c r="V175" i="1" s="1"/>
  <c r="AL139" i="1"/>
  <c r="T139" i="1"/>
  <c r="K142" i="1"/>
  <c r="J142" i="1"/>
  <c r="I142" i="1" s="1"/>
  <c r="AI142" i="1"/>
  <c r="AD150" i="1"/>
  <c r="AE150" i="1" s="1"/>
  <c r="AC150" i="1"/>
  <c r="U153" i="1"/>
  <c r="V153" i="1" s="1"/>
  <c r="R153" i="1" s="1"/>
  <c r="P153" i="1" s="1"/>
  <c r="S153" i="1" s="1"/>
  <c r="M153" i="1" s="1"/>
  <c r="N153" i="1" s="1"/>
  <c r="AB155" i="1"/>
  <c r="J157" i="1"/>
  <c r="I157" i="1" s="1"/>
  <c r="O157" i="1"/>
  <c r="L157" i="1"/>
  <c r="AI157" i="1"/>
  <c r="O171" i="1"/>
  <c r="AI171" i="1"/>
  <c r="K171" i="1"/>
  <c r="J171" i="1"/>
  <c r="I171" i="1" s="1"/>
  <c r="T128" i="1"/>
  <c r="AL132" i="1"/>
  <c r="T132" i="1"/>
  <c r="O134" i="1"/>
  <c r="AL136" i="1"/>
  <c r="T136" i="1"/>
  <c r="O138" i="1"/>
  <c r="AL141" i="1"/>
  <c r="T141" i="1"/>
  <c r="AI145" i="1"/>
  <c r="O145" i="1"/>
  <c r="L145" i="1"/>
  <c r="K145" i="1"/>
  <c r="O148" i="1"/>
  <c r="L148" i="1"/>
  <c r="J148" i="1"/>
  <c r="I148" i="1" s="1"/>
  <c r="AI148" i="1"/>
  <c r="W150" i="1"/>
  <c r="AA150" i="1" s="1"/>
  <c r="O155" i="1"/>
  <c r="AL158" i="1"/>
  <c r="T158" i="1"/>
  <c r="L159" i="1"/>
  <c r="K159" i="1"/>
  <c r="AI159" i="1"/>
  <c r="U168" i="1"/>
  <c r="V168" i="1" s="1"/>
  <c r="L169" i="1"/>
  <c r="J169" i="1"/>
  <c r="I169" i="1" s="1"/>
  <c r="O169" i="1"/>
  <c r="AI169" i="1"/>
  <c r="K169" i="1"/>
  <c r="O185" i="1"/>
  <c r="L185" i="1"/>
  <c r="AI185" i="1"/>
  <c r="K185" i="1"/>
  <c r="J185" i="1"/>
  <c r="I185" i="1" s="1"/>
  <c r="T145" i="1"/>
  <c r="T149" i="1"/>
  <c r="X152" i="1"/>
  <c r="AC153" i="1"/>
  <c r="L154" i="1"/>
  <c r="J154" i="1"/>
  <c r="I154" i="1" s="1"/>
  <c r="O154" i="1"/>
  <c r="AL155" i="1"/>
  <c r="T155" i="1"/>
  <c r="AI175" i="1"/>
  <c r="O175" i="1"/>
  <c r="L175" i="1"/>
  <c r="J175" i="1"/>
  <c r="I175" i="1" s="1"/>
  <c r="AB180" i="1"/>
  <c r="R180" i="1"/>
  <c r="P180" i="1" s="1"/>
  <c r="S180" i="1" s="1"/>
  <c r="M180" i="1" s="1"/>
  <c r="N180" i="1" s="1"/>
  <c r="J139" i="1"/>
  <c r="I139" i="1" s="1"/>
  <c r="J143" i="1"/>
  <c r="I143" i="1" s="1"/>
  <c r="J147" i="1"/>
  <c r="I147" i="1" s="1"/>
  <c r="K154" i="1"/>
  <c r="AI156" i="1"/>
  <c r="J159" i="1"/>
  <c r="I159" i="1" s="1"/>
  <c r="U160" i="1"/>
  <c r="V160" i="1" s="1"/>
  <c r="K164" i="1"/>
  <c r="J164" i="1"/>
  <c r="I164" i="1" s="1"/>
  <c r="AL165" i="1"/>
  <c r="T165" i="1"/>
  <c r="U167" i="1"/>
  <c r="V167" i="1" s="1"/>
  <c r="AC167" i="1" s="1"/>
  <c r="AC176" i="1"/>
  <c r="K147" i="1"/>
  <c r="AL151" i="1"/>
  <c r="T151" i="1"/>
  <c r="AL154" i="1"/>
  <c r="T154" i="1"/>
  <c r="L162" i="1"/>
  <c r="J162" i="1"/>
  <c r="I162" i="1" s="1"/>
  <c r="AI162" i="1"/>
  <c r="O162" i="1"/>
  <c r="L163" i="1"/>
  <c r="K163" i="1"/>
  <c r="AI163" i="1"/>
  <c r="U164" i="1"/>
  <c r="V164" i="1" s="1"/>
  <c r="AC164" i="1" s="1"/>
  <c r="AC185" i="1"/>
  <c r="L200" i="1"/>
  <c r="K200" i="1"/>
  <c r="AI200" i="1"/>
  <c r="O200" i="1"/>
  <c r="J200" i="1"/>
  <c r="I200" i="1" s="1"/>
  <c r="T143" i="1"/>
  <c r="T147" i="1"/>
  <c r="J156" i="1"/>
  <c r="I156" i="1" s="1"/>
  <c r="O159" i="1"/>
  <c r="J161" i="1"/>
  <c r="I161" i="1" s="1"/>
  <c r="O161" i="1"/>
  <c r="L170" i="1"/>
  <c r="O170" i="1"/>
  <c r="J170" i="1"/>
  <c r="I170" i="1" s="1"/>
  <c r="U171" i="1"/>
  <c r="V171" i="1" s="1"/>
  <c r="U172" i="1"/>
  <c r="V172" i="1" s="1"/>
  <c r="L174" i="1"/>
  <c r="O174" i="1"/>
  <c r="AI174" i="1"/>
  <c r="K174" i="1"/>
  <c r="AD176" i="1"/>
  <c r="W176" i="1"/>
  <c r="AA176" i="1" s="1"/>
  <c r="AB182" i="1"/>
  <c r="AL198" i="1"/>
  <c r="T198" i="1"/>
  <c r="AL150" i="1"/>
  <c r="L156" i="1"/>
  <c r="X156" i="1"/>
  <c r="L158" i="1"/>
  <c r="J158" i="1"/>
  <c r="I158" i="1" s="1"/>
  <c r="AI158" i="1"/>
  <c r="O158" i="1"/>
  <c r="AL162" i="1"/>
  <c r="T162" i="1"/>
  <c r="L166" i="1"/>
  <c r="K166" i="1"/>
  <c r="J166" i="1"/>
  <c r="I166" i="1" s="1"/>
  <c r="AI166" i="1"/>
  <c r="O166" i="1"/>
  <c r="J174" i="1"/>
  <c r="I174" i="1" s="1"/>
  <c r="R176" i="1"/>
  <c r="P176" i="1" s="1"/>
  <c r="S176" i="1" s="1"/>
  <c r="M176" i="1" s="1"/>
  <c r="N176" i="1" s="1"/>
  <c r="AB176" i="1"/>
  <c r="U180" i="1"/>
  <c r="V180" i="1" s="1"/>
  <c r="AI183" i="1"/>
  <c r="J183" i="1"/>
  <c r="I183" i="1" s="1"/>
  <c r="O183" i="1"/>
  <c r="L183" i="1"/>
  <c r="K183" i="1"/>
  <c r="AL177" i="1"/>
  <c r="T177" i="1"/>
  <c r="O178" i="1"/>
  <c r="L178" i="1"/>
  <c r="W184" i="1"/>
  <c r="AA184" i="1" s="1"/>
  <c r="AD184" i="1"/>
  <c r="AC186" i="1"/>
  <c r="L188" i="1"/>
  <c r="K188" i="1"/>
  <c r="AI188" i="1"/>
  <c r="J188" i="1"/>
  <c r="I188" i="1" s="1"/>
  <c r="O214" i="1"/>
  <c r="L214" i="1"/>
  <c r="J214" i="1"/>
  <c r="I214" i="1" s="1"/>
  <c r="AI214" i="1"/>
  <c r="K214" i="1"/>
  <c r="AL167" i="1"/>
  <c r="AL178" i="1"/>
  <c r="T178" i="1"/>
  <c r="L181" i="1"/>
  <c r="J181" i="1"/>
  <c r="I181" i="1" s="1"/>
  <c r="K182" i="1"/>
  <c r="X184" i="1"/>
  <c r="U186" i="1"/>
  <c r="V186" i="1" s="1"/>
  <c r="AB192" i="1"/>
  <c r="X171" i="1"/>
  <c r="L173" i="1"/>
  <c r="J173" i="1"/>
  <c r="I173" i="1" s="1"/>
  <c r="J179" i="1"/>
  <c r="I179" i="1" s="1"/>
  <c r="U179" i="1" s="1"/>
  <c r="V179" i="1" s="1"/>
  <c r="AI179" i="1"/>
  <c r="U185" i="1"/>
  <c r="V185" i="1" s="1"/>
  <c r="AL190" i="1"/>
  <c r="T190" i="1"/>
  <c r="K197" i="1"/>
  <c r="J197" i="1"/>
  <c r="I197" i="1" s="1"/>
  <c r="U197" i="1" s="1"/>
  <c r="V197" i="1" s="1"/>
  <c r="AI197" i="1"/>
  <c r="O197" i="1"/>
  <c r="L197" i="1"/>
  <c r="T159" i="1"/>
  <c r="T163" i="1"/>
  <c r="R168" i="1"/>
  <c r="P168" i="1" s="1"/>
  <c r="S168" i="1" s="1"/>
  <c r="M168" i="1" s="1"/>
  <c r="N168" i="1" s="1"/>
  <c r="AL170" i="1"/>
  <c r="T170" i="1"/>
  <c r="J178" i="1"/>
  <c r="I178" i="1" s="1"/>
  <c r="K179" i="1"/>
  <c r="AL181" i="1"/>
  <c r="T181" i="1"/>
  <c r="O182" i="1"/>
  <c r="L182" i="1"/>
  <c r="AB184" i="1"/>
  <c r="R184" i="1"/>
  <c r="P184" i="1" s="1"/>
  <c r="S184" i="1" s="1"/>
  <c r="K184" i="1"/>
  <c r="AI184" i="1"/>
  <c r="L184" i="1"/>
  <c r="X185" i="1"/>
  <c r="L187" i="1"/>
  <c r="J187" i="1"/>
  <c r="I187" i="1" s="1"/>
  <c r="AI187" i="1"/>
  <c r="O187" i="1"/>
  <c r="K187" i="1"/>
  <c r="J207" i="1"/>
  <c r="I207" i="1" s="1"/>
  <c r="L207" i="1"/>
  <c r="O207" i="1"/>
  <c r="AI207" i="1"/>
  <c r="K207" i="1"/>
  <c r="L216" i="1"/>
  <c r="K216" i="1"/>
  <c r="J216" i="1"/>
  <c r="I216" i="1" s="1"/>
  <c r="AI216" i="1"/>
  <c r="O216" i="1"/>
  <c r="AL169" i="1"/>
  <c r="T169" i="1"/>
  <c r="O173" i="1"/>
  <c r="AL174" i="1"/>
  <c r="T174" i="1"/>
  <c r="L177" i="1"/>
  <c r="J177" i="1"/>
  <c r="I177" i="1" s="1"/>
  <c r="K178" i="1"/>
  <c r="L179" i="1"/>
  <c r="AL182" i="1"/>
  <c r="T182" i="1"/>
  <c r="AB186" i="1"/>
  <c r="R186" i="1"/>
  <c r="P186" i="1" s="1"/>
  <c r="S186" i="1" s="1"/>
  <c r="L209" i="1"/>
  <c r="J209" i="1"/>
  <c r="I209" i="1" s="1"/>
  <c r="K209" i="1"/>
  <c r="AI209" i="1"/>
  <c r="O209" i="1"/>
  <c r="T166" i="1"/>
  <c r="AL173" i="1"/>
  <c r="T173" i="1"/>
  <c r="AL191" i="1"/>
  <c r="T191" i="1"/>
  <c r="L203" i="1"/>
  <c r="K203" i="1"/>
  <c r="J203" i="1"/>
  <c r="I203" i="1" s="1"/>
  <c r="AI203" i="1"/>
  <c r="O203" i="1"/>
  <c r="R204" i="1"/>
  <c r="P204" i="1" s="1"/>
  <c r="S204" i="1" s="1"/>
  <c r="U204" i="1"/>
  <c r="V204" i="1" s="1"/>
  <c r="AC204" i="1" s="1"/>
  <c r="AD205" i="1"/>
  <c r="AE205" i="1" s="1"/>
  <c r="W205" i="1"/>
  <c r="AA205" i="1" s="1"/>
  <c r="O226" i="1"/>
  <c r="L226" i="1"/>
  <c r="K226" i="1"/>
  <c r="J226" i="1"/>
  <c r="I226" i="1" s="1"/>
  <c r="AI226" i="1"/>
  <c r="J198" i="1"/>
  <c r="I198" i="1" s="1"/>
  <c r="AI198" i="1"/>
  <c r="O198" i="1"/>
  <c r="L198" i="1"/>
  <c r="K186" i="1"/>
  <c r="AI186" i="1"/>
  <c r="J189" i="1"/>
  <c r="I189" i="1" s="1"/>
  <c r="U189" i="1" s="1"/>
  <c r="V189" i="1" s="1"/>
  <c r="O193" i="1"/>
  <c r="L195" i="1"/>
  <c r="J195" i="1"/>
  <c r="I195" i="1" s="1"/>
  <c r="AI195" i="1"/>
  <c r="O195" i="1"/>
  <c r="L196" i="1"/>
  <c r="K196" i="1"/>
  <c r="AI196" i="1"/>
  <c r="AD206" i="1"/>
  <c r="AL187" i="1"/>
  <c r="T187" i="1"/>
  <c r="L189" i="1"/>
  <c r="K190" i="1"/>
  <c r="K193" i="1"/>
  <c r="J193" i="1"/>
  <c r="I193" i="1" s="1"/>
  <c r="U193" i="1" s="1"/>
  <c r="V193" i="1" s="1"/>
  <c r="J194" i="1"/>
  <c r="I194" i="1" s="1"/>
  <c r="O194" i="1"/>
  <c r="L194" i="1"/>
  <c r="AL196" i="1"/>
  <c r="J202" i="1"/>
  <c r="I202" i="1" s="1"/>
  <c r="AI202" i="1"/>
  <c r="O202" i="1"/>
  <c r="L202" i="1"/>
  <c r="X186" i="1"/>
  <c r="O189" i="1"/>
  <c r="AI189" i="1"/>
  <c r="L191" i="1"/>
  <c r="J191" i="1"/>
  <c r="I191" i="1" s="1"/>
  <c r="AI191" i="1"/>
  <c r="O191" i="1"/>
  <c r="L192" i="1"/>
  <c r="K192" i="1"/>
  <c r="AI192" i="1"/>
  <c r="AL194" i="1"/>
  <c r="T194" i="1"/>
  <c r="AL195" i="1"/>
  <c r="T195" i="1"/>
  <c r="L199" i="1"/>
  <c r="K199" i="1"/>
  <c r="J199" i="1"/>
  <c r="I199" i="1" s="1"/>
  <c r="AI199" i="1"/>
  <c r="O199" i="1"/>
  <c r="AL202" i="1"/>
  <c r="T202" i="1"/>
  <c r="L204" i="1"/>
  <c r="K204" i="1"/>
  <c r="AI204" i="1"/>
  <c r="AC205" i="1"/>
  <c r="AC206" i="1"/>
  <c r="AL212" i="1"/>
  <c r="T212" i="1"/>
  <c r="J190" i="1"/>
  <c r="I190" i="1" s="1"/>
  <c r="O190" i="1"/>
  <c r="L190" i="1"/>
  <c r="AL192" i="1"/>
  <c r="O201" i="1"/>
  <c r="K201" i="1"/>
  <c r="J201" i="1"/>
  <c r="I201" i="1" s="1"/>
  <c r="U201" i="1" s="1"/>
  <c r="V201" i="1" s="1"/>
  <c r="AE206" i="1"/>
  <c r="AB215" i="1"/>
  <c r="O218" i="1"/>
  <c r="L218" i="1"/>
  <c r="K218" i="1"/>
  <c r="J218" i="1"/>
  <c r="I218" i="1" s="1"/>
  <c r="AI218" i="1"/>
  <c r="AB211" i="1"/>
  <c r="AL211" i="1"/>
  <c r="T211" i="1"/>
  <c r="AL219" i="1"/>
  <c r="T219" i="1"/>
  <c r="AB223" i="1"/>
  <c r="R206" i="1"/>
  <c r="P206" i="1" s="1"/>
  <c r="S206" i="1" s="1"/>
  <c r="M206" i="1" s="1"/>
  <c r="N206" i="1" s="1"/>
  <c r="J208" i="1"/>
  <c r="I208" i="1" s="1"/>
  <c r="AL208" i="1"/>
  <c r="T208" i="1"/>
  <c r="L212" i="1"/>
  <c r="J212" i="1"/>
  <c r="I212" i="1" s="1"/>
  <c r="L217" i="1"/>
  <c r="K217" i="1"/>
  <c r="J217" i="1"/>
  <c r="I217" i="1" s="1"/>
  <c r="AI217" i="1"/>
  <c r="L220" i="1"/>
  <c r="K220" i="1"/>
  <c r="J220" i="1"/>
  <c r="I220" i="1" s="1"/>
  <c r="AI220" i="1"/>
  <c r="O220" i="1"/>
  <c r="AL227" i="1"/>
  <c r="T227" i="1"/>
  <c r="AB231" i="1"/>
  <c r="AI205" i="1"/>
  <c r="AL209" i="1"/>
  <c r="T209" i="1"/>
  <c r="L213" i="1"/>
  <c r="J213" i="1"/>
  <c r="I213" i="1" s="1"/>
  <c r="AL214" i="1"/>
  <c r="T214" i="1"/>
  <c r="L221" i="1"/>
  <c r="K221" i="1"/>
  <c r="J221" i="1"/>
  <c r="I221" i="1" s="1"/>
  <c r="AI221" i="1"/>
  <c r="AL223" i="1"/>
  <c r="T223" i="1"/>
  <c r="AL231" i="1"/>
  <c r="T231" i="1"/>
  <c r="T192" i="1"/>
  <c r="T196" i="1"/>
  <c r="T200" i="1"/>
  <c r="O208" i="1"/>
  <c r="L210" i="1"/>
  <c r="J210" i="1"/>
  <c r="I210" i="1" s="1"/>
  <c r="K212" i="1"/>
  <c r="AL213" i="1"/>
  <c r="T213" i="1"/>
  <c r="O222" i="1"/>
  <c r="L222" i="1"/>
  <c r="K222" i="1"/>
  <c r="J222" i="1"/>
  <c r="I222" i="1" s="1"/>
  <c r="L224" i="1"/>
  <c r="K224" i="1"/>
  <c r="J224" i="1"/>
  <c r="I224" i="1" s="1"/>
  <c r="AI224" i="1"/>
  <c r="O224" i="1"/>
  <c r="O230" i="1"/>
  <c r="L230" i="1"/>
  <c r="K230" i="1"/>
  <c r="J230" i="1"/>
  <c r="I230" i="1" s="1"/>
  <c r="X205" i="1"/>
  <c r="AL207" i="1"/>
  <c r="T207" i="1"/>
  <c r="AL210" i="1"/>
  <c r="T210" i="1"/>
  <c r="AL215" i="1"/>
  <c r="T215" i="1"/>
  <c r="AB219" i="1"/>
  <c r="O221" i="1"/>
  <c r="AL224" i="1"/>
  <c r="T199" i="1"/>
  <c r="AB227" i="1"/>
  <c r="L211" i="1"/>
  <c r="L215" i="1"/>
  <c r="L219" i="1"/>
  <c r="AI233" i="1"/>
  <c r="T218" i="1"/>
  <c r="T222" i="1"/>
  <c r="J225" i="1"/>
  <c r="I225" i="1" s="1"/>
  <c r="T226" i="1"/>
  <c r="J229" i="1"/>
  <c r="I229" i="1" s="1"/>
  <c r="T230" i="1"/>
  <c r="J233" i="1"/>
  <c r="I233" i="1" s="1"/>
  <c r="AI232" i="1"/>
  <c r="K233" i="1"/>
  <c r="T217" i="1"/>
  <c r="T221" i="1"/>
  <c r="T225" i="1"/>
  <c r="J228" i="1"/>
  <c r="I228" i="1" s="1"/>
  <c r="T229" i="1"/>
  <c r="J232" i="1"/>
  <c r="I232" i="1" s="1"/>
  <c r="T233" i="1"/>
  <c r="AI231" i="1"/>
  <c r="K232" i="1"/>
  <c r="T216" i="1"/>
  <c r="T220" i="1"/>
  <c r="T224" i="1"/>
  <c r="T228" i="1"/>
  <c r="T232" i="1"/>
  <c r="AD112" i="1" l="1"/>
  <c r="W112" i="1"/>
  <c r="AA112" i="1" s="1"/>
  <c r="AC112" i="1"/>
  <c r="W109" i="1"/>
  <c r="AA109" i="1" s="1"/>
  <c r="AD109" i="1"/>
  <c r="AC109" i="1"/>
  <c r="W75" i="1"/>
  <c r="AA75" i="1" s="1"/>
  <c r="AD75" i="1"/>
  <c r="AC75" i="1"/>
  <c r="W27" i="1"/>
  <c r="AA27" i="1" s="1"/>
  <c r="AD27" i="1"/>
  <c r="AC27" i="1"/>
  <c r="AD179" i="1"/>
  <c r="W179" i="1"/>
  <c r="AA179" i="1" s="1"/>
  <c r="AC179" i="1"/>
  <c r="AD38" i="1"/>
  <c r="AE38" i="1" s="1"/>
  <c r="AC38" i="1"/>
  <c r="W38" i="1"/>
  <c r="AA38" i="1" s="1"/>
  <c r="W201" i="1"/>
  <c r="AA201" i="1" s="1"/>
  <c r="AD201" i="1"/>
  <c r="AC201" i="1"/>
  <c r="AD197" i="1"/>
  <c r="W197" i="1"/>
  <c r="AA197" i="1" s="1"/>
  <c r="AC197" i="1"/>
  <c r="AC30" i="1"/>
  <c r="W30" i="1"/>
  <c r="AA30" i="1" s="1"/>
  <c r="AD30" i="1"/>
  <c r="AD189" i="1"/>
  <c r="W189" i="1"/>
  <c r="AA189" i="1" s="1"/>
  <c r="AC189" i="1"/>
  <c r="W89" i="1"/>
  <c r="AA89" i="1" s="1"/>
  <c r="AD89" i="1"/>
  <c r="AE89" i="1" s="1"/>
  <c r="AC89" i="1"/>
  <c r="W105" i="1"/>
  <c r="AA105" i="1" s="1"/>
  <c r="AD105" i="1"/>
  <c r="AC105" i="1"/>
  <c r="AD193" i="1"/>
  <c r="W193" i="1"/>
  <c r="AA193" i="1" s="1"/>
  <c r="AC193" i="1"/>
  <c r="U221" i="1"/>
  <c r="V221" i="1" s="1"/>
  <c r="U219" i="1"/>
  <c r="V219" i="1" s="1"/>
  <c r="U202" i="1"/>
  <c r="V202" i="1" s="1"/>
  <c r="U181" i="1"/>
  <c r="V181" i="1" s="1"/>
  <c r="U158" i="1"/>
  <c r="V158" i="1" s="1"/>
  <c r="AB146" i="1"/>
  <c r="AB100" i="1"/>
  <c r="U86" i="1"/>
  <c r="V86" i="1" s="1"/>
  <c r="R79" i="1"/>
  <c r="P79" i="1" s="1"/>
  <c r="S79" i="1" s="1"/>
  <c r="M79" i="1" s="1"/>
  <c r="N79" i="1" s="1"/>
  <c r="U79" i="1"/>
  <c r="V79" i="1" s="1"/>
  <c r="AB79" i="1"/>
  <c r="U42" i="1"/>
  <c r="V42" i="1" s="1"/>
  <c r="U50" i="1"/>
  <c r="V50" i="1" s="1"/>
  <c r="AB61" i="1"/>
  <c r="R61" i="1"/>
  <c r="P61" i="1" s="1"/>
  <c r="S61" i="1" s="1"/>
  <c r="M61" i="1" s="1"/>
  <c r="N61" i="1" s="1"/>
  <c r="U217" i="1"/>
  <c r="V217" i="1" s="1"/>
  <c r="U222" i="1"/>
  <c r="V222" i="1" s="1"/>
  <c r="U215" i="1"/>
  <c r="V215" i="1" s="1"/>
  <c r="AB230" i="1"/>
  <c r="R230" i="1"/>
  <c r="P230" i="1" s="1"/>
  <c r="S230" i="1" s="1"/>
  <c r="M230" i="1" s="1"/>
  <c r="N230" i="1" s="1"/>
  <c r="U231" i="1"/>
  <c r="V231" i="1" s="1"/>
  <c r="U194" i="1"/>
  <c r="V194" i="1" s="1"/>
  <c r="AB191" i="1"/>
  <c r="U187" i="1"/>
  <c r="V187" i="1" s="1"/>
  <c r="AB209" i="1"/>
  <c r="U159" i="1"/>
  <c r="V159" i="1" s="1"/>
  <c r="AB183" i="1"/>
  <c r="U183" i="1"/>
  <c r="V183" i="1" s="1"/>
  <c r="AB158" i="1"/>
  <c r="R158" i="1"/>
  <c r="P158" i="1" s="1"/>
  <c r="S158" i="1" s="1"/>
  <c r="M158" i="1" s="1"/>
  <c r="N158" i="1" s="1"/>
  <c r="AB200" i="1"/>
  <c r="AB185" i="1"/>
  <c r="R185" i="1"/>
  <c r="P185" i="1" s="1"/>
  <c r="S185" i="1" s="1"/>
  <c r="M185" i="1" s="1"/>
  <c r="N185" i="1" s="1"/>
  <c r="AB169" i="1"/>
  <c r="AB148" i="1"/>
  <c r="R148" i="1"/>
  <c r="P148" i="1" s="1"/>
  <c r="S148" i="1" s="1"/>
  <c r="M148" i="1" s="1"/>
  <c r="N148" i="1" s="1"/>
  <c r="U141" i="1"/>
  <c r="V141" i="1" s="1"/>
  <c r="U128" i="1"/>
  <c r="V128" i="1" s="1"/>
  <c r="U146" i="1"/>
  <c r="V146" i="1" s="1"/>
  <c r="R160" i="1"/>
  <c r="P160" i="1" s="1"/>
  <c r="S160" i="1" s="1"/>
  <c r="M160" i="1" s="1"/>
  <c r="N160" i="1" s="1"/>
  <c r="AB160" i="1"/>
  <c r="U148" i="1"/>
  <c r="V148" i="1" s="1"/>
  <c r="AB111" i="1"/>
  <c r="U111" i="1"/>
  <c r="V111" i="1" s="1"/>
  <c r="AC134" i="1"/>
  <c r="R114" i="1"/>
  <c r="P114" i="1" s="1"/>
  <c r="S114" i="1" s="1"/>
  <c r="M114" i="1" s="1"/>
  <c r="N114" i="1" s="1"/>
  <c r="AB114" i="1"/>
  <c r="U120" i="1"/>
  <c r="V120" i="1" s="1"/>
  <c r="R93" i="1"/>
  <c r="P93" i="1" s="1"/>
  <c r="S93" i="1" s="1"/>
  <c r="M93" i="1" s="1"/>
  <c r="N93" i="1" s="1"/>
  <c r="U93" i="1"/>
  <c r="V93" i="1" s="1"/>
  <c r="AB93" i="1"/>
  <c r="AB108" i="1"/>
  <c r="R73" i="1"/>
  <c r="P73" i="1" s="1"/>
  <c r="S73" i="1" s="1"/>
  <c r="M73" i="1" s="1"/>
  <c r="N73" i="1" s="1"/>
  <c r="AB73" i="1"/>
  <c r="U73" i="1"/>
  <c r="V73" i="1" s="1"/>
  <c r="AB64" i="1"/>
  <c r="U84" i="1"/>
  <c r="V84" i="1" s="1"/>
  <c r="U70" i="1"/>
  <c r="V70" i="1" s="1"/>
  <c r="U116" i="1"/>
  <c r="V116" i="1" s="1"/>
  <c r="U63" i="1"/>
  <c r="V63" i="1" s="1"/>
  <c r="U31" i="1"/>
  <c r="V31" i="1" s="1"/>
  <c r="AB84" i="1"/>
  <c r="R84" i="1"/>
  <c r="P84" i="1" s="1"/>
  <c r="S84" i="1" s="1"/>
  <c r="M84" i="1" s="1"/>
  <c r="N84" i="1" s="1"/>
  <c r="U110" i="1"/>
  <c r="V110" i="1" s="1"/>
  <c r="AB17" i="1"/>
  <c r="AB77" i="1"/>
  <c r="U77" i="1"/>
  <c r="V77" i="1" s="1"/>
  <c r="AB70" i="1"/>
  <c r="AB45" i="1"/>
  <c r="AB225" i="1"/>
  <c r="U192" i="1"/>
  <c r="V192" i="1" s="1"/>
  <c r="AB159" i="1"/>
  <c r="R159" i="1"/>
  <c r="P159" i="1" s="1"/>
  <c r="S159" i="1" s="1"/>
  <c r="M159" i="1" s="1"/>
  <c r="N159" i="1" s="1"/>
  <c r="U145" i="1"/>
  <c r="V145" i="1" s="1"/>
  <c r="AD137" i="1"/>
  <c r="AE137" i="1" s="1"/>
  <c r="W137" i="1"/>
  <c r="AA137" i="1" s="1"/>
  <c r="U140" i="1"/>
  <c r="V140" i="1" s="1"/>
  <c r="W85" i="1"/>
  <c r="AA85" i="1" s="1"/>
  <c r="AD85" i="1"/>
  <c r="AB98" i="1"/>
  <c r="AB88" i="1"/>
  <c r="AC85" i="1"/>
  <c r="AB57" i="1"/>
  <c r="R57" i="1"/>
  <c r="P57" i="1" s="1"/>
  <c r="S57" i="1" s="1"/>
  <c r="M57" i="1" s="1"/>
  <c r="N57" i="1" s="1"/>
  <c r="AD36" i="1"/>
  <c r="AE36" i="1" s="1"/>
  <c r="W36" i="1"/>
  <c r="AA36" i="1" s="1"/>
  <c r="R36" i="1"/>
  <c r="P36" i="1" s="1"/>
  <c r="S36" i="1" s="1"/>
  <c r="M36" i="1" s="1"/>
  <c r="N36" i="1" s="1"/>
  <c r="AB22" i="1"/>
  <c r="U218" i="1"/>
  <c r="V218" i="1" s="1"/>
  <c r="U214" i="1"/>
  <c r="V214" i="1" s="1"/>
  <c r="AB208" i="1"/>
  <c r="R208" i="1"/>
  <c r="P208" i="1" s="1"/>
  <c r="S208" i="1" s="1"/>
  <c r="M208" i="1" s="1"/>
  <c r="N208" i="1" s="1"/>
  <c r="U211" i="1"/>
  <c r="V211" i="1" s="1"/>
  <c r="R194" i="1"/>
  <c r="P194" i="1" s="1"/>
  <c r="S194" i="1" s="1"/>
  <c r="M194" i="1" s="1"/>
  <c r="N194" i="1" s="1"/>
  <c r="AB194" i="1"/>
  <c r="AB195" i="1"/>
  <c r="AB203" i="1"/>
  <c r="R203" i="1"/>
  <c r="P203" i="1" s="1"/>
  <c r="S203" i="1" s="1"/>
  <c r="M203" i="1" s="1"/>
  <c r="N203" i="1" s="1"/>
  <c r="U203" i="1"/>
  <c r="V203" i="1" s="1"/>
  <c r="AB177" i="1"/>
  <c r="AB207" i="1"/>
  <c r="U178" i="1"/>
  <c r="V178" i="1" s="1"/>
  <c r="AB188" i="1"/>
  <c r="U188" i="1"/>
  <c r="V188" i="1" s="1"/>
  <c r="AB166" i="1"/>
  <c r="U151" i="1"/>
  <c r="V151" i="1" s="1"/>
  <c r="R175" i="1"/>
  <c r="P175" i="1" s="1"/>
  <c r="S175" i="1" s="1"/>
  <c r="M175" i="1" s="1"/>
  <c r="N175" i="1" s="1"/>
  <c r="AB175" i="1"/>
  <c r="AB171" i="1"/>
  <c r="R171" i="1"/>
  <c r="P171" i="1" s="1"/>
  <c r="S171" i="1" s="1"/>
  <c r="M171" i="1" s="1"/>
  <c r="N171" i="1" s="1"/>
  <c r="AB157" i="1"/>
  <c r="U144" i="1"/>
  <c r="V144" i="1" s="1"/>
  <c r="AB144" i="1"/>
  <c r="R144" i="1"/>
  <c r="P144" i="1" s="1"/>
  <c r="S144" i="1" s="1"/>
  <c r="M144" i="1" s="1"/>
  <c r="N144" i="1" s="1"/>
  <c r="U127" i="1"/>
  <c r="V127" i="1" s="1"/>
  <c r="U117" i="1"/>
  <c r="V117" i="1" s="1"/>
  <c r="AB136" i="1"/>
  <c r="U122" i="1"/>
  <c r="V122" i="1" s="1"/>
  <c r="AB122" i="1"/>
  <c r="AB107" i="1"/>
  <c r="U107" i="1"/>
  <c r="V107" i="1" s="1"/>
  <c r="W124" i="1"/>
  <c r="AA124" i="1" s="1"/>
  <c r="AD124" i="1"/>
  <c r="AC124" i="1"/>
  <c r="R89" i="1"/>
  <c r="P89" i="1" s="1"/>
  <c r="S89" i="1" s="1"/>
  <c r="M89" i="1" s="1"/>
  <c r="N89" i="1" s="1"/>
  <c r="AB89" i="1"/>
  <c r="U82" i="1"/>
  <c r="V82" i="1" s="1"/>
  <c r="U57" i="1"/>
  <c r="V57" i="1" s="1"/>
  <c r="AB112" i="1"/>
  <c r="R112" i="1"/>
  <c r="P112" i="1" s="1"/>
  <c r="S112" i="1" s="1"/>
  <c r="M112" i="1" s="1"/>
  <c r="N112" i="1" s="1"/>
  <c r="AB94" i="1"/>
  <c r="U88" i="1"/>
  <c r="V88" i="1" s="1"/>
  <c r="AB118" i="1"/>
  <c r="U118" i="1"/>
  <c r="V118" i="1" s="1"/>
  <c r="R118" i="1" s="1"/>
  <c r="P118" i="1" s="1"/>
  <c r="S118" i="1" s="1"/>
  <c r="M118" i="1" s="1"/>
  <c r="N118" i="1" s="1"/>
  <c r="U108" i="1"/>
  <c r="V108" i="1" s="1"/>
  <c r="R108" i="1" s="1"/>
  <c r="P108" i="1" s="1"/>
  <c r="S108" i="1" s="1"/>
  <c r="M108" i="1" s="1"/>
  <c r="N108" i="1" s="1"/>
  <c r="U59" i="1"/>
  <c r="V59" i="1" s="1"/>
  <c r="U67" i="1"/>
  <c r="V67" i="1" s="1"/>
  <c r="U25" i="1"/>
  <c r="V25" i="1" s="1"/>
  <c r="U62" i="1"/>
  <c r="V62" i="1" s="1"/>
  <c r="AB42" i="1"/>
  <c r="R42" i="1"/>
  <c r="P42" i="1" s="1"/>
  <c r="S42" i="1" s="1"/>
  <c r="M42" i="1" s="1"/>
  <c r="N42" i="1" s="1"/>
  <c r="AB96" i="1"/>
  <c r="AB41" i="1"/>
  <c r="R41" i="1"/>
  <c r="P41" i="1" s="1"/>
  <c r="S41" i="1" s="1"/>
  <c r="M41" i="1" s="1"/>
  <c r="N41" i="1" s="1"/>
  <c r="AD32" i="1"/>
  <c r="AE32" i="1" s="1"/>
  <c r="W32" i="1"/>
  <c r="AA32" i="1" s="1"/>
  <c r="AB35" i="1"/>
  <c r="U216" i="1"/>
  <c r="V216" i="1" s="1"/>
  <c r="AB224" i="1"/>
  <c r="U213" i="1"/>
  <c r="V213" i="1" s="1"/>
  <c r="U208" i="1"/>
  <c r="V208" i="1" s="1"/>
  <c r="U212" i="1"/>
  <c r="V212" i="1" s="1"/>
  <c r="U163" i="1"/>
  <c r="V163" i="1" s="1"/>
  <c r="U155" i="1"/>
  <c r="V155" i="1" s="1"/>
  <c r="U125" i="1"/>
  <c r="V125" i="1" s="1"/>
  <c r="R120" i="1"/>
  <c r="P120" i="1" s="1"/>
  <c r="S120" i="1" s="1"/>
  <c r="M120" i="1" s="1"/>
  <c r="N120" i="1" s="1"/>
  <c r="AB120" i="1"/>
  <c r="AB97" i="1"/>
  <c r="R97" i="1"/>
  <c r="P97" i="1" s="1"/>
  <c r="S97" i="1" s="1"/>
  <c r="M97" i="1" s="1"/>
  <c r="N97" i="1" s="1"/>
  <c r="U97" i="1"/>
  <c r="V97" i="1" s="1"/>
  <c r="AB90" i="1"/>
  <c r="U35" i="1"/>
  <c r="V35" i="1" s="1"/>
  <c r="AB34" i="1"/>
  <c r="AD40" i="1"/>
  <c r="AE40" i="1" s="1"/>
  <c r="W40" i="1"/>
  <c r="AA40" i="1" s="1"/>
  <c r="AB31" i="1"/>
  <c r="R31" i="1"/>
  <c r="P31" i="1" s="1"/>
  <c r="S31" i="1" s="1"/>
  <c r="M31" i="1" s="1"/>
  <c r="N31" i="1" s="1"/>
  <c r="AB23" i="1"/>
  <c r="U233" i="1"/>
  <c r="V233" i="1" s="1"/>
  <c r="U210" i="1"/>
  <c r="V210" i="1" s="1"/>
  <c r="AB222" i="1"/>
  <c r="R222" i="1"/>
  <c r="P222" i="1" s="1"/>
  <c r="S222" i="1" s="1"/>
  <c r="M222" i="1" s="1"/>
  <c r="N222" i="1" s="1"/>
  <c r="AB210" i="1"/>
  <c r="U223" i="1"/>
  <c r="V223" i="1" s="1"/>
  <c r="U227" i="1"/>
  <c r="V227" i="1" s="1"/>
  <c r="AB217" i="1"/>
  <c r="R217" i="1"/>
  <c r="P217" i="1" s="1"/>
  <c r="S217" i="1" s="1"/>
  <c r="M217" i="1" s="1"/>
  <c r="N217" i="1" s="1"/>
  <c r="U173" i="1"/>
  <c r="V173" i="1" s="1"/>
  <c r="AB216" i="1"/>
  <c r="R216" i="1"/>
  <c r="P216" i="1" s="1"/>
  <c r="S216" i="1" s="1"/>
  <c r="M216" i="1" s="1"/>
  <c r="N216" i="1" s="1"/>
  <c r="AB178" i="1"/>
  <c r="R178" i="1"/>
  <c r="P178" i="1" s="1"/>
  <c r="S178" i="1" s="1"/>
  <c r="M178" i="1" s="1"/>
  <c r="N178" i="1" s="1"/>
  <c r="AD185" i="1"/>
  <c r="AE185" i="1" s="1"/>
  <c r="W185" i="1"/>
  <c r="AA185" i="1" s="1"/>
  <c r="W186" i="1"/>
  <c r="AA186" i="1" s="1"/>
  <c r="AD186" i="1"/>
  <c r="AE186" i="1" s="1"/>
  <c r="U177" i="1"/>
  <c r="V177" i="1" s="1"/>
  <c r="AD180" i="1"/>
  <c r="AE180" i="1" s="1"/>
  <c r="W180" i="1"/>
  <c r="AA180" i="1" s="1"/>
  <c r="AC180" i="1"/>
  <c r="AD172" i="1"/>
  <c r="AE172" i="1" s="1"/>
  <c r="W172" i="1"/>
  <c r="AA172" i="1" s="1"/>
  <c r="AC172" i="1"/>
  <c r="R164" i="1"/>
  <c r="P164" i="1" s="1"/>
  <c r="S164" i="1" s="1"/>
  <c r="M164" i="1" s="1"/>
  <c r="N164" i="1" s="1"/>
  <c r="AB164" i="1"/>
  <c r="AB147" i="1"/>
  <c r="AB154" i="1"/>
  <c r="R154" i="1"/>
  <c r="P154" i="1" s="1"/>
  <c r="S154" i="1" s="1"/>
  <c r="M154" i="1" s="1"/>
  <c r="N154" i="1" s="1"/>
  <c r="U157" i="1"/>
  <c r="V157" i="1" s="1"/>
  <c r="R157" i="1" s="1"/>
  <c r="P157" i="1" s="1"/>
  <c r="S157" i="1" s="1"/>
  <c r="M157" i="1" s="1"/>
  <c r="N157" i="1" s="1"/>
  <c r="U142" i="1"/>
  <c r="V142" i="1" s="1"/>
  <c r="AB142" i="1"/>
  <c r="R165" i="1"/>
  <c r="P165" i="1" s="1"/>
  <c r="S165" i="1" s="1"/>
  <c r="M165" i="1" s="1"/>
  <c r="N165" i="1" s="1"/>
  <c r="AB165" i="1"/>
  <c r="M138" i="1"/>
  <c r="N138" i="1" s="1"/>
  <c r="R167" i="1"/>
  <c r="P167" i="1" s="1"/>
  <c r="S167" i="1" s="1"/>
  <c r="M167" i="1" s="1"/>
  <c r="N167" i="1" s="1"/>
  <c r="AB167" i="1"/>
  <c r="AB103" i="1"/>
  <c r="U103" i="1"/>
  <c r="V103" i="1" s="1"/>
  <c r="R124" i="1"/>
  <c r="P124" i="1" s="1"/>
  <c r="S124" i="1" s="1"/>
  <c r="M124" i="1" s="1"/>
  <c r="N124" i="1" s="1"/>
  <c r="AB124" i="1"/>
  <c r="AB128" i="1"/>
  <c r="R128" i="1"/>
  <c r="P128" i="1" s="1"/>
  <c r="S128" i="1" s="1"/>
  <c r="M128" i="1" s="1"/>
  <c r="N128" i="1" s="1"/>
  <c r="U123" i="1"/>
  <c r="V123" i="1" s="1"/>
  <c r="R137" i="1"/>
  <c r="P137" i="1" s="1"/>
  <c r="S137" i="1" s="1"/>
  <c r="M137" i="1" s="1"/>
  <c r="N137" i="1" s="1"/>
  <c r="U113" i="1"/>
  <c r="V113" i="1" s="1"/>
  <c r="R85" i="1"/>
  <c r="P85" i="1" s="1"/>
  <c r="S85" i="1" s="1"/>
  <c r="M85" i="1" s="1"/>
  <c r="N85" i="1" s="1"/>
  <c r="AB85" i="1"/>
  <c r="U72" i="1"/>
  <c r="V72" i="1" s="1"/>
  <c r="U53" i="1"/>
  <c r="V53" i="1" s="1"/>
  <c r="U92" i="1"/>
  <c r="V92" i="1" s="1"/>
  <c r="AB87" i="1"/>
  <c r="U87" i="1"/>
  <c r="V87" i="1" s="1"/>
  <c r="U80" i="1"/>
  <c r="V80" i="1" s="1"/>
  <c r="U102" i="1"/>
  <c r="V102" i="1" s="1"/>
  <c r="U55" i="1"/>
  <c r="V55" i="1" s="1"/>
  <c r="AD133" i="1"/>
  <c r="AE133" i="1" s="1"/>
  <c r="W133" i="1"/>
  <c r="AA133" i="1" s="1"/>
  <c r="AB102" i="1"/>
  <c r="U21" i="1"/>
  <c r="V21" i="1" s="1"/>
  <c r="AD56" i="1"/>
  <c r="AE56" i="1" s="1"/>
  <c r="W56" i="1"/>
  <c r="AA56" i="1" s="1"/>
  <c r="U37" i="1"/>
  <c r="V37" i="1" s="1"/>
  <c r="R37" i="1" s="1"/>
  <c r="P37" i="1" s="1"/>
  <c r="S37" i="1" s="1"/>
  <c r="M37" i="1" s="1"/>
  <c r="N37" i="1" s="1"/>
  <c r="AB29" i="1"/>
  <c r="AC56" i="1"/>
  <c r="R32" i="1"/>
  <c r="P32" i="1" s="1"/>
  <c r="S32" i="1" s="1"/>
  <c r="M32" i="1" s="1"/>
  <c r="N32" i="1" s="1"/>
  <c r="U58" i="1"/>
  <c r="V58" i="1" s="1"/>
  <c r="U28" i="1"/>
  <c r="V28" i="1" s="1"/>
  <c r="R28" i="1" s="1"/>
  <c r="P28" i="1" s="1"/>
  <c r="S28" i="1" s="1"/>
  <c r="M28" i="1" s="1"/>
  <c r="N28" i="1" s="1"/>
  <c r="U64" i="1"/>
  <c r="V64" i="1" s="1"/>
  <c r="R201" i="1"/>
  <c r="P201" i="1" s="1"/>
  <c r="S201" i="1" s="1"/>
  <c r="M201" i="1" s="1"/>
  <c r="N201" i="1" s="1"/>
  <c r="AB201" i="1"/>
  <c r="U190" i="1"/>
  <c r="V190" i="1" s="1"/>
  <c r="U143" i="1"/>
  <c r="V143" i="1" s="1"/>
  <c r="R143" i="1" s="1"/>
  <c r="P143" i="1" s="1"/>
  <c r="S143" i="1" s="1"/>
  <c r="M143" i="1" s="1"/>
  <c r="N143" i="1" s="1"/>
  <c r="U165" i="1"/>
  <c r="V165" i="1" s="1"/>
  <c r="AB140" i="1"/>
  <c r="R140" i="1"/>
  <c r="P140" i="1" s="1"/>
  <c r="S140" i="1" s="1"/>
  <c r="M140" i="1" s="1"/>
  <c r="N140" i="1" s="1"/>
  <c r="U46" i="1"/>
  <c r="V46" i="1" s="1"/>
  <c r="R46" i="1" s="1"/>
  <c r="P46" i="1" s="1"/>
  <c r="S46" i="1" s="1"/>
  <c r="M46" i="1" s="1"/>
  <c r="N46" i="1" s="1"/>
  <c r="AB65" i="1"/>
  <c r="U18" i="1"/>
  <c r="V18" i="1" s="1"/>
  <c r="R18" i="1" s="1"/>
  <c r="P18" i="1" s="1"/>
  <c r="S18" i="1" s="1"/>
  <c r="M18" i="1" s="1"/>
  <c r="N18" i="1" s="1"/>
  <c r="U34" i="1"/>
  <c r="V34" i="1" s="1"/>
  <c r="R34" i="1" s="1"/>
  <c r="P34" i="1" s="1"/>
  <c r="S34" i="1" s="1"/>
  <c r="M34" i="1" s="1"/>
  <c r="N34" i="1" s="1"/>
  <c r="AB27" i="1"/>
  <c r="R27" i="1"/>
  <c r="P27" i="1" s="1"/>
  <c r="S27" i="1" s="1"/>
  <c r="M27" i="1" s="1"/>
  <c r="N27" i="1" s="1"/>
  <c r="U232" i="1"/>
  <c r="V232" i="1" s="1"/>
  <c r="AB232" i="1"/>
  <c r="R232" i="1"/>
  <c r="P232" i="1" s="1"/>
  <c r="S232" i="1" s="1"/>
  <c r="M232" i="1" s="1"/>
  <c r="N232" i="1" s="1"/>
  <c r="AB233" i="1"/>
  <c r="R233" i="1"/>
  <c r="P233" i="1" s="1"/>
  <c r="S233" i="1" s="1"/>
  <c r="M233" i="1" s="1"/>
  <c r="N233" i="1" s="1"/>
  <c r="U199" i="1"/>
  <c r="V199" i="1" s="1"/>
  <c r="AB213" i="1"/>
  <c r="R213" i="1"/>
  <c r="P213" i="1" s="1"/>
  <c r="S213" i="1" s="1"/>
  <c r="M213" i="1" s="1"/>
  <c r="N213" i="1" s="1"/>
  <c r="AB199" i="1"/>
  <c r="R199" i="1"/>
  <c r="P199" i="1" s="1"/>
  <c r="S199" i="1" s="1"/>
  <c r="M199" i="1" s="1"/>
  <c r="N199" i="1" s="1"/>
  <c r="R193" i="1"/>
  <c r="P193" i="1" s="1"/>
  <c r="S193" i="1" s="1"/>
  <c r="M193" i="1" s="1"/>
  <c r="N193" i="1" s="1"/>
  <c r="AB193" i="1"/>
  <c r="M186" i="1"/>
  <c r="N186" i="1" s="1"/>
  <c r="U174" i="1"/>
  <c r="V174" i="1" s="1"/>
  <c r="M184" i="1"/>
  <c r="N184" i="1" s="1"/>
  <c r="AB161" i="1"/>
  <c r="AB143" i="1"/>
  <c r="AC168" i="1"/>
  <c r="W168" i="1"/>
  <c r="AA168" i="1" s="1"/>
  <c r="AD168" i="1"/>
  <c r="AE168" i="1" s="1"/>
  <c r="U136" i="1"/>
  <c r="V136" i="1" s="1"/>
  <c r="R152" i="1"/>
  <c r="P152" i="1" s="1"/>
  <c r="S152" i="1" s="1"/>
  <c r="M152" i="1" s="1"/>
  <c r="N152" i="1" s="1"/>
  <c r="AB152" i="1"/>
  <c r="U152" i="1"/>
  <c r="V152" i="1" s="1"/>
  <c r="AB135" i="1"/>
  <c r="U161" i="1"/>
  <c r="V161" i="1" s="1"/>
  <c r="R126" i="1"/>
  <c r="P126" i="1" s="1"/>
  <c r="S126" i="1" s="1"/>
  <c r="M126" i="1" s="1"/>
  <c r="N126" i="1" s="1"/>
  <c r="AB126" i="1"/>
  <c r="AB99" i="1"/>
  <c r="U99" i="1"/>
  <c r="V99" i="1" s="1"/>
  <c r="R172" i="1"/>
  <c r="P172" i="1" s="1"/>
  <c r="S172" i="1" s="1"/>
  <c r="M172" i="1" s="1"/>
  <c r="N172" i="1" s="1"/>
  <c r="AB81" i="1"/>
  <c r="U94" i="1"/>
  <c r="V94" i="1" s="1"/>
  <c r="R94" i="1" s="1"/>
  <c r="P94" i="1" s="1"/>
  <c r="S94" i="1" s="1"/>
  <c r="M94" i="1" s="1"/>
  <c r="N94" i="1" s="1"/>
  <c r="U49" i="1"/>
  <c r="V49" i="1" s="1"/>
  <c r="R49" i="1" s="1"/>
  <c r="P49" i="1" s="1"/>
  <c r="S49" i="1" s="1"/>
  <c r="M49" i="1" s="1"/>
  <c r="N49" i="1" s="1"/>
  <c r="AD104" i="1"/>
  <c r="W104" i="1"/>
  <c r="AA104" i="1" s="1"/>
  <c r="U81" i="1"/>
  <c r="V81" i="1" s="1"/>
  <c r="AC104" i="1"/>
  <c r="U51" i="1"/>
  <c r="V51" i="1" s="1"/>
  <c r="U96" i="1"/>
  <c r="V96" i="1" s="1"/>
  <c r="R96" i="1" s="1"/>
  <c r="P96" i="1" s="1"/>
  <c r="S96" i="1" s="1"/>
  <c r="M96" i="1" s="1"/>
  <c r="N96" i="1" s="1"/>
  <c r="U76" i="1"/>
  <c r="V76" i="1" s="1"/>
  <c r="U17" i="1"/>
  <c r="V17" i="1" s="1"/>
  <c r="U68" i="1"/>
  <c r="V68" i="1" s="1"/>
  <c r="AB49" i="1"/>
  <c r="U119" i="1"/>
  <c r="V119" i="1" s="1"/>
  <c r="U26" i="1"/>
  <c r="V26" i="1" s="1"/>
  <c r="AB104" i="1"/>
  <c r="R104" i="1"/>
  <c r="P104" i="1" s="1"/>
  <c r="S104" i="1" s="1"/>
  <c r="M104" i="1" s="1"/>
  <c r="N104" i="1" s="1"/>
  <c r="U66" i="1"/>
  <c r="V66" i="1" s="1"/>
  <c r="AB46" i="1"/>
  <c r="U54" i="1"/>
  <c r="V54" i="1" s="1"/>
  <c r="U24" i="1"/>
  <c r="V24" i="1" s="1"/>
  <c r="U29" i="1"/>
  <c r="V29" i="1" s="1"/>
  <c r="R29" i="1" s="1"/>
  <c r="P29" i="1" s="1"/>
  <c r="S29" i="1" s="1"/>
  <c r="M29" i="1" s="1"/>
  <c r="N29" i="1" s="1"/>
  <c r="U228" i="1"/>
  <c r="V228" i="1" s="1"/>
  <c r="U229" i="1"/>
  <c r="V229" i="1" s="1"/>
  <c r="U230" i="1"/>
  <c r="V230" i="1" s="1"/>
  <c r="U207" i="1"/>
  <c r="V207" i="1" s="1"/>
  <c r="R207" i="1" s="1"/>
  <c r="P207" i="1" s="1"/>
  <c r="S207" i="1" s="1"/>
  <c r="M207" i="1" s="1"/>
  <c r="N207" i="1" s="1"/>
  <c r="R202" i="1"/>
  <c r="P202" i="1" s="1"/>
  <c r="S202" i="1" s="1"/>
  <c r="M202" i="1" s="1"/>
  <c r="N202" i="1" s="1"/>
  <c r="AB202" i="1"/>
  <c r="R189" i="1"/>
  <c r="P189" i="1" s="1"/>
  <c r="S189" i="1" s="1"/>
  <c r="M189" i="1" s="1"/>
  <c r="N189" i="1" s="1"/>
  <c r="AB189" i="1"/>
  <c r="R198" i="1"/>
  <c r="P198" i="1" s="1"/>
  <c r="S198" i="1" s="1"/>
  <c r="M198" i="1" s="1"/>
  <c r="N198" i="1" s="1"/>
  <c r="AB198" i="1"/>
  <c r="U166" i="1"/>
  <c r="V166" i="1" s="1"/>
  <c r="R166" i="1" s="1"/>
  <c r="P166" i="1" s="1"/>
  <c r="S166" i="1" s="1"/>
  <c r="M166" i="1" s="1"/>
  <c r="N166" i="1" s="1"/>
  <c r="U170" i="1"/>
  <c r="V170" i="1" s="1"/>
  <c r="R179" i="1"/>
  <c r="P179" i="1" s="1"/>
  <c r="S179" i="1" s="1"/>
  <c r="M179" i="1" s="1"/>
  <c r="N179" i="1" s="1"/>
  <c r="AB179" i="1"/>
  <c r="U162" i="1"/>
  <c r="V162" i="1" s="1"/>
  <c r="AD171" i="1"/>
  <c r="AE171" i="1" s="1"/>
  <c r="W171" i="1"/>
  <c r="AA171" i="1" s="1"/>
  <c r="AC171" i="1"/>
  <c r="AB162" i="1"/>
  <c r="R162" i="1"/>
  <c r="P162" i="1" s="1"/>
  <c r="S162" i="1" s="1"/>
  <c r="M162" i="1" s="1"/>
  <c r="N162" i="1" s="1"/>
  <c r="AB139" i="1"/>
  <c r="R139" i="1"/>
  <c r="P139" i="1" s="1"/>
  <c r="S139" i="1" s="1"/>
  <c r="M139" i="1" s="1"/>
  <c r="N139" i="1" s="1"/>
  <c r="U139" i="1"/>
  <c r="V139" i="1" s="1"/>
  <c r="R127" i="1"/>
  <c r="P127" i="1" s="1"/>
  <c r="S127" i="1" s="1"/>
  <c r="M127" i="1" s="1"/>
  <c r="N127" i="1" s="1"/>
  <c r="AB127" i="1"/>
  <c r="AB95" i="1"/>
  <c r="R95" i="1"/>
  <c r="P95" i="1" s="1"/>
  <c r="S95" i="1" s="1"/>
  <c r="M95" i="1" s="1"/>
  <c r="N95" i="1" s="1"/>
  <c r="U95" i="1"/>
  <c r="V95" i="1" s="1"/>
  <c r="U121" i="1"/>
  <c r="V121" i="1" s="1"/>
  <c r="AB109" i="1"/>
  <c r="R109" i="1"/>
  <c r="P109" i="1" s="1"/>
  <c r="S109" i="1" s="1"/>
  <c r="M109" i="1" s="1"/>
  <c r="N109" i="1" s="1"/>
  <c r="U45" i="1"/>
  <c r="V45" i="1" s="1"/>
  <c r="U47" i="1"/>
  <c r="V47" i="1" s="1"/>
  <c r="AB58" i="1"/>
  <c r="R58" i="1"/>
  <c r="P58" i="1" s="1"/>
  <c r="S58" i="1" s="1"/>
  <c r="M58" i="1" s="1"/>
  <c r="N58" i="1" s="1"/>
  <c r="R30" i="1"/>
  <c r="P30" i="1" s="1"/>
  <c r="S30" i="1" s="1"/>
  <c r="M30" i="1" s="1"/>
  <c r="N30" i="1" s="1"/>
  <c r="AB30" i="1"/>
  <c r="AB37" i="1"/>
  <c r="AB25" i="1"/>
  <c r="R25" i="1"/>
  <c r="P25" i="1" s="1"/>
  <c r="S25" i="1" s="1"/>
  <c r="M25" i="1" s="1"/>
  <c r="N25" i="1" s="1"/>
  <c r="AB62" i="1"/>
  <c r="R62" i="1"/>
  <c r="P62" i="1" s="1"/>
  <c r="S62" i="1" s="1"/>
  <c r="M62" i="1" s="1"/>
  <c r="N62" i="1" s="1"/>
  <c r="AB53" i="1"/>
  <c r="R53" i="1"/>
  <c r="P53" i="1" s="1"/>
  <c r="S53" i="1" s="1"/>
  <c r="M53" i="1" s="1"/>
  <c r="N53" i="1" s="1"/>
  <c r="U23" i="1"/>
  <c r="V23" i="1" s="1"/>
  <c r="R23" i="1" s="1"/>
  <c r="P23" i="1" s="1"/>
  <c r="S23" i="1" s="1"/>
  <c r="M23" i="1" s="1"/>
  <c r="N23" i="1" s="1"/>
  <c r="AB76" i="1"/>
  <c r="R76" i="1"/>
  <c r="P76" i="1" s="1"/>
  <c r="S76" i="1" s="1"/>
  <c r="M76" i="1" s="1"/>
  <c r="N76" i="1" s="1"/>
  <c r="U20" i="1"/>
  <c r="V20" i="1" s="1"/>
  <c r="AB54" i="1"/>
  <c r="AB20" i="1"/>
  <c r="AB18" i="1"/>
  <c r="U224" i="1"/>
  <c r="V224" i="1" s="1"/>
  <c r="R224" i="1" s="1"/>
  <c r="P224" i="1" s="1"/>
  <c r="S224" i="1" s="1"/>
  <c r="M224" i="1" s="1"/>
  <c r="N224" i="1" s="1"/>
  <c r="AB228" i="1"/>
  <c r="R228" i="1"/>
  <c r="P228" i="1" s="1"/>
  <c r="S228" i="1" s="1"/>
  <c r="M228" i="1" s="1"/>
  <c r="N228" i="1" s="1"/>
  <c r="AB229" i="1"/>
  <c r="U200" i="1"/>
  <c r="V200" i="1" s="1"/>
  <c r="U209" i="1"/>
  <c r="V209" i="1" s="1"/>
  <c r="AB212" i="1"/>
  <c r="R212" i="1"/>
  <c r="P212" i="1" s="1"/>
  <c r="S212" i="1" s="1"/>
  <c r="M212" i="1" s="1"/>
  <c r="N212" i="1" s="1"/>
  <c r="AB190" i="1"/>
  <c r="AD204" i="1"/>
  <c r="AE204" i="1" s="1"/>
  <c r="W204" i="1"/>
  <c r="AA204" i="1" s="1"/>
  <c r="U182" i="1"/>
  <c r="V182" i="1" s="1"/>
  <c r="AB187" i="1"/>
  <c r="R197" i="1"/>
  <c r="P197" i="1" s="1"/>
  <c r="S197" i="1" s="1"/>
  <c r="M197" i="1" s="1"/>
  <c r="N197" i="1" s="1"/>
  <c r="AB197" i="1"/>
  <c r="AB173" i="1"/>
  <c r="R173" i="1"/>
  <c r="P173" i="1" s="1"/>
  <c r="S173" i="1" s="1"/>
  <c r="M173" i="1" s="1"/>
  <c r="N173" i="1" s="1"/>
  <c r="AE176" i="1"/>
  <c r="AB170" i="1"/>
  <c r="R170" i="1"/>
  <c r="P170" i="1" s="1"/>
  <c r="S170" i="1" s="1"/>
  <c r="M170" i="1" s="1"/>
  <c r="N170" i="1" s="1"/>
  <c r="U156" i="1"/>
  <c r="V156" i="1" s="1"/>
  <c r="R156" i="1" s="1"/>
  <c r="P156" i="1" s="1"/>
  <c r="S156" i="1" s="1"/>
  <c r="M156" i="1" s="1"/>
  <c r="N156" i="1" s="1"/>
  <c r="AB156" i="1"/>
  <c r="W167" i="1"/>
  <c r="AA167" i="1" s="1"/>
  <c r="AD167" i="1"/>
  <c r="AE167" i="1" s="1"/>
  <c r="W153" i="1"/>
  <c r="AA153" i="1" s="1"/>
  <c r="AD153" i="1"/>
  <c r="AE153" i="1" s="1"/>
  <c r="AB132" i="1"/>
  <c r="AB130" i="1"/>
  <c r="U130" i="1"/>
  <c r="V130" i="1" s="1"/>
  <c r="W126" i="1"/>
  <c r="AA126" i="1" s="1"/>
  <c r="AD126" i="1"/>
  <c r="AE126" i="1" s="1"/>
  <c r="AB105" i="1"/>
  <c r="R105" i="1"/>
  <c r="P105" i="1" s="1"/>
  <c r="S105" i="1" s="1"/>
  <c r="M105" i="1" s="1"/>
  <c r="N105" i="1" s="1"/>
  <c r="R110" i="1"/>
  <c r="P110" i="1" s="1"/>
  <c r="S110" i="1" s="1"/>
  <c r="M110" i="1" s="1"/>
  <c r="N110" i="1" s="1"/>
  <c r="AB110" i="1"/>
  <c r="U90" i="1"/>
  <c r="V90" i="1" s="1"/>
  <c r="U78" i="1"/>
  <c r="V78" i="1" s="1"/>
  <c r="U41" i="1"/>
  <c r="V41" i="1" s="1"/>
  <c r="U98" i="1"/>
  <c r="V98" i="1" s="1"/>
  <c r="R82" i="1"/>
  <c r="P82" i="1" s="1"/>
  <c r="S82" i="1" s="1"/>
  <c r="M82" i="1" s="1"/>
  <c r="N82" i="1" s="1"/>
  <c r="AB82" i="1"/>
  <c r="U43" i="1"/>
  <c r="V43" i="1" s="1"/>
  <c r="AD52" i="1"/>
  <c r="AE52" i="1" s="1"/>
  <c r="W52" i="1"/>
  <c r="AA52" i="1" s="1"/>
  <c r="U61" i="1"/>
  <c r="V61" i="1" s="1"/>
  <c r="U100" i="1"/>
  <c r="V100" i="1" s="1"/>
  <c r="R100" i="1" s="1"/>
  <c r="P100" i="1" s="1"/>
  <c r="S100" i="1" s="1"/>
  <c r="M100" i="1" s="1"/>
  <c r="N100" i="1" s="1"/>
  <c r="AD69" i="1"/>
  <c r="AE69" i="1" s="1"/>
  <c r="W69" i="1"/>
  <c r="AA69" i="1" s="1"/>
  <c r="U22" i="1"/>
  <c r="V22" i="1" s="1"/>
  <c r="W138" i="1"/>
  <c r="AA138" i="1" s="1"/>
  <c r="AD138" i="1"/>
  <c r="AE138" i="1" s="1"/>
  <c r="U65" i="1"/>
  <c r="V65" i="1" s="1"/>
  <c r="AB74" i="1"/>
  <c r="R24" i="1"/>
  <c r="P24" i="1" s="1"/>
  <c r="S24" i="1" s="1"/>
  <c r="M24" i="1" s="1"/>
  <c r="N24" i="1" s="1"/>
  <c r="AB24" i="1"/>
  <c r="U220" i="1"/>
  <c r="V220" i="1" s="1"/>
  <c r="U225" i="1"/>
  <c r="V225" i="1" s="1"/>
  <c r="R225" i="1" s="1"/>
  <c r="P225" i="1" s="1"/>
  <c r="S225" i="1" s="1"/>
  <c r="M225" i="1" s="1"/>
  <c r="N225" i="1" s="1"/>
  <c r="U226" i="1"/>
  <c r="V226" i="1" s="1"/>
  <c r="U196" i="1"/>
  <c r="V196" i="1" s="1"/>
  <c r="AB221" i="1"/>
  <c r="AB220" i="1"/>
  <c r="R220" i="1"/>
  <c r="P220" i="1" s="1"/>
  <c r="S220" i="1" s="1"/>
  <c r="M220" i="1" s="1"/>
  <c r="N220" i="1" s="1"/>
  <c r="AB218" i="1"/>
  <c r="R218" i="1"/>
  <c r="P218" i="1" s="1"/>
  <c r="S218" i="1" s="1"/>
  <c r="M218" i="1" s="1"/>
  <c r="N218" i="1" s="1"/>
  <c r="U195" i="1"/>
  <c r="V195" i="1" s="1"/>
  <c r="AB226" i="1"/>
  <c r="R226" i="1"/>
  <c r="P226" i="1" s="1"/>
  <c r="S226" i="1" s="1"/>
  <c r="M226" i="1" s="1"/>
  <c r="N226" i="1" s="1"/>
  <c r="M204" i="1"/>
  <c r="N204" i="1" s="1"/>
  <c r="U191" i="1"/>
  <c r="V191" i="1" s="1"/>
  <c r="R191" i="1" s="1"/>
  <c r="P191" i="1" s="1"/>
  <c r="S191" i="1" s="1"/>
  <c r="M191" i="1" s="1"/>
  <c r="N191" i="1" s="1"/>
  <c r="U169" i="1"/>
  <c r="V169" i="1" s="1"/>
  <c r="R169" i="1" s="1"/>
  <c r="P169" i="1" s="1"/>
  <c r="S169" i="1" s="1"/>
  <c r="M169" i="1" s="1"/>
  <c r="N169" i="1" s="1"/>
  <c r="AB181" i="1"/>
  <c r="R181" i="1"/>
  <c r="P181" i="1" s="1"/>
  <c r="S181" i="1" s="1"/>
  <c r="M181" i="1" s="1"/>
  <c r="N181" i="1" s="1"/>
  <c r="AB214" i="1"/>
  <c r="R214" i="1"/>
  <c r="P214" i="1" s="1"/>
  <c r="S214" i="1" s="1"/>
  <c r="M214" i="1" s="1"/>
  <c r="N214" i="1" s="1"/>
  <c r="AE184" i="1"/>
  <c r="AB174" i="1"/>
  <c r="U198" i="1"/>
  <c r="V198" i="1" s="1"/>
  <c r="U147" i="1"/>
  <c r="V147" i="1" s="1"/>
  <c r="AD164" i="1"/>
  <c r="AE164" i="1" s="1"/>
  <c r="W164" i="1"/>
  <c r="AA164" i="1" s="1"/>
  <c r="U154" i="1"/>
  <c r="V154" i="1" s="1"/>
  <c r="AD160" i="1"/>
  <c r="W160" i="1"/>
  <c r="AA160" i="1" s="1"/>
  <c r="AC160" i="1"/>
  <c r="U149" i="1"/>
  <c r="V149" i="1" s="1"/>
  <c r="U132" i="1"/>
  <c r="V132" i="1" s="1"/>
  <c r="AD175" i="1"/>
  <c r="W175" i="1"/>
  <c r="AA175" i="1" s="1"/>
  <c r="AC175" i="1"/>
  <c r="AD129" i="1"/>
  <c r="AE129" i="1" s="1"/>
  <c r="W129" i="1"/>
  <c r="AA129" i="1" s="1"/>
  <c r="AC129" i="1"/>
  <c r="AB151" i="1"/>
  <c r="R151" i="1"/>
  <c r="P151" i="1" s="1"/>
  <c r="S151" i="1" s="1"/>
  <c r="M151" i="1" s="1"/>
  <c r="N151" i="1" s="1"/>
  <c r="U131" i="1"/>
  <c r="V131" i="1" s="1"/>
  <c r="R116" i="1"/>
  <c r="P116" i="1" s="1"/>
  <c r="S116" i="1" s="1"/>
  <c r="M116" i="1" s="1"/>
  <c r="N116" i="1" s="1"/>
  <c r="AB116" i="1"/>
  <c r="W134" i="1"/>
  <c r="AA134" i="1" s="1"/>
  <c r="AD134" i="1"/>
  <c r="AE134" i="1" s="1"/>
  <c r="U135" i="1"/>
  <c r="V135" i="1" s="1"/>
  <c r="R135" i="1" s="1"/>
  <c r="P135" i="1" s="1"/>
  <c r="S135" i="1" s="1"/>
  <c r="M135" i="1" s="1"/>
  <c r="N135" i="1" s="1"/>
  <c r="U115" i="1"/>
  <c r="V115" i="1" s="1"/>
  <c r="AB101" i="1"/>
  <c r="R101" i="1"/>
  <c r="P101" i="1" s="1"/>
  <c r="S101" i="1" s="1"/>
  <c r="M101" i="1" s="1"/>
  <c r="N101" i="1" s="1"/>
  <c r="U101" i="1"/>
  <c r="V101" i="1" s="1"/>
  <c r="W114" i="1"/>
  <c r="AA114" i="1" s="1"/>
  <c r="AD114" i="1"/>
  <c r="AE114" i="1" s="1"/>
  <c r="AC114" i="1"/>
  <c r="U71" i="1"/>
  <c r="V71" i="1" s="1"/>
  <c r="AB71" i="1"/>
  <c r="R86" i="1"/>
  <c r="P86" i="1" s="1"/>
  <c r="S86" i="1" s="1"/>
  <c r="M86" i="1" s="1"/>
  <c r="N86" i="1" s="1"/>
  <c r="AB86" i="1"/>
  <c r="U74" i="1"/>
  <c r="V74" i="1" s="1"/>
  <c r="R74" i="1" s="1"/>
  <c r="P74" i="1" s="1"/>
  <c r="S74" i="1" s="1"/>
  <c r="M74" i="1" s="1"/>
  <c r="N74" i="1" s="1"/>
  <c r="AB91" i="1"/>
  <c r="U91" i="1"/>
  <c r="V91" i="1" s="1"/>
  <c r="R91" i="1" s="1"/>
  <c r="P91" i="1" s="1"/>
  <c r="S91" i="1" s="1"/>
  <c r="M91" i="1" s="1"/>
  <c r="N91" i="1" s="1"/>
  <c r="AB83" i="1"/>
  <c r="R83" i="1"/>
  <c r="P83" i="1" s="1"/>
  <c r="S83" i="1" s="1"/>
  <c r="M83" i="1" s="1"/>
  <c r="N83" i="1" s="1"/>
  <c r="U83" i="1"/>
  <c r="V83" i="1" s="1"/>
  <c r="R75" i="1"/>
  <c r="P75" i="1" s="1"/>
  <c r="S75" i="1" s="1"/>
  <c r="M75" i="1" s="1"/>
  <c r="N75" i="1" s="1"/>
  <c r="AB75" i="1"/>
  <c r="U39" i="1"/>
  <c r="V39" i="1" s="1"/>
  <c r="U106" i="1"/>
  <c r="V106" i="1" s="1"/>
  <c r="AB92" i="1"/>
  <c r="R92" i="1"/>
  <c r="P92" i="1" s="1"/>
  <c r="S92" i="1" s="1"/>
  <c r="M92" i="1" s="1"/>
  <c r="N92" i="1" s="1"/>
  <c r="R106" i="1"/>
  <c r="P106" i="1" s="1"/>
  <c r="S106" i="1" s="1"/>
  <c r="M106" i="1" s="1"/>
  <c r="N106" i="1" s="1"/>
  <c r="AB106" i="1"/>
  <c r="AB59" i="1"/>
  <c r="R59" i="1"/>
  <c r="P59" i="1" s="1"/>
  <c r="S59" i="1" s="1"/>
  <c r="M59" i="1" s="1"/>
  <c r="N59" i="1" s="1"/>
  <c r="W33" i="1"/>
  <c r="AA33" i="1" s="1"/>
  <c r="AC33" i="1"/>
  <c r="AD33" i="1"/>
  <c r="AE33" i="1" s="1"/>
  <c r="AB21" i="1"/>
  <c r="R21" i="1"/>
  <c r="P21" i="1" s="1"/>
  <c r="S21" i="1" s="1"/>
  <c r="M21" i="1" s="1"/>
  <c r="N21" i="1" s="1"/>
  <c r="W19" i="1"/>
  <c r="AA19" i="1" s="1"/>
  <c r="AD19" i="1"/>
  <c r="AB50" i="1"/>
  <c r="R50" i="1"/>
  <c r="P50" i="1" s="1"/>
  <c r="S50" i="1" s="1"/>
  <c r="M50" i="1" s="1"/>
  <c r="N50" i="1" s="1"/>
  <c r="AB66" i="1"/>
  <c r="R66" i="1"/>
  <c r="P66" i="1" s="1"/>
  <c r="S66" i="1" s="1"/>
  <c r="M66" i="1" s="1"/>
  <c r="N66" i="1" s="1"/>
  <c r="AD48" i="1"/>
  <c r="AE48" i="1" s="1"/>
  <c r="W48" i="1"/>
  <c r="AA48" i="1" s="1"/>
  <c r="R38" i="1"/>
  <c r="P38" i="1" s="1"/>
  <c r="S38" i="1" s="1"/>
  <c r="M38" i="1" s="1"/>
  <c r="N38" i="1" s="1"/>
  <c r="AB38" i="1"/>
  <c r="AB28" i="1"/>
  <c r="R26" i="1"/>
  <c r="P26" i="1" s="1"/>
  <c r="S26" i="1" s="1"/>
  <c r="M26" i="1" s="1"/>
  <c r="N26" i="1" s="1"/>
  <c r="AB26" i="1"/>
  <c r="AB19" i="1"/>
  <c r="R19" i="1"/>
  <c r="P19" i="1" s="1"/>
  <c r="S19" i="1" s="1"/>
  <c r="M19" i="1" s="1"/>
  <c r="N19" i="1" s="1"/>
  <c r="AD174" i="1" l="1"/>
  <c r="W174" i="1"/>
  <c r="AA174" i="1" s="1"/>
  <c r="AC174" i="1"/>
  <c r="W190" i="1"/>
  <c r="AA190" i="1" s="1"/>
  <c r="AD190" i="1"/>
  <c r="AC190" i="1"/>
  <c r="AD187" i="1"/>
  <c r="AE187" i="1" s="1"/>
  <c r="W187" i="1"/>
  <c r="AA187" i="1" s="1"/>
  <c r="AC187" i="1"/>
  <c r="W106" i="1"/>
  <c r="AA106" i="1" s="1"/>
  <c r="AD106" i="1"/>
  <c r="AE106" i="1" s="1"/>
  <c r="AC106" i="1"/>
  <c r="W198" i="1"/>
  <c r="AA198" i="1" s="1"/>
  <c r="AD198" i="1"/>
  <c r="AC198" i="1"/>
  <c r="W195" i="1"/>
  <c r="AA195" i="1" s="1"/>
  <c r="AD195" i="1"/>
  <c r="AE195" i="1" s="1"/>
  <c r="AC195" i="1"/>
  <c r="AD22" i="1"/>
  <c r="AE22" i="1" s="1"/>
  <c r="W22" i="1"/>
  <c r="AA22" i="1" s="1"/>
  <c r="AC22" i="1"/>
  <c r="W43" i="1"/>
  <c r="AA43" i="1" s="1"/>
  <c r="AD43" i="1"/>
  <c r="AE43" i="1" s="1"/>
  <c r="AC43" i="1"/>
  <c r="R43" i="1"/>
  <c r="P43" i="1" s="1"/>
  <c r="S43" i="1" s="1"/>
  <c r="M43" i="1" s="1"/>
  <c r="N43" i="1" s="1"/>
  <c r="W47" i="1"/>
  <c r="AA47" i="1" s="1"/>
  <c r="AD47" i="1"/>
  <c r="AE47" i="1" s="1"/>
  <c r="AC47" i="1"/>
  <c r="R47" i="1"/>
  <c r="P47" i="1" s="1"/>
  <c r="S47" i="1" s="1"/>
  <c r="M47" i="1" s="1"/>
  <c r="N47" i="1" s="1"/>
  <c r="W95" i="1"/>
  <c r="AA95" i="1" s="1"/>
  <c r="AD95" i="1"/>
  <c r="AE95" i="1" s="1"/>
  <c r="AC95" i="1"/>
  <c r="AD26" i="1"/>
  <c r="AE26" i="1" s="1"/>
  <c r="W26" i="1"/>
  <c r="AA26" i="1" s="1"/>
  <c r="AC26" i="1"/>
  <c r="W81" i="1"/>
  <c r="AA81" i="1" s="1"/>
  <c r="AD81" i="1"/>
  <c r="AC81" i="1"/>
  <c r="R81" i="1"/>
  <c r="P81" i="1" s="1"/>
  <c r="S81" i="1" s="1"/>
  <c r="M81" i="1" s="1"/>
  <c r="N81" i="1" s="1"/>
  <c r="W199" i="1"/>
  <c r="AA199" i="1" s="1"/>
  <c r="AD199" i="1"/>
  <c r="AE199" i="1" s="1"/>
  <c r="AC199" i="1"/>
  <c r="AC21" i="1"/>
  <c r="W21" i="1"/>
  <c r="AA21" i="1" s="1"/>
  <c r="AD21" i="1"/>
  <c r="AE21" i="1" s="1"/>
  <c r="W102" i="1"/>
  <c r="AA102" i="1" s="1"/>
  <c r="AD102" i="1"/>
  <c r="AE102" i="1" s="1"/>
  <c r="AC102" i="1"/>
  <c r="AD92" i="1"/>
  <c r="AE92" i="1" s="1"/>
  <c r="W92" i="1"/>
  <c r="AA92" i="1" s="1"/>
  <c r="AC92" i="1"/>
  <c r="W103" i="1"/>
  <c r="AA103" i="1" s="1"/>
  <c r="AD103" i="1"/>
  <c r="AC103" i="1"/>
  <c r="W223" i="1"/>
  <c r="AA223" i="1" s="1"/>
  <c r="AD223" i="1"/>
  <c r="AE223" i="1" s="1"/>
  <c r="R223" i="1"/>
  <c r="P223" i="1" s="1"/>
  <c r="S223" i="1" s="1"/>
  <c r="M223" i="1" s="1"/>
  <c r="N223" i="1" s="1"/>
  <c r="AC223" i="1"/>
  <c r="AD163" i="1"/>
  <c r="AE163" i="1" s="1"/>
  <c r="AC163" i="1"/>
  <c r="W163" i="1"/>
  <c r="AA163" i="1" s="1"/>
  <c r="R163" i="1"/>
  <c r="P163" i="1" s="1"/>
  <c r="S163" i="1" s="1"/>
  <c r="M163" i="1" s="1"/>
  <c r="N163" i="1" s="1"/>
  <c r="AC25" i="1"/>
  <c r="W25" i="1"/>
  <c r="AA25" i="1" s="1"/>
  <c r="AD25" i="1"/>
  <c r="W57" i="1"/>
  <c r="AA57" i="1" s="1"/>
  <c r="AD57" i="1"/>
  <c r="AE57" i="1" s="1"/>
  <c r="AC57" i="1"/>
  <c r="W107" i="1"/>
  <c r="AA107" i="1" s="1"/>
  <c r="AD107" i="1"/>
  <c r="AC107" i="1"/>
  <c r="W117" i="1"/>
  <c r="AA117" i="1" s="1"/>
  <c r="AD117" i="1"/>
  <c r="AE117" i="1" s="1"/>
  <c r="AC117" i="1"/>
  <c r="R117" i="1"/>
  <c r="P117" i="1" s="1"/>
  <c r="S117" i="1" s="1"/>
  <c r="M117" i="1" s="1"/>
  <c r="N117" i="1" s="1"/>
  <c r="W218" i="1"/>
  <c r="AA218" i="1" s="1"/>
  <c r="AD218" i="1"/>
  <c r="AC218" i="1"/>
  <c r="AD140" i="1"/>
  <c r="AE140" i="1" s="1"/>
  <c r="W140" i="1"/>
  <c r="AA140" i="1" s="1"/>
  <c r="AC140" i="1"/>
  <c r="AD192" i="1"/>
  <c r="AC192" i="1"/>
  <c r="W192" i="1"/>
  <c r="AA192" i="1" s="1"/>
  <c r="R192" i="1"/>
  <c r="P192" i="1" s="1"/>
  <c r="S192" i="1" s="1"/>
  <c r="M192" i="1" s="1"/>
  <c r="N192" i="1" s="1"/>
  <c r="W77" i="1"/>
  <c r="AA77" i="1" s="1"/>
  <c r="AD77" i="1"/>
  <c r="AE77" i="1" s="1"/>
  <c r="AC77" i="1"/>
  <c r="W70" i="1"/>
  <c r="AA70" i="1" s="1"/>
  <c r="AD70" i="1"/>
  <c r="AC70" i="1"/>
  <c r="AD183" i="1"/>
  <c r="AC183" i="1"/>
  <c r="W183" i="1"/>
  <c r="AA183" i="1" s="1"/>
  <c r="AD209" i="1"/>
  <c r="AE209" i="1" s="1"/>
  <c r="W209" i="1"/>
  <c r="AA209" i="1" s="1"/>
  <c r="AC209" i="1"/>
  <c r="AD20" i="1"/>
  <c r="AE20" i="1" s="1"/>
  <c r="W20" i="1"/>
  <c r="AA20" i="1" s="1"/>
  <c r="AC20" i="1"/>
  <c r="W17" i="1"/>
  <c r="AA17" i="1" s="1"/>
  <c r="AC17" i="1"/>
  <c r="AD17" i="1"/>
  <c r="AE17" i="1" s="1"/>
  <c r="W71" i="1"/>
  <c r="AA71" i="1" s="1"/>
  <c r="AD71" i="1"/>
  <c r="AE71" i="1" s="1"/>
  <c r="AC71" i="1"/>
  <c r="AD169" i="1"/>
  <c r="W169" i="1"/>
  <c r="AA169" i="1" s="1"/>
  <c r="AC169" i="1"/>
  <c r="AD229" i="1"/>
  <c r="AE229" i="1" s="1"/>
  <c r="W229" i="1"/>
  <c r="AA229" i="1" s="1"/>
  <c r="AC229" i="1"/>
  <c r="R103" i="1"/>
  <c r="P103" i="1" s="1"/>
  <c r="S103" i="1" s="1"/>
  <c r="M103" i="1" s="1"/>
  <c r="N103" i="1" s="1"/>
  <c r="AD142" i="1"/>
  <c r="AC142" i="1"/>
  <c r="W142" i="1"/>
  <c r="AA142" i="1" s="1"/>
  <c r="AD177" i="1"/>
  <c r="W177" i="1"/>
  <c r="AA177" i="1" s="1"/>
  <c r="AC177" i="1"/>
  <c r="AD233" i="1"/>
  <c r="W233" i="1"/>
  <c r="AA233" i="1" s="1"/>
  <c r="AC233" i="1"/>
  <c r="W216" i="1"/>
  <c r="AA216" i="1" s="1"/>
  <c r="AD216" i="1"/>
  <c r="AC216" i="1"/>
  <c r="AD67" i="1"/>
  <c r="AE67" i="1" s="1"/>
  <c r="W67" i="1"/>
  <c r="AA67" i="1" s="1"/>
  <c r="AC67" i="1"/>
  <c r="R67" i="1"/>
  <c r="P67" i="1" s="1"/>
  <c r="S67" i="1" s="1"/>
  <c r="M67" i="1" s="1"/>
  <c r="N67" i="1" s="1"/>
  <c r="R107" i="1"/>
  <c r="P107" i="1" s="1"/>
  <c r="S107" i="1" s="1"/>
  <c r="M107" i="1" s="1"/>
  <c r="N107" i="1" s="1"/>
  <c r="R177" i="1"/>
  <c r="P177" i="1" s="1"/>
  <c r="S177" i="1" s="1"/>
  <c r="M177" i="1" s="1"/>
  <c r="N177" i="1" s="1"/>
  <c r="AD31" i="1"/>
  <c r="W31" i="1"/>
  <c r="AA31" i="1" s="1"/>
  <c r="AC31" i="1"/>
  <c r="AD146" i="1"/>
  <c r="AE146" i="1" s="1"/>
  <c r="AC146" i="1"/>
  <c r="W146" i="1"/>
  <c r="AA146" i="1" s="1"/>
  <c r="W50" i="1"/>
  <c r="AA50" i="1" s="1"/>
  <c r="AD50" i="1"/>
  <c r="AE50" i="1" s="1"/>
  <c r="AC50" i="1"/>
  <c r="W86" i="1"/>
  <c r="AA86" i="1" s="1"/>
  <c r="AD86" i="1"/>
  <c r="AC86" i="1"/>
  <c r="AD181" i="1"/>
  <c r="W181" i="1"/>
  <c r="AA181" i="1" s="1"/>
  <c r="AC181" i="1"/>
  <c r="AE197" i="1"/>
  <c r="W161" i="1"/>
  <c r="AA161" i="1" s="1"/>
  <c r="AD161" i="1"/>
  <c r="AC161" i="1"/>
  <c r="W46" i="1"/>
  <c r="AA46" i="1" s="1"/>
  <c r="AD46" i="1"/>
  <c r="AC46" i="1"/>
  <c r="W113" i="1"/>
  <c r="AA113" i="1" s="1"/>
  <c r="AD113" i="1"/>
  <c r="AE113" i="1" s="1"/>
  <c r="AC113" i="1"/>
  <c r="R113" i="1"/>
  <c r="P113" i="1" s="1"/>
  <c r="S113" i="1" s="1"/>
  <c r="M113" i="1" s="1"/>
  <c r="N113" i="1" s="1"/>
  <c r="AD210" i="1"/>
  <c r="AE210" i="1" s="1"/>
  <c r="W210" i="1"/>
  <c r="AA210" i="1" s="1"/>
  <c r="AC210" i="1"/>
  <c r="AD221" i="1"/>
  <c r="AE221" i="1" s="1"/>
  <c r="W221" i="1"/>
  <c r="AA221" i="1" s="1"/>
  <c r="AC221" i="1"/>
  <c r="AE75" i="1"/>
  <c r="W131" i="1"/>
  <c r="AA131" i="1" s="1"/>
  <c r="AD131" i="1"/>
  <c r="AC131" i="1"/>
  <c r="R131" i="1"/>
  <c r="P131" i="1" s="1"/>
  <c r="S131" i="1" s="1"/>
  <c r="M131" i="1" s="1"/>
  <c r="N131" i="1" s="1"/>
  <c r="AE160" i="1"/>
  <c r="AD196" i="1"/>
  <c r="AE196" i="1" s="1"/>
  <c r="W196" i="1"/>
  <c r="AA196" i="1" s="1"/>
  <c r="AC196" i="1"/>
  <c r="R196" i="1"/>
  <c r="P196" i="1" s="1"/>
  <c r="S196" i="1" s="1"/>
  <c r="M196" i="1" s="1"/>
  <c r="N196" i="1" s="1"/>
  <c r="R71" i="1"/>
  <c r="P71" i="1" s="1"/>
  <c r="S71" i="1" s="1"/>
  <c r="M71" i="1" s="1"/>
  <c r="N71" i="1" s="1"/>
  <c r="AD115" i="1"/>
  <c r="AE115" i="1" s="1"/>
  <c r="W115" i="1"/>
  <c r="AA115" i="1" s="1"/>
  <c r="R115" i="1"/>
  <c r="P115" i="1" s="1"/>
  <c r="S115" i="1" s="1"/>
  <c r="M115" i="1" s="1"/>
  <c r="N115" i="1" s="1"/>
  <c r="AC115" i="1"/>
  <c r="AE175" i="1"/>
  <c r="W154" i="1"/>
  <c r="AA154" i="1" s="1"/>
  <c r="AD154" i="1"/>
  <c r="AC154" i="1"/>
  <c r="R174" i="1"/>
  <c r="P174" i="1" s="1"/>
  <c r="S174" i="1" s="1"/>
  <c r="M174" i="1" s="1"/>
  <c r="N174" i="1" s="1"/>
  <c r="W226" i="1"/>
  <c r="AA226" i="1" s="1"/>
  <c r="AD226" i="1"/>
  <c r="AE226" i="1" s="1"/>
  <c r="AC226" i="1"/>
  <c r="AC130" i="1"/>
  <c r="W130" i="1"/>
  <c r="AA130" i="1" s="1"/>
  <c r="AD130" i="1"/>
  <c r="AE130" i="1" s="1"/>
  <c r="AD200" i="1"/>
  <c r="AC200" i="1"/>
  <c r="W200" i="1"/>
  <c r="AA200" i="1" s="1"/>
  <c r="W228" i="1"/>
  <c r="AA228" i="1" s="1"/>
  <c r="AD228" i="1"/>
  <c r="AC228" i="1"/>
  <c r="AD119" i="1"/>
  <c r="W119" i="1"/>
  <c r="AA119" i="1" s="1"/>
  <c r="AC119" i="1"/>
  <c r="R119" i="1"/>
  <c r="P119" i="1" s="1"/>
  <c r="S119" i="1" s="1"/>
  <c r="M119" i="1" s="1"/>
  <c r="N119" i="1" s="1"/>
  <c r="AC76" i="1"/>
  <c r="AD76" i="1"/>
  <c r="AE76" i="1" s="1"/>
  <c r="W76" i="1"/>
  <c r="AA76" i="1" s="1"/>
  <c r="AE104" i="1"/>
  <c r="W99" i="1"/>
  <c r="AA99" i="1" s="1"/>
  <c r="AD99" i="1"/>
  <c r="AC99" i="1"/>
  <c r="AD152" i="1"/>
  <c r="AE152" i="1" s="1"/>
  <c r="W152" i="1"/>
  <c r="AA152" i="1" s="1"/>
  <c r="AC152" i="1"/>
  <c r="W34" i="1"/>
  <c r="AA34" i="1" s="1"/>
  <c r="AD34" i="1"/>
  <c r="AE34" i="1" s="1"/>
  <c r="AC34" i="1"/>
  <c r="W53" i="1"/>
  <c r="AA53" i="1" s="1"/>
  <c r="AD53" i="1"/>
  <c r="AC53" i="1"/>
  <c r="W123" i="1"/>
  <c r="AA123" i="1" s="1"/>
  <c r="AD123" i="1"/>
  <c r="AE123" i="1" s="1"/>
  <c r="R123" i="1"/>
  <c r="P123" i="1" s="1"/>
  <c r="S123" i="1" s="1"/>
  <c r="M123" i="1" s="1"/>
  <c r="N123" i="1" s="1"/>
  <c r="AC123" i="1"/>
  <c r="R142" i="1"/>
  <c r="P142" i="1" s="1"/>
  <c r="S142" i="1" s="1"/>
  <c r="M142" i="1" s="1"/>
  <c r="N142" i="1" s="1"/>
  <c r="R210" i="1"/>
  <c r="P210" i="1" s="1"/>
  <c r="S210" i="1" s="1"/>
  <c r="M210" i="1" s="1"/>
  <c r="N210" i="1" s="1"/>
  <c r="W35" i="1"/>
  <c r="AA35" i="1" s="1"/>
  <c r="AD35" i="1"/>
  <c r="AE35" i="1" s="1"/>
  <c r="AC35" i="1"/>
  <c r="AD212" i="1"/>
  <c r="AE212" i="1" s="1"/>
  <c r="W212" i="1"/>
  <c r="AA212" i="1" s="1"/>
  <c r="AC212" i="1"/>
  <c r="AD88" i="1"/>
  <c r="W88" i="1"/>
  <c r="AA88" i="1" s="1"/>
  <c r="AC88" i="1"/>
  <c r="W82" i="1"/>
  <c r="AA82" i="1" s="1"/>
  <c r="AD82" i="1"/>
  <c r="AC82" i="1"/>
  <c r="W127" i="1"/>
  <c r="AA127" i="1" s="1"/>
  <c r="AD127" i="1"/>
  <c r="AE127" i="1" s="1"/>
  <c r="AC127" i="1"/>
  <c r="AD188" i="1"/>
  <c r="AC188" i="1"/>
  <c r="W188" i="1"/>
  <c r="AA188" i="1" s="1"/>
  <c r="R22" i="1"/>
  <c r="P22" i="1" s="1"/>
  <c r="S22" i="1" s="1"/>
  <c r="M22" i="1" s="1"/>
  <c r="N22" i="1" s="1"/>
  <c r="R88" i="1"/>
  <c r="P88" i="1" s="1"/>
  <c r="S88" i="1" s="1"/>
  <c r="M88" i="1" s="1"/>
  <c r="N88" i="1" s="1"/>
  <c r="R77" i="1"/>
  <c r="P77" i="1" s="1"/>
  <c r="S77" i="1" s="1"/>
  <c r="M77" i="1" s="1"/>
  <c r="N77" i="1" s="1"/>
  <c r="AD84" i="1"/>
  <c r="AE84" i="1" s="1"/>
  <c r="AC84" i="1"/>
  <c r="W84" i="1"/>
  <c r="AA84" i="1" s="1"/>
  <c r="W111" i="1"/>
  <c r="AA111" i="1" s="1"/>
  <c r="AD111" i="1"/>
  <c r="AE111" i="1" s="1"/>
  <c r="AC111" i="1"/>
  <c r="W128" i="1"/>
  <c r="AA128" i="1" s="1"/>
  <c r="AD128" i="1"/>
  <c r="AC128" i="1"/>
  <c r="R183" i="1"/>
  <c r="P183" i="1" s="1"/>
  <c r="S183" i="1" s="1"/>
  <c r="M183" i="1" s="1"/>
  <c r="N183" i="1" s="1"/>
  <c r="AD215" i="1"/>
  <c r="W215" i="1"/>
  <c r="AA215" i="1" s="1"/>
  <c r="AC215" i="1"/>
  <c r="R215" i="1"/>
  <c r="P215" i="1" s="1"/>
  <c r="S215" i="1" s="1"/>
  <c r="M215" i="1" s="1"/>
  <c r="N215" i="1" s="1"/>
  <c r="W202" i="1"/>
  <c r="AA202" i="1" s="1"/>
  <c r="AC202" i="1"/>
  <c r="AD202" i="1"/>
  <c r="AE202" i="1" s="1"/>
  <c r="AE193" i="1"/>
  <c r="AE179" i="1"/>
  <c r="AE109" i="1"/>
  <c r="W147" i="1"/>
  <c r="AA147" i="1" s="1"/>
  <c r="AD147" i="1"/>
  <c r="AC147" i="1"/>
  <c r="W182" i="1"/>
  <c r="AA182" i="1" s="1"/>
  <c r="AD182" i="1"/>
  <c r="AE182" i="1" s="1"/>
  <c r="AC182" i="1"/>
  <c r="R182" i="1"/>
  <c r="P182" i="1" s="1"/>
  <c r="S182" i="1" s="1"/>
  <c r="M182" i="1" s="1"/>
  <c r="N182" i="1" s="1"/>
  <c r="W224" i="1"/>
  <c r="AA224" i="1" s="1"/>
  <c r="AD224" i="1"/>
  <c r="AE224" i="1" s="1"/>
  <c r="AC224" i="1"/>
  <c r="W54" i="1"/>
  <c r="AA54" i="1" s="1"/>
  <c r="AD54" i="1"/>
  <c r="AC54" i="1"/>
  <c r="W91" i="1"/>
  <c r="AA91" i="1" s="1"/>
  <c r="AD91" i="1"/>
  <c r="AC91" i="1"/>
  <c r="W78" i="1"/>
  <c r="AA78" i="1" s="1"/>
  <c r="R78" i="1"/>
  <c r="P78" i="1" s="1"/>
  <c r="S78" i="1" s="1"/>
  <c r="M78" i="1" s="1"/>
  <c r="N78" i="1" s="1"/>
  <c r="AD78" i="1"/>
  <c r="AE78" i="1" s="1"/>
  <c r="AC78" i="1"/>
  <c r="AE19" i="1"/>
  <c r="AC39" i="1"/>
  <c r="AD39" i="1"/>
  <c r="AE39" i="1" s="1"/>
  <c r="W39" i="1"/>
  <c r="AA39" i="1" s="1"/>
  <c r="R39" i="1"/>
  <c r="P39" i="1" s="1"/>
  <c r="S39" i="1" s="1"/>
  <c r="M39" i="1" s="1"/>
  <c r="N39" i="1" s="1"/>
  <c r="W135" i="1"/>
  <c r="AA135" i="1" s="1"/>
  <c r="AD135" i="1"/>
  <c r="AE135" i="1" s="1"/>
  <c r="AC135" i="1"/>
  <c r="W191" i="1"/>
  <c r="AA191" i="1" s="1"/>
  <c r="AD191" i="1"/>
  <c r="AC191" i="1"/>
  <c r="W90" i="1"/>
  <c r="AA90" i="1" s="1"/>
  <c r="AD90" i="1"/>
  <c r="AE90" i="1" s="1"/>
  <c r="AC90" i="1"/>
  <c r="R130" i="1"/>
  <c r="P130" i="1" s="1"/>
  <c r="S130" i="1" s="1"/>
  <c r="M130" i="1" s="1"/>
  <c r="N130" i="1" s="1"/>
  <c r="R229" i="1"/>
  <c r="P229" i="1" s="1"/>
  <c r="S229" i="1" s="1"/>
  <c r="M229" i="1" s="1"/>
  <c r="N229" i="1" s="1"/>
  <c r="W23" i="1"/>
  <c r="AA23" i="1" s="1"/>
  <c r="AD23" i="1"/>
  <c r="AC23" i="1"/>
  <c r="W45" i="1"/>
  <c r="AA45" i="1" s="1"/>
  <c r="AD45" i="1"/>
  <c r="AE45" i="1" s="1"/>
  <c r="AC45" i="1"/>
  <c r="AD170" i="1"/>
  <c r="AE170" i="1" s="1"/>
  <c r="AC170" i="1"/>
  <c r="W170" i="1"/>
  <c r="AA170" i="1" s="1"/>
  <c r="W66" i="1"/>
  <c r="AA66" i="1" s="1"/>
  <c r="AD66" i="1"/>
  <c r="AC66" i="1"/>
  <c r="R99" i="1"/>
  <c r="P99" i="1" s="1"/>
  <c r="S99" i="1" s="1"/>
  <c r="M99" i="1" s="1"/>
  <c r="N99" i="1" s="1"/>
  <c r="W165" i="1"/>
  <c r="AA165" i="1" s="1"/>
  <c r="AD165" i="1"/>
  <c r="AE165" i="1" s="1"/>
  <c r="AC165" i="1"/>
  <c r="AD64" i="1"/>
  <c r="W64" i="1"/>
  <c r="AA64" i="1" s="1"/>
  <c r="AC64" i="1"/>
  <c r="R102" i="1"/>
  <c r="P102" i="1" s="1"/>
  <c r="S102" i="1" s="1"/>
  <c r="M102" i="1" s="1"/>
  <c r="N102" i="1" s="1"/>
  <c r="AC80" i="1"/>
  <c r="W80" i="1"/>
  <c r="AA80" i="1" s="1"/>
  <c r="AD80" i="1"/>
  <c r="R80" i="1"/>
  <c r="P80" i="1" s="1"/>
  <c r="S80" i="1" s="1"/>
  <c r="M80" i="1" s="1"/>
  <c r="N80" i="1" s="1"/>
  <c r="W72" i="1"/>
  <c r="AA72" i="1" s="1"/>
  <c r="AD72" i="1"/>
  <c r="R72" i="1"/>
  <c r="P72" i="1" s="1"/>
  <c r="S72" i="1" s="1"/>
  <c r="M72" i="1" s="1"/>
  <c r="N72" i="1" s="1"/>
  <c r="AC72" i="1"/>
  <c r="AD157" i="1"/>
  <c r="AE157" i="1" s="1"/>
  <c r="W157" i="1"/>
  <c r="AA157" i="1" s="1"/>
  <c r="AC157" i="1"/>
  <c r="W173" i="1"/>
  <c r="AA173" i="1" s="1"/>
  <c r="AD173" i="1"/>
  <c r="AE173" i="1" s="1"/>
  <c r="AC173" i="1"/>
  <c r="AD208" i="1"/>
  <c r="W208" i="1"/>
  <c r="AA208" i="1" s="1"/>
  <c r="AC208" i="1"/>
  <c r="R35" i="1"/>
  <c r="P35" i="1" s="1"/>
  <c r="S35" i="1" s="1"/>
  <c r="M35" i="1" s="1"/>
  <c r="N35" i="1" s="1"/>
  <c r="W59" i="1"/>
  <c r="AA59" i="1" s="1"/>
  <c r="AD59" i="1"/>
  <c r="AE59" i="1" s="1"/>
  <c r="AC59" i="1"/>
  <c r="R188" i="1"/>
  <c r="P188" i="1" s="1"/>
  <c r="S188" i="1" s="1"/>
  <c r="M188" i="1" s="1"/>
  <c r="N188" i="1" s="1"/>
  <c r="W203" i="1"/>
  <c r="AA203" i="1" s="1"/>
  <c r="AD203" i="1"/>
  <c r="AC203" i="1"/>
  <c r="AD211" i="1"/>
  <c r="AC211" i="1"/>
  <c r="W211" i="1"/>
  <c r="AA211" i="1" s="1"/>
  <c r="R211" i="1"/>
  <c r="P211" i="1" s="1"/>
  <c r="S211" i="1" s="1"/>
  <c r="M211" i="1" s="1"/>
  <c r="N211" i="1" s="1"/>
  <c r="R17" i="1"/>
  <c r="P17" i="1" s="1"/>
  <c r="S17" i="1" s="1"/>
  <c r="M17" i="1" s="1"/>
  <c r="N17" i="1" s="1"/>
  <c r="W63" i="1"/>
  <c r="AA63" i="1" s="1"/>
  <c r="AD63" i="1"/>
  <c r="AC63" i="1"/>
  <c r="R63" i="1"/>
  <c r="P63" i="1" s="1"/>
  <c r="S63" i="1" s="1"/>
  <c r="M63" i="1" s="1"/>
  <c r="N63" i="1" s="1"/>
  <c r="W93" i="1"/>
  <c r="AA93" i="1" s="1"/>
  <c r="AD93" i="1"/>
  <c r="AE93" i="1" s="1"/>
  <c r="AC93" i="1"/>
  <c r="R111" i="1"/>
  <c r="P111" i="1" s="1"/>
  <c r="S111" i="1" s="1"/>
  <c r="M111" i="1" s="1"/>
  <c r="N111" i="1" s="1"/>
  <c r="W194" i="1"/>
  <c r="AA194" i="1" s="1"/>
  <c r="AD194" i="1"/>
  <c r="AC194" i="1"/>
  <c r="W222" i="1"/>
  <c r="AA222" i="1" s="1"/>
  <c r="AD222" i="1"/>
  <c r="AE222" i="1" s="1"/>
  <c r="AC222" i="1"/>
  <c r="AE189" i="1"/>
  <c r="AE201" i="1"/>
  <c r="W65" i="1"/>
  <c r="AA65" i="1" s="1"/>
  <c r="AD65" i="1"/>
  <c r="AC65" i="1"/>
  <c r="AD100" i="1"/>
  <c r="W100" i="1"/>
  <c r="AA100" i="1" s="1"/>
  <c r="AC100" i="1"/>
  <c r="R190" i="1"/>
  <c r="P190" i="1" s="1"/>
  <c r="S190" i="1" s="1"/>
  <c r="M190" i="1" s="1"/>
  <c r="N190" i="1" s="1"/>
  <c r="R20" i="1"/>
  <c r="P20" i="1" s="1"/>
  <c r="S20" i="1" s="1"/>
  <c r="M20" i="1" s="1"/>
  <c r="N20" i="1" s="1"/>
  <c r="W166" i="1"/>
  <c r="AA166" i="1" s="1"/>
  <c r="AD166" i="1"/>
  <c r="AC166" i="1"/>
  <c r="AD207" i="1"/>
  <c r="W207" i="1"/>
  <c r="AA207" i="1" s="1"/>
  <c r="AC207" i="1"/>
  <c r="W29" i="1"/>
  <c r="AA29" i="1" s="1"/>
  <c r="AD29" i="1"/>
  <c r="AC29" i="1"/>
  <c r="AD96" i="1"/>
  <c r="AE96" i="1" s="1"/>
  <c r="W96" i="1"/>
  <c r="AA96" i="1" s="1"/>
  <c r="AC96" i="1"/>
  <c r="W49" i="1"/>
  <c r="AA49" i="1" s="1"/>
  <c r="AD49" i="1"/>
  <c r="AE49" i="1" s="1"/>
  <c r="AC49" i="1"/>
  <c r="AD18" i="1"/>
  <c r="W18" i="1"/>
  <c r="AA18" i="1" s="1"/>
  <c r="AC18" i="1"/>
  <c r="AD28" i="1"/>
  <c r="AE28" i="1" s="1"/>
  <c r="W28" i="1"/>
  <c r="AA28" i="1" s="1"/>
  <c r="AC28" i="1"/>
  <c r="W37" i="1"/>
  <c r="AA37" i="1" s="1"/>
  <c r="AD37" i="1"/>
  <c r="AE37" i="1" s="1"/>
  <c r="AC37" i="1"/>
  <c r="W87" i="1"/>
  <c r="AA87" i="1" s="1"/>
  <c r="AD87" i="1"/>
  <c r="AC87" i="1"/>
  <c r="AD125" i="1"/>
  <c r="AC125" i="1"/>
  <c r="W125" i="1"/>
  <c r="AA125" i="1" s="1"/>
  <c r="R125" i="1"/>
  <c r="P125" i="1" s="1"/>
  <c r="S125" i="1" s="1"/>
  <c r="M125" i="1" s="1"/>
  <c r="N125" i="1" s="1"/>
  <c r="AD122" i="1"/>
  <c r="W122" i="1"/>
  <c r="AA122" i="1" s="1"/>
  <c r="AC122" i="1"/>
  <c r="W145" i="1"/>
  <c r="AA145" i="1" s="1"/>
  <c r="AD145" i="1"/>
  <c r="AC145" i="1"/>
  <c r="R145" i="1"/>
  <c r="P145" i="1" s="1"/>
  <c r="S145" i="1" s="1"/>
  <c r="M145" i="1" s="1"/>
  <c r="N145" i="1" s="1"/>
  <c r="R45" i="1"/>
  <c r="P45" i="1" s="1"/>
  <c r="S45" i="1" s="1"/>
  <c r="M45" i="1" s="1"/>
  <c r="N45" i="1" s="1"/>
  <c r="R64" i="1"/>
  <c r="P64" i="1" s="1"/>
  <c r="S64" i="1" s="1"/>
  <c r="M64" i="1" s="1"/>
  <c r="N64" i="1" s="1"/>
  <c r="R200" i="1"/>
  <c r="P200" i="1" s="1"/>
  <c r="S200" i="1" s="1"/>
  <c r="M200" i="1" s="1"/>
  <c r="N200" i="1" s="1"/>
  <c r="AD159" i="1"/>
  <c r="AC159" i="1"/>
  <c r="W159" i="1"/>
  <c r="AA159" i="1" s="1"/>
  <c r="AD42" i="1"/>
  <c r="AE42" i="1" s="1"/>
  <c r="AC42" i="1"/>
  <c r="W42" i="1"/>
  <c r="AA42" i="1" s="1"/>
  <c r="W219" i="1"/>
  <c r="AA219" i="1" s="1"/>
  <c r="AD219" i="1"/>
  <c r="AE219" i="1" s="1"/>
  <c r="AC219" i="1"/>
  <c r="R219" i="1"/>
  <c r="P219" i="1" s="1"/>
  <c r="S219" i="1" s="1"/>
  <c r="M219" i="1" s="1"/>
  <c r="N219" i="1" s="1"/>
  <c r="AE105" i="1"/>
  <c r="AE30" i="1"/>
  <c r="AE27" i="1"/>
  <c r="AD132" i="1"/>
  <c r="W132" i="1"/>
  <c r="AA132" i="1" s="1"/>
  <c r="AC132" i="1"/>
  <c r="W74" i="1"/>
  <c r="AA74" i="1" s="1"/>
  <c r="AD74" i="1"/>
  <c r="AE74" i="1" s="1"/>
  <c r="AC74" i="1"/>
  <c r="W149" i="1"/>
  <c r="AA149" i="1" s="1"/>
  <c r="AD149" i="1"/>
  <c r="AC149" i="1"/>
  <c r="R149" i="1"/>
  <c r="P149" i="1" s="1"/>
  <c r="S149" i="1" s="1"/>
  <c r="M149" i="1" s="1"/>
  <c r="N149" i="1" s="1"/>
  <c r="AD225" i="1"/>
  <c r="W225" i="1"/>
  <c r="AA225" i="1" s="1"/>
  <c r="AC225" i="1"/>
  <c r="W61" i="1"/>
  <c r="AA61" i="1" s="1"/>
  <c r="AD61" i="1"/>
  <c r="AE61" i="1" s="1"/>
  <c r="AC61" i="1"/>
  <c r="AD98" i="1"/>
  <c r="AE98" i="1" s="1"/>
  <c r="AC98" i="1"/>
  <c r="W98" i="1"/>
  <c r="AA98" i="1" s="1"/>
  <c r="R132" i="1"/>
  <c r="P132" i="1" s="1"/>
  <c r="S132" i="1" s="1"/>
  <c r="M132" i="1" s="1"/>
  <c r="N132" i="1" s="1"/>
  <c r="AD156" i="1"/>
  <c r="AE156" i="1" s="1"/>
  <c r="W156" i="1"/>
  <c r="AA156" i="1" s="1"/>
  <c r="AC156" i="1"/>
  <c r="R187" i="1"/>
  <c r="P187" i="1" s="1"/>
  <c r="S187" i="1" s="1"/>
  <c r="M187" i="1" s="1"/>
  <c r="N187" i="1" s="1"/>
  <c r="R54" i="1"/>
  <c r="P54" i="1" s="1"/>
  <c r="S54" i="1" s="1"/>
  <c r="M54" i="1" s="1"/>
  <c r="N54" i="1" s="1"/>
  <c r="W139" i="1"/>
  <c r="AA139" i="1" s="1"/>
  <c r="AD139" i="1"/>
  <c r="AC139" i="1"/>
  <c r="W24" i="1"/>
  <c r="AA24" i="1" s="1"/>
  <c r="AD24" i="1"/>
  <c r="AC24" i="1"/>
  <c r="W51" i="1"/>
  <c r="AA51" i="1" s="1"/>
  <c r="AD51" i="1"/>
  <c r="AE51" i="1" s="1"/>
  <c r="AC51" i="1"/>
  <c r="R51" i="1"/>
  <c r="P51" i="1" s="1"/>
  <c r="S51" i="1" s="1"/>
  <c r="M51" i="1" s="1"/>
  <c r="N51" i="1" s="1"/>
  <c r="R161" i="1"/>
  <c r="P161" i="1" s="1"/>
  <c r="S161" i="1" s="1"/>
  <c r="M161" i="1" s="1"/>
  <c r="N161" i="1" s="1"/>
  <c r="R65" i="1"/>
  <c r="P65" i="1" s="1"/>
  <c r="S65" i="1" s="1"/>
  <c r="M65" i="1" s="1"/>
  <c r="N65" i="1" s="1"/>
  <c r="R87" i="1"/>
  <c r="P87" i="1" s="1"/>
  <c r="S87" i="1" s="1"/>
  <c r="M87" i="1" s="1"/>
  <c r="N87" i="1" s="1"/>
  <c r="R90" i="1"/>
  <c r="P90" i="1" s="1"/>
  <c r="S90" i="1" s="1"/>
  <c r="M90" i="1" s="1"/>
  <c r="N90" i="1" s="1"/>
  <c r="AD155" i="1"/>
  <c r="AE155" i="1" s="1"/>
  <c r="AC155" i="1"/>
  <c r="W155" i="1"/>
  <c r="AA155" i="1" s="1"/>
  <c r="R155" i="1"/>
  <c r="P155" i="1" s="1"/>
  <c r="S155" i="1" s="1"/>
  <c r="M155" i="1" s="1"/>
  <c r="N155" i="1" s="1"/>
  <c r="W62" i="1"/>
  <c r="AA62" i="1" s="1"/>
  <c r="AD62" i="1"/>
  <c r="AE62" i="1" s="1"/>
  <c r="AC62" i="1"/>
  <c r="AD108" i="1"/>
  <c r="AE108" i="1" s="1"/>
  <c r="AC108" i="1"/>
  <c r="W108" i="1"/>
  <c r="AA108" i="1" s="1"/>
  <c r="R122" i="1"/>
  <c r="P122" i="1" s="1"/>
  <c r="S122" i="1" s="1"/>
  <c r="M122" i="1" s="1"/>
  <c r="N122" i="1" s="1"/>
  <c r="W178" i="1"/>
  <c r="AA178" i="1" s="1"/>
  <c r="AD178" i="1"/>
  <c r="AC178" i="1"/>
  <c r="R98" i="1"/>
  <c r="P98" i="1" s="1"/>
  <c r="S98" i="1" s="1"/>
  <c r="M98" i="1" s="1"/>
  <c r="N98" i="1" s="1"/>
  <c r="W110" i="1"/>
  <c r="AA110" i="1" s="1"/>
  <c r="AD110" i="1"/>
  <c r="AE110" i="1" s="1"/>
  <c r="AC110" i="1"/>
  <c r="W116" i="1"/>
  <c r="AA116" i="1" s="1"/>
  <c r="AD116" i="1"/>
  <c r="AE116" i="1" s="1"/>
  <c r="AC116" i="1"/>
  <c r="W73" i="1"/>
  <c r="AA73" i="1" s="1"/>
  <c r="AD73" i="1"/>
  <c r="AC73" i="1"/>
  <c r="W120" i="1"/>
  <c r="AA120" i="1" s="1"/>
  <c r="AD120" i="1"/>
  <c r="AE120" i="1" s="1"/>
  <c r="AC120" i="1"/>
  <c r="W148" i="1"/>
  <c r="AA148" i="1" s="1"/>
  <c r="AD148" i="1"/>
  <c r="AC148" i="1"/>
  <c r="AD141" i="1"/>
  <c r="W141" i="1"/>
  <c r="AA141" i="1" s="1"/>
  <c r="R141" i="1"/>
  <c r="P141" i="1" s="1"/>
  <c r="S141" i="1" s="1"/>
  <c r="M141" i="1" s="1"/>
  <c r="N141" i="1" s="1"/>
  <c r="AC141" i="1"/>
  <c r="R209" i="1"/>
  <c r="P209" i="1" s="1"/>
  <c r="S209" i="1" s="1"/>
  <c r="M209" i="1" s="1"/>
  <c r="N209" i="1" s="1"/>
  <c r="W231" i="1"/>
  <c r="AA231" i="1" s="1"/>
  <c r="AD231" i="1"/>
  <c r="AC231" i="1"/>
  <c r="R231" i="1"/>
  <c r="P231" i="1" s="1"/>
  <c r="S231" i="1" s="1"/>
  <c r="M231" i="1" s="1"/>
  <c r="N231" i="1" s="1"/>
  <c r="R146" i="1"/>
  <c r="P146" i="1" s="1"/>
  <c r="S146" i="1" s="1"/>
  <c r="M146" i="1" s="1"/>
  <c r="N146" i="1" s="1"/>
  <c r="W83" i="1"/>
  <c r="AA83" i="1" s="1"/>
  <c r="AD83" i="1"/>
  <c r="AE83" i="1" s="1"/>
  <c r="AC83" i="1"/>
  <c r="W101" i="1"/>
  <c r="AA101" i="1" s="1"/>
  <c r="AD101" i="1"/>
  <c r="AC101" i="1"/>
  <c r="R221" i="1"/>
  <c r="P221" i="1" s="1"/>
  <c r="S221" i="1" s="1"/>
  <c r="M221" i="1" s="1"/>
  <c r="N221" i="1" s="1"/>
  <c r="W220" i="1"/>
  <c r="AA220" i="1" s="1"/>
  <c r="AD220" i="1"/>
  <c r="AE220" i="1" s="1"/>
  <c r="AC220" i="1"/>
  <c r="W41" i="1"/>
  <c r="AA41" i="1" s="1"/>
  <c r="AD41" i="1"/>
  <c r="AE41" i="1" s="1"/>
  <c r="AC41" i="1"/>
  <c r="AC121" i="1"/>
  <c r="R121" i="1"/>
  <c r="P121" i="1" s="1"/>
  <c r="S121" i="1" s="1"/>
  <c r="M121" i="1" s="1"/>
  <c r="N121" i="1" s="1"/>
  <c r="W121" i="1"/>
  <c r="AA121" i="1" s="1"/>
  <c r="AD121" i="1"/>
  <c r="W162" i="1"/>
  <c r="AA162" i="1" s="1"/>
  <c r="AD162" i="1"/>
  <c r="AC162" i="1"/>
  <c r="W230" i="1"/>
  <c r="AA230" i="1" s="1"/>
  <c r="AD230" i="1"/>
  <c r="AE230" i="1" s="1"/>
  <c r="AC230" i="1"/>
  <c r="AD68" i="1"/>
  <c r="AE68" i="1" s="1"/>
  <c r="W68" i="1"/>
  <c r="AA68" i="1" s="1"/>
  <c r="R68" i="1"/>
  <c r="P68" i="1" s="1"/>
  <c r="S68" i="1" s="1"/>
  <c r="M68" i="1" s="1"/>
  <c r="N68" i="1" s="1"/>
  <c r="AC68" i="1"/>
  <c r="W94" i="1"/>
  <c r="AA94" i="1" s="1"/>
  <c r="AD94" i="1"/>
  <c r="AC94" i="1"/>
  <c r="AD136" i="1"/>
  <c r="W136" i="1"/>
  <c r="AA136" i="1" s="1"/>
  <c r="AC136" i="1"/>
  <c r="W232" i="1"/>
  <c r="AA232" i="1" s="1"/>
  <c r="AD232" i="1"/>
  <c r="AC232" i="1"/>
  <c r="W143" i="1"/>
  <c r="AA143" i="1" s="1"/>
  <c r="AD143" i="1"/>
  <c r="AE143" i="1" s="1"/>
  <c r="AC143" i="1"/>
  <c r="W58" i="1"/>
  <c r="AA58" i="1" s="1"/>
  <c r="AD58" i="1"/>
  <c r="AE58" i="1" s="1"/>
  <c r="AC58" i="1"/>
  <c r="W55" i="1"/>
  <c r="AA55" i="1" s="1"/>
  <c r="AD55" i="1"/>
  <c r="AE55" i="1" s="1"/>
  <c r="AC55" i="1"/>
  <c r="R55" i="1"/>
  <c r="P55" i="1" s="1"/>
  <c r="S55" i="1" s="1"/>
  <c r="M55" i="1" s="1"/>
  <c r="N55" i="1" s="1"/>
  <c r="R147" i="1"/>
  <c r="P147" i="1" s="1"/>
  <c r="S147" i="1" s="1"/>
  <c r="M147" i="1" s="1"/>
  <c r="N147" i="1" s="1"/>
  <c r="W227" i="1"/>
  <c r="AA227" i="1" s="1"/>
  <c r="AD227" i="1"/>
  <c r="AE227" i="1" s="1"/>
  <c r="AC227" i="1"/>
  <c r="R227" i="1"/>
  <c r="P227" i="1" s="1"/>
  <c r="S227" i="1" s="1"/>
  <c r="M227" i="1" s="1"/>
  <c r="N227" i="1" s="1"/>
  <c r="W97" i="1"/>
  <c r="AA97" i="1" s="1"/>
  <c r="AD97" i="1"/>
  <c r="AC97" i="1"/>
  <c r="AD213" i="1"/>
  <c r="W213" i="1"/>
  <c r="AA213" i="1" s="1"/>
  <c r="AC213" i="1"/>
  <c r="AD118" i="1"/>
  <c r="W118" i="1"/>
  <c r="AA118" i="1" s="1"/>
  <c r="AC118" i="1"/>
  <c r="AE124" i="1"/>
  <c r="R136" i="1"/>
  <c r="P136" i="1" s="1"/>
  <c r="S136" i="1" s="1"/>
  <c r="M136" i="1" s="1"/>
  <c r="N136" i="1" s="1"/>
  <c r="W144" i="1"/>
  <c r="AA144" i="1" s="1"/>
  <c r="AD144" i="1"/>
  <c r="AE144" i="1" s="1"/>
  <c r="AC144" i="1"/>
  <c r="AD151" i="1"/>
  <c r="W151" i="1"/>
  <c r="AA151" i="1" s="1"/>
  <c r="AC151" i="1"/>
  <c r="R195" i="1"/>
  <c r="P195" i="1" s="1"/>
  <c r="S195" i="1" s="1"/>
  <c r="M195" i="1" s="1"/>
  <c r="N195" i="1" s="1"/>
  <c r="W214" i="1"/>
  <c r="AA214" i="1" s="1"/>
  <c r="AD214" i="1"/>
  <c r="AC214" i="1"/>
  <c r="AE85" i="1"/>
  <c r="R70" i="1"/>
  <c r="P70" i="1" s="1"/>
  <c r="S70" i="1" s="1"/>
  <c r="M70" i="1" s="1"/>
  <c r="N70" i="1" s="1"/>
  <c r="AD217" i="1"/>
  <c r="W217" i="1"/>
  <c r="AA217" i="1" s="1"/>
  <c r="AC217" i="1"/>
  <c r="W79" i="1"/>
  <c r="AA79" i="1" s="1"/>
  <c r="AD79" i="1"/>
  <c r="AC79" i="1"/>
  <c r="W158" i="1"/>
  <c r="AA158" i="1" s="1"/>
  <c r="AD158" i="1"/>
  <c r="AE158" i="1" s="1"/>
  <c r="AC158" i="1"/>
  <c r="AE112" i="1"/>
  <c r="AE79" i="1" l="1"/>
  <c r="AE214" i="1"/>
  <c r="AE213" i="1"/>
  <c r="AE136" i="1"/>
  <c r="AE141" i="1"/>
  <c r="AE73" i="1"/>
  <c r="AE24" i="1"/>
  <c r="AE145" i="1"/>
  <c r="AE125" i="1"/>
  <c r="AE207" i="1"/>
  <c r="AE100" i="1"/>
  <c r="AE211" i="1"/>
  <c r="AE147" i="1"/>
  <c r="AE82" i="1"/>
  <c r="AE46" i="1"/>
  <c r="AE181" i="1"/>
  <c r="AE233" i="1"/>
  <c r="AE97" i="1"/>
  <c r="AE94" i="1"/>
  <c r="AE101" i="1"/>
  <c r="AE231" i="1"/>
  <c r="AE148" i="1"/>
  <c r="AE178" i="1"/>
  <c r="AE159" i="1"/>
  <c r="AE87" i="1"/>
  <c r="AE166" i="1"/>
  <c r="AE65" i="1"/>
  <c r="AE194" i="1"/>
  <c r="AE63" i="1"/>
  <c r="AE203" i="1"/>
  <c r="AE53" i="1"/>
  <c r="AE200" i="1"/>
  <c r="AE131" i="1"/>
  <c r="AE86" i="1"/>
  <c r="AE107" i="1"/>
  <c r="AE198" i="1"/>
  <c r="AE139" i="1"/>
  <c r="AE225" i="1"/>
  <c r="AE208" i="1"/>
  <c r="AE66" i="1"/>
  <c r="AE91" i="1"/>
  <c r="AE215" i="1"/>
  <c r="AE188" i="1"/>
  <c r="AE99" i="1"/>
  <c r="AE154" i="1"/>
  <c r="AE161" i="1"/>
  <c r="AE177" i="1"/>
  <c r="AE218" i="1"/>
  <c r="AE103" i="1"/>
  <c r="AE81" i="1"/>
  <c r="AE190" i="1"/>
  <c r="AE217" i="1"/>
  <c r="AE232" i="1"/>
  <c r="AE162" i="1"/>
  <c r="AE122" i="1"/>
  <c r="AE18" i="1"/>
  <c r="AE29" i="1"/>
  <c r="AE72" i="1"/>
  <c r="AE23" i="1"/>
  <c r="AE191" i="1"/>
  <c r="AE88" i="1"/>
  <c r="AE119" i="1"/>
  <c r="AE31" i="1"/>
  <c r="AE216" i="1"/>
  <c r="AE183" i="1"/>
  <c r="AE151" i="1"/>
  <c r="AE118" i="1"/>
  <c r="AE132" i="1"/>
  <c r="AE64" i="1"/>
  <c r="AE169" i="1"/>
  <c r="AE121" i="1"/>
  <c r="AE149" i="1"/>
  <c r="AE54" i="1"/>
  <c r="AE128" i="1"/>
  <c r="AE228" i="1"/>
  <c r="AE142" i="1"/>
  <c r="AE70" i="1"/>
  <c r="AE192" i="1"/>
  <c r="AE80" i="1"/>
  <c r="AE25" i="1"/>
  <c r="AE174" i="1"/>
</calcChain>
</file>

<file path=xl/sharedStrings.xml><?xml version="1.0" encoding="utf-8"?>
<sst xmlns="http://schemas.openxmlformats.org/spreadsheetml/2006/main" count="3249" uniqueCount="769">
  <si>
    <t>File opened</t>
  </si>
  <si>
    <t>2023-07-26 07:09:44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</si>
  <si>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</si>
  <si>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</si>
  <si>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</si>
  <si>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</si>
  <si>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</si>
  <si>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</si>
  <si>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</si>
  <si>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</si>
  <si>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</si>
  <si>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</si>
  <si>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</si>
  <si>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</si>
  <si>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</si>
  <si>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</si>
  <si>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</si>
  <si>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</si>
  <si>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</si>
  <si>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</si>
  <si>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</si>
  <si>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</si>
  <si>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</si>
  <si>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</si>
  <si>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</si>
  <si>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</si>
  <si>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</si>
  <si>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</si>
  <si>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</si>
  <si>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</si>
  <si>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</si>
  <si>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</si>
  <si>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</si>
  <si>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</si>
  <si>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07:09:44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</si>
  <si>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</si>
  <si>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</si>
  <si>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</si>
  <si>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</si>
  <si>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</si>
  <si>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</si>
  <si>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</si>
  <si>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</si>
  <si>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</si>
  <si>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</si>
  <si>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</si>
  <si>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</si>
  <si>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</si>
  <si>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</si>
  <si>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</si>
  <si>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</si>
  <si>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</si>
  <si>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</si>
  <si>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</si>
  <si>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</si>
  <si>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</si>
  <si>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</si>
  <si>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</si>
  <si>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</si>
  <si>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</si>
  <si>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</si>
  <si>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</si>
  <si>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</si>
  <si>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</si>
  <si>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</si>
  <si>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</si>
  <si>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</si>
  <si>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</si>
  <si>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</si>
  <si>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</si>
  <si>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</si>
  <si>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</si>
  <si>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</si>
  <si>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</si>
  <si>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</si>
  <si>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</si>
  <si>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</si>
  <si>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</si>
  <si>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</si>
  <si>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</si>
  <si>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</si>
  <si>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</si>
  <si>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</si>
  <si>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</si>
  <si>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</si>
  <si>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</si>
  <si>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</si>
  <si>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9.91589 89.2799 373.467 608.908 843.11 1054.96 1243.37 1426.36</t>
  </si>
  <si>
    <t>Fs_true</t>
  </si>
  <si>
    <t>-0.0224448 102.496 401.746 601.314 801.108 1000.34 1201.96 1401.15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</si>
  <si>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</si>
  <si>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</si>
  <si>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</si>
  <si>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</si>
  <si>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</si>
  <si>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</si>
  <si>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</si>
  <si>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</si>
  <si>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</si>
  <si>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</si>
  <si>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</si>
  <si>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</si>
  <si>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</si>
  <si>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</si>
  <si>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</si>
  <si>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</si>
  <si>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</si>
  <si>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</si>
  <si>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</si>
  <si>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</si>
  <si>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</si>
  <si>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</si>
  <si>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</si>
  <si>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</si>
  <si>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</si>
  <si>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</si>
  <si>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</si>
  <si>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</si>
  <si>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</si>
  <si>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</si>
  <si>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</si>
  <si>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</si>
  <si>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</si>
  <si>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</si>
  <si>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</si>
  <si>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</si>
  <si>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</si>
  <si>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</si>
  <si>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</si>
  <si>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</si>
  <si>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</si>
  <si>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</si>
  <si>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</si>
  <si>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</si>
  <si>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</si>
  <si>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</si>
  <si>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</si>
  <si>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</si>
  <si>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</si>
  <si>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</si>
  <si>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</si>
  <si>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</si>
  <si>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</si>
  <si>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</si>
  <si>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</si>
  <si>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</si>
  <si>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</si>
  <si>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</si>
  <si>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</si>
  <si>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</si>
  <si>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</si>
  <si>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</si>
  <si>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</si>
  <si>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</si>
  <si>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</si>
  <si>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</si>
  <si>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</si>
  <si>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</si>
  <si>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</si>
  <si>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</si>
  <si>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</si>
  <si>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</si>
  <si>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</si>
  <si>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</si>
  <si>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</si>
  <si>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</si>
  <si>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</si>
  <si>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</si>
  <si>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</si>
  <si>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</si>
  <si>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</si>
  <si>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</si>
  <si>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</si>
  <si>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</si>
  <si>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</si>
  <si>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</si>
  <si>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</si>
  <si>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</si>
  <si>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</si>
  <si>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</si>
  <si>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</si>
  <si>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</si>
  <si>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</si>
  <si>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</si>
  <si>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</si>
  <si>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</si>
  <si>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</si>
  <si>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</si>
  <si>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</si>
  <si>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</si>
  <si>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</si>
  <si>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</si>
  <si>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</si>
  <si>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</si>
  <si>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</si>
  <si>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</si>
  <si>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</si>
  <si>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</si>
  <si>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</si>
  <si>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</si>
  <si>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</si>
  <si>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</si>
  <si>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</si>
  <si>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</si>
  <si>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</si>
  <si>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</si>
  <si>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</si>
  <si>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</si>
  <si>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</si>
  <si>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</si>
  <si>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</si>
  <si>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</si>
  <si>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</si>
  <si>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</si>
  <si>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</si>
  <si>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</si>
  <si>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</si>
  <si>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</si>
  <si>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</si>
  <si>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</si>
  <si>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</si>
  <si>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</si>
  <si>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</si>
  <si>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</si>
  <si>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</si>
  <si>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</si>
  <si>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</si>
  <si>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</si>
  <si>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</si>
  <si>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</si>
  <si>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</si>
  <si>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</si>
  <si>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</si>
  <si>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</si>
  <si>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</si>
  <si>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</si>
  <si>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</si>
  <si>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</si>
  <si>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</si>
  <si>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</si>
  <si>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</si>
  <si>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</si>
  <si>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</si>
  <si>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</si>
  <si>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</si>
  <si>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</si>
  <si>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</si>
  <si>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</si>
  <si>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</si>
  <si>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</si>
  <si>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</si>
  <si>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</si>
  <si>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</si>
  <si>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</si>
  <si>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</si>
  <si>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</si>
  <si>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</si>
  <si>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</si>
  <si>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</si>
  <si>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</si>
  <si>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</si>
  <si>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</si>
  <si>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</si>
  <si>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</si>
  <si>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</si>
  <si>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</si>
  <si>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</si>
  <si>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</si>
  <si>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</si>
  <si>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</si>
  <si>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</si>
  <si>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</si>
  <si>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</si>
  <si>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</si>
  <si>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</si>
  <si>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</si>
  <si>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</si>
  <si>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</si>
  <si>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</si>
  <si>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</si>
  <si>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</si>
  <si>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</si>
  <si>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</si>
  <si>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</si>
  <si>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</si>
  <si>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</si>
  <si>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</si>
  <si>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</si>
  <si>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</si>
  <si>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</si>
  <si>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</si>
  <si>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</si>
  <si>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</si>
  <si>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</si>
  <si>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</si>
  <si>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</si>
  <si>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</si>
  <si>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</si>
  <si>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</si>
  <si>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</si>
  <si>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</si>
  <si>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</si>
  <si>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</si>
  <si>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</si>
  <si>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</si>
  <si>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</si>
  <si>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</si>
  <si>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</si>
  <si>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</si>
  <si>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</si>
  <si>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</si>
  <si>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</si>
  <si>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</si>
  <si>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</si>
  <si>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</si>
  <si>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</si>
  <si>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</si>
  <si>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</si>
  <si>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</si>
  <si>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</si>
  <si>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</si>
  <si>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</si>
  <si>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</si>
  <si>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</si>
  <si>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</si>
  <si>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</si>
  <si>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</si>
  <si>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</si>
  <si>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20230726 07:16:59</t>
  </si>
  <si>
    <t>07:16:59</t>
  </si>
  <si>
    <t>none</t>
  </si>
  <si>
    <t>0: Broadleaf</t>
  </si>
  <si>
    <t>07:10:17</t>
  </si>
  <si>
    <t>0/0</t>
  </si>
  <si>
    <t>00000000</t>
  </si>
  <si>
    <t>iiiiiiii</t>
  </si>
  <si>
    <t>off</t>
  </si>
  <si>
    <t>20230726 07:17:00</t>
  </si>
  <si>
    <t>07:17:00</t>
  </si>
  <si>
    <t>20230726 07:17:01</t>
  </si>
  <si>
    <t>07:17:01</t>
  </si>
  <si>
    <t>20230726 07:17:02</t>
  </si>
  <si>
    <t>07:17:02</t>
  </si>
  <si>
    <t>20230726 07:17:03</t>
  </si>
  <si>
    <t>07:17:03</t>
  </si>
  <si>
    <t>20230726 07:18:56</t>
  </si>
  <si>
    <t>07:18:56</t>
  </si>
  <si>
    <t>20230726 07:19:06</t>
  </si>
  <si>
    <t>07:19:06</t>
  </si>
  <si>
    <t>20230726 07:19:16</t>
  </si>
  <si>
    <t>07:19:16</t>
  </si>
  <si>
    <t>20230726 07:19:26</t>
  </si>
  <si>
    <t>07:19:26</t>
  </si>
  <si>
    <t>20230726 07:19:36</t>
  </si>
  <si>
    <t>07:19:36</t>
  </si>
  <si>
    <t>20230726 07:19:46</t>
  </si>
  <si>
    <t>07:19:46</t>
  </si>
  <si>
    <t>20230726 07:19:56</t>
  </si>
  <si>
    <t>07:19:56</t>
  </si>
  <si>
    <t>20230726 07:20:06</t>
  </si>
  <si>
    <t>07:20:06</t>
  </si>
  <si>
    <t>20230726 07:20:16</t>
  </si>
  <si>
    <t>07:20:16</t>
  </si>
  <si>
    <t>20230726 07:20:26</t>
  </si>
  <si>
    <t>07:20:26</t>
  </si>
  <si>
    <t>20230726 07:20:36</t>
  </si>
  <si>
    <t>07:20:36</t>
  </si>
  <si>
    <t>20230726 07:20:46</t>
  </si>
  <si>
    <t>07:20:46</t>
  </si>
  <si>
    <t>20230726 07:20:56</t>
  </si>
  <si>
    <t>07:20:56</t>
  </si>
  <si>
    <t>20230726 07:21:06</t>
  </si>
  <si>
    <t>07:21:06</t>
  </si>
  <si>
    <t>20230726 07:21:16</t>
  </si>
  <si>
    <t>07:21:16</t>
  </si>
  <si>
    <t>20230726 07:21:26</t>
  </si>
  <si>
    <t>07:21:26</t>
  </si>
  <si>
    <t>20230726 07:21:36</t>
  </si>
  <si>
    <t>07:21:36</t>
  </si>
  <si>
    <t>20230726 07:21:46</t>
  </si>
  <si>
    <t>07:21:46</t>
  </si>
  <si>
    <t>20230726 07:21:56</t>
  </si>
  <si>
    <t>07:21:56</t>
  </si>
  <si>
    <t>20230726 07:22:06</t>
  </si>
  <si>
    <t>07:22:06</t>
  </si>
  <si>
    <t>20230726 07:22:16</t>
  </si>
  <si>
    <t>07:22:16</t>
  </si>
  <si>
    <t>20230726 07:22:26</t>
  </si>
  <si>
    <t>07:22:26</t>
  </si>
  <si>
    <t>20230726 07:22:36</t>
  </si>
  <si>
    <t>07:22:36</t>
  </si>
  <si>
    <t>20230726 07:22:46</t>
  </si>
  <si>
    <t>07:22:46</t>
  </si>
  <si>
    <t>20230726 07:22:56</t>
  </si>
  <si>
    <t>07:22:56</t>
  </si>
  <si>
    <t>20230726 07:23:06</t>
  </si>
  <si>
    <t>07:23:06</t>
  </si>
  <si>
    <t>20230726 07:23:16</t>
  </si>
  <si>
    <t>07:23:16</t>
  </si>
  <si>
    <t>20230726 07:23:26</t>
  </si>
  <si>
    <t>07:23:26</t>
  </si>
  <si>
    <t>20230726 07:23:36</t>
  </si>
  <si>
    <t>07:23:36</t>
  </si>
  <si>
    <t>20230726 07:23:46</t>
  </si>
  <si>
    <t>07:23:46</t>
  </si>
  <si>
    <t>20230726 07:23:56</t>
  </si>
  <si>
    <t>07:23:56</t>
  </si>
  <si>
    <t>20230726 07:24:06</t>
  </si>
  <si>
    <t>07:24:06</t>
  </si>
  <si>
    <t>20230726 07:24:16</t>
  </si>
  <si>
    <t>07:24:16</t>
  </si>
  <si>
    <t>20230726 07:24:26</t>
  </si>
  <si>
    <t>07:24:26</t>
  </si>
  <si>
    <t>20230726 07:24:36</t>
  </si>
  <si>
    <t>07:24:36</t>
  </si>
  <si>
    <t>20230726 07:24:46</t>
  </si>
  <si>
    <t>07:24:46</t>
  </si>
  <si>
    <t>20230726 07:24:56</t>
  </si>
  <si>
    <t>07:24:56</t>
  </si>
  <si>
    <t>20230726 07:25:06</t>
  </si>
  <si>
    <t>07:25:06</t>
  </si>
  <si>
    <t>20230726 07:25:16</t>
  </si>
  <si>
    <t>07:25:16</t>
  </si>
  <si>
    <t>20230726 07:25:26</t>
  </si>
  <si>
    <t>07:25:26</t>
  </si>
  <si>
    <t>20230726 07:25:36</t>
  </si>
  <si>
    <t>07:25:36</t>
  </si>
  <si>
    <t>20230726 07:25:46</t>
  </si>
  <si>
    <t>07:25:46</t>
  </si>
  <si>
    <t>20230726 07:25:56</t>
  </si>
  <si>
    <t>07:25:56</t>
  </si>
  <si>
    <t>20230726 07:26:06</t>
  </si>
  <si>
    <t>07:26:06</t>
  </si>
  <si>
    <t>20230726 07:26:16</t>
  </si>
  <si>
    <t>07:26:16</t>
  </si>
  <si>
    <t>20230726 07:26:26</t>
  </si>
  <si>
    <t>07:26:26</t>
  </si>
  <si>
    <t>20230726 07:26:36</t>
  </si>
  <si>
    <t>07:26:36</t>
  </si>
  <si>
    <t>20230726 07:26:46</t>
  </si>
  <si>
    <t>07:26:46</t>
  </si>
  <si>
    <t>20230726 07:26:56</t>
  </si>
  <si>
    <t>07:26:56</t>
  </si>
  <si>
    <t>20230726 07:27:06</t>
  </si>
  <si>
    <t>07:27:06</t>
  </si>
  <si>
    <t>20230726 07:27:16</t>
  </si>
  <si>
    <t>07:27:16</t>
  </si>
  <si>
    <t>20230726 07:27:26</t>
  </si>
  <si>
    <t>07:27:26</t>
  </si>
  <si>
    <t>20230726 07:27:36</t>
  </si>
  <si>
    <t>07:27:36</t>
  </si>
  <si>
    <t>20230726 07:27:46</t>
  </si>
  <si>
    <t>07:27:46</t>
  </si>
  <si>
    <t>20230726 07:27:56</t>
  </si>
  <si>
    <t>07:27:56</t>
  </si>
  <si>
    <t>20230726 07:28:06</t>
  </si>
  <si>
    <t>07:28:06</t>
  </si>
  <si>
    <t>20230726 07:28:16</t>
  </si>
  <si>
    <t>07:28:16</t>
  </si>
  <si>
    <t>20230726 07:28:26</t>
  </si>
  <si>
    <t>07:28:26</t>
  </si>
  <si>
    <t>20230726 07:28:36</t>
  </si>
  <si>
    <t>07:28:36</t>
  </si>
  <si>
    <t>20230726 07:28:46</t>
  </si>
  <si>
    <t>07:28:46</t>
  </si>
  <si>
    <t>20230726 07:28:56</t>
  </si>
  <si>
    <t>07:28:56</t>
  </si>
  <si>
    <t>20230726 07:29:06</t>
  </si>
  <si>
    <t>07:29:06</t>
  </si>
  <si>
    <t>20230726 07:29:16</t>
  </si>
  <si>
    <t>07:29:16</t>
  </si>
  <si>
    <t>20230726 07:29:26</t>
  </si>
  <si>
    <t>07:29:26</t>
  </si>
  <si>
    <t>20230726 07:29:36</t>
  </si>
  <si>
    <t>07:29:36</t>
  </si>
  <si>
    <t>20230726 07:29:46</t>
  </si>
  <si>
    <t>07:29:46</t>
  </si>
  <si>
    <t>20230726 07:29:56</t>
  </si>
  <si>
    <t>07:29:56</t>
  </si>
  <si>
    <t>20230726 07:30:06</t>
  </si>
  <si>
    <t>07:30:06</t>
  </si>
  <si>
    <t>20230726 07:30:16</t>
  </si>
  <si>
    <t>07:30:16</t>
  </si>
  <si>
    <t>20230726 07:30:26</t>
  </si>
  <si>
    <t>07:30:26</t>
  </si>
  <si>
    <t>20230726 07:30:36</t>
  </si>
  <si>
    <t>07:30:36</t>
  </si>
  <si>
    <t>20230726 07:30:46</t>
  </si>
  <si>
    <t>07:30:46</t>
  </si>
  <si>
    <t>20230726 07:30:56</t>
  </si>
  <si>
    <t>07:30:56</t>
  </si>
  <si>
    <t>20230726 07:31:06</t>
  </si>
  <si>
    <t>07:31:06</t>
  </si>
  <si>
    <t>20230726 07:31:16</t>
  </si>
  <si>
    <t>07:31:16</t>
  </si>
  <si>
    <t>20230726 07:31:26</t>
  </si>
  <si>
    <t>07:31:26</t>
  </si>
  <si>
    <t>20230726 07:31:36</t>
  </si>
  <si>
    <t>07:31:36</t>
  </si>
  <si>
    <t>20230726 07:31:46</t>
  </si>
  <si>
    <t>07:31:46</t>
  </si>
  <si>
    <t>20230726 07:31:56</t>
  </si>
  <si>
    <t>07:31:56</t>
  </si>
  <si>
    <t>20230726 07:32:06</t>
  </si>
  <si>
    <t>07:32:06</t>
  </si>
  <si>
    <t>20230726 07:32:16</t>
  </si>
  <si>
    <t>07:32:16</t>
  </si>
  <si>
    <t>20230726 07:32:26</t>
  </si>
  <si>
    <t>07:32:26</t>
  </si>
  <si>
    <t>20230726 07:32:36</t>
  </si>
  <si>
    <t>07:32:36</t>
  </si>
  <si>
    <t>20230726 07:32:46</t>
  </si>
  <si>
    <t>07:32:46</t>
  </si>
  <si>
    <t>20230726 07:32:56</t>
  </si>
  <si>
    <t>07:32:56</t>
  </si>
  <si>
    <t>20230726 07:33:06</t>
  </si>
  <si>
    <t>07:33:06</t>
  </si>
  <si>
    <t>20230726 07:33:16</t>
  </si>
  <si>
    <t>07:33:16</t>
  </si>
  <si>
    <t>20230726 07:33:26</t>
  </si>
  <si>
    <t>07:33:26</t>
  </si>
  <si>
    <t>20230726 07:33:36</t>
  </si>
  <si>
    <t>07:33:36</t>
  </si>
  <si>
    <t>20230726 07:33:46</t>
  </si>
  <si>
    <t>07:33:46</t>
  </si>
  <si>
    <t>20230726 07:33:56</t>
  </si>
  <si>
    <t>07:33:56</t>
  </si>
  <si>
    <t>20230726 07:34:06</t>
  </si>
  <si>
    <t>07:34:06</t>
  </si>
  <si>
    <t>20230726 07:34:16</t>
  </si>
  <si>
    <t>07:34:16</t>
  </si>
  <si>
    <t>20230726 07:34:26</t>
  </si>
  <si>
    <t>07:34:26</t>
  </si>
  <si>
    <t>20230726 07:34:36</t>
  </si>
  <si>
    <t>07:34:36</t>
  </si>
  <si>
    <t>20230726 07:34:46</t>
  </si>
  <si>
    <t>07:34:46</t>
  </si>
  <si>
    <t>20230726 07:34:56</t>
  </si>
  <si>
    <t>07:34:56</t>
  </si>
  <si>
    <t>20230726 07:35:06</t>
  </si>
  <si>
    <t>07:35:06</t>
  </si>
  <si>
    <t>20230726 07:35:16</t>
  </si>
  <si>
    <t>07:35:16</t>
  </si>
  <si>
    <t>20230726 07:35:26</t>
  </si>
  <si>
    <t>07:35:26</t>
  </si>
  <si>
    <t>20230726 07:35:36</t>
  </si>
  <si>
    <t>07:35:36</t>
  </si>
  <si>
    <t>20230726 07:35:46</t>
  </si>
  <si>
    <t>07:35:46</t>
  </si>
  <si>
    <t>20230726 07:35:56</t>
  </si>
  <si>
    <t>07:35:56</t>
  </si>
  <si>
    <t>20230726 07:36:06</t>
  </si>
  <si>
    <t>07:36:06</t>
  </si>
  <si>
    <t>20230726 07:36:16</t>
  </si>
  <si>
    <t>07:36:16</t>
  </si>
  <si>
    <t>20230726 07:36:26</t>
  </si>
  <si>
    <t>07:36:26</t>
  </si>
  <si>
    <t>20230726 07:36:36</t>
  </si>
  <si>
    <t>07:36:36</t>
  </si>
  <si>
    <t>20230726 07:36:46</t>
  </si>
  <si>
    <t>07:36:46</t>
  </si>
  <si>
    <t>20230726 07:36:56</t>
  </si>
  <si>
    <t>07:36:56</t>
  </si>
  <si>
    <t>20230726 07:37:06</t>
  </si>
  <si>
    <t>07:37:06</t>
  </si>
  <si>
    <t>20230726 07:37:16</t>
  </si>
  <si>
    <t>07:37:16</t>
  </si>
  <si>
    <t>20230726 07:37:26</t>
  </si>
  <si>
    <t>07:37:26</t>
  </si>
  <si>
    <t>20230726 07:37:36</t>
  </si>
  <si>
    <t>07:37:36</t>
  </si>
  <si>
    <t>20230726 07:37:46</t>
  </si>
  <si>
    <t>07:37:46</t>
  </si>
  <si>
    <t>20230726 07:37:56</t>
  </si>
  <si>
    <t>07:37:56</t>
  </si>
  <si>
    <t>20230726 07:38:06</t>
  </si>
  <si>
    <t>07:38:06</t>
  </si>
  <si>
    <t>20230726 07:38:16</t>
  </si>
  <si>
    <t>07:38:16</t>
  </si>
  <si>
    <t>20230726 07:38:26</t>
  </si>
  <si>
    <t>07:38:26</t>
  </si>
  <si>
    <t>20230726 07:38:36</t>
  </si>
  <si>
    <t>07:38:36</t>
  </si>
  <si>
    <t>20230726 07:38:46</t>
  </si>
  <si>
    <t>07:38:46</t>
  </si>
  <si>
    <t>20230726 07:38:56</t>
  </si>
  <si>
    <t>07:38:56</t>
  </si>
  <si>
    <t>20230726 07:39:06</t>
  </si>
  <si>
    <t>07:39:06</t>
  </si>
  <si>
    <t>20230726 07:39:16</t>
  </si>
  <si>
    <t>07:39:16</t>
  </si>
  <si>
    <t>20230726 07:39:26</t>
  </si>
  <si>
    <t>07:39:26</t>
  </si>
  <si>
    <t>20230726 07:39:36</t>
  </si>
  <si>
    <t>07:39:36</t>
  </si>
  <si>
    <t>20230726 07:39:46</t>
  </si>
  <si>
    <t>07:39:46</t>
  </si>
  <si>
    <t>20230726 07:39:56</t>
  </si>
  <si>
    <t>07:39:56</t>
  </si>
  <si>
    <t>20230726 07:40:06</t>
  </si>
  <si>
    <t>07:40:06</t>
  </si>
  <si>
    <t>20230726 07:40:16</t>
  </si>
  <si>
    <t>07:40:16</t>
  </si>
  <si>
    <t>20230726 07:40:26</t>
  </si>
  <si>
    <t>07:40:26</t>
  </si>
  <si>
    <t>20230726 07:40:36</t>
  </si>
  <si>
    <t>07:40:36</t>
  </si>
  <si>
    <t>20230726 07:40:46</t>
  </si>
  <si>
    <t>07:40:46</t>
  </si>
  <si>
    <t>20230726 07:40:56</t>
  </si>
  <si>
    <t>07:40:56</t>
  </si>
  <si>
    <t>20230726 07:41:06</t>
  </si>
  <si>
    <t>07:41:06</t>
  </si>
  <si>
    <t>20230726 07:41:16</t>
  </si>
  <si>
    <t>07:41:16</t>
  </si>
  <si>
    <t>20230726 07:41:26</t>
  </si>
  <si>
    <t>07:41:26</t>
  </si>
  <si>
    <t>20230726 07:41:36</t>
  </si>
  <si>
    <t>07:41:36</t>
  </si>
  <si>
    <t>20230726 07:41:46</t>
  </si>
  <si>
    <t>07:41:46</t>
  </si>
  <si>
    <t>20230726 07:41:56</t>
  </si>
  <si>
    <t>07:41:56</t>
  </si>
  <si>
    <t>20230726 07:42:06</t>
  </si>
  <si>
    <t>07:42:06</t>
  </si>
  <si>
    <t>20230726 07:42:16</t>
  </si>
  <si>
    <t>07:42:16</t>
  </si>
  <si>
    <t>20230726 07:42:26</t>
  </si>
  <si>
    <t>07:42:26</t>
  </si>
  <si>
    <t>20230726 07:42:36</t>
  </si>
  <si>
    <t>07:42:36</t>
  </si>
  <si>
    <t>20230726 07:42:46</t>
  </si>
  <si>
    <t>07:42:46</t>
  </si>
  <si>
    <t>20230726 07:42:56</t>
  </si>
  <si>
    <t>07:42:56</t>
  </si>
  <si>
    <t>20230726 07:43:06</t>
  </si>
  <si>
    <t>07:43:06</t>
  </si>
  <si>
    <t>20230726 07:43:16</t>
  </si>
  <si>
    <t>07:43:16</t>
  </si>
  <si>
    <t>20230726 07:43:26</t>
  </si>
  <si>
    <t>07:43:26</t>
  </si>
  <si>
    <t>20230726 07:43:36</t>
  </si>
  <si>
    <t>07:43:36</t>
  </si>
  <si>
    <t>20230726 07:43:46</t>
  </si>
  <si>
    <t>07:43:46</t>
  </si>
  <si>
    <t>20230726 07:43:56</t>
  </si>
  <si>
    <t>07:43:56</t>
  </si>
  <si>
    <t>20230726 07:44:06</t>
  </si>
  <si>
    <t>07:44:06</t>
  </si>
  <si>
    <t>20230726 07:44:16</t>
  </si>
  <si>
    <t>07:44:16</t>
  </si>
  <si>
    <t>20230726 07:44:26</t>
  </si>
  <si>
    <t>07:44:26</t>
  </si>
  <si>
    <t>20230726 07:44:36</t>
  </si>
  <si>
    <t>07:44:36</t>
  </si>
  <si>
    <t>20230726 07:44:46</t>
  </si>
  <si>
    <t>07:44:46</t>
  </si>
  <si>
    <t>20230726 07:44:56</t>
  </si>
  <si>
    <t>07:44:56</t>
  </si>
  <si>
    <t>20230726 07:45:06</t>
  </si>
  <si>
    <t>07:45:06</t>
  </si>
  <si>
    <t>20230726 07:45:16</t>
  </si>
  <si>
    <t>07:45:16</t>
  </si>
  <si>
    <t>20230726 07:45:26</t>
  </si>
  <si>
    <t>07:45:26</t>
  </si>
  <si>
    <t>20230726 07:45:36</t>
  </si>
  <si>
    <t>07:45:36</t>
  </si>
  <si>
    <t>20230726 07:45:46</t>
  </si>
  <si>
    <t>07:45:46</t>
  </si>
  <si>
    <t>20230726 07:45:56</t>
  </si>
  <si>
    <t>07:45:56</t>
  </si>
  <si>
    <t>20230726 07:46:06</t>
  </si>
  <si>
    <t>07:46:06</t>
  </si>
  <si>
    <t>20230726 07:46:16</t>
  </si>
  <si>
    <t>07:46:16</t>
  </si>
  <si>
    <t>20230726 07:46:26</t>
  </si>
  <si>
    <t>07:46:26</t>
  </si>
  <si>
    <t>20230726 07:46:36</t>
  </si>
  <si>
    <t>07:46:36</t>
  </si>
  <si>
    <t>20230726 07:46:46</t>
  </si>
  <si>
    <t>07:46:46</t>
  </si>
  <si>
    <t>20230726 07:46:56</t>
  </si>
  <si>
    <t>07:46:56</t>
  </si>
  <si>
    <t>20230726 07:47:06</t>
  </si>
  <si>
    <t>07:47:06</t>
  </si>
  <si>
    <t>20230726 07:47:16</t>
  </si>
  <si>
    <t>07:47:16</t>
  </si>
  <si>
    <t>20230726 07:47:26</t>
  </si>
  <si>
    <t>07:47:26</t>
  </si>
  <si>
    <t>20230726 07:47:36</t>
  </si>
  <si>
    <t>07:47:36</t>
  </si>
  <si>
    <t>20230726 07:47:46</t>
  </si>
  <si>
    <t>07:47:46</t>
  </si>
  <si>
    <t>20230726 07:47:56</t>
  </si>
  <si>
    <t>07:47:56</t>
  </si>
  <si>
    <t>20230726 07:48:06</t>
  </si>
  <si>
    <t>07:48:06</t>
  </si>
  <si>
    <t>20230726 07:48:16</t>
  </si>
  <si>
    <t>07:48:16</t>
  </si>
  <si>
    <t>20230726 07:48:26</t>
  </si>
  <si>
    <t>07:48:26</t>
  </si>
  <si>
    <t>20230726 07:48:36</t>
  </si>
  <si>
    <t>07:48:36</t>
  </si>
  <si>
    <t>20230726 07:48:46</t>
  </si>
  <si>
    <t>07:48:46</t>
  </si>
  <si>
    <t>20230726 07:48:56</t>
  </si>
  <si>
    <t>07:48:56</t>
  </si>
  <si>
    <t>20230726 07:49:06</t>
  </si>
  <si>
    <t>07:49:06</t>
  </si>
  <si>
    <t>20230726 07:49:16</t>
  </si>
  <si>
    <t>07:49:16</t>
  </si>
  <si>
    <t>20230726 07:49:26</t>
  </si>
  <si>
    <t>07:49:26</t>
  </si>
  <si>
    <t>20230726 07:49:36</t>
  </si>
  <si>
    <t>07:49:36</t>
  </si>
  <si>
    <t>20230726 07:49:46</t>
  </si>
  <si>
    <t>07:49:46</t>
  </si>
  <si>
    <t>20230726 07:49:56</t>
  </si>
  <si>
    <t>07:49:56</t>
  </si>
  <si>
    <t>20230726 07:50:06</t>
  </si>
  <si>
    <t>07:50:06</t>
  </si>
  <si>
    <t>20230726 07:50:16</t>
  </si>
  <si>
    <t>07:50:16</t>
  </si>
  <si>
    <t>20230726 07:50:26</t>
  </si>
  <si>
    <t>07:50:26</t>
  </si>
  <si>
    <t>20230726 07:50:36</t>
  </si>
  <si>
    <t>07:50:36</t>
  </si>
  <si>
    <t>20230726 07:50:46</t>
  </si>
  <si>
    <t>07:50:46</t>
  </si>
  <si>
    <t>20230726 07:50:56</t>
  </si>
  <si>
    <t>07:50:56</t>
  </si>
  <si>
    <t>20230726 07:51:06</t>
  </si>
  <si>
    <t>07:51:06</t>
  </si>
  <si>
    <t>20230726 07:51:16</t>
  </si>
  <si>
    <t>07:51:16</t>
  </si>
  <si>
    <t>20230726 07:51:26</t>
  </si>
  <si>
    <t>07:51:26</t>
  </si>
  <si>
    <t>20230726 07:51:36</t>
  </si>
  <si>
    <t>07:51:36</t>
  </si>
  <si>
    <t>20230726 07:51:46</t>
  </si>
  <si>
    <t>07:51:46</t>
  </si>
  <si>
    <t>20230726 07:51:56</t>
  </si>
  <si>
    <t>07:51:56</t>
  </si>
  <si>
    <t>20230726 07:52:06</t>
  </si>
  <si>
    <t>07:52:06</t>
  </si>
  <si>
    <t>20230726 07:52:16</t>
  </si>
  <si>
    <t>07:52:16</t>
  </si>
  <si>
    <t>20230726 07:52:26</t>
  </si>
  <si>
    <t>07:52:26</t>
  </si>
  <si>
    <t>20230726 07:52:36</t>
  </si>
  <si>
    <t>07:52:36</t>
  </si>
  <si>
    <t>20230726 07:52:46</t>
  </si>
  <si>
    <t>07:52:46</t>
  </si>
  <si>
    <t>20230726 07:52:56</t>
  </si>
  <si>
    <t>07:52:56</t>
  </si>
  <si>
    <t>20230726 07:53:06</t>
  </si>
  <si>
    <t>07:53:06</t>
  </si>
  <si>
    <t>20230726 07:53:16</t>
  </si>
  <si>
    <t>07:53:16</t>
  </si>
  <si>
    <t>20230726 07:53:26</t>
  </si>
  <si>
    <t>07:53:26</t>
  </si>
  <si>
    <t>20230726 07:53:36</t>
  </si>
  <si>
    <t>07:53:36</t>
  </si>
  <si>
    <t>20230726 07:53:46</t>
  </si>
  <si>
    <t>07:53:46</t>
  </si>
  <si>
    <t>20230726 07:53:56</t>
  </si>
  <si>
    <t>07:53:56</t>
  </si>
  <si>
    <t>20230726 07:54:06</t>
  </si>
  <si>
    <t>07:54:06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</si>
</sst>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33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1690373819.5</v>
      </c>
      <c r="C17">
        <v>0</v>
      </c>
      <c r="D17" t="s">
        <v>328</v>
      </c>
      <c r="E17" t="s">
        <v>329</v>
      </c>
      <c r="F17" t="s">
        <v>330</v>
      </c>
      <c r="H17">
        <v>1690373819.5</v>
      </c>
      <c r="I17">
        <f t="shared" ref="I17:I80" si="0">(J17)/1000</f>
        <v>2.2502807001345619E-4</v>
      </c>
      <c r="J17">
        <f t="shared" ref="J17:J80" si="1">1000*AZ17*AH17*(AV17-AW17)/(100*AO17*(1000-AH17*AV17))</f>
        <v>0.22502807001345618</v>
      </c>
      <c r="K17">
        <f t="shared" ref="K17:K80" si="2">AZ17*AH17*(AU17-AT17*(1000-AH17*AW17)/(1000-AH17*AV17))/(100*AO17)</f>
        <v>-1.2303776208546851</v>
      </c>
      <c r="L17">
        <f t="shared" ref="L17:L80" si="3">AT17 - IF(AH17&gt;1, K17*AO17*100/(AJ17*BH17), 0)</f>
        <v>810.39700000000005</v>
      </c>
      <c r="M17">
        <f t="shared" ref="M17:M80" si="4">((S17-I17/2)*L17-K17)/(S17+I17/2)</f>
        <v>905.6398438592189</v>
      </c>
      <c r="N17">
        <f t="shared" ref="N17:N80" si="5">M17*(BA17+BB17)/1000</f>
        <v>89.485515675691971</v>
      </c>
      <c r="O17">
        <f t="shared" ref="O17:O80" si="6">(AT17 - IF(AH17&gt;1, K17*AO17*100/(AJ17*BH17), 0))*(BA17+BB17)/1000</f>
        <v>80.074649916028605</v>
      </c>
      <c r="P17">
        <f t="shared" ref="P17:P80" si="7">2/((1/R17-1/Q17)+SIGN(R17)*SQRT((1/R17-1/Q17)*(1/R17-1/Q17) + 4*AP17/((AP17+1)*(AP17+1))*(2*1/R17*1/Q17-1/Q17*1/Q17)))</f>
        <v>1.7490090548075453E-2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2.2530606736600589</v>
      </c>
      <c r="R17">
        <f t="shared" ref="R17:R80" si="9">I17*(1000-(1000*0.61365*EXP(17.502*V17/(240.97+V17))/(BA17+BB17)+AV17)/2)/(1000*0.61365*EXP(17.502*V17/(240.97+V17))/(BA17+BB17)-AV17)</f>
        <v>1.7415011099712819E-2</v>
      </c>
      <c r="S17">
        <f t="shared" ref="S17:S80" si="10">1/((AP17+1)/(P17/1.6)+1/(Q17/1.37)) + AP17/((AP17+1)/(P17/1.6) + AP17/(Q17/1.37))</f>
        <v>1.0891100573027163E-2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26.709828479245211</v>
      </c>
      <c r="V17">
        <f t="shared" ref="V17:V80" si="13">($C$7*BD17+$D$7*BE17+$E$7*U17)</f>
        <v>26.709828479245211</v>
      </c>
      <c r="W17">
        <f t="shared" ref="W17:W80" si="14">0.61365*EXP(17.502*V17/(240.97+V17))</f>
        <v>3.5186137253700052</v>
      </c>
      <c r="X17">
        <f t="shared" ref="X17:X80" si="15">(Y17/Z17*100)</f>
        <v>64.495008414682147</v>
      </c>
      <c r="Y17">
        <f t="shared" ref="Y17:Y80" si="16">AV17*(BA17+BB17)/1000</f>
        <v>2.2793100287056394</v>
      </c>
      <c r="Z17">
        <f t="shared" ref="Z17:Z80" si="17">0.61365*EXP(17.502*BC17/(240.97+BC17))</f>
        <v>3.5340874972066203</v>
      </c>
      <c r="AA17">
        <f t="shared" ref="AA17:AA80" si="18">(W17-AV17*(BA17+BB17)/1000)</f>
        <v>1.2393036966643658</v>
      </c>
      <c r="AB17">
        <f t="shared" ref="AB17:AB80" si="19">(-I17*44100)</f>
        <v>-9.9237378875934183</v>
      </c>
      <c r="AC17">
        <f t="shared" ref="AC17:AC80" si="20">2*29.3*Q17*0.92*(BC17-V17)</f>
        <v>9.0579794363834907</v>
      </c>
      <c r="AD17">
        <f t="shared" ref="AD17:AD80" si="21">2*0.95*0.0000000567*(((BC17+$B$7)+273)^4-(V17+273)^4)</f>
        <v>0.86543546799932558</v>
      </c>
      <c r="AE17">
        <f t="shared" ref="AE17:AE80" si="22">T17+AD17+AB17+AC17</f>
        <v>-3.2298321060153512E-4</v>
      </c>
      <c r="AF17">
        <v>1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52379.39328374889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30</v>
      </c>
      <c r="AP17">
        <v>0.5</v>
      </c>
      <c r="AQ17" t="s">
        <v>331</v>
      </c>
      <c r="AR17">
        <v>2</v>
      </c>
      <c r="AS17">
        <v>1690373819.5</v>
      </c>
      <c r="AT17">
        <v>810.39700000000005</v>
      </c>
      <c r="AU17">
        <v>799.92100000000005</v>
      </c>
      <c r="AV17">
        <v>23.067799999999998</v>
      </c>
      <c r="AW17">
        <v>20.8703</v>
      </c>
      <c r="AX17">
        <v>811.77599999999995</v>
      </c>
      <c r="AY17">
        <v>22.885000000000002</v>
      </c>
      <c r="AZ17">
        <v>300.11900000000003</v>
      </c>
      <c r="BA17">
        <v>98.709199999999996</v>
      </c>
      <c r="BB17">
        <v>9.9963800000000005E-2</v>
      </c>
      <c r="BC17">
        <v>26.784400000000002</v>
      </c>
      <c r="BD17">
        <v>26.992799999999999</v>
      </c>
      <c r="BE17">
        <v>26.973800000000001</v>
      </c>
      <c r="BF17">
        <v>0</v>
      </c>
      <c r="BG17">
        <v>0</v>
      </c>
      <c r="BH17">
        <v>10029.4</v>
      </c>
      <c r="BI17">
        <v>0.66905400000000004</v>
      </c>
      <c r="BJ17">
        <v>1.05124</v>
      </c>
      <c r="BK17">
        <v>10.4764</v>
      </c>
      <c r="BL17">
        <v>829.53200000000004</v>
      </c>
      <c r="BM17">
        <v>816.971</v>
      </c>
      <c r="BN17">
        <v>2.1975500000000001</v>
      </c>
      <c r="BO17">
        <v>799.92100000000005</v>
      </c>
      <c r="BP17">
        <v>20.8703</v>
      </c>
      <c r="BQ17">
        <v>2.2770000000000001</v>
      </c>
      <c r="BR17">
        <v>2.0600900000000002</v>
      </c>
      <c r="BS17">
        <v>19.514600000000002</v>
      </c>
      <c r="BT17">
        <v>17.913900000000002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20.458300000000001</v>
      </c>
      <c r="CA17">
        <v>0</v>
      </c>
      <c r="CB17">
        <v>1690373417</v>
      </c>
      <c r="CC17" t="s">
        <v>332</v>
      </c>
      <c r="CD17">
        <v>1690373417</v>
      </c>
      <c r="CE17">
        <v>1690373415</v>
      </c>
      <c r="CF17">
        <v>1</v>
      </c>
      <c r="CG17">
        <v>-1.319</v>
      </c>
      <c r="CH17">
        <v>0.01</v>
      </c>
      <c r="CI17">
        <v>-1.371</v>
      </c>
      <c r="CJ17">
        <v>0.183</v>
      </c>
      <c r="CK17">
        <v>800</v>
      </c>
      <c r="CL17">
        <v>21</v>
      </c>
      <c r="CM17">
        <v>0.09</v>
      </c>
      <c r="CN17">
        <v>7.0000000000000007E-2</v>
      </c>
      <c r="CO17">
        <v>10.366285</v>
      </c>
      <c r="CP17">
        <v>0.1018491557222901</v>
      </c>
      <c r="CQ17">
        <v>4.0930700885765343E-2</v>
      </c>
      <c r="CR17">
        <v>-1</v>
      </c>
      <c r="CS17">
        <v>2.2013997500000002</v>
      </c>
      <c r="CT17">
        <v>-2.838630393996372E-2</v>
      </c>
      <c r="CU17">
        <v>2.849030964643914E-3</v>
      </c>
      <c r="CV17">
        <v>-1</v>
      </c>
      <c r="CW17">
        <v>0</v>
      </c>
      <c r="CX17">
        <v>0</v>
      </c>
      <c r="CY17" t="s">
        <v>333</v>
      </c>
      <c r="CZ17">
        <v>2.3653599999999999</v>
      </c>
      <c r="DA17">
        <v>2.7137799999999999</v>
      </c>
      <c r="DB17">
        <v>0.14798500000000001</v>
      </c>
      <c r="DC17">
        <v>0.146204</v>
      </c>
      <c r="DD17">
        <v>0.11064300000000001</v>
      </c>
      <c r="DE17">
        <v>0.101604</v>
      </c>
      <c r="DF17">
        <v>31115.9</v>
      </c>
      <c r="DG17">
        <v>27479</v>
      </c>
      <c r="DH17">
        <v>31173.4</v>
      </c>
      <c r="DI17">
        <v>28040.400000000001</v>
      </c>
      <c r="DJ17">
        <v>37633.300000000003</v>
      </c>
      <c r="DK17">
        <v>35792.1</v>
      </c>
      <c r="DL17">
        <v>44355.5</v>
      </c>
      <c r="DM17">
        <v>42467.4</v>
      </c>
      <c r="DN17">
        <v>1.47082</v>
      </c>
      <c r="DO17">
        <v>2.1093500000000001</v>
      </c>
      <c r="DP17">
        <v>8.9053099999999996E-2</v>
      </c>
      <c r="DQ17">
        <v>8.3286299999999994E-2</v>
      </c>
      <c r="DR17">
        <v>25.534700000000001</v>
      </c>
      <c r="DS17">
        <v>25.610199999999999</v>
      </c>
      <c r="DT17">
        <v>70.099999999999994</v>
      </c>
      <c r="DU17">
        <v>23.6</v>
      </c>
      <c r="DV17">
        <v>20.761299999999999</v>
      </c>
      <c r="DW17">
        <v>61.690100000000001</v>
      </c>
      <c r="DX17">
        <v>36.486400000000003</v>
      </c>
      <c r="DY17">
        <v>1</v>
      </c>
      <c r="DZ17">
        <v>-0.17111000000000001</v>
      </c>
      <c r="EA17">
        <v>-2.0778300000000001</v>
      </c>
      <c r="EB17">
        <v>20.2911</v>
      </c>
      <c r="EC17">
        <v>5.2433500000000004</v>
      </c>
      <c r="ED17">
        <v>12.039899999999999</v>
      </c>
      <c r="EE17">
        <v>5.0171999999999999</v>
      </c>
      <c r="EF17">
        <v>3.2879700000000001</v>
      </c>
      <c r="EG17">
        <v>9999</v>
      </c>
      <c r="EH17">
        <v>9999</v>
      </c>
      <c r="EI17">
        <v>9999</v>
      </c>
      <c r="EJ17">
        <v>999.9</v>
      </c>
      <c r="EK17">
        <v>1.8686</v>
      </c>
      <c r="EL17">
        <v>1.8643000000000001</v>
      </c>
      <c r="EM17">
        <v>1.86903</v>
      </c>
      <c r="EN17">
        <v>1.86694</v>
      </c>
      <c r="EO17">
        <v>1.8631</v>
      </c>
      <c r="EP17">
        <v>1.86409</v>
      </c>
      <c r="EQ17">
        <v>1.8699600000000001</v>
      </c>
      <c r="ER17">
        <v>1.8692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-1.379</v>
      </c>
      <c r="FG17">
        <v>0.18279999999999999</v>
      </c>
      <c r="FH17">
        <v>-0.81947142863283695</v>
      </c>
      <c r="FI17">
        <v>-6.1462078757559423E-4</v>
      </c>
      <c r="FJ17">
        <v>-1.8861989874597051E-7</v>
      </c>
      <c r="FK17">
        <v>1.1980462299894961E-10</v>
      </c>
      <c r="FL17">
        <v>0.18283500000000069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6.7</v>
      </c>
      <c r="FU17">
        <v>6.7</v>
      </c>
      <c r="FV17">
        <v>1.78467</v>
      </c>
      <c r="FW17">
        <v>2.5427200000000001</v>
      </c>
      <c r="FX17">
        <v>1.5490699999999999</v>
      </c>
      <c r="FY17">
        <v>2.34741</v>
      </c>
      <c r="FZ17">
        <v>1.50146</v>
      </c>
      <c r="GA17">
        <v>2.3950200000000001</v>
      </c>
      <c r="GB17">
        <v>29.197800000000001</v>
      </c>
      <c r="GC17">
        <v>24.026199999999999</v>
      </c>
      <c r="GD17">
        <v>19</v>
      </c>
      <c r="GE17">
        <v>275.96800000000002</v>
      </c>
      <c r="GF17">
        <v>632.15</v>
      </c>
      <c r="GG17">
        <v>29.341000000000001</v>
      </c>
      <c r="GH17">
        <v>25.269200000000001</v>
      </c>
      <c r="GI17">
        <v>30.000299999999999</v>
      </c>
      <c r="GJ17">
        <v>25.2927</v>
      </c>
      <c r="GK17">
        <v>25.2378</v>
      </c>
      <c r="GL17">
        <v>35.687600000000003</v>
      </c>
      <c r="GM17">
        <v>0</v>
      </c>
      <c r="GN17">
        <v>100</v>
      </c>
      <c r="GO17">
        <v>29.340499999999999</v>
      </c>
      <c r="GP17">
        <v>800</v>
      </c>
      <c r="GQ17">
        <v>23.2791</v>
      </c>
      <c r="GR17">
        <v>99.731999999999999</v>
      </c>
      <c r="GS17">
        <v>99.375799999999998</v>
      </c>
    </row>
    <row r="18" spans="1:201" x14ac:dyDescent="0.25">
      <c r="A18">
        <v>2</v>
      </c>
      <c r="B18">
        <v>1690373820.5</v>
      </c>
      <c r="C18">
        <v>1</v>
      </c>
      <c r="D18" t="s">
        <v>337</v>
      </c>
      <c r="E18" t="s">
        <v>338</v>
      </c>
      <c r="F18" t="s">
        <v>330</v>
      </c>
      <c r="H18">
        <v>1690373820.5</v>
      </c>
      <c r="I18">
        <f t="shared" si="0"/>
        <v>2.250215475502705E-4</v>
      </c>
      <c r="J18">
        <f t="shared" si="1"/>
        <v>0.22502154755027051</v>
      </c>
      <c r="K18">
        <f t="shared" si="2"/>
        <v>-1.2313338571131967</v>
      </c>
      <c r="L18">
        <f t="shared" si="3"/>
        <v>810.399</v>
      </c>
      <c r="M18">
        <f t="shared" si="4"/>
        <v>905.74282373851281</v>
      </c>
      <c r="N18">
        <f t="shared" si="5"/>
        <v>89.495832508482309</v>
      </c>
      <c r="O18">
        <f t="shared" si="6"/>
        <v>80.074974118679989</v>
      </c>
      <c r="P18">
        <f t="shared" si="7"/>
        <v>1.7487545123845826E-2</v>
      </c>
      <c r="Q18">
        <f t="shared" si="8"/>
        <v>2.2535373027209658</v>
      </c>
      <c r="R18">
        <f t="shared" si="9"/>
        <v>1.7412503278033967E-2</v>
      </c>
      <c r="S18">
        <f t="shared" si="10"/>
        <v>1.0889529829052984E-2</v>
      </c>
      <c r="T18">
        <f t="shared" si="11"/>
        <v>0</v>
      </c>
      <c r="U18">
        <f t="shared" si="12"/>
        <v>26.710445075701998</v>
      </c>
      <c r="V18">
        <f t="shared" si="13"/>
        <v>26.710445075701998</v>
      </c>
      <c r="W18">
        <f t="shared" si="14"/>
        <v>3.518741427712627</v>
      </c>
      <c r="X18">
        <f t="shared" si="15"/>
        <v>64.492274820226953</v>
      </c>
      <c r="Y18">
        <f t="shared" si="16"/>
        <v>2.2792938700320002</v>
      </c>
      <c r="Z18">
        <f t="shared" si="17"/>
        <v>3.5342122391954094</v>
      </c>
      <c r="AA18">
        <f t="shared" si="18"/>
        <v>1.2394475576806268</v>
      </c>
      <c r="AB18">
        <f t="shared" si="19"/>
        <v>-9.9234502469669295</v>
      </c>
      <c r="AC18">
        <f t="shared" si="20"/>
        <v>9.0578792797180512</v>
      </c>
      <c r="AD18">
        <f t="shared" si="21"/>
        <v>0.86524812648336302</v>
      </c>
      <c r="AE18">
        <f t="shared" si="22"/>
        <v>-3.2284076551469809E-4</v>
      </c>
      <c r="AF18">
        <v>1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52397.860599180058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30</v>
      </c>
      <c r="AP18">
        <v>0.5</v>
      </c>
      <c r="AQ18" t="s">
        <v>331</v>
      </c>
      <c r="AR18">
        <v>2</v>
      </c>
      <c r="AS18">
        <v>1690373820.5</v>
      </c>
      <c r="AT18">
        <v>810.399</v>
      </c>
      <c r="AU18">
        <v>799.91499999999996</v>
      </c>
      <c r="AV18">
        <v>23.067599999999999</v>
      </c>
      <c r="AW18">
        <v>20.8705</v>
      </c>
      <c r="AX18">
        <v>811.77800000000002</v>
      </c>
      <c r="AY18">
        <v>22.884799999999998</v>
      </c>
      <c r="AZ18">
        <v>300.16500000000002</v>
      </c>
      <c r="BA18">
        <v>98.709299999999999</v>
      </c>
      <c r="BB18">
        <v>0.10002</v>
      </c>
      <c r="BC18">
        <v>26.785</v>
      </c>
      <c r="BD18">
        <v>26.988099999999999</v>
      </c>
      <c r="BE18">
        <v>26.972899999999999</v>
      </c>
      <c r="BF18">
        <v>0</v>
      </c>
      <c r="BG18">
        <v>0</v>
      </c>
      <c r="BH18">
        <v>10033.1</v>
      </c>
      <c r="BI18">
        <v>0.67632800000000004</v>
      </c>
      <c r="BJ18">
        <v>1.05124</v>
      </c>
      <c r="BK18">
        <v>10.4839</v>
      </c>
      <c r="BL18">
        <v>829.53399999999999</v>
      </c>
      <c r="BM18">
        <v>816.96600000000001</v>
      </c>
      <c r="BN18">
        <v>2.19713</v>
      </c>
      <c r="BO18">
        <v>799.91499999999996</v>
      </c>
      <c r="BP18">
        <v>20.8705</v>
      </c>
      <c r="BQ18">
        <v>2.2769900000000001</v>
      </c>
      <c r="BR18">
        <v>2.0601099999999999</v>
      </c>
      <c r="BS18">
        <v>19.514500000000002</v>
      </c>
      <c r="BT18">
        <v>17.914100000000001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20.416699999999999</v>
      </c>
      <c r="CA18">
        <v>0</v>
      </c>
      <c r="CB18">
        <v>1690373417</v>
      </c>
      <c r="CC18" t="s">
        <v>332</v>
      </c>
      <c r="CD18">
        <v>1690373417</v>
      </c>
      <c r="CE18">
        <v>1690373415</v>
      </c>
      <c r="CF18">
        <v>1</v>
      </c>
      <c r="CG18">
        <v>-1.319</v>
      </c>
      <c r="CH18">
        <v>0.01</v>
      </c>
      <c r="CI18">
        <v>-1.371</v>
      </c>
      <c r="CJ18">
        <v>0.183</v>
      </c>
      <c r="CK18">
        <v>800</v>
      </c>
      <c r="CL18">
        <v>21</v>
      </c>
      <c r="CM18">
        <v>0.09</v>
      </c>
      <c r="CN18">
        <v>7.0000000000000007E-2</v>
      </c>
      <c r="CO18">
        <v>10.372880487804879</v>
      </c>
      <c r="CP18">
        <v>0.1652759581881626</v>
      </c>
      <c r="CQ18">
        <v>4.5013646816960289E-2</v>
      </c>
      <c r="CR18">
        <v>-1</v>
      </c>
      <c r="CS18">
        <v>2.2008509756097561</v>
      </c>
      <c r="CT18">
        <v>-2.5470731707319491E-2</v>
      </c>
      <c r="CU18">
        <v>2.6340016897952079E-3</v>
      </c>
      <c r="CV18">
        <v>-1</v>
      </c>
      <c r="CW18">
        <v>0</v>
      </c>
      <c r="CX18">
        <v>0</v>
      </c>
      <c r="CY18" t="s">
        <v>333</v>
      </c>
      <c r="CZ18">
        <v>2.36551</v>
      </c>
      <c r="DA18">
        <v>2.7138399999999998</v>
      </c>
      <c r="DB18">
        <v>0.14798500000000001</v>
      </c>
      <c r="DC18">
        <v>0.146203</v>
      </c>
      <c r="DD18">
        <v>0.110642</v>
      </c>
      <c r="DE18">
        <v>0.101605</v>
      </c>
      <c r="DF18">
        <v>31116</v>
      </c>
      <c r="DG18">
        <v>27479</v>
      </c>
      <c r="DH18">
        <v>31173.5</v>
      </c>
      <c r="DI18">
        <v>28040.3</v>
      </c>
      <c r="DJ18">
        <v>37633.4</v>
      </c>
      <c r="DK18">
        <v>35792</v>
      </c>
      <c r="DL18">
        <v>44355.6</v>
      </c>
      <c r="DM18">
        <v>42467.4</v>
      </c>
      <c r="DN18">
        <v>1.4709300000000001</v>
      </c>
      <c r="DO18">
        <v>2.1093000000000002</v>
      </c>
      <c r="DP18">
        <v>8.8766200000000003E-2</v>
      </c>
      <c r="DQ18">
        <v>8.3234199999999994E-2</v>
      </c>
      <c r="DR18">
        <v>25.534700000000001</v>
      </c>
      <c r="DS18">
        <v>25.610199999999999</v>
      </c>
      <c r="DT18">
        <v>70.099999999999994</v>
      </c>
      <c r="DU18">
        <v>23.6</v>
      </c>
      <c r="DV18">
        <v>20.763500000000001</v>
      </c>
      <c r="DW18">
        <v>61.830100000000002</v>
      </c>
      <c r="DX18">
        <v>36.5304</v>
      </c>
      <c r="DY18">
        <v>1</v>
      </c>
      <c r="DZ18">
        <v>-0.171186</v>
      </c>
      <c r="EA18">
        <v>-2.0787900000000001</v>
      </c>
      <c r="EB18">
        <v>20.2911</v>
      </c>
      <c r="EC18">
        <v>5.2436499999999997</v>
      </c>
      <c r="ED18">
        <v>12.039899999999999</v>
      </c>
      <c r="EE18">
        <v>5.0170500000000002</v>
      </c>
      <c r="EF18">
        <v>3.2879700000000001</v>
      </c>
      <c r="EG18">
        <v>9999</v>
      </c>
      <c r="EH18">
        <v>9999</v>
      </c>
      <c r="EI18">
        <v>9999</v>
      </c>
      <c r="EJ18">
        <v>999.9</v>
      </c>
      <c r="EK18">
        <v>1.8686199999999999</v>
      </c>
      <c r="EL18">
        <v>1.8643099999999999</v>
      </c>
      <c r="EM18">
        <v>1.86904</v>
      </c>
      <c r="EN18">
        <v>1.86696</v>
      </c>
      <c r="EO18">
        <v>1.8631</v>
      </c>
      <c r="EP18">
        <v>1.8641099999999999</v>
      </c>
      <c r="EQ18">
        <v>1.8699600000000001</v>
      </c>
      <c r="ER18">
        <v>1.8692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-1.379</v>
      </c>
      <c r="FG18">
        <v>0.18279999999999999</v>
      </c>
      <c r="FH18">
        <v>-0.81947142863283695</v>
      </c>
      <c r="FI18">
        <v>-6.1462078757559423E-4</v>
      </c>
      <c r="FJ18">
        <v>-1.8861989874597051E-7</v>
      </c>
      <c r="FK18">
        <v>1.1980462299894961E-10</v>
      </c>
      <c r="FL18">
        <v>0.18283500000000069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6.7</v>
      </c>
      <c r="FU18">
        <v>6.8</v>
      </c>
      <c r="FV18">
        <v>1.78467</v>
      </c>
      <c r="FW18">
        <v>2.5415000000000001</v>
      </c>
      <c r="FX18">
        <v>1.5490699999999999</v>
      </c>
      <c r="FY18">
        <v>2.34741</v>
      </c>
      <c r="FZ18">
        <v>1.50146</v>
      </c>
      <c r="GA18">
        <v>2.3889200000000002</v>
      </c>
      <c r="GB18">
        <v>29.197800000000001</v>
      </c>
      <c r="GC18">
        <v>24.017499999999998</v>
      </c>
      <c r="GD18">
        <v>19</v>
      </c>
      <c r="GE18">
        <v>276.012</v>
      </c>
      <c r="GF18">
        <v>632.11</v>
      </c>
      <c r="GG18">
        <v>29.341000000000001</v>
      </c>
      <c r="GH18">
        <v>25.2697</v>
      </c>
      <c r="GI18">
        <v>30.0001</v>
      </c>
      <c r="GJ18">
        <v>25.293199999999999</v>
      </c>
      <c r="GK18">
        <v>25.238099999999999</v>
      </c>
      <c r="GL18">
        <v>35.686999999999998</v>
      </c>
      <c r="GM18">
        <v>0</v>
      </c>
      <c r="GN18">
        <v>100</v>
      </c>
      <c r="GO18">
        <v>29.343399999999999</v>
      </c>
      <c r="GP18">
        <v>800</v>
      </c>
      <c r="GQ18">
        <v>23.2791</v>
      </c>
      <c r="GR18">
        <v>99.732399999999998</v>
      </c>
      <c r="GS18">
        <v>99.375600000000006</v>
      </c>
    </row>
    <row r="19" spans="1:201" x14ac:dyDescent="0.25">
      <c r="A19">
        <v>3</v>
      </c>
      <c r="B19">
        <v>1690373821</v>
      </c>
      <c r="C19">
        <v>1.5</v>
      </c>
      <c r="D19" t="s">
        <v>339</v>
      </c>
      <c r="E19" t="s">
        <v>340</v>
      </c>
      <c r="F19" t="s">
        <v>330</v>
      </c>
      <c r="H19">
        <v>1690373821</v>
      </c>
      <c r="I19">
        <f t="shared" si="0"/>
        <v>2.2497176867966443E-4</v>
      </c>
      <c r="J19">
        <f t="shared" si="1"/>
        <v>0.22497176867966442</v>
      </c>
      <c r="K19">
        <f t="shared" si="2"/>
        <v>-1.2316044972196463</v>
      </c>
      <c r="L19">
        <f t="shared" si="3"/>
        <v>810.41600000000005</v>
      </c>
      <c r="M19">
        <f t="shared" si="4"/>
        <v>905.81137027640591</v>
      </c>
      <c r="N19">
        <f t="shared" si="5"/>
        <v>89.501751365157702</v>
      </c>
      <c r="O19">
        <f t="shared" si="6"/>
        <v>80.075889654832011</v>
      </c>
      <c r="P19">
        <f t="shared" si="7"/>
        <v>1.7483248418847352E-2</v>
      </c>
      <c r="Q19">
        <f t="shared" si="8"/>
        <v>2.2515976675725722</v>
      </c>
      <c r="R19">
        <f t="shared" si="9"/>
        <v>1.7408179045335256E-2</v>
      </c>
      <c r="S19">
        <f t="shared" si="10"/>
        <v>1.0886829630585805E-2</v>
      </c>
      <c r="T19">
        <f t="shared" si="11"/>
        <v>0</v>
      </c>
      <c r="U19">
        <f t="shared" si="12"/>
        <v>26.710302956280319</v>
      </c>
      <c r="V19">
        <f t="shared" si="13"/>
        <v>26.710302956280319</v>
      </c>
      <c r="W19">
        <f t="shared" si="14"/>
        <v>3.5187119932192235</v>
      </c>
      <c r="X19">
        <f t="shared" si="15"/>
        <v>64.491199979472142</v>
      </c>
      <c r="Y19">
        <f t="shared" si="16"/>
        <v>2.2792424747720998</v>
      </c>
      <c r="Z19">
        <f t="shared" si="17"/>
        <v>3.5341914485970078</v>
      </c>
      <c r="AA19">
        <f t="shared" si="18"/>
        <v>1.2394695184471236</v>
      </c>
      <c r="AB19">
        <f t="shared" si="19"/>
        <v>-9.9212549987732022</v>
      </c>
      <c r="AC19">
        <f t="shared" si="20"/>
        <v>9.0551958983313803</v>
      </c>
      <c r="AD19">
        <f t="shared" si="21"/>
        <v>0.86573589504431037</v>
      </c>
      <c r="AE19">
        <f t="shared" si="22"/>
        <v>-3.2320539751218291E-4</v>
      </c>
      <c r="AF19">
        <v>1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52322.311238751063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30</v>
      </c>
      <c r="AP19">
        <v>0.5</v>
      </c>
      <c r="AQ19" t="s">
        <v>331</v>
      </c>
      <c r="AR19">
        <v>2</v>
      </c>
      <c r="AS19">
        <v>1690373821</v>
      </c>
      <c r="AT19">
        <v>810.41600000000005</v>
      </c>
      <c r="AU19">
        <v>799.92899999999997</v>
      </c>
      <c r="AV19">
        <v>23.067299999999999</v>
      </c>
      <c r="AW19">
        <v>20.870699999999999</v>
      </c>
      <c r="AX19">
        <v>811.79499999999996</v>
      </c>
      <c r="AY19">
        <v>22.884499999999999</v>
      </c>
      <c r="AZ19">
        <v>300.16699999999997</v>
      </c>
      <c r="BA19">
        <v>98.708399999999997</v>
      </c>
      <c r="BB19">
        <v>9.9976999999999996E-2</v>
      </c>
      <c r="BC19">
        <v>26.7849</v>
      </c>
      <c r="BD19">
        <v>26.9876</v>
      </c>
      <c r="BE19">
        <v>26.9742</v>
      </c>
      <c r="BF19">
        <v>0</v>
      </c>
      <c r="BG19">
        <v>0</v>
      </c>
      <c r="BH19">
        <v>10018.1</v>
      </c>
      <c r="BI19">
        <v>0.673902</v>
      </c>
      <c r="BJ19">
        <v>1.04844</v>
      </c>
      <c r="BK19">
        <v>10.487299999999999</v>
      </c>
      <c r="BL19">
        <v>829.55200000000002</v>
      </c>
      <c r="BM19">
        <v>816.98</v>
      </c>
      <c r="BN19">
        <v>2.1966000000000001</v>
      </c>
      <c r="BO19">
        <v>799.92899999999997</v>
      </c>
      <c r="BP19">
        <v>20.870699999999999</v>
      </c>
      <c r="BQ19">
        <v>2.2769400000000002</v>
      </c>
      <c r="BR19">
        <v>2.0601099999999999</v>
      </c>
      <c r="BS19">
        <v>19.514199999999999</v>
      </c>
      <c r="BT19">
        <v>17.914100000000001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20.458300000000001</v>
      </c>
      <c r="CA19">
        <v>0</v>
      </c>
      <c r="CB19">
        <v>1690373417</v>
      </c>
      <c r="CC19" t="s">
        <v>332</v>
      </c>
      <c r="CD19">
        <v>1690373417</v>
      </c>
      <c r="CE19">
        <v>1690373415</v>
      </c>
      <c r="CF19">
        <v>1</v>
      </c>
      <c r="CG19">
        <v>-1.319</v>
      </c>
      <c r="CH19">
        <v>0.01</v>
      </c>
      <c r="CI19">
        <v>-1.371</v>
      </c>
      <c r="CJ19">
        <v>0.183</v>
      </c>
      <c r="CK19">
        <v>800</v>
      </c>
      <c r="CL19">
        <v>21</v>
      </c>
      <c r="CM19">
        <v>0.09</v>
      </c>
      <c r="CN19">
        <v>7.0000000000000007E-2</v>
      </c>
      <c r="CO19">
        <v>10.372880487804879</v>
      </c>
      <c r="CP19">
        <v>0.1652759581881626</v>
      </c>
      <c r="CQ19">
        <v>4.5013646816960289E-2</v>
      </c>
      <c r="CR19">
        <v>-1</v>
      </c>
      <c r="CS19">
        <v>2.2008509756097561</v>
      </c>
      <c r="CT19">
        <v>-2.5470731707319491E-2</v>
      </c>
      <c r="CU19">
        <v>2.6340016897952079E-3</v>
      </c>
      <c r="CV19">
        <v>-1</v>
      </c>
      <c r="CW19">
        <v>0</v>
      </c>
      <c r="CX19">
        <v>0</v>
      </c>
      <c r="CY19" t="s">
        <v>333</v>
      </c>
      <c r="CZ19">
        <v>2.3655200000000001</v>
      </c>
      <c r="DA19">
        <v>2.7137899999999999</v>
      </c>
      <c r="DB19">
        <v>0.14798600000000001</v>
      </c>
      <c r="DC19">
        <v>0.146204</v>
      </c>
      <c r="DD19">
        <v>0.11064</v>
      </c>
      <c r="DE19">
        <v>0.101605</v>
      </c>
      <c r="DF19">
        <v>31116.1</v>
      </c>
      <c r="DG19">
        <v>27479</v>
      </c>
      <c r="DH19">
        <v>31173.599999999999</v>
      </c>
      <c r="DI19">
        <v>28040.3</v>
      </c>
      <c r="DJ19">
        <v>37633.599999999999</v>
      </c>
      <c r="DK19">
        <v>35792</v>
      </c>
      <c r="DL19">
        <v>44355.7</v>
      </c>
      <c r="DM19">
        <v>42467.4</v>
      </c>
      <c r="DN19">
        <v>1.47072</v>
      </c>
      <c r="DO19">
        <v>2.1092200000000001</v>
      </c>
      <c r="DP19">
        <v>8.8736400000000007E-2</v>
      </c>
      <c r="DQ19">
        <v>8.3312399999999995E-2</v>
      </c>
      <c r="DR19">
        <v>25.534700000000001</v>
      </c>
      <c r="DS19">
        <v>25.610199999999999</v>
      </c>
      <c r="DT19">
        <v>70.099999999999994</v>
      </c>
      <c r="DU19">
        <v>23.6</v>
      </c>
      <c r="DV19">
        <v>20.767399999999999</v>
      </c>
      <c r="DW19">
        <v>61.700099999999999</v>
      </c>
      <c r="DX19">
        <v>35.600999999999999</v>
      </c>
      <c r="DY19">
        <v>1</v>
      </c>
      <c r="DZ19">
        <v>-0.171209</v>
      </c>
      <c r="EA19">
        <v>-2.0803400000000001</v>
      </c>
      <c r="EB19">
        <v>20.291</v>
      </c>
      <c r="EC19">
        <v>5.2436499999999997</v>
      </c>
      <c r="ED19">
        <v>12.039899999999999</v>
      </c>
      <c r="EE19">
        <v>5.0170500000000002</v>
      </c>
      <c r="EF19">
        <v>3.2879700000000001</v>
      </c>
      <c r="EG19">
        <v>9999</v>
      </c>
      <c r="EH19">
        <v>9999</v>
      </c>
      <c r="EI19">
        <v>9999</v>
      </c>
      <c r="EJ19">
        <v>999.9</v>
      </c>
      <c r="EK19">
        <v>1.8686199999999999</v>
      </c>
      <c r="EL19">
        <v>1.8643099999999999</v>
      </c>
      <c r="EM19">
        <v>1.86904</v>
      </c>
      <c r="EN19">
        <v>1.86697</v>
      </c>
      <c r="EO19">
        <v>1.8631</v>
      </c>
      <c r="EP19">
        <v>1.8641300000000001</v>
      </c>
      <c r="EQ19">
        <v>1.8699600000000001</v>
      </c>
      <c r="ER19">
        <v>1.8692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-1.379</v>
      </c>
      <c r="FG19">
        <v>0.18279999999999999</v>
      </c>
      <c r="FH19">
        <v>-0.81947142863283695</v>
      </c>
      <c r="FI19">
        <v>-6.1462078757559423E-4</v>
      </c>
      <c r="FJ19">
        <v>-1.8861989874597051E-7</v>
      </c>
      <c r="FK19">
        <v>1.1980462299894961E-10</v>
      </c>
      <c r="FL19">
        <v>0.18283500000000069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6.7</v>
      </c>
      <c r="FU19">
        <v>6.8</v>
      </c>
      <c r="FV19">
        <v>1.78467</v>
      </c>
      <c r="FW19">
        <v>2.5463900000000002</v>
      </c>
      <c r="FX19">
        <v>1.5490699999999999</v>
      </c>
      <c r="FY19">
        <v>2.34741</v>
      </c>
      <c r="FZ19">
        <v>1.50146</v>
      </c>
      <c r="GA19">
        <v>2.323</v>
      </c>
      <c r="GB19">
        <v>29.197800000000001</v>
      </c>
      <c r="GC19">
        <v>24.017499999999998</v>
      </c>
      <c r="GD19">
        <v>19</v>
      </c>
      <c r="GE19">
        <v>275.93</v>
      </c>
      <c r="GF19">
        <v>632.04700000000003</v>
      </c>
      <c r="GG19">
        <v>29.341000000000001</v>
      </c>
      <c r="GH19">
        <v>25.27</v>
      </c>
      <c r="GI19">
        <v>30.0001</v>
      </c>
      <c r="GJ19">
        <v>25.293500000000002</v>
      </c>
      <c r="GK19">
        <v>25.238399999999999</v>
      </c>
      <c r="GL19">
        <v>35.687899999999999</v>
      </c>
      <c r="GM19">
        <v>0</v>
      </c>
      <c r="GN19">
        <v>100</v>
      </c>
      <c r="GO19">
        <v>29.343399999999999</v>
      </c>
      <c r="GP19">
        <v>800</v>
      </c>
      <c r="GQ19">
        <v>23.2791</v>
      </c>
      <c r="GR19">
        <v>99.732600000000005</v>
      </c>
      <c r="GS19">
        <v>99.375799999999998</v>
      </c>
    </row>
    <row r="20" spans="1:201" x14ac:dyDescent="0.25">
      <c r="A20">
        <v>4</v>
      </c>
      <c r="B20">
        <v>1690373822</v>
      </c>
      <c r="C20">
        <v>2.5</v>
      </c>
      <c r="D20" t="s">
        <v>341</v>
      </c>
      <c r="E20" t="s">
        <v>342</v>
      </c>
      <c r="F20" t="s">
        <v>330</v>
      </c>
      <c r="H20">
        <v>1690373822</v>
      </c>
      <c r="I20">
        <f t="shared" si="0"/>
        <v>2.2494612775036667E-4</v>
      </c>
      <c r="J20">
        <f t="shared" si="1"/>
        <v>0.22494612775036665</v>
      </c>
      <c r="K20">
        <f t="shared" si="2"/>
        <v>-1.2315081290669425</v>
      </c>
      <c r="L20">
        <f t="shared" si="3"/>
        <v>810.41600000000005</v>
      </c>
      <c r="M20">
        <f t="shared" si="4"/>
        <v>905.80625542262544</v>
      </c>
      <c r="N20">
        <f t="shared" si="5"/>
        <v>89.50155485469017</v>
      </c>
      <c r="O20">
        <f t="shared" si="6"/>
        <v>80.076166006687998</v>
      </c>
      <c r="P20">
        <f t="shared" si="7"/>
        <v>1.748299072440344E-2</v>
      </c>
      <c r="Q20">
        <f t="shared" si="8"/>
        <v>2.2499159404073281</v>
      </c>
      <c r="R20">
        <f t="shared" si="9"/>
        <v>1.7407867709115326E-2</v>
      </c>
      <c r="S20">
        <f t="shared" si="10"/>
        <v>1.0886639826131216E-2</v>
      </c>
      <c r="T20">
        <f t="shared" si="11"/>
        <v>0</v>
      </c>
      <c r="U20">
        <f t="shared" si="12"/>
        <v>26.709460524195073</v>
      </c>
      <c r="V20">
        <f t="shared" si="13"/>
        <v>26.709460524195073</v>
      </c>
      <c r="W20">
        <f t="shared" si="14"/>
        <v>3.5185375206940037</v>
      </c>
      <c r="X20">
        <f t="shared" si="15"/>
        <v>64.49250054234939</v>
      </c>
      <c r="Y20">
        <f t="shared" si="16"/>
        <v>2.2791811746188002</v>
      </c>
      <c r="Z20">
        <f t="shared" si="17"/>
        <v>3.5340251276536594</v>
      </c>
      <c r="AA20">
        <f t="shared" si="18"/>
        <v>1.2393563460752035</v>
      </c>
      <c r="AB20">
        <f t="shared" si="19"/>
        <v>-9.9201242337911708</v>
      </c>
      <c r="AC20">
        <f t="shared" si="20"/>
        <v>9.0535794413631052</v>
      </c>
      <c r="AD20">
        <f t="shared" si="21"/>
        <v>0.86622122099423315</v>
      </c>
      <c r="AE20">
        <f t="shared" si="22"/>
        <v>-3.2357143383165976E-4</v>
      </c>
      <c r="AF20">
        <v>1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52257.004811532774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30</v>
      </c>
      <c r="AP20">
        <v>0.5</v>
      </c>
      <c r="AQ20" t="s">
        <v>331</v>
      </c>
      <c r="AR20">
        <v>2</v>
      </c>
      <c r="AS20">
        <v>1690373822</v>
      </c>
      <c r="AT20">
        <v>810.41600000000005</v>
      </c>
      <c r="AU20">
        <v>799.93</v>
      </c>
      <c r="AV20">
        <v>23.066600000000001</v>
      </c>
      <c r="AW20">
        <v>20.8703</v>
      </c>
      <c r="AX20">
        <v>811.79499999999996</v>
      </c>
      <c r="AY20">
        <v>22.883800000000001</v>
      </c>
      <c r="AZ20">
        <v>300.17399999999998</v>
      </c>
      <c r="BA20">
        <v>98.708699999999993</v>
      </c>
      <c r="BB20">
        <v>0.100018</v>
      </c>
      <c r="BC20">
        <v>26.784099999999999</v>
      </c>
      <c r="BD20">
        <v>26.987500000000001</v>
      </c>
      <c r="BE20">
        <v>26.977799999999998</v>
      </c>
      <c r="BF20">
        <v>0</v>
      </c>
      <c r="BG20">
        <v>0</v>
      </c>
      <c r="BH20">
        <v>10005</v>
      </c>
      <c r="BI20">
        <v>0.66177600000000003</v>
      </c>
      <c r="BJ20">
        <v>1.0344199999999999</v>
      </c>
      <c r="BK20">
        <v>10.4861</v>
      </c>
      <c r="BL20">
        <v>829.55100000000004</v>
      </c>
      <c r="BM20">
        <v>816.98099999999999</v>
      </c>
      <c r="BN20">
        <v>2.1962899999999999</v>
      </c>
      <c r="BO20">
        <v>799.93</v>
      </c>
      <c r="BP20">
        <v>20.8703</v>
      </c>
      <c r="BQ20">
        <v>2.2768700000000002</v>
      </c>
      <c r="BR20">
        <v>2.0600800000000001</v>
      </c>
      <c r="BS20">
        <v>19.5137</v>
      </c>
      <c r="BT20">
        <v>17.913799999999998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20.458300000000001</v>
      </c>
      <c r="CA20">
        <v>0</v>
      </c>
      <c r="CB20">
        <v>1690373417</v>
      </c>
      <c r="CC20" t="s">
        <v>332</v>
      </c>
      <c r="CD20">
        <v>1690373417</v>
      </c>
      <c r="CE20">
        <v>1690373415</v>
      </c>
      <c r="CF20">
        <v>1</v>
      </c>
      <c r="CG20">
        <v>-1.319</v>
      </c>
      <c r="CH20">
        <v>0.01</v>
      </c>
      <c r="CI20">
        <v>-1.371</v>
      </c>
      <c r="CJ20">
        <v>0.183</v>
      </c>
      <c r="CK20">
        <v>800</v>
      </c>
      <c r="CL20">
        <v>21</v>
      </c>
      <c r="CM20">
        <v>0.09</v>
      </c>
      <c r="CN20">
        <v>7.0000000000000007E-2</v>
      </c>
      <c r="CO20">
        <v>10.38753</v>
      </c>
      <c r="CP20">
        <v>0.19610656660413289</v>
      </c>
      <c r="CQ20">
        <v>4.8884564025876293E-2</v>
      </c>
      <c r="CR20">
        <v>-1</v>
      </c>
      <c r="CS20">
        <v>2.2000869999999999</v>
      </c>
      <c r="CT20">
        <v>-2.251947467167487E-2</v>
      </c>
      <c r="CU20">
        <v>2.286113732953786E-3</v>
      </c>
      <c r="CV20">
        <v>-1</v>
      </c>
      <c r="CW20">
        <v>0</v>
      </c>
      <c r="CX20">
        <v>0</v>
      </c>
      <c r="CY20" t="s">
        <v>333</v>
      </c>
      <c r="CZ20">
        <v>2.3655499999999998</v>
      </c>
      <c r="DA20">
        <v>2.7138200000000001</v>
      </c>
      <c r="DB20">
        <v>0.14798700000000001</v>
      </c>
      <c r="DC20">
        <v>0.146204</v>
      </c>
      <c r="DD20">
        <v>0.110638</v>
      </c>
      <c r="DE20">
        <v>0.101604</v>
      </c>
      <c r="DF20">
        <v>31116.2</v>
      </c>
      <c r="DG20">
        <v>27479.1</v>
      </c>
      <c r="DH20">
        <v>31173.7</v>
      </c>
      <c r="DI20">
        <v>28040.400000000001</v>
      </c>
      <c r="DJ20">
        <v>37633.800000000003</v>
      </c>
      <c r="DK20">
        <v>35792.199999999997</v>
      </c>
      <c r="DL20">
        <v>44355.9</v>
      </c>
      <c r="DM20">
        <v>42467.5</v>
      </c>
      <c r="DN20">
        <v>1.47078</v>
      </c>
      <c r="DO20">
        <v>2.1092</v>
      </c>
      <c r="DP20">
        <v>8.8736400000000007E-2</v>
      </c>
      <c r="DQ20">
        <v>8.3535899999999996E-2</v>
      </c>
      <c r="DR20">
        <v>25.534600000000001</v>
      </c>
      <c r="DS20">
        <v>25.610099999999999</v>
      </c>
      <c r="DT20">
        <v>70.099999999999994</v>
      </c>
      <c r="DU20">
        <v>23.6</v>
      </c>
      <c r="DV20">
        <v>20.764900000000001</v>
      </c>
      <c r="DW20">
        <v>62.170099999999998</v>
      </c>
      <c r="DX20">
        <v>35.584899999999998</v>
      </c>
      <c r="DY20">
        <v>1</v>
      </c>
      <c r="DZ20">
        <v>-0.171321</v>
      </c>
      <c r="EA20">
        <v>-2.0831599999999999</v>
      </c>
      <c r="EB20">
        <v>20.291</v>
      </c>
      <c r="EC20">
        <v>5.2438000000000002</v>
      </c>
      <c r="ED20">
        <v>12.039899999999999</v>
      </c>
      <c r="EE20">
        <v>5.0170000000000003</v>
      </c>
      <c r="EF20">
        <v>3.2879700000000001</v>
      </c>
      <c r="EG20">
        <v>9999</v>
      </c>
      <c r="EH20">
        <v>9999</v>
      </c>
      <c r="EI20">
        <v>9999</v>
      </c>
      <c r="EJ20">
        <v>999.9</v>
      </c>
      <c r="EK20">
        <v>1.8686199999999999</v>
      </c>
      <c r="EL20">
        <v>1.8643099999999999</v>
      </c>
      <c r="EM20">
        <v>1.86904</v>
      </c>
      <c r="EN20">
        <v>1.8669800000000001</v>
      </c>
      <c r="EO20">
        <v>1.8631</v>
      </c>
      <c r="EP20">
        <v>1.8641399999999999</v>
      </c>
      <c r="EQ20">
        <v>1.8699600000000001</v>
      </c>
      <c r="ER20">
        <v>1.8692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-1.379</v>
      </c>
      <c r="FG20">
        <v>0.18279999999999999</v>
      </c>
      <c r="FH20">
        <v>-0.81947142863283695</v>
      </c>
      <c r="FI20">
        <v>-6.1462078757559423E-4</v>
      </c>
      <c r="FJ20">
        <v>-1.8861989874597051E-7</v>
      </c>
      <c r="FK20">
        <v>1.1980462299894961E-10</v>
      </c>
      <c r="FL20">
        <v>0.18283500000000069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6.8</v>
      </c>
      <c r="FU20">
        <v>6.8</v>
      </c>
      <c r="FV20">
        <v>1.78467</v>
      </c>
      <c r="FW20">
        <v>2.5476100000000002</v>
      </c>
      <c r="FX20">
        <v>1.5490699999999999</v>
      </c>
      <c r="FY20">
        <v>2.34741</v>
      </c>
      <c r="FZ20">
        <v>1.50146</v>
      </c>
      <c r="GA20">
        <v>2.32056</v>
      </c>
      <c r="GB20">
        <v>29.197800000000001</v>
      </c>
      <c r="GC20">
        <v>24.017499999999998</v>
      </c>
      <c r="GD20">
        <v>19</v>
      </c>
      <c r="GE20">
        <v>275.95299999999997</v>
      </c>
      <c r="GF20">
        <v>632.03200000000004</v>
      </c>
      <c r="GG20">
        <v>29.341200000000001</v>
      </c>
      <c r="GH20">
        <v>25.270299999999999</v>
      </c>
      <c r="GI20">
        <v>30</v>
      </c>
      <c r="GJ20">
        <v>25.294</v>
      </c>
      <c r="GK20">
        <v>25.238900000000001</v>
      </c>
      <c r="GL20">
        <v>35.688200000000002</v>
      </c>
      <c r="GM20">
        <v>0</v>
      </c>
      <c r="GN20">
        <v>100</v>
      </c>
      <c r="GO20">
        <v>29.343399999999999</v>
      </c>
      <c r="GP20">
        <v>800</v>
      </c>
      <c r="GQ20">
        <v>23.2791</v>
      </c>
      <c r="GR20">
        <v>99.733000000000004</v>
      </c>
      <c r="GS20">
        <v>99.376099999999994</v>
      </c>
    </row>
    <row r="21" spans="1:201" x14ac:dyDescent="0.25">
      <c r="A21">
        <v>5</v>
      </c>
      <c r="B21">
        <v>1690373823.5</v>
      </c>
      <c r="C21">
        <v>4</v>
      </c>
      <c r="D21" t="s">
        <v>343</v>
      </c>
      <c r="E21" t="s">
        <v>344</v>
      </c>
      <c r="F21" t="s">
        <v>330</v>
      </c>
      <c r="H21">
        <v>1690373823.5</v>
      </c>
      <c r="I21">
        <f t="shared" si="0"/>
        <v>2.2474417799094336E-4</v>
      </c>
      <c r="J21">
        <f t="shared" si="1"/>
        <v>0.22474417799094334</v>
      </c>
      <c r="K21">
        <f t="shared" si="2"/>
        <v>-1.2205083374719432</v>
      </c>
      <c r="L21">
        <f t="shared" si="3"/>
        <v>810.37800000000004</v>
      </c>
      <c r="M21">
        <f t="shared" si="4"/>
        <v>904.84480743749748</v>
      </c>
      <c r="N21">
        <f t="shared" si="5"/>
        <v>89.407952492238678</v>
      </c>
      <c r="O21">
        <f t="shared" si="6"/>
        <v>80.073662499036018</v>
      </c>
      <c r="P21">
        <f t="shared" si="7"/>
        <v>1.7471643557341512E-2</v>
      </c>
      <c r="Q21">
        <f t="shared" si="8"/>
        <v>2.2523553473035149</v>
      </c>
      <c r="R21">
        <f t="shared" si="9"/>
        <v>1.7396698680441674E-2</v>
      </c>
      <c r="S21">
        <f t="shared" si="10"/>
        <v>1.087964328833192E-2</v>
      </c>
      <c r="T21">
        <f t="shared" si="11"/>
        <v>0</v>
      </c>
      <c r="U21">
        <f t="shared" si="12"/>
        <v>26.707401107529556</v>
      </c>
      <c r="V21">
        <f t="shared" si="13"/>
        <v>26.707401107529556</v>
      </c>
      <c r="W21">
        <f t="shared" si="14"/>
        <v>3.5181110354699365</v>
      </c>
      <c r="X21">
        <f t="shared" si="15"/>
        <v>64.497101901203791</v>
      </c>
      <c r="Y21">
        <f t="shared" si="16"/>
        <v>2.2790488120038002</v>
      </c>
      <c r="Z21">
        <f t="shared" si="17"/>
        <v>3.5335677802931844</v>
      </c>
      <c r="AA21">
        <f t="shared" si="18"/>
        <v>1.2390622234661364</v>
      </c>
      <c r="AB21">
        <f t="shared" si="19"/>
        <v>-9.9112182494006014</v>
      </c>
      <c r="AC21">
        <f t="shared" si="20"/>
        <v>9.0463246343592196</v>
      </c>
      <c r="AD21">
        <f t="shared" si="21"/>
        <v>0.86457126598299361</v>
      </c>
      <c r="AE21">
        <f t="shared" si="22"/>
        <v>-3.2234905838812722E-4</v>
      </c>
      <c r="AF21">
        <v>1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52352.380546208937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30</v>
      </c>
      <c r="AP21">
        <v>0.5</v>
      </c>
      <c r="AQ21" t="s">
        <v>331</v>
      </c>
      <c r="AR21">
        <v>2</v>
      </c>
      <c r="AS21">
        <v>1690373823.5</v>
      </c>
      <c r="AT21">
        <v>810.37800000000004</v>
      </c>
      <c r="AU21">
        <v>799.99800000000005</v>
      </c>
      <c r="AV21">
        <v>23.064900000000002</v>
      </c>
      <c r="AW21">
        <v>20.870100000000001</v>
      </c>
      <c r="AX21">
        <v>811.75599999999997</v>
      </c>
      <c r="AY21">
        <v>22.882100000000001</v>
      </c>
      <c r="AZ21">
        <v>300.11</v>
      </c>
      <c r="BA21">
        <v>98.710300000000004</v>
      </c>
      <c r="BB21">
        <v>9.9961999999999995E-2</v>
      </c>
      <c r="BC21">
        <v>26.7819</v>
      </c>
      <c r="BD21">
        <v>26.9922</v>
      </c>
      <c r="BE21">
        <v>26.977</v>
      </c>
      <c r="BF21">
        <v>0</v>
      </c>
      <c r="BG21">
        <v>0</v>
      </c>
      <c r="BH21">
        <v>10023.799999999999</v>
      </c>
      <c r="BI21">
        <v>0.64359299999999997</v>
      </c>
      <c r="BJ21">
        <v>1.01339</v>
      </c>
      <c r="BK21">
        <v>10.3802</v>
      </c>
      <c r="BL21">
        <v>829.51</v>
      </c>
      <c r="BM21">
        <v>817.04899999999998</v>
      </c>
      <c r="BN21">
        <v>2.1948400000000001</v>
      </c>
      <c r="BO21">
        <v>799.99800000000005</v>
      </c>
      <c r="BP21">
        <v>20.870100000000001</v>
      </c>
      <c r="BQ21">
        <v>2.2767400000000002</v>
      </c>
      <c r="BR21">
        <v>2.0600900000000002</v>
      </c>
      <c r="BS21">
        <v>19.512799999999999</v>
      </c>
      <c r="BT21">
        <v>17.913900000000002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20.458300000000001</v>
      </c>
      <c r="CA21">
        <v>0</v>
      </c>
      <c r="CB21">
        <v>1690373417</v>
      </c>
      <c r="CC21" t="s">
        <v>332</v>
      </c>
      <c r="CD21">
        <v>1690373417</v>
      </c>
      <c r="CE21">
        <v>1690373415</v>
      </c>
      <c r="CF21">
        <v>1</v>
      </c>
      <c r="CG21">
        <v>-1.319</v>
      </c>
      <c r="CH21">
        <v>0.01</v>
      </c>
      <c r="CI21">
        <v>-1.371</v>
      </c>
      <c r="CJ21">
        <v>0.183</v>
      </c>
      <c r="CK21">
        <v>800</v>
      </c>
      <c r="CL21">
        <v>21</v>
      </c>
      <c r="CM21">
        <v>0.09</v>
      </c>
      <c r="CN21">
        <v>7.0000000000000007E-2</v>
      </c>
      <c r="CO21">
        <v>10.398641463414631</v>
      </c>
      <c r="CP21">
        <v>0.2066299651568039</v>
      </c>
      <c r="CQ21">
        <v>4.8980976773266682E-2</v>
      </c>
      <c r="CR21">
        <v>-1</v>
      </c>
      <c r="CS21">
        <v>2.199584878048781</v>
      </c>
      <c r="CT21">
        <v>-2.1534355400694649E-2</v>
      </c>
      <c r="CU21">
        <v>2.232072341199398E-3</v>
      </c>
      <c r="CV21">
        <v>-1</v>
      </c>
      <c r="CW21">
        <v>0</v>
      </c>
      <c r="CX21">
        <v>0</v>
      </c>
      <c r="CY21" t="s">
        <v>333</v>
      </c>
      <c r="CZ21">
        <v>2.3653300000000002</v>
      </c>
      <c r="DA21">
        <v>2.7137699999999998</v>
      </c>
      <c r="DB21">
        <v>0.147984</v>
      </c>
      <c r="DC21">
        <v>0.14621400000000001</v>
      </c>
      <c r="DD21">
        <v>0.110634</v>
      </c>
      <c r="DE21">
        <v>0.101604</v>
      </c>
      <c r="DF21">
        <v>31116.2</v>
      </c>
      <c r="DG21">
        <v>27478.799999999999</v>
      </c>
      <c r="DH21">
        <v>31173.599999999999</v>
      </c>
      <c r="DI21">
        <v>28040.400000000001</v>
      </c>
      <c r="DJ21">
        <v>37634</v>
      </c>
      <c r="DK21">
        <v>35792.199999999997</v>
      </c>
      <c r="DL21">
        <v>44355.8</v>
      </c>
      <c r="DM21">
        <v>42467.6</v>
      </c>
      <c r="DN21">
        <v>1.4705299999999999</v>
      </c>
      <c r="DO21">
        <v>2.1091000000000002</v>
      </c>
      <c r="DP21">
        <v>8.9071700000000004E-2</v>
      </c>
      <c r="DQ21">
        <v>8.3535899999999996E-2</v>
      </c>
      <c r="DR21">
        <v>25.533799999999999</v>
      </c>
      <c r="DS21">
        <v>25.609300000000001</v>
      </c>
      <c r="DT21">
        <v>70.099999999999994</v>
      </c>
      <c r="DU21">
        <v>23.6</v>
      </c>
      <c r="DV21">
        <v>20.7636</v>
      </c>
      <c r="DW21">
        <v>61.290100000000002</v>
      </c>
      <c r="DX21">
        <v>36.726799999999997</v>
      </c>
      <c r="DY21">
        <v>1</v>
      </c>
      <c r="DZ21">
        <v>-0.17161299999999999</v>
      </c>
      <c r="EA21">
        <v>-2.0863299999999998</v>
      </c>
      <c r="EB21">
        <v>20.290900000000001</v>
      </c>
      <c r="EC21">
        <v>5.2442500000000001</v>
      </c>
      <c r="ED21">
        <v>12.039899999999999</v>
      </c>
      <c r="EE21">
        <v>5.0171000000000001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1.8686400000000001</v>
      </c>
      <c r="EL21">
        <v>1.8643099999999999</v>
      </c>
      <c r="EM21">
        <v>1.86903</v>
      </c>
      <c r="EN21">
        <v>1.8670100000000001</v>
      </c>
      <c r="EO21">
        <v>1.8631</v>
      </c>
      <c r="EP21">
        <v>1.86415</v>
      </c>
      <c r="EQ21">
        <v>1.8699600000000001</v>
      </c>
      <c r="ER21">
        <v>1.8692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-1.3779999999999999</v>
      </c>
      <c r="FG21">
        <v>0.18279999999999999</v>
      </c>
      <c r="FH21">
        <v>-0.81947142863283695</v>
      </c>
      <c r="FI21">
        <v>-6.1462078757559423E-4</v>
      </c>
      <c r="FJ21">
        <v>-1.8861989874597051E-7</v>
      </c>
      <c r="FK21">
        <v>1.1980462299894961E-10</v>
      </c>
      <c r="FL21">
        <v>0.18283500000000069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6.8</v>
      </c>
      <c r="FU21">
        <v>6.8</v>
      </c>
      <c r="FV21">
        <v>1.78467</v>
      </c>
      <c r="FW21">
        <v>2.5402800000000001</v>
      </c>
      <c r="FX21">
        <v>1.5490699999999999</v>
      </c>
      <c r="FY21">
        <v>2.34741</v>
      </c>
      <c r="FZ21">
        <v>1.50146</v>
      </c>
      <c r="GA21">
        <v>2.3852500000000001</v>
      </c>
      <c r="GB21">
        <v>29.219000000000001</v>
      </c>
      <c r="GC21">
        <v>24.026199999999999</v>
      </c>
      <c r="GD21">
        <v>19</v>
      </c>
      <c r="GE21">
        <v>275.851</v>
      </c>
      <c r="GF21">
        <v>631.95399999999995</v>
      </c>
      <c r="GG21">
        <v>29.341799999999999</v>
      </c>
      <c r="GH21">
        <v>25.270299999999999</v>
      </c>
      <c r="GI21">
        <v>29.9999</v>
      </c>
      <c r="GJ21">
        <v>25.2943</v>
      </c>
      <c r="GK21">
        <v>25.239699999999999</v>
      </c>
      <c r="GL21">
        <v>35.686300000000003</v>
      </c>
      <c r="GM21">
        <v>0</v>
      </c>
      <c r="GN21">
        <v>100</v>
      </c>
      <c r="GO21">
        <v>29.343399999999999</v>
      </c>
      <c r="GP21">
        <v>800</v>
      </c>
      <c r="GQ21">
        <v>23.2791</v>
      </c>
      <c r="GR21">
        <v>99.732799999999997</v>
      </c>
      <c r="GS21">
        <v>99.376199999999997</v>
      </c>
    </row>
    <row r="22" spans="1:201" x14ac:dyDescent="0.25">
      <c r="A22">
        <v>6</v>
      </c>
      <c r="B22">
        <v>1690373936</v>
      </c>
      <c r="C22">
        <v>116.5</v>
      </c>
      <c r="D22" t="s">
        <v>345</v>
      </c>
      <c r="E22" t="s">
        <v>346</v>
      </c>
      <c r="F22" t="s">
        <v>330</v>
      </c>
      <c r="H22">
        <v>1690373936</v>
      </c>
      <c r="I22">
        <f t="shared" si="0"/>
        <v>2.2662961223544688E-4</v>
      </c>
      <c r="J22">
        <f t="shared" si="1"/>
        <v>0.22662961223544689</v>
      </c>
      <c r="K22">
        <f t="shared" si="2"/>
        <v>-1.1388632213638028</v>
      </c>
      <c r="L22">
        <f t="shared" si="3"/>
        <v>809.50199999999995</v>
      </c>
      <c r="M22">
        <f t="shared" si="4"/>
        <v>935.06472177477735</v>
      </c>
      <c r="N22">
        <f t="shared" si="5"/>
        <v>92.392621491289589</v>
      </c>
      <c r="O22">
        <f t="shared" si="6"/>
        <v>79.985919841446588</v>
      </c>
      <c r="P22">
        <f t="shared" si="7"/>
        <v>1.2023487959179196E-2</v>
      </c>
      <c r="Q22">
        <f t="shared" si="8"/>
        <v>2.2559449890441998</v>
      </c>
      <c r="R22">
        <f t="shared" si="9"/>
        <v>1.1988000608657717E-2</v>
      </c>
      <c r="S22">
        <f t="shared" si="10"/>
        <v>7.4956799934192053E-3</v>
      </c>
      <c r="T22">
        <f t="shared" si="11"/>
        <v>276.06628181928966</v>
      </c>
      <c r="U22">
        <f t="shared" si="12"/>
        <v>29.28677031107868</v>
      </c>
      <c r="V22">
        <f t="shared" si="13"/>
        <v>29.28677031107868</v>
      </c>
      <c r="W22">
        <f t="shared" si="14"/>
        <v>4.0889952927273496</v>
      </c>
      <c r="X22">
        <f t="shared" si="15"/>
        <v>62.659795241752391</v>
      </c>
      <c r="Y22">
        <f t="shared" si="16"/>
        <v>2.2812580116310799</v>
      </c>
      <c r="Z22">
        <f t="shared" si="17"/>
        <v>3.6407045424096736</v>
      </c>
      <c r="AA22">
        <f t="shared" si="18"/>
        <v>1.8077372810962697</v>
      </c>
      <c r="AB22">
        <f t="shared" si="19"/>
        <v>-9.9943658995832081</v>
      </c>
      <c r="AC22">
        <f t="shared" si="20"/>
        <v>-242.77923613393531</v>
      </c>
      <c r="AD22">
        <f t="shared" si="21"/>
        <v>-23.525966571488734</v>
      </c>
      <c r="AE22">
        <f t="shared" si="22"/>
        <v>-0.23328678571760975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52403.333556664445</v>
      </c>
      <c r="AK22">
        <f t="shared" si="26"/>
        <v>1799.68</v>
      </c>
      <c r="AL22">
        <f t="shared" si="27"/>
        <v>1498.8454408089601</v>
      </c>
      <c r="AM22">
        <f t="shared" si="28"/>
        <v>0.83283997200000004</v>
      </c>
      <c r="AN22">
        <f t="shared" si="29"/>
        <v>0.15339742722000002</v>
      </c>
      <c r="AO22">
        <v>30</v>
      </c>
      <c r="AP22">
        <v>0.5</v>
      </c>
      <c r="AQ22" t="s">
        <v>331</v>
      </c>
      <c r="AR22">
        <v>2</v>
      </c>
      <c r="AS22">
        <v>1690373936</v>
      </c>
      <c r="AT22">
        <v>809.50199999999995</v>
      </c>
      <c r="AU22">
        <v>799.95299999999997</v>
      </c>
      <c r="AV22">
        <v>23.087599999999998</v>
      </c>
      <c r="AW22">
        <v>20.8748</v>
      </c>
      <c r="AX22">
        <v>810.88</v>
      </c>
      <c r="AY22">
        <v>22.904699999999998</v>
      </c>
      <c r="AZ22">
        <v>300.15899999999999</v>
      </c>
      <c r="BA22">
        <v>98.7089</v>
      </c>
      <c r="BB22">
        <v>9.9898299999999995E-2</v>
      </c>
      <c r="BC22">
        <v>27.290600000000001</v>
      </c>
      <c r="BD22">
        <v>27.8566</v>
      </c>
      <c r="BE22">
        <v>28.515000000000001</v>
      </c>
      <c r="BF22">
        <v>0</v>
      </c>
      <c r="BG22">
        <v>0</v>
      </c>
      <c r="BH22">
        <v>10051.9</v>
      </c>
      <c r="BI22">
        <v>1123.77</v>
      </c>
      <c r="BJ22">
        <v>1.22224</v>
      </c>
      <c r="BK22">
        <v>9.5492600000000003</v>
      </c>
      <c r="BL22">
        <v>828.63300000000004</v>
      </c>
      <c r="BM22">
        <v>817.00800000000004</v>
      </c>
      <c r="BN22">
        <v>2.2127599999999998</v>
      </c>
      <c r="BO22">
        <v>799.95299999999997</v>
      </c>
      <c r="BP22">
        <v>20.8748</v>
      </c>
      <c r="BQ22">
        <v>2.27895</v>
      </c>
      <c r="BR22">
        <v>2.06053</v>
      </c>
      <c r="BS22">
        <v>19.528400000000001</v>
      </c>
      <c r="BT22">
        <v>17.917300000000001</v>
      </c>
      <c r="BU22">
        <v>1799.68</v>
      </c>
      <c r="BV22">
        <v>0.909999</v>
      </c>
      <c r="BW22">
        <v>3.39987E-2</v>
      </c>
      <c r="BX22">
        <v>2.2000599999999999E-2</v>
      </c>
      <c r="BY22">
        <v>3.40016E-2</v>
      </c>
      <c r="BZ22">
        <v>21</v>
      </c>
      <c r="CA22">
        <v>33522.400000000001</v>
      </c>
      <c r="CB22">
        <v>1690373417</v>
      </c>
      <c r="CC22" t="s">
        <v>332</v>
      </c>
      <c r="CD22">
        <v>1690373417</v>
      </c>
      <c r="CE22">
        <v>1690373415</v>
      </c>
      <c r="CF22">
        <v>1</v>
      </c>
      <c r="CG22">
        <v>-1.319</v>
      </c>
      <c r="CH22">
        <v>0.01</v>
      </c>
      <c r="CI22">
        <v>-1.371</v>
      </c>
      <c r="CJ22">
        <v>0.183</v>
      </c>
      <c r="CK22">
        <v>800</v>
      </c>
      <c r="CL22">
        <v>21</v>
      </c>
      <c r="CM22">
        <v>0.09</v>
      </c>
      <c r="CN22">
        <v>7.0000000000000007E-2</v>
      </c>
      <c r="CO22">
        <v>10.43295146341463</v>
      </c>
      <c r="CP22">
        <v>-0.97958801393729034</v>
      </c>
      <c r="CQ22">
        <v>0.14658554544853239</v>
      </c>
      <c r="CR22">
        <v>-1</v>
      </c>
      <c r="CS22">
        <v>2.1583075609756102</v>
      </c>
      <c r="CT22">
        <v>5.4029895470379008E-2</v>
      </c>
      <c r="CU22">
        <v>8.0959751459200504E-3</v>
      </c>
      <c r="CV22">
        <v>-1</v>
      </c>
      <c r="CW22">
        <v>0</v>
      </c>
      <c r="CX22">
        <v>0</v>
      </c>
      <c r="CY22" t="s">
        <v>333</v>
      </c>
      <c r="CZ22">
        <v>2.3654199999999999</v>
      </c>
      <c r="DA22">
        <v>2.71374</v>
      </c>
      <c r="DB22">
        <v>0.14786299999999999</v>
      </c>
      <c r="DC22">
        <v>0.14619299999999999</v>
      </c>
      <c r="DD22">
        <v>0.11069900000000001</v>
      </c>
      <c r="DE22">
        <v>0.101609</v>
      </c>
      <c r="DF22">
        <v>31119.5</v>
      </c>
      <c r="DG22">
        <v>27480.5</v>
      </c>
      <c r="DH22">
        <v>31172.6</v>
      </c>
      <c r="DI22">
        <v>28041.599999999999</v>
      </c>
      <c r="DJ22">
        <v>37630.6</v>
      </c>
      <c r="DK22">
        <v>35794.300000000003</v>
      </c>
      <c r="DL22">
        <v>44355.1</v>
      </c>
      <c r="DM22">
        <v>42470.3</v>
      </c>
      <c r="DN22">
        <v>1.47305</v>
      </c>
      <c r="DO22">
        <v>2.1071800000000001</v>
      </c>
      <c r="DP22">
        <v>0.141293</v>
      </c>
      <c r="DQ22">
        <v>0.17666799999999999</v>
      </c>
      <c r="DR22">
        <v>25.544799999999999</v>
      </c>
      <c r="DS22">
        <v>25.626200000000001</v>
      </c>
      <c r="DT22">
        <v>69.7</v>
      </c>
      <c r="DU22">
        <v>23.7</v>
      </c>
      <c r="DV22">
        <v>20.767700000000001</v>
      </c>
      <c r="DW22">
        <v>61.3001</v>
      </c>
      <c r="DX22">
        <v>36.506399999999999</v>
      </c>
      <c r="DY22">
        <v>1</v>
      </c>
      <c r="DZ22">
        <v>-0.16961899999999999</v>
      </c>
      <c r="EA22">
        <v>-1.3820300000000001</v>
      </c>
      <c r="EB22">
        <v>20.181100000000001</v>
      </c>
      <c r="EC22">
        <v>5.2430500000000002</v>
      </c>
      <c r="ED22">
        <v>12.039899999999999</v>
      </c>
      <c r="EE22">
        <v>5.01715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1.8686499999999999</v>
      </c>
      <c r="EL22">
        <v>1.86432</v>
      </c>
      <c r="EM22">
        <v>1.8690500000000001</v>
      </c>
      <c r="EN22">
        <v>1.8670500000000001</v>
      </c>
      <c r="EO22">
        <v>1.86311</v>
      </c>
      <c r="EP22">
        <v>1.8641399999999999</v>
      </c>
      <c r="EQ22">
        <v>1.86998</v>
      </c>
      <c r="ER22">
        <v>1.8692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-1.3779999999999999</v>
      </c>
      <c r="FG22">
        <v>0.18290000000000001</v>
      </c>
      <c r="FH22">
        <v>-0.81947142863283695</v>
      </c>
      <c r="FI22">
        <v>-6.1462078757559423E-4</v>
      </c>
      <c r="FJ22">
        <v>-1.8861989874597051E-7</v>
      </c>
      <c r="FK22">
        <v>1.1980462299894961E-10</v>
      </c>
      <c r="FL22">
        <v>0.18283500000000069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8.6999999999999993</v>
      </c>
      <c r="FU22">
        <v>8.6999999999999993</v>
      </c>
      <c r="FV22">
        <v>1.78589</v>
      </c>
      <c r="FW22">
        <v>2.5439500000000002</v>
      </c>
      <c r="FX22">
        <v>1.5490699999999999</v>
      </c>
      <c r="FY22">
        <v>2.34619</v>
      </c>
      <c r="FZ22">
        <v>1.50146</v>
      </c>
      <c r="GA22">
        <v>2.4047900000000002</v>
      </c>
      <c r="GB22">
        <v>29.346399999999999</v>
      </c>
      <c r="GC22">
        <v>23.991199999999999</v>
      </c>
      <c r="GD22">
        <v>19</v>
      </c>
      <c r="GE22">
        <v>277.09199999999998</v>
      </c>
      <c r="GF22">
        <v>630.85699999999997</v>
      </c>
      <c r="GG22">
        <v>29.302099999999999</v>
      </c>
      <c r="GH22">
        <v>25.304500000000001</v>
      </c>
      <c r="GI22">
        <v>29.9998</v>
      </c>
      <c r="GJ22">
        <v>25.338000000000001</v>
      </c>
      <c r="GK22">
        <v>25.286799999999999</v>
      </c>
      <c r="GL22">
        <v>35.698900000000002</v>
      </c>
      <c r="GM22">
        <v>0</v>
      </c>
      <c r="GN22">
        <v>100</v>
      </c>
      <c r="GO22">
        <v>28.816299999999998</v>
      </c>
      <c r="GP22">
        <v>800</v>
      </c>
      <c r="GQ22">
        <v>23.2791</v>
      </c>
      <c r="GR22">
        <v>99.730500000000006</v>
      </c>
      <c r="GS22">
        <v>99.381699999999995</v>
      </c>
    </row>
    <row r="23" spans="1:201" x14ac:dyDescent="0.25">
      <c r="A23">
        <v>7</v>
      </c>
      <c r="B23">
        <v>1690373946</v>
      </c>
      <c r="C23">
        <v>126.5</v>
      </c>
      <c r="D23" t="s">
        <v>347</v>
      </c>
      <c r="E23" t="s">
        <v>348</v>
      </c>
      <c r="F23" t="s">
        <v>330</v>
      </c>
      <c r="H23">
        <v>1690373946</v>
      </c>
      <c r="I23">
        <f t="shared" si="0"/>
        <v>2.4488633807890356E-4</v>
      </c>
      <c r="J23">
        <f t="shared" si="1"/>
        <v>0.24488633807890356</v>
      </c>
      <c r="K23">
        <f t="shared" si="2"/>
        <v>-0.95590426920196891</v>
      </c>
      <c r="L23">
        <f t="shared" si="3"/>
        <v>807.55100000000004</v>
      </c>
      <c r="M23">
        <f t="shared" si="4"/>
        <v>902.4102391859841</v>
      </c>
      <c r="N23">
        <f t="shared" si="5"/>
        <v>89.16630846099352</v>
      </c>
      <c r="O23">
        <f t="shared" si="6"/>
        <v>79.793356100366111</v>
      </c>
      <c r="P23">
        <f t="shared" si="7"/>
        <v>1.2625431121818322E-2</v>
      </c>
      <c r="Q23">
        <f t="shared" si="8"/>
        <v>2.2491162981260722</v>
      </c>
      <c r="R23">
        <f t="shared" si="9"/>
        <v>1.258618940795978E-2</v>
      </c>
      <c r="S23">
        <f t="shared" si="10"/>
        <v>7.8698838673767445E-3</v>
      </c>
      <c r="T23">
        <f t="shared" si="11"/>
        <v>276.10085141159999</v>
      </c>
      <c r="U23">
        <f t="shared" si="12"/>
        <v>29.578689283405279</v>
      </c>
      <c r="V23">
        <f t="shared" si="13"/>
        <v>29.578689283405279</v>
      </c>
      <c r="W23">
        <f t="shared" si="14"/>
        <v>4.1584287886231301</v>
      </c>
      <c r="X23">
        <f t="shared" si="15"/>
        <v>62.067376933189053</v>
      </c>
      <c r="Y23">
        <f t="shared" si="16"/>
        <v>2.2987434019609503</v>
      </c>
      <c r="Z23">
        <f t="shared" si="17"/>
        <v>3.7036258265519706</v>
      </c>
      <c r="AA23">
        <f t="shared" si="18"/>
        <v>1.8596853866621799</v>
      </c>
      <c r="AB23">
        <f t="shared" si="19"/>
        <v>-10.799487509279647</v>
      </c>
      <c r="AC23">
        <f t="shared" si="20"/>
        <v>-241.94964624915698</v>
      </c>
      <c r="AD23">
        <f t="shared" si="21"/>
        <v>-23.585275156095975</v>
      </c>
      <c r="AE23">
        <f t="shared" si="22"/>
        <v>-0.23355750293262645</v>
      </c>
      <c r="AF23">
        <v>1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52087.047648072687</v>
      </c>
      <c r="AK23">
        <f t="shared" si="26"/>
        <v>1799.9</v>
      </c>
      <c r="AL23">
        <f t="shared" si="27"/>
        <v>1499.0291569755</v>
      </c>
      <c r="AM23">
        <f t="shared" si="28"/>
        <v>0.83284024499999998</v>
      </c>
      <c r="AN23">
        <f t="shared" si="29"/>
        <v>0.15339788399999998</v>
      </c>
      <c r="AO23">
        <v>30</v>
      </c>
      <c r="AP23">
        <v>0.5</v>
      </c>
      <c r="AQ23" t="s">
        <v>331</v>
      </c>
      <c r="AR23">
        <v>2</v>
      </c>
      <c r="AS23">
        <v>1690373946</v>
      </c>
      <c r="AT23">
        <v>807.55100000000004</v>
      </c>
      <c r="AU23">
        <v>799.97299999999996</v>
      </c>
      <c r="AV23">
        <v>23.264500000000002</v>
      </c>
      <c r="AW23">
        <v>20.873699999999999</v>
      </c>
      <c r="AX23">
        <v>808.92700000000002</v>
      </c>
      <c r="AY23">
        <v>23.081700000000001</v>
      </c>
      <c r="AZ23">
        <v>300.137</v>
      </c>
      <c r="BA23">
        <v>98.709100000000007</v>
      </c>
      <c r="BB23">
        <v>9.9961099999999997E-2</v>
      </c>
      <c r="BC23">
        <v>27.583300000000001</v>
      </c>
      <c r="BD23">
        <v>28.363800000000001</v>
      </c>
      <c r="BE23">
        <v>29.378499999999999</v>
      </c>
      <c r="BF23">
        <v>0</v>
      </c>
      <c r="BG23">
        <v>0</v>
      </c>
      <c r="BH23">
        <v>9998.75</v>
      </c>
      <c r="BI23">
        <v>1124.56</v>
      </c>
      <c r="BJ23">
        <v>1.2334499999999999</v>
      </c>
      <c r="BK23">
        <v>7.5779399999999999</v>
      </c>
      <c r="BL23">
        <v>826.78599999999994</v>
      </c>
      <c r="BM23">
        <v>817.02700000000004</v>
      </c>
      <c r="BN23">
        <v>2.3908499999999999</v>
      </c>
      <c r="BO23">
        <v>799.97299999999996</v>
      </c>
      <c r="BP23">
        <v>20.873699999999999</v>
      </c>
      <c r="BQ23">
        <v>2.2964199999999999</v>
      </c>
      <c r="BR23">
        <v>2.0604300000000002</v>
      </c>
      <c r="BS23">
        <v>19.651299999999999</v>
      </c>
      <c r="BT23">
        <v>17.916499999999999</v>
      </c>
      <c r="BU23">
        <v>1799.9</v>
      </c>
      <c r="BV23">
        <v>0.909995</v>
      </c>
      <c r="BW23">
        <v>3.4001700000000003E-2</v>
      </c>
      <c r="BX23">
        <v>2.2006499999999998E-2</v>
      </c>
      <c r="BY23">
        <v>3.3996800000000001E-2</v>
      </c>
      <c r="BZ23">
        <v>21</v>
      </c>
      <c r="CA23">
        <v>33526.5</v>
      </c>
      <c r="CB23">
        <v>1690373417</v>
      </c>
      <c r="CC23" t="s">
        <v>332</v>
      </c>
      <c r="CD23">
        <v>1690373417</v>
      </c>
      <c r="CE23">
        <v>1690373415</v>
      </c>
      <c r="CF23">
        <v>1</v>
      </c>
      <c r="CG23">
        <v>-1.319</v>
      </c>
      <c r="CH23">
        <v>0.01</v>
      </c>
      <c r="CI23">
        <v>-1.371</v>
      </c>
      <c r="CJ23">
        <v>0.183</v>
      </c>
      <c r="CK23">
        <v>800</v>
      </c>
      <c r="CL23">
        <v>21</v>
      </c>
      <c r="CM23">
        <v>0.09</v>
      </c>
      <c r="CN23">
        <v>7.0000000000000007E-2</v>
      </c>
      <c r="CO23">
        <v>9.4836919999999996</v>
      </c>
      <c r="CP23">
        <v>-9.5739323076923313</v>
      </c>
      <c r="CQ23">
        <v>0.94973144477057325</v>
      </c>
      <c r="CR23">
        <v>-1</v>
      </c>
      <c r="CS23">
        <v>2.2268697500000001</v>
      </c>
      <c r="CT23">
        <v>0.73310307692307908</v>
      </c>
      <c r="CU23">
        <v>7.3801776045278891E-2</v>
      </c>
      <c r="CV23">
        <v>-1</v>
      </c>
      <c r="CW23">
        <v>0</v>
      </c>
      <c r="CX23">
        <v>0</v>
      </c>
      <c r="CY23" t="s">
        <v>333</v>
      </c>
      <c r="CZ23">
        <v>2.3653900000000001</v>
      </c>
      <c r="DA23">
        <v>2.7137500000000001</v>
      </c>
      <c r="DB23">
        <v>0.14762700000000001</v>
      </c>
      <c r="DC23">
        <v>0.14619399999999999</v>
      </c>
      <c r="DD23">
        <v>0.11129799999999999</v>
      </c>
      <c r="DE23">
        <v>0.101604</v>
      </c>
      <c r="DF23">
        <v>31128.5</v>
      </c>
      <c r="DG23">
        <v>27480.7</v>
      </c>
      <c r="DH23">
        <v>31173</v>
      </c>
      <c r="DI23">
        <v>28041.8</v>
      </c>
      <c r="DJ23">
        <v>37605.1</v>
      </c>
      <c r="DK23">
        <v>35794.9</v>
      </c>
      <c r="DL23">
        <v>44355.3</v>
      </c>
      <c r="DM23">
        <v>42470.7</v>
      </c>
      <c r="DN23">
        <v>1.47065</v>
      </c>
      <c r="DO23">
        <v>2.1072799999999998</v>
      </c>
      <c r="DP23">
        <v>0.170298</v>
      </c>
      <c r="DQ23">
        <v>0.227913</v>
      </c>
      <c r="DR23">
        <v>25.578700000000001</v>
      </c>
      <c r="DS23">
        <v>25.654299999999999</v>
      </c>
      <c r="DT23">
        <v>69.7</v>
      </c>
      <c r="DU23">
        <v>23.7</v>
      </c>
      <c r="DV23">
        <v>20.771100000000001</v>
      </c>
      <c r="DW23">
        <v>62.070099999999996</v>
      </c>
      <c r="DX23">
        <v>36.5304</v>
      </c>
      <c r="DY23">
        <v>1</v>
      </c>
      <c r="DZ23">
        <v>-0.165239</v>
      </c>
      <c r="EA23">
        <v>3.4322300000000001</v>
      </c>
      <c r="EB23">
        <v>20.118600000000001</v>
      </c>
      <c r="EC23">
        <v>5.2431999999999999</v>
      </c>
      <c r="ED23">
        <v>12.039899999999999</v>
      </c>
      <c r="EE23">
        <v>5.0170000000000003</v>
      </c>
      <c r="EF23">
        <v>3.2879700000000001</v>
      </c>
      <c r="EG23">
        <v>9999</v>
      </c>
      <c r="EH23">
        <v>9999</v>
      </c>
      <c r="EI23">
        <v>9999</v>
      </c>
      <c r="EJ23">
        <v>999.9</v>
      </c>
      <c r="EK23">
        <v>1.8686700000000001</v>
      </c>
      <c r="EL23">
        <v>1.86432</v>
      </c>
      <c r="EM23">
        <v>1.86904</v>
      </c>
      <c r="EN23">
        <v>1.86703</v>
      </c>
      <c r="EO23">
        <v>1.86311</v>
      </c>
      <c r="EP23">
        <v>1.8641099999999999</v>
      </c>
      <c r="EQ23">
        <v>1.8699600000000001</v>
      </c>
      <c r="ER23">
        <v>1.8692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-1.3759999999999999</v>
      </c>
      <c r="FG23">
        <v>0.18279999999999999</v>
      </c>
      <c r="FH23">
        <v>-0.81947142863283695</v>
      </c>
      <c r="FI23">
        <v>-6.1462078757559423E-4</v>
      </c>
      <c r="FJ23">
        <v>-1.8861989874597051E-7</v>
      </c>
      <c r="FK23">
        <v>1.1980462299894961E-10</v>
      </c>
      <c r="FL23">
        <v>0.18283500000000069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8.8000000000000007</v>
      </c>
      <c r="FU23">
        <v>8.8000000000000007</v>
      </c>
      <c r="FV23">
        <v>1.78589</v>
      </c>
      <c r="FW23">
        <v>2.5427200000000001</v>
      </c>
      <c r="FX23">
        <v>1.5490699999999999</v>
      </c>
      <c r="FY23">
        <v>2.34619</v>
      </c>
      <c r="FZ23">
        <v>1.50146</v>
      </c>
      <c r="GA23">
        <v>2.3730500000000001</v>
      </c>
      <c r="GB23">
        <v>29.367599999999999</v>
      </c>
      <c r="GC23">
        <v>23.912400000000002</v>
      </c>
      <c r="GD23">
        <v>19</v>
      </c>
      <c r="GE23">
        <v>276.12099999999998</v>
      </c>
      <c r="GF23">
        <v>630.99099999999999</v>
      </c>
      <c r="GG23">
        <v>27.9815</v>
      </c>
      <c r="GH23">
        <v>25.308599999999998</v>
      </c>
      <c r="GI23">
        <v>30.002800000000001</v>
      </c>
      <c r="GJ23">
        <v>25.3443</v>
      </c>
      <c r="GK23">
        <v>25.290500000000002</v>
      </c>
      <c r="GL23">
        <v>35.702399999999997</v>
      </c>
      <c r="GM23">
        <v>0</v>
      </c>
      <c r="GN23">
        <v>100</v>
      </c>
      <c r="GO23">
        <v>26.554300000000001</v>
      </c>
      <c r="GP23">
        <v>800</v>
      </c>
      <c r="GQ23">
        <v>23.2791</v>
      </c>
      <c r="GR23">
        <v>99.731200000000001</v>
      </c>
      <c r="GS23">
        <v>99.382499999999993</v>
      </c>
    </row>
    <row r="24" spans="1:201" x14ac:dyDescent="0.25">
      <c r="A24">
        <v>8</v>
      </c>
      <c r="B24">
        <v>1690373956</v>
      </c>
      <c r="C24">
        <v>136.5</v>
      </c>
      <c r="D24" t="s">
        <v>349</v>
      </c>
      <c r="E24" t="s">
        <v>350</v>
      </c>
      <c r="F24" t="s">
        <v>330</v>
      </c>
      <c r="H24">
        <v>1690373956</v>
      </c>
      <c r="I24">
        <f t="shared" si="0"/>
        <v>2.5117215644504054E-4</v>
      </c>
      <c r="J24">
        <f t="shared" si="1"/>
        <v>0.25117215644504054</v>
      </c>
      <c r="K24">
        <f t="shared" si="2"/>
        <v>-0.57703762308702033</v>
      </c>
      <c r="L24">
        <f t="shared" si="3"/>
        <v>803.75199999999995</v>
      </c>
      <c r="M24">
        <f t="shared" si="4"/>
        <v>848.6683227500265</v>
      </c>
      <c r="N24">
        <f t="shared" si="5"/>
        <v>83.856879374923423</v>
      </c>
      <c r="O24">
        <f t="shared" si="6"/>
        <v>79.418699513786379</v>
      </c>
      <c r="P24">
        <f t="shared" si="7"/>
        <v>1.3199642642896994E-2</v>
      </c>
      <c r="Q24">
        <f t="shared" si="8"/>
        <v>2.2455817114234469</v>
      </c>
      <c r="R24">
        <f t="shared" si="9"/>
        <v>1.3156689568283978E-2</v>
      </c>
      <c r="S24">
        <f t="shared" si="10"/>
        <v>8.226778430507951E-3</v>
      </c>
      <c r="T24">
        <f t="shared" si="11"/>
        <v>276.10483593613139</v>
      </c>
      <c r="U24">
        <f t="shared" si="12"/>
        <v>29.459306696975283</v>
      </c>
      <c r="V24">
        <f t="shared" si="13"/>
        <v>29.459306696975283</v>
      </c>
      <c r="W24">
        <f t="shared" si="14"/>
        <v>4.1299101856799982</v>
      </c>
      <c r="X24">
        <f t="shared" si="15"/>
        <v>62.675410367798037</v>
      </c>
      <c r="Y24">
        <f t="shared" si="16"/>
        <v>2.3049694796006097</v>
      </c>
      <c r="Z24">
        <f t="shared" si="17"/>
        <v>3.6776296574276262</v>
      </c>
      <c r="AA24">
        <f t="shared" si="18"/>
        <v>1.8249407060793885</v>
      </c>
      <c r="AB24">
        <f t="shared" si="19"/>
        <v>-11.076692099226287</v>
      </c>
      <c r="AC24">
        <f t="shared" si="20"/>
        <v>-241.6925835293915</v>
      </c>
      <c r="AD24">
        <f t="shared" si="21"/>
        <v>-23.569169727042208</v>
      </c>
      <c r="AE24">
        <f t="shared" si="22"/>
        <v>-0.23360941952859093</v>
      </c>
      <c r="AF24">
        <v>2</v>
      </c>
      <c r="AG24">
        <v>1</v>
      </c>
      <c r="AH24">
        <f t="shared" si="23"/>
        <v>1</v>
      </c>
      <c r="AI24">
        <f t="shared" si="24"/>
        <v>0</v>
      </c>
      <c r="AJ24">
        <f t="shared" si="25"/>
        <v>51970.877018077525</v>
      </c>
      <c r="AK24">
        <f t="shared" si="26"/>
        <v>1799.93</v>
      </c>
      <c r="AL24">
        <f t="shared" si="27"/>
        <v>1499.0533916120401</v>
      </c>
      <c r="AM24">
        <f t="shared" si="28"/>
        <v>0.832839828</v>
      </c>
      <c r="AN24">
        <f t="shared" si="29"/>
        <v>0.15339754098</v>
      </c>
      <c r="AO24">
        <v>30</v>
      </c>
      <c r="AP24">
        <v>0.5</v>
      </c>
      <c r="AQ24" t="s">
        <v>331</v>
      </c>
      <c r="AR24">
        <v>2</v>
      </c>
      <c r="AS24">
        <v>1690373956</v>
      </c>
      <c r="AT24">
        <v>803.75199999999995</v>
      </c>
      <c r="AU24">
        <v>800.00199999999995</v>
      </c>
      <c r="AV24">
        <v>23.327300000000001</v>
      </c>
      <c r="AW24">
        <v>20.8752</v>
      </c>
      <c r="AX24">
        <v>805.12599999999998</v>
      </c>
      <c r="AY24">
        <v>23.144400000000001</v>
      </c>
      <c r="AZ24">
        <v>300.12599999999998</v>
      </c>
      <c r="BA24">
        <v>98.71</v>
      </c>
      <c r="BB24">
        <v>9.9955699999999995E-2</v>
      </c>
      <c r="BC24">
        <v>27.462900000000001</v>
      </c>
      <c r="BD24">
        <v>28.304400000000001</v>
      </c>
      <c r="BE24">
        <v>29.438800000000001</v>
      </c>
      <c r="BF24">
        <v>0</v>
      </c>
      <c r="BG24">
        <v>0</v>
      </c>
      <c r="BH24">
        <v>9971.25</v>
      </c>
      <c r="BI24">
        <v>1124.05</v>
      </c>
      <c r="BJ24">
        <v>1.2334499999999999</v>
      </c>
      <c r="BK24">
        <v>3.75</v>
      </c>
      <c r="BL24">
        <v>822.94899999999996</v>
      </c>
      <c r="BM24">
        <v>817.05799999999999</v>
      </c>
      <c r="BN24">
        <v>2.4521199999999999</v>
      </c>
      <c r="BO24">
        <v>800.00199999999995</v>
      </c>
      <c r="BP24">
        <v>20.8752</v>
      </c>
      <c r="BQ24">
        <v>2.3026399999999998</v>
      </c>
      <c r="BR24">
        <v>2.0605899999999999</v>
      </c>
      <c r="BS24">
        <v>19.694900000000001</v>
      </c>
      <c r="BT24">
        <v>17.9177</v>
      </c>
      <c r="BU24">
        <v>1799.93</v>
      </c>
      <c r="BV24">
        <v>0.90999600000000003</v>
      </c>
      <c r="BW24">
        <v>3.4001099999999999E-2</v>
      </c>
      <c r="BX24">
        <v>2.2001400000000001E-2</v>
      </c>
      <c r="BY24">
        <v>3.40016E-2</v>
      </c>
      <c r="BZ24">
        <v>21</v>
      </c>
      <c r="CA24">
        <v>33527.1</v>
      </c>
      <c r="CB24">
        <v>1690373417</v>
      </c>
      <c r="CC24" t="s">
        <v>332</v>
      </c>
      <c r="CD24">
        <v>1690373417</v>
      </c>
      <c r="CE24">
        <v>1690373415</v>
      </c>
      <c r="CF24">
        <v>1</v>
      </c>
      <c r="CG24">
        <v>-1.319</v>
      </c>
      <c r="CH24">
        <v>0.01</v>
      </c>
      <c r="CI24">
        <v>-1.371</v>
      </c>
      <c r="CJ24">
        <v>0.183</v>
      </c>
      <c r="CK24">
        <v>800</v>
      </c>
      <c r="CL24">
        <v>21</v>
      </c>
      <c r="CM24">
        <v>0.09</v>
      </c>
      <c r="CN24">
        <v>7.0000000000000007E-2</v>
      </c>
      <c r="CO24">
        <v>7.6580068292682926</v>
      </c>
      <c r="CP24">
        <v>-14.187878257839721</v>
      </c>
      <c r="CQ24">
        <v>1.4176229603733681</v>
      </c>
      <c r="CR24">
        <v>-1</v>
      </c>
      <c r="CS24">
        <v>2.350529268292683</v>
      </c>
      <c r="CT24">
        <v>0.87149372822299787</v>
      </c>
      <c r="CU24">
        <v>8.7253726886375255E-2</v>
      </c>
      <c r="CV24">
        <v>-1</v>
      </c>
      <c r="CW24">
        <v>0</v>
      </c>
      <c r="CX24">
        <v>0</v>
      </c>
      <c r="CY24" t="s">
        <v>333</v>
      </c>
      <c r="CZ24">
        <v>2.3653300000000002</v>
      </c>
      <c r="DA24">
        <v>2.7137199999999999</v>
      </c>
      <c r="DB24">
        <v>0.14716499999999999</v>
      </c>
      <c r="DC24">
        <v>0.14619599999999999</v>
      </c>
      <c r="DD24">
        <v>0.11151</v>
      </c>
      <c r="DE24">
        <v>0.101608</v>
      </c>
      <c r="DF24">
        <v>31143.3</v>
      </c>
      <c r="DG24">
        <v>27478.2</v>
      </c>
      <c r="DH24">
        <v>31171</v>
      </c>
      <c r="DI24">
        <v>28039.4</v>
      </c>
      <c r="DJ24">
        <v>37594</v>
      </c>
      <c r="DK24">
        <v>35791.699999999997</v>
      </c>
      <c r="DL24">
        <v>44352.9</v>
      </c>
      <c r="DM24">
        <v>42467.199999999997</v>
      </c>
      <c r="DN24">
        <v>1.4681200000000001</v>
      </c>
      <c r="DO24">
        <v>2.1071499999999999</v>
      </c>
      <c r="DP24">
        <v>0.163719</v>
      </c>
      <c r="DQ24">
        <v>0.22931399999999999</v>
      </c>
      <c r="DR24">
        <v>25.626799999999999</v>
      </c>
      <c r="DS24">
        <v>25.692</v>
      </c>
      <c r="DT24">
        <v>69.599999999999994</v>
      </c>
      <c r="DU24">
        <v>23.7</v>
      </c>
      <c r="DV24">
        <v>20.7407</v>
      </c>
      <c r="DW24">
        <v>62.4801</v>
      </c>
      <c r="DX24">
        <v>36.394199999999998</v>
      </c>
      <c r="DY24">
        <v>1</v>
      </c>
      <c r="DZ24">
        <v>-0.15079300000000001</v>
      </c>
      <c r="EA24">
        <v>8.2399500000000003</v>
      </c>
      <c r="EB24">
        <v>19.923400000000001</v>
      </c>
      <c r="EC24">
        <v>5.2439499999999999</v>
      </c>
      <c r="ED24">
        <v>12.039899999999999</v>
      </c>
      <c r="EE24">
        <v>5.0171999999999999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1.8686100000000001</v>
      </c>
      <c r="EL24">
        <v>1.86432</v>
      </c>
      <c r="EM24">
        <v>1.8690500000000001</v>
      </c>
      <c r="EN24">
        <v>1.86703</v>
      </c>
      <c r="EO24">
        <v>1.8631</v>
      </c>
      <c r="EP24">
        <v>1.86405</v>
      </c>
      <c r="EQ24">
        <v>1.8699600000000001</v>
      </c>
      <c r="ER24">
        <v>1.8692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-1.3740000000000001</v>
      </c>
      <c r="FG24">
        <v>0.18290000000000001</v>
      </c>
      <c r="FH24">
        <v>-0.81947142863283695</v>
      </c>
      <c r="FI24">
        <v>-6.1462078757559423E-4</v>
      </c>
      <c r="FJ24">
        <v>-1.8861989874597051E-7</v>
      </c>
      <c r="FK24">
        <v>1.1980462299894961E-10</v>
      </c>
      <c r="FL24">
        <v>0.18283500000000069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9</v>
      </c>
      <c r="FU24">
        <v>9</v>
      </c>
      <c r="FV24">
        <v>1.78589</v>
      </c>
      <c r="FW24">
        <v>2.5402800000000001</v>
      </c>
      <c r="FX24">
        <v>1.5490699999999999</v>
      </c>
      <c r="FY24">
        <v>2.34619</v>
      </c>
      <c r="FZ24">
        <v>1.50146</v>
      </c>
      <c r="GA24">
        <v>2.3754900000000001</v>
      </c>
      <c r="GB24">
        <v>29.367599999999999</v>
      </c>
      <c r="GC24">
        <v>23.877400000000002</v>
      </c>
      <c r="GD24">
        <v>19</v>
      </c>
      <c r="GE24">
        <v>275.08699999999999</v>
      </c>
      <c r="GF24">
        <v>630.93399999999997</v>
      </c>
      <c r="GG24">
        <v>25.3323</v>
      </c>
      <c r="GH24">
        <v>25.3125</v>
      </c>
      <c r="GI24">
        <v>30.006499999999999</v>
      </c>
      <c r="GJ24">
        <v>25.347300000000001</v>
      </c>
      <c r="GK24">
        <v>25.294599999999999</v>
      </c>
      <c r="GL24">
        <v>35.700600000000001</v>
      </c>
      <c r="GM24">
        <v>0</v>
      </c>
      <c r="GN24">
        <v>100</v>
      </c>
      <c r="GO24">
        <v>23.7972</v>
      </c>
      <c r="GP24">
        <v>800</v>
      </c>
      <c r="GQ24">
        <v>23.2791</v>
      </c>
      <c r="GR24">
        <v>99.725499999999997</v>
      </c>
      <c r="GS24">
        <v>99.374200000000002</v>
      </c>
    </row>
    <row r="25" spans="1:201" x14ac:dyDescent="0.25">
      <c r="A25">
        <v>9</v>
      </c>
      <c r="B25">
        <v>1690373966</v>
      </c>
      <c r="C25">
        <v>146.5</v>
      </c>
      <c r="D25" t="s">
        <v>351</v>
      </c>
      <c r="E25" t="s">
        <v>352</v>
      </c>
      <c r="F25" t="s">
        <v>330</v>
      </c>
      <c r="H25">
        <v>1690373966</v>
      </c>
      <c r="I25">
        <f t="shared" si="0"/>
        <v>2.2865095901948812E-4</v>
      </c>
      <c r="J25">
        <f t="shared" si="1"/>
        <v>0.22865095901948812</v>
      </c>
      <c r="K25">
        <f t="shared" si="2"/>
        <v>8.6061751722800339E-2</v>
      </c>
      <c r="L25">
        <f t="shared" si="3"/>
        <v>797.30100000000004</v>
      </c>
      <c r="M25">
        <f t="shared" si="4"/>
        <v>763.04132077915517</v>
      </c>
      <c r="N25">
        <f t="shared" si="5"/>
        <v>75.396540972369266</v>
      </c>
      <c r="O25">
        <f t="shared" si="6"/>
        <v>78.781759095860991</v>
      </c>
      <c r="P25">
        <f t="shared" si="7"/>
        <v>1.2382609769353632E-2</v>
      </c>
      <c r="Q25">
        <f t="shared" si="8"/>
        <v>2.2521137028133071</v>
      </c>
      <c r="R25">
        <f t="shared" si="9"/>
        <v>1.2344910629792968E-2</v>
      </c>
      <c r="S25">
        <f t="shared" si="10"/>
        <v>7.7189466381320706E-3</v>
      </c>
      <c r="T25">
        <f t="shared" si="11"/>
        <v>276.10407764362174</v>
      </c>
      <c r="U25">
        <f t="shared" si="12"/>
        <v>29.14064359349544</v>
      </c>
      <c r="V25">
        <f t="shared" si="13"/>
        <v>29.14064359349544</v>
      </c>
      <c r="W25">
        <f t="shared" si="14"/>
        <v>4.0546199783300656</v>
      </c>
      <c r="X25">
        <f t="shared" si="15"/>
        <v>63.262625784733594</v>
      </c>
      <c r="Y25">
        <f t="shared" si="16"/>
        <v>2.2831563466903999</v>
      </c>
      <c r="Z25">
        <f t="shared" si="17"/>
        <v>3.6090129335753347</v>
      </c>
      <c r="AA25">
        <f t="shared" si="18"/>
        <v>1.7714636316396657</v>
      </c>
      <c r="AB25">
        <f t="shared" si="19"/>
        <v>-10.083507292759426</v>
      </c>
      <c r="AC25">
        <f t="shared" si="20"/>
        <v>-242.72792647942524</v>
      </c>
      <c r="AD25">
        <f t="shared" si="21"/>
        <v>-23.526395893392056</v>
      </c>
      <c r="AE25">
        <f t="shared" si="22"/>
        <v>-0.23375202195498446</v>
      </c>
      <c r="AF25">
        <v>2</v>
      </c>
      <c r="AG25">
        <v>1</v>
      </c>
      <c r="AH25">
        <f t="shared" si="23"/>
        <v>1</v>
      </c>
      <c r="AI25">
        <f t="shared" si="24"/>
        <v>0</v>
      </c>
      <c r="AJ25">
        <f t="shared" si="25"/>
        <v>52280.262074063037</v>
      </c>
      <c r="AK25">
        <f t="shared" si="26"/>
        <v>1799.93</v>
      </c>
      <c r="AL25">
        <f t="shared" si="27"/>
        <v>1499.05121549667</v>
      </c>
      <c r="AM25">
        <f t="shared" si="28"/>
        <v>0.832838619</v>
      </c>
      <c r="AN25">
        <f t="shared" si="29"/>
        <v>0.15339711969000003</v>
      </c>
      <c r="AO25">
        <v>30</v>
      </c>
      <c r="AP25">
        <v>0.5</v>
      </c>
      <c r="AQ25" t="s">
        <v>331</v>
      </c>
      <c r="AR25">
        <v>2</v>
      </c>
      <c r="AS25">
        <v>1690373966</v>
      </c>
      <c r="AT25">
        <v>797.30100000000004</v>
      </c>
      <c r="AU25">
        <v>799.98299999999995</v>
      </c>
      <c r="AV25">
        <v>23.106400000000001</v>
      </c>
      <c r="AW25">
        <v>20.874099999999999</v>
      </c>
      <c r="AX25">
        <v>798.67</v>
      </c>
      <c r="AY25">
        <v>22.923500000000001</v>
      </c>
      <c r="AZ25">
        <v>300.185</v>
      </c>
      <c r="BA25">
        <v>98.710499999999996</v>
      </c>
      <c r="BB25">
        <v>0.100061</v>
      </c>
      <c r="BC25">
        <v>27.141500000000001</v>
      </c>
      <c r="BD25">
        <v>27.9923</v>
      </c>
      <c r="BE25">
        <v>29.1251</v>
      </c>
      <c r="BF25">
        <v>0</v>
      </c>
      <c r="BG25">
        <v>0</v>
      </c>
      <c r="BH25">
        <v>10021.9</v>
      </c>
      <c r="BI25">
        <v>1122.27</v>
      </c>
      <c r="BJ25">
        <v>1.2334499999999999</v>
      </c>
      <c r="BK25">
        <v>-2.6818200000000001</v>
      </c>
      <c r="BL25">
        <v>816.15899999999999</v>
      </c>
      <c r="BM25">
        <v>817.03800000000001</v>
      </c>
      <c r="BN25">
        <v>2.2322799999999998</v>
      </c>
      <c r="BO25">
        <v>799.98299999999995</v>
      </c>
      <c r="BP25">
        <v>20.874099999999999</v>
      </c>
      <c r="BQ25">
        <v>2.28084</v>
      </c>
      <c r="BR25">
        <v>2.0604900000000002</v>
      </c>
      <c r="BS25">
        <v>19.541699999999999</v>
      </c>
      <c r="BT25">
        <v>17.917000000000002</v>
      </c>
      <c r="BU25">
        <v>1799.93</v>
      </c>
      <c r="BV25">
        <v>0.90999300000000005</v>
      </c>
      <c r="BW25">
        <v>3.39999E-2</v>
      </c>
      <c r="BX25">
        <v>2.19962E-2</v>
      </c>
      <c r="BY25">
        <v>3.4010499999999999E-2</v>
      </c>
      <c r="BZ25">
        <v>21.708300000000001</v>
      </c>
      <c r="CA25">
        <v>33527.1</v>
      </c>
      <c r="CB25">
        <v>1690373417</v>
      </c>
      <c r="CC25" t="s">
        <v>332</v>
      </c>
      <c r="CD25">
        <v>1690373417</v>
      </c>
      <c r="CE25">
        <v>1690373415</v>
      </c>
      <c r="CF25">
        <v>1</v>
      </c>
      <c r="CG25">
        <v>-1.319</v>
      </c>
      <c r="CH25">
        <v>0.01</v>
      </c>
      <c r="CI25">
        <v>-1.371</v>
      </c>
      <c r="CJ25">
        <v>0.183</v>
      </c>
      <c r="CK25">
        <v>800</v>
      </c>
      <c r="CL25">
        <v>21</v>
      </c>
      <c r="CM25">
        <v>0.09</v>
      </c>
      <c r="CN25">
        <v>7.0000000000000007E-2</v>
      </c>
      <c r="CO25">
        <v>3.6356076000000002</v>
      </c>
      <c r="CP25">
        <v>-31.39539242026266</v>
      </c>
      <c r="CQ25">
        <v>3.054284595074964</v>
      </c>
      <c r="CR25">
        <v>-1</v>
      </c>
      <c r="CS25">
        <v>2.40938075</v>
      </c>
      <c r="CT25">
        <v>-0.29420701688556178</v>
      </c>
      <c r="CU25">
        <v>4.9763442022608309E-2</v>
      </c>
      <c r="CV25">
        <v>-1</v>
      </c>
      <c r="CW25">
        <v>0</v>
      </c>
      <c r="CX25">
        <v>0</v>
      </c>
      <c r="CY25" t="s">
        <v>333</v>
      </c>
      <c r="CZ25">
        <v>2.3655200000000001</v>
      </c>
      <c r="DA25">
        <v>2.71387</v>
      </c>
      <c r="DB25">
        <v>0.146373</v>
      </c>
      <c r="DC25">
        <v>0.14619299999999999</v>
      </c>
      <c r="DD25">
        <v>0.110761</v>
      </c>
      <c r="DE25">
        <v>0.101604</v>
      </c>
      <c r="DF25">
        <v>31170.5</v>
      </c>
      <c r="DG25">
        <v>27477.200000000001</v>
      </c>
      <c r="DH25">
        <v>31169.3</v>
      </c>
      <c r="DI25">
        <v>28038.3</v>
      </c>
      <c r="DJ25">
        <v>37624.1</v>
      </c>
      <c r="DK25">
        <v>35790.400000000001</v>
      </c>
      <c r="DL25">
        <v>44350.7</v>
      </c>
      <c r="DM25">
        <v>42465.4</v>
      </c>
      <c r="DN25">
        <v>1.4672799999999999</v>
      </c>
      <c r="DO25">
        <v>2.1067499999999999</v>
      </c>
      <c r="DP25">
        <v>0.14215</v>
      </c>
      <c r="DQ25">
        <v>0.208981</v>
      </c>
      <c r="DR25">
        <v>25.666899999999998</v>
      </c>
      <c r="DS25">
        <v>25.709700000000002</v>
      </c>
      <c r="DT25">
        <v>69.599999999999994</v>
      </c>
      <c r="DU25">
        <v>23.7</v>
      </c>
      <c r="DV25">
        <v>20.740100000000002</v>
      </c>
      <c r="DW25">
        <v>62.500100000000003</v>
      </c>
      <c r="DX25">
        <v>35.9696</v>
      </c>
      <c r="DY25">
        <v>1</v>
      </c>
      <c r="DZ25">
        <v>-0.14752499999999999</v>
      </c>
      <c r="EA25">
        <v>9.2810500000000005</v>
      </c>
      <c r="EB25">
        <v>19.871400000000001</v>
      </c>
      <c r="EC25">
        <v>5.2438000000000002</v>
      </c>
      <c r="ED25">
        <v>12.039899999999999</v>
      </c>
      <c r="EE25">
        <v>5.0172999999999996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1.8686199999999999</v>
      </c>
      <c r="EL25">
        <v>1.8643099999999999</v>
      </c>
      <c r="EM25">
        <v>1.869</v>
      </c>
      <c r="EN25">
        <v>1.8670100000000001</v>
      </c>
      <c r="EO25">
        <v>1.8631</v>
      </c>
      <c r="EP25">
        <v>1.8640699999999999</v>
      </c>
      <c r="EQ25">
        <v>1.8699600000000001</v>
      </c>
      <c r="ER25">
        <v>1.8691899999999999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-1.369</v>
      </c>
      <c r="FG25">
        <v>0.18290000000000001</v>
      </c>
      <c r="FH25">
        <v>-0.81947142863283695</v>
      </c>
      <c r="FI25">
        <v>-6.1462078757559423E-4</v>
      </c>
      <c r="FJ25">
        <v>-1.8861989874597051E-7</v>
      </c>
      <c r="FK25">
        <v>1.1980462299894961E-10</v>
      </c>
      <c r="FL25">
        <v>0.18283500000000069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9.1999999999999993</v>
      </c>
      <c r="FU25">
        <v>9.1999999999999993</v>
      </c>
      <c r="FV25">
        <v>1.78589</v>
      </c>
      <c r="FW25">
        <v>2.5390600000000001</v>
      </c>
      <c r="FX25">
        <v>1.5490699999999999</v>
      </c>
      <c r="FY25">
        <v>2.34619</v>
      </c>
      <c r="FZ25">
        <v>1.50146</v>
      </c>
      <c r="GA25">
        <v>2.3535200000000001</v>
      </c>
      <c r="GB25">
        <v>29.3889</v>
      </c>
      <c r="GC25">
        <v>23.877400000000002</v>
      </c>
      <c r="GD25">
        <v>19</v>
      </c>
      <c r="GE25">
        <v>274.73599999999999</v>
      </c>
      <c r="GF25">
        <v>630.63</v>
      </c>
      <c r="GG25">
        <v>22.981999999999999</v>
      </c>
      <c r="GH25">
        <v>25.317799999999998</v>
      </c>
      <c r="GI25">
        <v>30.0017</v>
      </c>
      <c r="GJ25">
        <v>25.347300000000001</v>
      </c>
      <c r="GK25">
        <v>25.298400000000001</v>
      </c>
      <c r="GL25">
        <v>35.701999999999998</v>
      </c>
      <c r="GM25">
        <v>0</v>
      </c>
      <c r="GN25">
        <v>100</v>
      </c>
      <c r="GO25">
        <v>21.4209</v>
      </c>
      <c r="GP25">
        <v>800</v>
      </c>
      <c r="GQ25">
        <v>23.2791</v>
      </c>
      <c r="GR25">
        <v>99.720299999999995</v>
      </c>
      <c r="GS25">
        <v>99.370099999999994</v>
      </c>
    </row>
    <row r="26" spans="1:201" x14ac:dyDescent="0.25">
      <c r="A26">
        <v>10</v>
      </c>
      <c r="B26">
        <v>1690373976</v>
      </c>
      <c r="C26">
        <v>156.5</v>
      </c>
      <c r="D26" t="s">
        <v>353</v>
      </c>
      <c r="E26" t="s">
        <v>354</v>
      </c>
      <c r="F26" t="s">
        <v>330</v>
      </c>
      <c r="H26">
        <v>1690373976</v>
      </c>
      <c r="I26">
        <f t="shared" si="0"/>
        <v>1.8809068491746207E-4</v>
      </c>
      <c r="J26">
        <f t="shared" si="1"/>
        <v>0.18809068491746206</v>
      </c>
      <c r="K26">
        <f t="shared" si="2"/>
        <v>0.68530500586600962</v>
      </c>
      <c r="L26">
        <f t="shared" si="3"/>
        <v>791.673</v>
      </c>
      <c r="M26">
        <f t="shared" si="4"/>
        <v>665.2294101623271</v>
      </c>
      <c r="N26">
        <f t="shared" si="5"/>
        <v>65.731095764993597</v>
      </c>
      <c r="O26">
        <f t="shared" si="6"/>
        <v>78.224944632050693</v>
      </c>
      <c r="P26">
        <f t="shared" si="7"/>
        <v>1.0428462739779805E-2</v>
      </c>
      <c r="Q26">
        <f t="shared" si="8"/>
        <v>2.249930294689074</v>
      </c>
      <c r="R26">
        <f t="shared" si="9"/>
        <v>1.040168381820609E-2</v>
      </c>
      <c r="S26">
        <f t="shared" si="10"/>
        <v>6.5034525911069271E-3</v>
      </c>
      <c r="T26">
        <f t="shared" si="11"/>
        <v>276.10456033084984</v>
      </c>
      <c r="U26">
        <f t="shared" si="12"/>
        <v>28.797005056384712</v>
      </c>
      <c r="V26">
        <f t="shared" si="13"/>
        <v>28.797005056384712</v>
      </c>
      <c r="W26">
        <f t="shared" si="14"/>
        <v>3.9747726529134431</v>
      </c>
      <c r="X26">
        <f t="shared" si="15"/>
        <v>63.512036492923215</v>
      </c>
      <c r="Y26">
        <f t="shared" si="16"/>
        <v>2.24425406062011</v>
      </c>
      <c r="Z26">
        <f t="shared" si="17"/>
        <v>3.5335885676885423</v>
      </c>
      <c r="AA26">
        <f t="shared" si="18"/>
        <v>1.730518592293333</v>
      </c>
      <c r="AB26">
        <f t="shared" si="19"/>
        <v>-8.2947992048600767</v>
      </c>
      <c r="AC26">
        <f t="shared" si="20"/>
        <v>-244.41657105584062</v>
      </c>
      <c r="AD26">
        <f t="shared" si="21"/>
        <v>-23.630107109975263</v>
      </c>
      <c r="AE26">
        <f t="shared" si="22"/>
        <v>-0.23691703982612466</v>
      </c>
      <c r="AF26">
        <v>3</v>
      </c>
      <c r="AG26">
        <v>1</v>
      </c>
      <c r="AH26">
        <f t="shared" si="23"/>
        <v>1</v>
      </c>
      <c r="AI26">
        <f t="shared" si="24"/>
        <v>0</v>
      </c>
      <c r="AJ26">
        <f t="shared" si="25"/>
        <v>52257.953227551552</v>
      </c>
      <c r="AK26">
        <f t="shared" si="26"/>
        <v>1799.93</v>
      </c>
      <c r="AL26">
        <f t="shared" si="27"/>
        <v>1499.05488195408</v>
      </c>
      <c r="AM26">
        <f t="shared" si="28"/>
        <v>0.83284065600000001</v>
      </c>
      <c r="AN26">
        <f t="shared" si="29"/>
        <v>0.15339738786000001</v>
      </c>
      <c r="AO26">
        <v>30</v>
      </c>
      <c r="AP26">
        <v>0.5</v>
      </c>
      <c r="AQ26" t="s">
        <v>331</v>
      </c>
      <c r="AR26">
        <v>2</v>
      </c>
      <c r="AS26">
        <v>1690373976</v>
      </c>
      <c r="AT26">
        <v>791.673</v>
      </c>
      <c r="AU26">
        <v>800.01199999999994</v>
      </c>
      <c r="AV26">
        <v>22.712900000000001</v>
      </c>
      <c r="AW26">
        <v>20.875399999999999</v>
      </c>
      <c r="AX26">
        <v>793.03899999999999</v>
      </c>
      <c r="AY26">
        <v>22.530100000000001</v>
      </c>
      <c r="AZ26">
        <v>300.11200000000002</v>
      </c>
      <c r="BA26">
        <v>98.709800000000001</v>
      </c>
      <c r="BB26">
        <v>9.9865899999999994E-2</v>
      </c>
      <c r="BC26">
        <v>26.782</v>
      </c>
      <c r="BD26">
        <v>27.599599999999999</v>
      </c>
      <c r="BE26">
        <v>28.768899999999999</v>
      </c>
      <c r="BF26">
        <v>0</v>
      </c>
      <c r="BG26">
        <v>0</v>
      </c>
      <c r="BH26">
        <v>10005</v>
      </c>
      <c r="BI26">
        <v>1119.8800000000001</v>
      </c>
      <c r="BJ26">
        <v>1.2334499999999999</v>
      </c>
      <c r="BK26">
        <v>-8.3389299999999995</v>
      </c>
      <c r="BL26">
        <v>810.072</v>
      </c>
      <c r="BM26">
        <v>817.06899999999996</v>
      </c>
      <c r="BN26">
        <v>1.8375600000000001</v>
      </c>
      <c r="BO26">
        <v>800.01199999999994</v>
      </c>
      <c r="BP26">
        <v>20.875399999999999</v>
      </c>
      <c r="BQ26">
        <v>2.2419899999999999</v>
      </c>
      <c r="BR26">
        <v>2.0606</v>
      </c>
      <c r="BS26">
        <v>19.265599999999999</v>
      </c>
      <c r="BT26">
        <v>17.917899999999999</v>
      </c>
      <c r="BU26">
        <v>1799.93</v>
      </c>
      <c r="BV26">
        <v>0.91000700000000001</v>
      </c>
      <c r="BW26">
        <v>3.39963E-2</v>
      </c>
      <c r="BX26">
        <v>2.2001799999999998E-2</v>
      </c>
      <c r="BY26">
        <v>3.3994400000000001E-2</v>
      </c>
      <c r="BZ26">
        <v>22</v>
      </c>
      <c r="CA26">
        <v>33527.199999999997</v>
      </c>
      <c r="CB26">
        <v>1690373417</v>
      </c>
      <c r="CC26" t="s">
        <v>332</v>
      </c>
      <c r="CD26">
        <v>1690373417</v>
      </c>
      <c r="CE26">
        <v>1690373415</v>
      </c>
      <c r="CF26">
        <v>1</v>
      </c>
      <c r="CG26">
        <v>-1.319</v>
      </c>
      <c r="CH26">
        <v>0.01</v>
      </c>
      <c r="CI26">
        <v>-1.371</v>
      </c>
      <c r="CJ26">
        <v>0.183</v>
      </c>
      <c r="CK26">
        <v>800</v>
      </c>
      <c r="CL26">
        <v>21</v>
      </c>
      <c r="CM26">
        <v>0.09</v>
      </c>
      <c r="CN26">
        <v>7.0000000000000007E-2</v>
      </c>
      <c r="CO26">
        <v>-2.0927001500000002</v>
      </c>
      <c r="CP26">
        <v>-36.805271482176373</v>
      </c>
      <c r="CQ26">
        <v>3.5424501604119261</v>
      </c>
      <c r="CR26">
        <v>-1</v>
      </c>
      <c r="CS26">
        <v>2.2280727499999999</v>
      </c>
      <c r="CT26">
        <v>-1.8666338836773</v>
      </c>
      <c r="CU26">
        <v>0.18210062392791929</v>
      </c>
      <c r="CV26">
        <v>-1</v>
      </c>
      <c r="CW26">
        <v>0</v>
      </c>
      <c r="CX26">
        <v>0</v>
      </c>
      <c r="CY26" t="s">
        <v>333</v>
      </c>
      <c r="CZ26">
        <v>2.3652700000000002</v>
      </c>
      <c r="DA26">
        <v>2.71366</v>
      </c>
      <c r="DB26">
        <v>0.145677</v>
      </c>
      <c r="DC26">
        <v>0.14619599999999999</v>
      </c>
      <c r="DD26">
        <v>0.10942</v>
      </c>
      <c r="DE26">
        <v>0.101608</v>
      </c>
      <c r="DF26">
        <v>31196.400000000001</v>
      </c>
      <c r="DG26">
        <v>27478.1</v>
      </c>
      <c r="DH26">
        <v>31169.9</v>
      </c>
      <c r="DI26">
        <v>28039.3</v>
      </c>
      <c r="DJ26">
        <v>37682.199999999997</v>
      </c>
      <c r="DK26">
        <v>35791.599999999999</v>
      </c>
      <c r="DL26">
        <v>44351.6</v>
      </c>
      <c r="DM26">
        <v>42467.1</v>
      </c>
      <c r="DN26">
        <v>1.46668</v>
      </c>
      <c r="DO26">
        <v>2.1063000000000001</v>
      </c>
      <c r="DP26">
        <v>0.117086</v>
      </c>
      <c r="DQ26">
        <v>0.188135</v>
      </c>
      <c r="DR26">
        <v>25.683700000000002</v>
      </c>
      <c r="DS26">
        <v>25.693300000000001</v>
      </c>
      <c r="DT26">
        <v>69.599999999999994</v>
      </c>
      <c r="DU26">
        <v>23.7</v>
      </c>
      <c r="DV26">
        <v>20.739000000000001</v>
      </c>
      <c r="DW26">
        <v>62.850099999999998</v>
      </c>
      <c r="DX26">
        <v>35.600999999999999</v>
      </c>
      <c r="DY26">
        <v>1</v>
      </c>
      <c r="DZ26">
        <v>-0.148509</v>
      </c>
      <c r="EA26">
        <v>9.2810500000000005</v>
      </c>
      <c r="EB26">
        <v>19.882100000000001</v>
      </c>
      <c r="EC26">
        <v>5.2430500000000002</v>
      </c>
      <c r="ED26">
        <v>12.039899999999999</v>
      </c>
      <c r="EE26">
        <v>5.01755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1.86863</v>
      </c>
      <c r="EL26">
        <v>1.8643099999999999</v>
      </c>
      <c r="EM26">
        <v>1.86904</v>
      </c>
      <c r="EN26">
        <v>1.8669899999999999</v>
      </c>
      <c r="EO26">
        <v>1.8631</v>
      </c>
      <c r="EP26">
        <v>1.8640699999999999</v>
      </c>
      <c r="EQ26">
        <v>1.8699699999999999</v>
      </c>
      <c r="ER26">
        <v>1.8691899999999999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-1.3660000000000001</v>
      </c>
      <c r="FG26">
        <v>0.18279999999999999</v>
      </c>
      <c r="FH26">
        <v>-0.81947142863283695</v>
      </c>
      <c r="FI26">
        <v>-6.1462078757559423E-4</v>
      </c>
      <c r="FJ26">
        <v>-1.8861989874597051E-7</v>
      </c>
      <c r="FK26">
        <v>1.1980462299894961E-10</v>
      </c>
      <c r="FL26">
        <v>0.18283500000000069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9.3000000000000007</v>
      </c>
      <c r="FU26">
        <v>9.3000000000000007</v>
      </c>
      <c r="FV26">
        <v>1.78589</v>
      </c>
      <c r="FW26">
        <v>2.5463900000000002</v>
      </c>
      <c r="FX26">
        <v>1.5490699999999999</v>
      </c>
      <c r="FY26">
        <v>2.34619</v>
      </c>
      <c r="FZ26">
        <v>1.50146</v>
      </c>
      <c r="GA26">
        <v>2.2717299999999998</v>
      </c>
      <c r="GB26">
        <v>29.4101</v>
      </c>
      <c r="GC26">
        <v>23.868600000000001</v>
      </c>
      <c r="GD26">
        <v>19</v>
      </c>
      <c r="GE26">
        <v>274.47800000000001</v>
      </c>
      <c r="GF26">
        <v>630.28899999999999</v>
      </c>
      <c r="GG26">
        <v>21.223299999999998</v>
      </c>
      <c r="GH26">
        <v>25.327100000000002</v>
      </c>
      <c r="GI26">
        <v>29.9999</v>
      </c>
      <c r="GJ26">
        <v>25.345199999999998</v>
      </c>
      <c r="GK26">
        <v>25.302600000000002</v>
      </c>
      <c r="GL26">
        <v>35.703600000000002</v>
      </c>
      <c r="GM26">
        <v>0</v>
      </c>
      <c r="GN26">
        <v>100</v>
      </c>
      <c r="GO26">
        <v>20.1569</v>
      </c>
      <c r="GP26">
        <v>800</v>
      </c>
      <c r="GQ26">
        <v>23.2791</v>
      </c>
      <c r="GR26">
        <v>99.722200000000001</v>
      </c>
      <c r="GS26">
        <v>99.373900000000006</v>
      </c>
    </row>
    <row r="27" spans="1:201" x14ac:dyDescent="0.25">
      <c r="A27">
        <v>11</v>
      </c>
      <c r="B27">
        <v>1690373986</v>
      </c>
      <c r="C27">
        <v>166.5</v>
      </c>
      <c r="D27" t="s">
        <v>355</v>
      </c>
      <c r="E27" t="s">
        <v>356</v>
      </c>
      <c r="F27" t="s">
        <v>330</v>
      </c>
      <c r="H27">
        <v>1690373986</v>
      </c>
      <c r="I27">
        <f t="shared" si="0"/>
        <v>1.3772559308629264E-4</v>
      </c>
      <c r="J27">
        <f t="shared" si="1"/>
        <v>0.13772559308629265</v>
      </c>
      <c r="K27">
        <f t="shared" si="2"/>
        <v>1.16688753057192</v>
      </c>
      <c r="L27">
        <f t="shared" si="3"/>
        <v>787.21500000000003</v>
      </c>
      <c r="M27">
        <f t="shared" si="4"/>
        <v>527.30092910845758</v>
      </c>
      <c r="N27">
        <f t="shared" si="5"/>
        <v>52.103455868906273</v>
      </c>
      <c r="O27">
        <f t="shared" si="6"/>
        <v>77.785984715010017</v>
      </c>
      <c r="P27">
        <f t="shared" si="7"/>
        <v>7.7531639842876535E-3</v>
      </c>
      <c r="Q27">
        <f t="shared" si="8"/>
        <v>2.246570558264513</v>
      </c>
      <c r="R27">
        <f t="shared" si="9"/>
        <v>7.7383296823796844E-3</v>
      </c>
      <c r="S27">
        <f t="shared" si="10"/>
        <v>4.8377864624171698E-3</v>
      </c>
      <c r="T27">
        <f t="shared" si="11"/>
        <v>276.10789503119702</v>
      </c>
      <c r="U27">
        <f t="shared" si="12"/>
        <v>28.469932222055427</v>
      </c>
      <c r="V27">
        <f t="shared" si="13"/>
        <v>28.469932222055427</v>
      </c>
      <c r="W27">
        <f t="shared" si="14"/>
        <v>3.9000517367002656</v>
      </c>
      <c r="X27">
        <f t="shared" si="15"/>
        <v>63.420810634926369</v>
      </c>
      <c r="Y27">
        <f t="shared" si="16"/>
        <v>2.1956632312098003</v>
      </c>
      <c r="Z27">
        <f t="shared" si="17"/>
        <v>3.4620548195904486</v>
      </c>
      <c r="AA27">
        <f t="shared" si="18"/>
        <v>1.7043885054904653</v>
      </c>
      <c r="AB27">
        <f t="shared" si="19"/>
        <v>-6.0736986551055052</v>
      </c>
      <c r="AC27">
        <f t="shared" si="20"/>
        <v>-246.48933714560107</v>
      </c>
      <c r="AD27">
        <f t="shared" si="21"/>
        <v>-23.785985435217594</v>
      </c>
      <c r="AE27">
        <f t="shared" si="22"/>
        <v>-0.24112620472715207</v>
      </c>
      <c r="AF27">
        <v>3</v>
      </c>
      <c r="AG27">
        <v>1</v>
      </c>
      <c r="AH27">
        <f t="shared" si="23"/>
        <v>1</v>
      </c>
      <c r="AI27">
        <f t="shared" si="24"/>
        <v>0</v>
      </c>
      <c r="AJ27">
        <f t="shared" si="25"/>
        <v>52187.80791349768</v>
      </c>
      <c r="AK27">
        <f t="shared" si="26"/>
        <v>1799.95</v>
      </c>
      <c r="AL27">
        <f t="shared" si="27"/>
        <v>1499.0712417754501</v>
      </c>
      <c r="AM27">
        <f t="shared" si="28"/>
        <v>0.83284049100000002</v>
      </c>
      <c r="AN27">
        <f t="shared" si="29"/>
        <v>0.15339753606000001</v>
      </c>
      <c r="AO27">
        <v>30</v>
      </c>
      <c r="AP27">
        <v>0.5</v>
      </c>
      <c r="AQ27" t="s">
        <v>331</v>
      </c>
      <c r="AR27">
        <v>2</v>
      </c>
      <c r="AS27">
        <v>1690373986</v>
      </c>
      <c r="AT27">
        <v>787.21500000000003</v>
      </c>
      <c r="AU27">
        <v>799.96</v>
      </c>
      <c r="AV27">
        <v>22.220700000000001</v>
      </c>
      <c r="AW27">
        <v>20.8749</v>
      </c>
      <c r="AX27">
        <v>788.57799999999997</v>
      </c>
      <c r="AY27">
        <v>22.0379</v>
      </c>
      <c r="AZ27">
        <v>300.19</v>
      </c>
      <c r="BA27">
        <v>98.711600000000004</v>
      </c>
      <c r="BB27">
        <v>0.10001400000000001</v>
      </c>
      <c r="BC27">
        <v>26.434799999999999</v>
      </c>
      <c r="BD27">
        <v>27.247</v>
      </c>
      <c r="BE27">
        <v>28.349399999999999</v>
      </c>
      <c r="BF27">
        <v>0</v>
      </c>
      <c r="BG27">
        <v>0</v>
      </c>
      <c r="BH27">
        <v>9978.75</v>
      </c>
      <c r="BI27">
        <v>1116.93</v>
      </c>
      <c r="BJ27">
        <v>1.2334499999999999</v>
      </c>
      <c r="BK27">
        <v>-12.744999999999999</v>
      </c>
      <c r="BL27">
        <v>805.10500000000002</v>
      </c>
      <c r="BM27">
        <v>817.01499999999999</v>
      </c>
      <c r="BN27">
        <v>1.34581</v>
      </c>
      <c r="BO27">
        <v>799.96</v>
      </c>
      <c r="BP27">
        <v>20.8749</v>
      </c>
      <c r="BQ27">
        <v>2.1934399999999998</v>
      </c>
      <c r="BR27">
        <v>2.0606</v>
      </c>
      <c r="BS27">
        <v>18.9145</v>
      </c>
      <c r="BT27">
        <v>17.9178</v>
      </c>
      <c r="BU27">
        <v>1799.95</v>
      </c>
      <c r="BV27">
        <v>0.91000199999999998</v>
      </c>
      <c r="BW27">
        <v>3.3995699999999997E-2</v>
      </c>
      <c r="BX27">
        <v>2.20033E-2</v>
      </c>
      <c r="BY27">
        <v>3.3998599999999997E-2</v>
      </c>
      <c r="BZ27">
        <v>22</v>
      </c>
      <c r="CA27">
        <v>33527.4</v>
      </c>
      <c r="CB27">
        <v>1690373417</v>
      </c>
      <c r="CC27" t="s">
        <v>332</v>
      </c>
      <c r="CD27">
        <v>1690373417</v>
      </c>
      <c r="CE27">
        <v>1690373415</v>
      </c>
      <c r="CF27">
        <v>1</v>
      </c>
      <c r="CG27">
        <v>-1.319</v>
      </c>
      <c r="CH27">
        <v>0.01</v>
      </c>
      <c r="CI27">
        <v>-1.371</v>
      </c>
      <c r="CJ27">
        <v>0.183</v>
      </c>
      <c r="CK27">
        <v>800</v>
      </c>
      <c r="CL27">
        <v>21</v>
      </c>
      <c r="CM27">
        <v>0.09</v>
      </c>
      <c r="CN27">
        <v>7.0000000000000007E-2</v>
      </c>
      <c r="CO27">
        <v>-7.3197775609756102</v>
      </c>
      <c r="CP27">
        <v>-31.140601045296162</v>
      </c>
      <c r="CQ27">
        <v>3.0765309969896211</v>
      </c>
      <c r="CR27">
        <v>-1</v>
      </c>
      <c r="CS27">
        <v>1.887302926829268</v>
      </c>
      <c r="CT27">
        <v>-2.5360659930313569</v>
      </c>
      <c r="CU27">
        <v>0.25041806208958239</v>
      </c>
      <c r="CV27">
        <v>-1</v>
      </c>
      <c r="CW27">
        <v>0</v>
      </c>
      <c r="CX27">
        <v>0</v>
      </c>
      <c r="CY27" t="s">
        <v>333</v>
      </c>
      <c r="CZ27">
        <v>2.36551</v>
      </c>
      <c r="DA27">
        <v>2.7137899999999999</v>
      </c>
      <c r="DB27">
        <v>0.14512</v>
      </c>
      <c r="DC27">
        <v>0.14618999999999999</v>
      </c>
      <c r="DD27">
        <v>0.107728</v>
      </c>
      <c r="DE27">
        <v>0.101607</v>
      </c>
      <c r="DF27">
        <v>31217.599999999999</v>
      </c>
      <c r="DG27">
        <v>27479.5</v>
      </c>
      <c r="DH27">
        <v>31170.7</v>
      </c>
      <c r="DI27">
        <v>28040.6</v>
      </c>
      <c r="DJ27">
        <v>37755.599999999999</v>
      </c>
      <c r="DK27">
        <v>35793.300000000003</v>
      </c>
      <c r="DL27">
        <v>44352.9</v>
      </c>
      <c r="DM27">
        <v>42468.9</v>
      </c>
      <c r="DN27">
        <v>1.46668</v>
      </c>
      <c r="DO27">
        <v>2.10623</v>
      </c>
      <c r="DP27">
        <v>9.6343499999999999E-2</v>
      </c>
      <c r="DQ27">
        <v>0.16566400000000001</v>
      </c>
      <c r="DR27">
        <v>25.670100000000001</v>
      </c>
      <c r="DS27">
        <v>25.6401</v>
      </c>
      <c r="DT27">
        <v>69.599999999999994</v>
      </c>
      <c r="DU27">
        <v>23.7</v>
      </c>
      <c r="DV27">
        <v>20.7378</v>
      </c>
      <c r="DW27">
        <v>63.0501</v>
      </c>
      <c r="DX27">
        <v>35.416699999999999</v>
      </c>
      <c r="DY27">
        <v>1</v>
      </c>
      <c r="DZ27">
        <v>-0.148836</v>
      </c>
      <c r="EA27">
        <v>9.2810500000000005</v>
      </c>
      <c r="EB27">
        <v>19.8904</v>
      </c>
      <c r="EC27">
        <v>5.2430500000000002</v>
      </c>
      <c r="ED27">
        <v>12.039899999999999</v>
      </c>
      <c r="EE27">
        <v>5.0172499999999998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1.8686700000000001</v>
      </c>
      <c r="EL27">
        <v>1.86432</v>
      </c>
      <c r="EM27">
        <v>1.86904</v>
      </c>
      <c r="EN27">
        <v>1.8669899999999999</v>
      </c>
      <c r="EO27">
        <v>1.8631</v>
      </c>
      <c r="EP27">
        <v>1.8640699999999999</v>
      </c>
      <c r="EQ27">
        <v>1.8699600000000001</v>
      </c>
      <c r="ER27">
        <v>1.8692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-1.363</v>
      </c>
      <c r="FG27">
        <v>0.18279999999999999</v>
      </c>
      <c r="FH27">
        <v>-0.81947142863283695</v>
      </c>
      <c r="FI27">
        <v>-6.1462078757559423E-4</v>
      </c>
      <c r="FJ27">
        <v>-1.8861989874597051E-7</v>
      </c>
      <c r="FK27">
        <v>1.1980462299894961E-10</v>
      </c>
      <c r="FL27">
        <v>0.18283500000000069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9.5</v>
      </c>
      <c r="FU27">
        <v>9.5</v>
      </c>
      <c r="FV27">
        <v>1.78589</v>
      </c>
      <c r="FW27">
        <v>2.5500500000000001</v>
      </c>
      <c r="FX27">
        <v>1.5490699999999999</v>
      </c>
      <c r="FY27">
        <v>2.34619</v>
      </c>
      <c r="FZ27">
        <v>1.50146</v>
      </c>
      <c r="GA27">
        <v>2.2973599999999998</v>
      </c>
      <c r="GB27">
        <v>29.4314</v>
      </c>
      <c r="GC27">
        <v>23.877400000000002</v>
      </c>
      <c r="GD27">
        <v>19</v>
      </c>
      <c r="GE27">
        <v>274.48700000000002</v>
      </c>
      <c r="GF27">
        <v>630.28200000000004</v>
      </c>
      <c r="GG27">
        <v>19.851299999999998</v>
      </c>
      <c r="GH27">
        <v>25.340399999999999</v>
      </c>
      <c r="GI27">
        <v>29.9999</v>
      </c>
      <c r="GJ27">
        <v>25.347300000000001</v>
      </c>
      <c r="GK27">
        <v>25.307200000000002</v>
      </c>
      <c r="GL27">
        <v>35.706099999999999</v>
      </c>
      <c r="GM27">
        <v>0</v>
      </c>
      <c r="GN27">
        <v>100</v>
      </c>
      <c r="GO27">
        <v>19.924700000000001</v>
      </c>
      <c r="GP27">
        <v>800</v>
      </c>
      <c r="GQ27">
        <v>23.2791</v>
      </c>
      <c r="GR27">
        <v>99.725099999999998</v>
      </c>
      <c r="GS27">
        <v>99.378299999999996</v>
      </c>
    </row>
    <row r="28" spans="1:201" x14ac:dyDescent="0.25">
      <c r="A28">
        <v>12</v>
      </c>
      <c r="B28">
        <v>1690373996</v>
      </c>
      <c r="C28">
        <v>176.5</v>
      </c>
      <c r="D28" t="s">
        <v>357</v>
      </c>
      <c r="E28" t="s">
        <v>358</v>
      </c>
      <c r="F28" t="s">
        <v>330</v>
      </c>
      <c r="H28">
        <v>1690373996</v>
      </c>
      <c r="I28">
        <f t="shared" si="0"/>
        <v>7.1301604475233323E-5</v>
      </c>
      <c r="J28">
        <f t="shared" si="1"/>
        <v>7.1301604475233329E-2</v>
      </c>
      <c r="K28">
        <f t="shared" si="2"/>
        <v>1.5541465408069446</v>
      </c>
      <c r="L28">
        <f t="shared" si="3"/>
        <v>783.928</v>
      </c>
      <c r="M28">
        <f t="shared" si="4"/>
        <v>151.17882011179555</v>
      </c>
      <c r="N28">
        <f t="shared" si="5"/>
        <v>14.93829531504149</v>
      </c>
      <c r="O28">
        <f t="shared" si="6"/>
        <v>77.461564795055196</v>
      </c>
      <c r="P28">
        <f t="shared" si="7"/>
        <v>4.0175936871867639E-3</v>
      </c>
      <c r="Q28">
        <f t="shared" si="8"/>
        <v>2.2524559688247758</v>
      </c>
      <c r="R28">
        <f t="shared" si="9"/>
        <v>4.013616841805308E-3</v>
      </c>
      <c r="S28">
        <f t="shared" si="10"/>
        <v>2.50886749375523E-3</v>
      </c>
      <c r="T28">
        <f t="shared" si="11"/>
        <v>276.10749479431502</v>
      </c>
      <c r="U28">
        <f t="shared" si="12"/>
        <v>28.176155089875262</v>
      </c>
      <c r="V28">
        <f t="shared" si="13"/>
        <v>28.176155089875262</v>
      </c>
      <c r="W28">
        <f t="shared" si="14"/>
        <v>3.833984801108091</v>
      </c>
      <c r="X28">
        <f t="shared" si="15"/>
        <v>62.712915655187807</v>
      </c>
      <c r="Y28">
        <f t="shared" si="16"/>
        <v>2.1315843061038899</v>
      </c>
      <c r="Z28">
        <f t="shared" si="17"/>
        <v>3.3989558352284304</v>
      </c>
      <c r="AA28">
        <f t="shared" si="18"/>
        <v>1.7024004950042011</v>
      </c>
      <c r="AB28">
        <f t="shared" si="19"/>
        <v>-3.1444007573577895</v>
      </c>
      <c r="AC28">
        <f t="shared" si="20"/>
        <v>-249.28723883575191</v>
      </c>
      <c r="AD28">
        <f t="shared" si="21"/>
        <v>-23.920699987907451</v>
      </c>
      <c r="AE28">
        <f t="shared" si="22"/>
        <v>-0.24484478670214571</v>
      </c>
      <c r="AF28">
        <v>3</v>
      </c>
      <c r="AG28">
        <v>1</v>
      </c>
      <c r="AH28">
        <f t="shared" si="23"/>
        <v>1</v>
      </c>
      <c r="AI28">
        <f t="shared" si="24"/>
        <v>0</v>
      </c>
      <c r="AJ28">
        <f t="shared" si="25"/>
        <v>52471.615531641248</v>
      </c>
      <c r="AK28">
        <f t="shared" si="26"/>
        <v>1799.95</v>
      </c>
      <c r="AL28">
        <f t="shared" si="27"/>
        <v>1499.0686120485</v>
      </c>
      <c r="AM28">
        <f t="shared" si="28"/>
        <v>0.83283902999999992</v>
      </c>
      <c r="AN28">
        <f t="shared" si="29"/>
        <v>0.15339731370000001</v>
      </c>
      <c r="AO28">
        <v>30</v>
      </c>
      <c r="AP28">
        <v>0.5</v>
      </c>
      <c r="AQ28" t="s">
        <v>331</v>
      </c>
      <c r="AR28">
        <v>2</v>
      </c>
      <c r="AS28">
        <v>1690373996</v>
      </c>
      <c r="AT28">
        <v>783.928</v>
      </c>
      <c r="AU28">
        <v>800.02300000000002</v>
      </c>
      <c r="AV28">
        <v>21.572099999999999</v>
      </c>
      <c r="AW28">
        <v>20.874700000000001</v>
      </c>
      <c r="AX28">
        <v>785.28899999999999</v>
      </c>
      <c r="AY28">
        <v>21.389299999999999</v>
      </c>
      <c r="AZ28">
        <v>300.101</v>
      </c>
      <c r="BA28">
        <v>98.712100000000007</v>
      </c>
      <c r="BB28">
        <v>9.9990899999999994E-2</v>
      </c>
      <c r="BC28">
        <v>26.1233</v>
      </c>
      <c r="BD28">
        <v>26.8978</v>
      </c>
      <c r="BE28">
        <v>27.976900000000001</v>
      </c>
      <c r="BF28">
        <v>0</v>
      </c>
      <c r="BG28">
        <v>0</v>
      </c>
      <c r="BH28">
        <v>10024.4</v>
      </c>
      <c r="BI28">
        <v>1113.6600000000001</v>
      </c>
      <c r="BJ28">
        <v>1.2334499999999999</v>
      </c>
      <c r="BK28">
        <v>-16.0943</v>
      </c>
      <c r="BL28">
        <v>801.21199999999999</v>
      </c>
      <c r="BM28">
        <v>817.07899999999995</v>
      </c>
      <c r="BN28">
        <v>0.69737400000000005</v>
      </c>
      <c r="BO28">
        <v>800.02300000000002</v>
      </c>
      <c r="BP28">
        <v>20.874700000000001</v>
      </c>
      <c r="BQ28">
        <v>2.1294300000000002</v>
      </c>
      <c r="BR28">
        <v>2.0605899999999999</v>
      </c>
      <c r="BS28">
        <v>18.440999999999999</v>
      </c>
      <c r="BT28">
        <v>17.9177</v>
      </c>
      <c r="BU28">
        <v>1799.95</v>
      </c>
      <c r="BV28">
        <v>0.90999099999999999</v>
      </c>
      <c r="BW28">
        <v>3.3998399999999998E-2</v>
      </c>
      <c r="BX28">
        <v>2.1998E-2</v>
      </c>
      <c r="BY28">
        <v>3.4012599999999997E-2</v>
      </c>
      <c r="BZ28">
        <v>22</v>
      </c>
      <c r="CA28">
        <v>33527.4</v>
      </c>
      <c r="CB28">
        <v>1690373417</v>
      </c>
      <c r="CC28" t="s">
        <v>332</v>
      </c>
      <c r="CD28">
        <v>1690373417</v>
      </c>
      <c r="CE28">
        <v>1690373415</v>
      </c>
      <c r="CF28">
        <v>1</v>
      </c>
      <c r="CG28">
        <v>-1.319</v>
      </c>
      <c r="CH28">
        <v>0.01</v>
      </c>
      <c r="CI28">
        <v>-1.371</v>
      </c>
      <c r="CJ28">
        <v>0.183</v>
      </c>
      <c r="CK28">
        <v>800</v>
      </c>
      <c r="CL28">
        <v>21</v>
      </c>
      <c r="CM28">
        <v>0.09</v>
      </c>
      <c r="CN28">
        <v>7.0000000000000007E-2</v>
      </c>
      <c r="CO28">
        <v>-12.234342</v>
      </c>
      <c r="CP28">
        <v>-23.586273095684771</v>
      </c>
      <c r="CQ28">
        <v>2.2743373350387142</v>
      </c>
      <c r="CR28">
        <v>-1</v>
      </c>
      <c r="CS28">
        <v>1.360776075</v>
      </c>
      <c r="CT28">
        <v>-3.3693573095684828</v>
      </c>
      <c r="CU28">
        <v>0.32499862502950588</v>
      </c>
      <c r="CV28">
        <v>-1</v>
      </c>
      <c r="CW28">
        <v>0</v>
      </c>
      <c r="CX28">
        <v>0</v>
      </c>
      <c r="CY28" t="s">
        <v>333</v>
      </c>
      <c r="CZ28">
        <v>2.3652000000000002</v>
      </c>
      <c r="DA28">
        <v>2.7138</v>
      </c>
      <c r="DB28">
        <v>0.14469899999999999</v>
      </c>
      <c r="DC28">
        <v>0.14619399999999999</v>
      </c>
      <c r="DD28">
        <v>0.105472</v>
      </c>
      <c r="DE28">
        <v>0.101603</v>
      </c>
      <c r="DF28">
        <v>31233.1</v>
      </c>
      <c r="DG28">
        <v>27479.8</v>
      </c>
      <c r="DH28">
        <v>31171</v>
      </c>
      <c r="DI28">
        <v>28041.1</v>
      </c>
      <c r="DJ28">
        <v>37852.300000000003</v>
      </c>
      <c r="DK28">
        <v>35793.9</v>
      </c>
      <c r="DL28">
        <v>44353</v>
      </c>
      <c r="DM28">
        <v>42469.5</v>
      </c>
      <c r="DN28">
        <v>1.4663999999999999</v>
      </c>
      <c r="DO28">
        <v>2.1060500000000002</v>
      </c>
      <c r="DP28">
        <v>7.7411499999999994E-2</v>
      </c>
      <c r="DQ28">
        <v>0.147842</v>
      </c>
      <c r="DR28">
        <v>25.630299999999998</v>
      </c>
      <c r="DS28">
        <v>25.558199999999999</v>
      </c>
      <c r="DT28">
        <v>69.5</v>
      </c>
      <c r="DU28">
        <v>23.7</v>
      </c>
      <c r="DV28">
        <v>20.7133</v>
      </c>
      <c r="DW28">
        <v>62.260100000000001</v>
      </c>
      <c r="DX28">
        <v>35.853400000000001</v>
      </c>
      <c r="DY28">
        <v>1</v>
      </c>
      <c r="DZ28">
        <v>-0.14954999999999999</v>
      </c>
      <c r="EA28">
        <v>4.52372</v>
      </c>
      <c r="EB28">
        <v>19.9604</v>
      </c>
      <c r="EC28">
        <v>5.2430500000000002</v>
      </c>
      <c r="ED28">
        <v>12.039899999999999</v>
      </c>
      <c r="EE28">
        <v>5.0172499999999998</v>
      </c>
      <c r="EF28">
        <v>3.2879700000000001</v>
      </c>
      <c r="EG28">
        <v>9999</v>
      </c>
      <c r="EH28">
        <v>9999</v>
      </c>
      <c r="EI28">
        <v>9999</v>
      </c>
      <c r="EJ28">
        <v>999.9</v>
      </c>
      <c r="EK28">
        <v>1.8686499999999999</v>
      </c>
      <c r="EL28">
        <v>1.8643099999999999</v>
      </c>
      <c r="EM28">
        <v>1.86903</v>
      </c>
      <c r="EN28">
        <v>1.8669800000000001</v>
      </c>
      <c r="EO28">
        <v>1.8631</v>
      </c>
      <c r="EP28">
        <v>1.86408</v>
      </c>
      <c r="EQ28">
        <v>1.8699600000000001</v>
      </c>
      <c r="ER28">
        <v>1.8692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-1.361</v>
      </c>
      <c r="FG28">
        <v>0.18279999999999999</v>
      </c>
      <c r="FH28">
        <v>-0.81947142863283695</v>
      </c>
      <c r="FI28">
        <v>-6.1462078757559423E-4</v>
      </c>
      <c r="FJ28">
        <v>-1.8861989874597051E-7</v>
      </c>
      <c r="FK28">
        <v>1.1980462299894961E-10</v>
      </c>
      <c r="FL28">
        <v>0.18283500000000069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9.6999999999999993</v>
      </c>
      <c r="FU28">
        <v>9.6999999999999993</v>
      </c>
      <c r="FV28">
        <v>1.78589</v>
      </c>
      <c r="FW28">
        <v>2.5476100000000002</v>
      </c>
      <c r="FX28">
        <v>1.5490699999999999</v>
      </c>
      <c r="FY28">
        <v>2.34619</v>
      </c>
      <c r="FZ28">
        <v>1.50146</v>
      </c>
      <c r="GA28">
        <v>2.34863</v>
      </c>
      <c r="GB28">
        <v>29.4527</v>
      </c>
      <c r="GC28">
        <v>23.912400000000002</v>
      </c>
      <c r="GD28">
        <v>19</v>
      </c>
      <c r="GE28">
        <v>274.38400000000001</v>
      </c>
      <c r="GF28">
        <v>630.18899999999996</v>
      </c>
      <c r="GG28">
        <v>18.8064</v>
      </c>
      <c r="GH28">
        <v>25.357199999999999</v>
      </c>
      <c r="GI28">
        <v>29.999700000000001</v>
      </c>
      <c r="GJ28">
        <v>25.349599999999999</v>
      </c>
      <c r="GK28">
        <v>25.312100000000001</v>
      </c>
      <c r="GL28">
        <v>35.707000000000001</v>
      </c>
      <c r="GM28">
        <v>0</v>
      </c>
      <c r="GN28">
        <v>100</v>
      </c>
      <c r="GO28">
        <v>24.1004</v>
      </c>
      <c r="GP28">
        <v>800</v>
      </c>
      <c r="GQ28">
        <v>21.4434</v>
      </c>
      <c r="GR28">
        <v>99.725700000000003</v>
      </c>
      <c r="GS28">
        <v>99.379800000000003</v>
      </c>
    </row>
    <row r="29" spans="1:201" x14ac:dyDescent="0.25">
      <c r="A29">
        <v>13</v>
      </c>
      <c r="B29">
        <v>1690374006</v>
      </c>
      <c r="C29">
        <v>186.5</v>
      </c>
      <c r="D29" t="s">
        <v>359</v>
      </c>
      <c r="E29" t="s">
        <v>360</v>
      </c>
      <c r="F29" t="s">
        <v>330</v>
      </c>
      <c r="H29">
        <v>1690374006</v>
      </c>
      <c r="I29">
        <f t="shared" si="0"/>
        <v>1.5922206234737264E-4</v>
      </c>
      <c r="J29">
        <f t="shared" si="1"/>
        <v>0.15922206234737263</v>
      </c>
      <c r="K29">
        <f t="shared" si="2"/>
        <v>1.8523360208366737</v>
      </c>
      <c r="L29">
        <f t="shared" si="3"/>
        <v>780.14499999999998</v>
      </c>
      <c r="M29">
        <f t="shared" si="4"/>
        <v>450.04019430807961</v>
      </c>
      <c r="N29">
        <f t="shared" si="5"/>
        <v>44.469819469963305</v>
      </c>
      <c r="O29">
        <f t="shared" si="6"/>
        <v>77.088463984275009</v>
      </c>
      <c r="P29">
        <f t="shared" si="7"/>
        <v>9.4717993104056711E-3</v>
      </c>
      <c r="Q29">
        <f t="shared" si="8"/>
        <v>2.248924982485581</v>
      </c>
      <c r="R29">
        <f t="shared" si="9"/>
        <v>9.4496927308831326E-3</v>
      </c>
      <c r="S29">
        <f t="shared" si="10"/>
        <v>5.9080398075461171E-3</v>
      </c>
      <c r="T29">
        <f t="shared" si="11"/>
        <v>276.11020266536485</v>
      </c>
      <c r="U29">
        <f t="shared" si="12"/>
        <v>28.159899509768795</v>
      </c>
      <c r="V29">
        <f t="shared" si="13"/>
        <v>28.159899509768795</v>
      </c>
      <c r="W29">
        <f t="shared" si="14"/>
        <v>3.8303577983814958</v>
      </c>
      <c r="X29">
        <f t="shared" si="15"/>
        <v>65.168421680831827</v>
      </c>
      <c r="Y29">
        <f t="shared" si="16"/>
        <v>2.2163557152510003</v>
      </c>
      <c r="Z29">
        <f t="shared" si="17"/>
        <v>3.4009657715907262</v>
      </c>
      <c r="AA29">
        <f t="shared" si="18"/>
        <v>1.6140020831304955</v>
      </c>
      <c r="AB29">
        <f t="shared" si="19"/>
        <v>-7.0216929495191334</v>
      </c>
      <c r="AC29">
        <f t="shared" si="20"/>
        <v>-245.71311943515525</v>
      </c>
      <c r="AD29">
        <f t="shared" si="21"/>
        <v>-23.614014064285048</v>
      </c>
      <c r="AE29">
        <f t="shared" si="22"/>
        <v>-0.23862378359456216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52332.156512350535</v>
      </c>
      <c r="AK29">
        <f t="shared" si="26"/>
        <v>1799.96</v>
      </c>
      <c r="AL29">
        <f t="shared" si="27"/>
        <v>1499.07862880128</v>
      </c>
      <c r="AM29">
        <f t="shared" si="28"/>
        <v>0.83283996800000004</v>
      </c>
      <c r="AN29">
        <f t="shared" si="29"/>
        <v>0.15339796588000001</v>
      </c>
      <c r="AO29">
        <v>30</v>
      </c>
      <c r="AP29">
        <v>0.5</v>
      </c>
      <c r="AQ29" t="s">
        <v>331</v>
      </c>
      <c r="AR29">
        <v>2</v>
      </c>
      <c r="AS29">
        <v>1690374006</v>
      </c>
      <c r="AT29">
        <v>780.14499999999998</v>
      </c>
      <c r="AU29">
        <v>799.899</v>
      </c>
      <c r="AV29">
        <v>22.4298</v>
      </c>
      <c r="AW29">
        <v>20.874199999999998</v>
      </c>
      <c r="AX29">
        <v>781.50199999999995</v>
      </c>
      <c r="AY29">
        <v>22.247</v>
      </c>
      <c r="AZ29">
        <v>300.17500000000001</v>
      </c>
      <c r="BA29">
        <v>98.712900000000005</v>
      </c>
      <c r="BB29">
        <v>0.100095</v>
      </c>
      <c r="BC29">
        <v>26.133299999999998</v>
      </c>
      <c r="BD29">
        <v>26.858799999999999</v>
      </c>
      <c r="BE29">
        <v>27.856300000000001</v>
      </c>
      <c r="BF29">
        <v>0</v>
      </c>
      <c r="BG29">
        <v>0</v>
      </c>
      <c r="BH29">
        <v>9996.8799999999992</v>
      </c>
      <c r="BI29">
        <v>1110.71</v>
      </c>
      <c r="BJ29">
        <v>1.2334499999999999</v>
      </c>
      <c r="BK29">
        <v>-19.7544</v>
      </c>
      <c r="BL29">
        <v>798.04499999999996</v>
      </c>
      <c r="BM29">
        <v>816.952</v>
      </c>
      <c r="BN29">
        <v>1.55558</v>
      </c>
      <c r="BO29">
        <v>799.899</v>
      </c>
      <c r="BP29">
        <v>20.874199999999998</v>
      </c>
      <c r="BQ29">
        <v>2.2141099999999998</v>
      </c>
      <c r="BR29">
        <v>2.0605600000000002</v>
      </c>
      <c r="BS29">
        <v>19.064800000000002</v>
      </c>
      <c r="BT29">
        <v>17.9175</v>
      </c>
      <c r="BU29">
        <v>1799.96</v>
      </c>
      <c r="BV29">
        <v>0.90999300000000005</v>
      </c>
      <c r="BW29">
        <v>3.4002200000000003E-2</v>
      </c>
      <c r="BX29">
        <v>2.2008400000000001E-2</v>
      </c>
      <c r="BY29">
        <v>3.3995999999999998E-2</v>
      </c>
      <c r="BZ29">
        <v>22</v>
      </c>
      <c r="CA29">
        <v>33527.4</v>
      </c>
      <c r="CB29">
        <v>1690373417</v>
      </c>
      <c r="CC29" t="s">
        <v>332</v>
      </c>
      <c r="CD29">
        <v>1690373417</v>
      </c>
      <c r="CE29">
        <v>1690373415</v>
      </c>
      <c r="CF29">
        <v>1</v>
      </c>
      <c r="CG29">
        <v>-1.319</v>
      </c>
      <c r="CH29">
        <v>0.01</v>
      </c>
      <c r="CI29">
        <v>-1.371</v>
      </c>
      <c r="CJ29">
        <v>0.183</v>
      </c>
      <c r="CK29">
        <v>800</v>
      </c>
      <c r="CL29">
        <v>21</v>
      </c>
      <c r="CM29">
        <v>0.09</v>
      </c>
      <c r="CN29">
        <v>7.0000000000000007E-2</v>
      </c>
      <c r="CO29">
        <v>-15.849545000000001</v>
      </c>
      <c r="CP29">
        <v>-20.056725703564709</v>
      </c>
      <c r="CQ29">
        <v>1.9311076808337231</v>
      </c>
      <c r="CR29">
        <v>-1</v>
      </c>
      <c r="CS29">
        <v>0.93656800000000007</v>
      </c>
      <c r="CT29">
        <v>-1.2439801801125749</v>
      </c>
      <c r="CU29">
        <v>0.26221677390357773</v>
      </c>
      <c r="CV29">
        <v>-1</v>
      </c>
      <c r="CW29">
        <v>0</v>
      </c>
      <c r="CX29">
        <v>0</v>
      </c>
      <c r="CY29" t="s">
        <v>333</v>
      </c>
      <c r="CZ29">
        <v>2.3654299999999999</v>
      </c>
      <c r="DA29">
        <v>2.7138800000000001</v>
      </c>
      <c r="DB29">
        <v>0.14424300000000001</v>
      </c>
      <c r="DC29">
        <v>0.14618100000000001</v>
      </c>
      <c r="DD29">
        <v>0.108441</v>
      </c>
      <c r="DE29">
        <v>0.101603</v>
      </c>
      <c r="DF29">
        <v>31250.5</v>
      </c>
      <c r="DG29">
        <v>27481</v>
      </c>
      <c r="DH29">
        <v>31171.8</v>
      </c>
      <c r="DI29">
        <v>28042</v>
      </c>
      <c r="DJ29">
        <v>37726</v>
      </c>
      <c r="DK29">
        <v>35795.4</v>
      </c>
      <c r="DL29">
        <v>44354</v>
      </c>
      <c r="DM29">
        <v>42471.3</v>
      </c>
      <c r="DN29">
        <v>1.4778</v>
      </c>
      <c r="DO29">
        <v>2.10547</v>
      </c>
      <c r="DP29">
        <v>7.86409E-2</v>
      </c>
      <c r="DQ29">
        <v>0.14646400000000001</v>
      </c>
      <c r="DR29">
        <v>25.571100000000001</v>
      </c>
      <c r="DS29">
        <v>25.459700000000002</v>
      </c>
      <c r="DT29">
        <v>69.5</v>
      </c>
      <c r="DU29">
        <v>23.8</v>
      </c>
      <c r="DV29">
        <v>20.8323</v>
      </c>
      <c r="DW29">
        <v>62.55</v>
      </c>
      <c r="DX29">
        <v>36.470399999999998</v>
      </c>
      <c r="DY29">
        <v>1</v>
      </c>
      <c r="DZ29">
        <v>-0.155445</v>
      </c>
      <c r="EA29">
        <v>-6.6666699999999999</v>
      </c>
      <c r="EB29">
        <v>20.001200000000001</v>
      </c>
      <c r="EC29">
        <v>5.2430500000000002</v>
      </c>
      <c r="ED29">
        <v>12.039899999999999</v>
      </c>
      <c r="EE29">
        <v>5.01715</v>
      </c>
      <c r="EF29">
        <v>3.2879499999999999</v>
      </c>
      <c r="EG29">
        <v>9999</v>
      </c>
      <c r="EH29">
        <v>9999</v>
      </c>
      <c r="EI29">
        <v>9999</v>
      </c>
      <c r="EJ29">
        <v>999.9</v>
      </c>
      <c r="EK29">
        <v>1.8686700000000001</v>
      </c>
      <c r="EL29">
        <v>1.86432</v>
      </c>
      <c r="EM29">
        <v>1.86904</v>
      </c>
      <c r="EN29">
        <v>1.8670199999999999</v>
      </c>
      <c r="EO29">
        <v>1.86314</v>
      </c>
      <c r="EP29">
        <v>1.8641099999999999</v>
      </c>
      <c r="EQ29">
        <v>1.8699699999999999</v>
      </c>
      <c r="ER29">
        <v>1.8692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-1.357</v>
      </c>
      <c r="FG29">
        <v>0.18279999999999999</v>
      </c>
      <c r="FH29">
        <v>-0.81947142863283695</v>
      </c>
      <c r="FI29">
        <v>-6.1462078757559423E-4</v>
      </c>
      <c r="FJ29">
        <v>-1.8861989874597051E-7</v>
      </c>
      <c r="FK29">
        <v>1.1980462299894961E-10</v>
      </c>
      <c r="FL29">
        <v>0.18283500000000069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9.8000000000000007</v>
      </c>
      <c r="FU29">
        <v>9.8000000000000007</v>
      </c>
      <c r="FV29">
        <v>1.78589</v>
      </c>
      <c r="FW29">
        <v>2.5451700000000002</v>
      </c>
      <c r="FX29">
        <v>1.5490699999999999</v>
      </c>
      <c r="FY29">
        <v>2.34619</v>
      </c>
      <c r="FZ29">
        <v>1.50146</v>
      </c>
      <c r="GA29">
        <v>2.3779300000000001</v>
      </c>
      <c r="GB29">
        <v>29.4739</v>
      </c>
      <c r="GC29">
        <v>23.9299</v>
      </c>
      <c r="GD29">
        <v>19</v>
      </c>
      <c r="GE29">
        <v>279.24200000000002</v>
      </c>
      <c r="GF29">
        <v>629.76499999999999</v>
      </c>
      <c r="GG29">
        <v>23.791799999999999</v>
      </c>
      <c r="GH29">
        <v>25.3766</v>
      </c>
      <c r="GI29">
        <v>29.9983</v>
      </c>
      <c r="GJ29">
        <v>25.376300000000001</v>
      </c>
      <c r="GK29">
        <v>25.3184</v>
      </c>
      <c r="GL29">
        <v>35.715200000000003</v>
      </c>
      <c r="GM29">
        <v>0</v>
      </c>
      <c r="GN29">
        <v>100</v>
      </c>
      <c r="GO29">
        <v>24.327300000000001</v>
      </c>
      <c r="GP29">
        <v>800</v>
      </c>
      <c r="GQ29">
        <v>21.8965</v>
      </c>
      <c r="GR29">
        <v>99.727900000000005</v>
      </c>
      <c r="GS29">
        <v>99.383600000000001</v>
      </c>
    </row>
    <row r="30" spans="1:201" x14ac:dyDescent="0.25">
      <c r="A30">
        <v>14</v>
      </c>
      <c r="B30">
        <v>1690374016</v>
      </c>
      <c r="C30">
        <v>196.5</v>
      </c>
      <c r="D30" t="s">
        <v>361</v>
      </c>
      <c r="E30" t="s">
        <v>362</v>
      </c>
      <c r="F30" t="s">
        <v>330</v>
      </c>
      <c r="H30">
        <v>1690374016</v>
      </c>
      <c r="I30">
        <f t="shared" si="0"/>
        <v>3.1754124497030377E-4</v>
      </c>
      <c r="J30">
        <f t="shared" si="1"/>
        <v>0.31754124497030378</v>
      </c>
      <c r="K30">
        <f t="shared" si="2"/>
        <v>2.1377973794326488</v>
      </c>
      <c r="L30">
        <f t="shared" si="3"/>
        <v>776.16899999999998</v>
      </c>
      <c r="M30">
        <f t="shared" si="4"/>
        <v>586.35874820420656</v>
      </c>
      <c r="N30">
        <f t="shared" si="5"/>
        <v>57.939529243663301</v>
      </c>
      <c r="O30">
        <f t="shared" si="6"/>
        <v>76.695140323656005</v>
      </c>
      <c r="P30">
        <f t="shared" si="7"/>
        <v>1.9927531024304293E-2</v>
      </c>
      <c r="Q30">
        <f t="shared" si="8"/>
        <v>2.252382759340942</v>
      </c>
      <c r="R30">
        <f t="shared" si="9"/>
        <v>1.9830100827059601E-2</v>
      </c>
      <c r="S30">
        <f t="shared" si="10"/>
        <v>1.2402526923050515E-2</v>
      </c>
      <c r="T30">
        <f t="shared" si="11"/>
        <v>276.10932354690118</v>
      </c>
      <c r="U30">
        <f t="shared" si="12"/>
        <v>28.473308314809898</v>
      </c>
      <c r="V30">
        <f t="shared" si="13"/>
        <v>28.473308314809898</v>
      </c>
      <c r="W30">
        <f t="shared" si="14"/>
        <v>3.9008167141295211</v>
      </c>
      <c r="X30">
        <f t="shared" si="15"/>
        <v>68.14613736988791</v>
      </c>
      <c r="Y30">
        <f t="shared" si="16"/>
        <v>2.3687215468856002</v>
      </c>
      <c r="Z30">
        <f t="shared" si="17"/>
        <v>3.4759439614728329</v>
      </c>
      <c r="AA30">
        <f t="shared" si="18"/>
        <v>1.5320951672439209</v>
      </c>
      <c r="AB30">
        <f t="shared" si="19"/>
        <v>-14.003568903190397</v>
      </c>
      <c r="AC30">
        <f t="shared" si="20"/>
        <v>-239.29187281030806</v>
      </c>
      <c r="AD30">
        <f t="shared" si="21"/>
        <v>-23.040030462530911</v>
      </c>
      <c r="AE30">
        <f t="shared" si="22"/>
        <v>-0.22614862912820399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52402.298864137512</v>
      </c>
      <c r="AK30">
        <f t="shared" si="26"/>
        <v>1799.96</v>
      </c>
      <c r="AL30">
        <f t="shared" si="27"/>
        <v>1499.0759900599198</v>
      </c>
      <c r="AM30">
        <f t="shared" si="28"/>
        <v>0.83283850199999987</v>
      </c>
      <c r="AN30">
        <f t="shared" si="29"/>
        <v>0.15339747746999999</v>
      </c>
      <c r="AO30">
        <v>30</v>
      </c>
      <c r="AP30">
        <v>0.5</v>
      </c>
      <c r="AQ30" t="s">
        <v>331</v>
      </c>
      <c r="AR30">
        <v>2</v>
      </c>
      <c r="AS30">
        <v>1690374016</v>
      </c>
      <c r="AT30">
        <v>776.16899999999998</v>
      </c>
      <c r="AU30">
        <v>799.99400000000003</v>
      </c>
      <c r="AV30">
        <v>23.971900000000002</v>
      </c>
      <c r="AW30">
        <v>20.8749</v>
      </c>
      <c r="AX30">
        <v>777.524</v>
      </c>
      <c r="AY30">
        <v>23.789100000000001</v>
      </c>
      <c r="AZ30">
        <v>300.22199999999998</v>
      </c>
      <c r="BA30">
        <v>98.712400000000002</v>
      </c>
      <c r="BB30">
        <v>0.100024</v>
      </c>
      <c r="BC30">
        <v>26.502700000000001</v>
      </c>
      <c r="BD30">
        <v>27.227</v>
      </c>
      <c r="BE30">
        <v>28.1677</v>
      </c>
      <c r="BF30">
        <v>0</v>
      </c>
      <c r="BG30">
        <v>0</v>
      </c>
      <c r="BH30">
        <v>10023.799999999999</v>
      </c>
      <c r="BI30">
        <v>1108.94</v>
      </c>
      <c r="BJ30">
        <v>1.2334499999999999</v>
      </c>
      <c r="BK30">
        <v>-23.825399999999998</v>
      </c>
      <c r="BL30">
        <v>795.23199999999997</v>
      </c>
      <c r="BM30">
        <v>817.05</v>
      </c>
      <c r="BN30">
        <v>3.0970399999999998</v>
      </c>
      <c r="BO30">
        <v>799.99400000000003</v>
      </c>
      <c r="BP30">
        <v>20.8749</v>
      </c>
      <c r="BQ30">
        <v>2.36633</v>
      </c>
      <c r="BR30">
        <v>2.0606100000000001</v>
      </c>
      <c r="BS30">
        <v>20.135200000000001</v>
      </c>
      <c r="BT30">
        <v>17.917899999999999</v>
      </c>
      <c r="BU30">
        <v>1799.96</v>
      </c>
      <c r="BV30">
        <v>0.90998599999999996</v>
      </c>
      <c r="BW30">
        <v>3.4005599999999997E-2</v>
      </c>
      <c r="BX30">
        <v>2.1999100000000001E-2</v>
      </c>
      <c r="BY30">
        <v>3.4009499999999998E-2</v>
      </c>
      <c r="BZ30">
        <v>22</v>
      </c>
      <c r="CA30">
        <v>33527.599999999999</v>
      </c>
      <c r="CB30">
        <v>1690373417</v>
      </c>
      <c r="CC30" t="s">
        <v>332</v>
      </c>
      <c r="CD30">
        <v>1690373417</v>
      </c>
      <c r="CE30">
        <v>1690373415</v>
      </c>
      <c r="CF30">
        <v>1</v>
      </c>
      <c r="CG30">
        <v>-1.319</v>
      </c>
      <c r="CH30">
        <v>0.01</v>
      </c>
      <c r="CI30">
        <v>-1.371</v>
      </c>
      <c r="CJ30">
        <v>0.183</v>
      </c>
      <c r="CK30">
        <v>800</v>
      </c>
      <c r="CL30">
        <v>21</v>
      </c>
      <c r="CM30">
        <v>0.09</v>
      </c>
      <c r="CN30">
        <v>7.0000000000000007E-2</v>
      </c>
      <c r="CO30">
        <v>-19.25833658536585</v>
      </c>
      <c r="CP30">
        <v>-23.851524041811839</v>
      </c>
      <c r="CQ30">
        <v>2.3562401974700511</v>
      </c>
      <c r="CR30">
        <v>-1</v>
      </c>
      <c r="CS30">
        <v>1.4858880243902439</v>
      </c>
      <c r="CT30">
        <v>8.0476649268292686</v>
      </c>
      <c r="CU30">
        <v>0.83066823752148378</v>
      </c>
      <c r="CV30">
        <v>-1</v>
      </c>
      <c r="CW30">
        <v>0</v>
      </c>
      <c r="CX30">
        <v>0</v>
      </c>
      <c r="CY30" t="s">
        <v>333</v>
      </c>
      <c r="CZ30">
        <v>2.36558</v>
      </c>
      <c r="DA30">
        <v>2.7138399999999998</v>
      </c>
      <c r="DB30">
        <v>0.14376800000000001</v>
      </c>
      <c r="DC30">
        <v>0.14618900000000001</v>
      </c>
      <c r="DD30">
        <v>0.113666</v>
      </c>
      <c r="DE30">
        <v>0.101602</v>
      </c>
      <c r="DF30">
        <v>31268</v>
      </c>
      <c r="DG30">
        <v>27481.3</v>
      </c>
      <c r="DH30">
        <v>31172</v>
      </c>
      <c r="DI30">
        <v>28042.6</v>
      </c>
      <c r="DJ30">
        <v>37502.400000000001</v>
      </c>
      <c r="DK30">
        <v>35796.400000000001</v>
      </c>
      <c r="DL30">
        <v>44354</v>
      </c>
      <c r="DM30">
        <v>42472.5</v>
      </c>
      <c r="DN30">
        <v>1.4724200000000001</v>
      </c>
      <c r="DO30">
        <v>2.1050800000000001</v>
      </c>
      <c r="DP30">
        <v>0.104778</v>
      </c>
      <c r="DQ30">
        <v>0.17032</v>
      </c>
      <c r="DR30">
        <v>25.511700000000001</v>
      </c>
      <c r="DS30">
        <v>25.3813</v>
      </c>
      <c r="DT30">
        <v>69.5</v>
      </c>
      <c r="DU30">
        <v>23.8</v>
      </c>
      <c r="DV30">
        <v>20.8322</v>
      </c>
      <c r="DW30">
        <v>62.270099999999999</v>
      </c>
      <c r="DX30">
        <v>36.538499999999999</v>
      </c>
      <c r="DY30">
        <v>1</v>
      </c>
      <c r="DZ30">
        <v>-0.16686500000000001</v>
      </c>
      <c r="EA30">
        <v>0.47814800000000002</v>
      </c>
      <c r="EB30">
        <v>20.1875</v>
      </c>
      <c r="EC30">
        <v>5.2431999999999999</v>
      </c>
      <c r="ED30">
        <v>12.039899999999999</v>
      </c>
      <c r="EE30">
        <v>5.01715</v>
      </c>
      <c r="EF30">
        <v>3.2879700000000001</v>
      </c>
      <c r="EG30">
        <v>9999</v>
      </c>
      <c r="EH30">
        <v>9999</v>
      </c>
      <c r="EI30">
        <v>9999</v>
      </c>
      <c r="EJ30">
        <v>999.9</v>
      </c>
      <c r="EK30">
        <v>1.8686799999999999</v>
      </c>
      <c r="EL30">
        <v>1.86432</v>
      </c>
      <c r="EM30">
        <v>1.8690500000000001</v>
      </c>
      <c r="EN30">
        <v>1.8670599999999999</v>
      </c>
      <c r="EO30">
        <v>1.8631599999999999</v>
      </c>
      <c r="EP30">
        <v>1.8641700000000001</v>
      </c>
      <c r="EQ30">
        <v>1.86998</v>
      </c>
      <c r="ER30">
        <v>1.8692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-1.355</v>
      </c>
      <c r="FG30">
        <v>0.18279999999999999</v>
      </c>
      <c r="FH30">
        <v>-0.81947142863283695</v>
      </c>
      <c r="FI30">
        <v>-6.1462078757559423E-4</v>
      </c>
      <c r="FJ30">
        <v>-1.8861989874597051E-7</v>
      </c>
      <c r="FK30">
        <v>1.1980462299894961E-10</v>
      </c>
      <c r="FL30">
        <v>0.18283500000000069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10</v>
      </c>
      <c r="FU30">
        <v>10</v>
      </c>
      <c r="FV30">
        <v>1.78711</v>
      </c>
      <c r="FW30">
        <v>2.5476100000000002</v>
      </c>
      <c r="FX30">
        <v>1.5490699999999999</v>
      </c>
      <c r="FY30">
        <v>2.34619</v>
      </c>
      <c r="FZ30">
        <v>1.50146</v>
      </c>
      <c r="GA30">
        <v>2.36938</v>
      </c>
      <c r="GB30">
        <v>29.495200000000001</v>
      </c>
      <c r="GC30">
        <v>23.991199999999999</v>
      </c>
      <c r="GD30">
        <v>19</v>
      </c>
      <c r="GE30">
        <v>277.14699999999999</v>
      </c>
      <c r="GF30">
        <v>629.50199999999995</v>
      </c>
      <c r="GG30">
        <v>25.249600000000001</v>
      </c>
      <c r="GH30">
        <v>25.395800000000001</v>
      </c>
      <c r="GI30">
        <v>29.994599999999998</v>
      </c>
      <c r="GJ30">
        <v>25.4101</v>
      </c>
      <c r="GK30">
        <v>25.325399999999998</v>
      </c>
      <c r="GL30">
        <v>35.718899999999998</v>
      </c>
      <c r="GM30">
        <v>0</v>
      </c>
      <c r="GN30">
        <v>100</v>
      </c>
      <c r="GO30">
        <v>24.716899999999999</v>
      </c>
      <c r="GP30">
        <v>800</v>
      </c>
      <c r="GQ30">
        <v>21.049499999999998</v>
      </c>
      <c r="GR30">
        <v>99.728099999999998</v>
      </c>
      <c r="GS30">
        <v>99.386200000000002</v>
      </c>
    </row>
    <row r="31" spans="1:201" x14ac:dyDescent="0.25">
      <c r="A31">
        <v>15</v>
      </c>
      <c r="B31">
        <v>1690374026</v>
      </c>
      <c r="C31">
        <v>206.5</v>
      </c>
      <c r="D31" t="s">
        <v>363</v>
      </c>
      <c r="E31" t="s">
        <v>364</v>
      </c>
      <c r="F31" t="s">
        <v>330</v>
      </c>
      <c r="H31">
        <v>1690374026</v>
      </c>
      <c r="I31">
        <f t="shared" si="0"/>
        <v>3.3186350298719091E-4</v>
      </c>
      <c r="J31">
        <f t="shared" si="1"/>
        <v>0.33186350298719092</v>
      </c>
      <c r="K31">
        <f t="shared" si="2"/>
        <v>2.4385653736379003</v>
      </c>
      <c r="L31">
        <f t="shared" si="3"/>
        <v>773.05700000000002</v>
      </c>
      <c r="M31">
        <f t="shared" si="4"/>
        <v>565.63183798643354</v>
      </c>
      <c r="N31">
        <f t="shared" si="5"/>
        <v>55.892079723091264</v>
      </c>
      <c r="O31">
        <f t="shared" si="6"/>
        <v>76.388492607323997</v>
      </c>
      <c r="P31">
        <f t="shared" si="7"/>
        <v>2.0613181295169092E-2</v>
      </c>
      <c r="Q31">
        <f t="shared" si="8"/>
        <v>2.2461114226127843</v>
      </c>
      <c r="R31">
        <f t="shared" si="9"/>
        <v>2.0508660654122747E-2</v>
      </c>
      <c r="S31">
        <f t="shared" si="10"/>
        <v>1.2827259390333245E-2</v>
      </c>
      <c r="T31">
        <f t="shared" si="11"/>
        <v>276.1089505231908</v>
      </c>
      <c r="U31">
        <f t="shared" si="12"/>
        <v>28.603342670618119</v>
      </c>
      <c r="V31">
        <f t="shared" si="13"/>
        <v>28.603342670618119</v>
      </c>
      <c r="W31">
        <f t="shared" si="14"/>
        <v>3.9303805325053469</v>
      </c>
      <c r="X31">
        <f t="shared" si="15"/>
        <v>68.019309714065869</v>
      </c>
      <c r="Y31">
        <f t="shared" si="16"/>
        <v>2.382493070052</v>
      </c>
      <c r="Z31">
        <f t="shared" si="17"/>
        <v>3.5026716384910896</v>
      </c>
      <c r="AA31">
        <f t="shared" si="18"/>
        <v>1.547887462453347</v>
      </c>
      <c r="AB31">
        <f t="shared" si="19"/>
        <v>-14.635180481735119</v>
      </c>
      <c r="AC31">
        <f t="shared" si="20"/>
        <v>-238.62976976254211</v>
      </c>
      <c r="AD31">
        <f t="shared" si="21"/>
        <v>-23.070352750862895</v>
      </c>
      <c r="AE31">
        <f t="shared" si="22"/>
        <v>-0.22635247194932617</v>
      </c>
      <c r="AF31">
        <v>1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52135.533489302514</v>
      </c>
      <c r="AK31">
        <f t="shared" si="26"/>
        <v>1799.96</v>
      </c>
      <c r="AL31">
        <f t="shared" si="27"/>
        <v>1499.08029376428</v>
      </c>
      <c r="AM31">
        <f t="shared" si="28"/>
        <v>0.83284089299999997</v>
      </c>
      <c r="AN31">
        <f t="shared" si="29"/>
        <v>0.15339727022999999</v>
      </c>
      <c r="AO31">
        <v>30</v>
      </c>
      <c r="AP31">
        <v>0.5</v>
      </c>
      <c r="AQ31" t="s">
        <v>331</v>
      </c>
      <c r="AR31">
        <v>2</v>
      </c>
      <c r="AS31">
        <v>1690374026</v>
      </c>
      <c r="AT31">
        <v>773.05700000000002</v>
      </c>
      <c r="AU31">
        <v>799.99800000000005</v>
      </c>
      <c r="AV31">
        <v>24.111000000000001</v>
      </c>
      <c r="AW31">
        <v>20.8736</v>
      </c>
      <c r="AX31">
        <v>774.41</v>
      </c>
      <c r="AY31">
        <v>23.9282</v>
      </c>
      <c r="AZ31">
        <v>300.113</v>
      </c>
      <c r="BA31">
        <v>98.713499999999996</v>
      </c>
      <c r="BB31">
        <v>0.100032</v>
      </c>
      <c r="BC31">
        <v>26.6327</v>
      </c>
      <c r="BD31">
        <v>27.388100000000001</v>
      </c>
      <c r="BE31">
        <v>28.408899999999999</v>
      </c>
      <c r="BF31">
        <v>0</v>
      </c>
      <c r="BG31">
        <v>0</v>
      </c>
      <c r="BH31">
        <v>9975</v>
      </c>
      <c r="BI31">
        <v>1107.49</v>
      </c>
      <c r="BJ31">
        <v>1.2334499999999999</v>
      </c>
      <c r="BK31">
        <v>-26.940200000000001</v>
      </c>
      <c r="BL31">
        <v>792.15700000000004</v>
      </c>
      <c r="BM31">
        <v>817.05200000000002</v>
      </c>
      <c r="BN31">
        <v>3.2374800000000001</v>
      </c>
      <c r="BO31">
        <v>799.99800000000005</v>
      </c>
      <c r="BP31">
        <v>20.8736</v>
      </c>
      <c r="BQ31">
        <v>2.38008</v>
      </c>
      <c r="BR31">
        <v>2.0605000000000002</v>
      </c>
      <c r="BS31">
        <v>20.228899999999999</v>
      </c>
      <c r="BT31">
        <v>17.917100000000001</v>
      </c>
      <c r="BU31">
        <v>1799.96</v>
      </c>
      <c r="BV31">
        <v>0.91000800000000004</v>
      </c>
      <c r="BW31">
        <v>3.3993599999999999E-2</v>
      </c>
      <c r="BX31">
        <v>2.1999399999999999E-2</v>
      </c>
      <c r="BY31">
        <v>3.3998899999999999E-2</v>
      </c>
      <c r="BZ31">
        <v>22</v>
      </c>
      <c r="CA31">
        <v>33527.800000000003</v>
      </c>
      <c r="CB31">
        <v>1690373417</v>
      </c>
      <c r="CC31" t="s">
        <v>332</v>
      </c>
      <c r="CD31">
        <v>1690373417</v>
      </c>
      <c r="CE31">
        <v>1690373415</v>
      </c>
      <c r="CF31">
        <v>1</v>
      </c>
      <c r="CG31">
        <v>-1.319</v>
      </c>
      <c r="CH31">
        <v>0.01</v>
      </c>
      <c r="CI31">
        <v>-1.371</v>
      </c>
      <c r="CJ31">
        <v>0.183</v>
      </c>
      <c r="CK31">
        <v>800</v>
      </c>
      <c r="CL31">
        <v>21</v>
      </c>
      <c r="CM31">
        <v>0.09</v>
      </c>
      <c r="CN31">
        <v>7.0000000000000007E-2</v>
      </c>
      <c r="CO31">
        <v>-23.386869999999998</v>
      </c>
      <c r="CP31">
        <v>-21.669275797373341</v>
      </c>
      <c r="CQ31">
        <v>2.0898584670020122</v>
      </c>
      <c r="CR31">
        <v>-1</v>
      </c>
      <c r="CS31">
        <v>2.7737562499999999</v>
      </c>
      <c r="CT31">
        <v>5.4323433771106906</v>
      </c>
      <c r="CU31">
        <v>0.5671559021895457</v>
      </c>
      <c r="CV31">
        <v>-1</v>
      </c>
      <c r="CW31">
        <v>0</v>
      </c>
      <c r="CX31">
        <v>0</v>
      </c>
      <c r="CY31" t="s">
        <v>333</v>
      </c>
      <c r="CZ31">
        <v>2.3651800000000001</v>
      </c>
      <c r="DA31">
        <v>2.7138</v>
      </c>
      <c r="DB31">
        <v>0.14338500000000001</v>
      </c>
      <c r="DC31">
        <v>0.14618800000000001</v>
      </c>
      <c r="DD31">
        <v>0.114132</v>
      </c>
      <c r="DE31">
        <v>0.10159700000000001</v>
      </c>
      <c r="DF31">
        <v>31282.3</v>
      </c>
      <c r="DG31">
        <v>27481.4</v>
      </c>
      <c r="DH31">
        <v>31172.400000000001</v>
      </c>
      <c r="DI31">
        <v>28042.7</v>
      </c>
      <c r="DJ31">
        <v>37482.699999999997</v>
      </c>
      <c r="DK31">
        <v>35796.699999999997</v>
      </c>
      <c r="DL31">
        <v>44354.2</v>
      </c>
      <c r="DM31">
        <v>42472.5</v>
      </c>
      <c r="DN31">
        <v>1.47045</v>
      </c>
      <c r="DO31">
        <v>2.1048300000000002</v>
      </c>
      <c r="DP31">
        <v>0.116937</v>
      </c>
      <c r="DQ31">
        <v>0.187337</v>
      </c>
      <c r="DR31">
        <v>25.474</v>
      </c>
      <c r="DS31">
        <v>25.3445</v>
      </c>
      <c r="DT31">
        <v>69.400000000000006</v>
      </c>
      <c r="DU31">
        <v>23.8</v>
      </c>
      <c r="DV31">
        <v>20.802299999999999</v>
      </c>
      <c r="DW31">
        <v>62.29</v>
      </c>
      <c r="DX31">
        <v>36.201900000000002</v>
      </c>
      <c r="DY31">
        <v>1</v>
      </c>
      <c r="DZ31">
        <v>-0.163798</v>
      </c>
      <c r="EA31">
        <v>2.64621</v>
      </c>
      <c r="EB31">
        <v>20.163399999999999</v>
      </c>
      <c r="EC31">
        <v>5.2428999999999997</v>
      </c>
      <c r="ED31">
        <v>12.039899999999999</v>
      </c>
      <c r="EE31">
        <v>5.0167999999999999</v>
      </c>
      <c r="EF31">
        <v>3.2879499999999999</v>
      </c>
      <c r="EG31">
        <v>9999</v>
      </c>
      <c r="EH31">
        <v>9999</v>
      </c>
      <c r="EI31">
        <v>9999</v>
      </c>
      <c r="EJ31">
        <v>999.9</v>
      </c>
      <c r="EK31">
        <v>1.8687199999999999</v>
      </c>
      <c r="EL31">
        <v>1.86432</v>
      </c>
      <c r="EM31">
        <v>1.86904</v>
      </c>
      <c r="EN31">
        <v>1.8670500000000001</v>
      </c>
      <c r="EO31">
        <v>1.86314</v>
      </c>
      <c r="EP31">
        <v>1.86415</v>
      </c>
      <c r="EQ31">
        <v>1.8699600000000001</v>
      </c>
      <c r="ER31">
        <v>1.8692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-1.353</v>
      </c>
      <c r="FG31">
        <v>0.18279999999999999</v>
      </c>
      <c r="FH31">
        <v>-0.81947142863283695</v>
      </c>
      <c r="FI31">
        <v>-6.1462078757559423E-4</v>
      </c>
      <c r="FJ31">
        <v>-1.8861989874597051E-7</v>
      </c>
      <c r="FK31">
        <v>1.1980462299894961E-10</v>
      </c>
      <c r="FL31">
        <v>0.18283500000000069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10.199999999999999</v>
      </c>
      <c r="FU31">
        <v>10.199999999999999</v>
      </c>
      <c r="FV31">
        <v>1.78589</v>
      </c>
      <c r="FW31">
        <v>2.5366200000000001</v>
      </c>
      <c r="FX31">
        <v>1.5490699999999999</v>
      </c>
      <c r="FY31">
        <v>2.34619</v>
      </c>
      <c r="FZ31">
        <v>1.50146</v>
      </c>
      <c r="GA31">
        <v>2.3779300000000001</v>
      </c>
      <c r="GB31">
        <v>29.495200000000001</v>
      </c>
      <c r="GC31">
        <v>23.973700000000001</v>
      </c>
      <c r="GD31">
        <v>19</v>
      </c>
      <c r="GE31">
        <v>276.33</v>
      </c>
      <c r="GF31">
        <v>629.38099999999997</v>
      </c>
      <c r="GG31">
        <v>24.6858</v>
      </c>
      <c r="GH31">
        <v>25.414300000000001</v>
      </c>
      <c r="GI31">
        <v>30.001300000000001</v>
      </c>
      <c r="GJ31">
        <v>25.411100000000001</v>
      </c>
      <c r="GK31">
        <v>25.333200000000001</v>
      </c>
      <c r="GL31">
        <v>35.718000000000004</v>
      </c>
      <c r="GM31">
        <v>0</v>
      </c>
      <c r="GN31">
        <v>100</v>
      </c>
      <c r="GO31">
        <v>24.104800000000001</v>
      </c>
      <c r="GP31">
        <v>800</v>
      </c>
      <c r="GQ31">
        <v>21.079699999999999</v>
      </c>
      <c r="GR31">
        <v>99.729100000000003</v>
      </c>
      <c r="GS31">
        <v>99.386499999999998</v>
      </c>
    </row>
    <row r="32" spans="1:201" x14ac:dyDescent="0.25">
      <c r="A32">
        <v>16</v>
      </c>
      <c r="B32">
        <v>1690374036</v>
      </c>
      <c r="C32">
        <v>216.5</v>
      </c>
      <c r="D32" t="s">
        <v>365</v>
      </c>
      <c r="E32" t="s">
        <v>366</v>
      </c>
      <c r="F32" t="s">
        <v>330</v>
      </c>
      <c r="H32">
        <v>1690374036</v>
      </c>
      <c r="I32">
        <f t="shared" si="0"/>
        <v>3.102361240793891E-4</v>
      </c>
      <c r="J32">
        <f t="shared" si="1"/>
        <v>0.31023612407938911</v>
      </c>
      <c r="K32">
        <f t="shared" si="2"/>
        <v>2.7712410217235059</v>
      </c>
      <c r="L32">
        <f t="shared" si="3"/>
        <v>769.94100000000003</v>
      </c>
      <c r="M32">
        <f t="shared" si="4"/>
        <v>520.14707083706935</v>
      </c>
      <c r="N32">
        <f t="shared" si="5"/>
        <v>51.396643159020094</v>
      </c>
      <c r="O32">
        <f t="shared" si="6"/>
        <v>76.079218838655592</v>
      </c>
      <c r="P32">
        <f t="shared" si="7"/>
        <v>1.9109332837659743E-2</v>
      </c>
      <c r="Q32">
        <f t="shared" si="8"/>
        <v>2.2472994051554114</v>
      </c>
      <c r="R32">
        <f t="shared" si="9"/>
        <v>1.901951800862605E-2</v>
      </c>
      <c r="S32">
        <f t="shared" si="10"/>
        <v>1.1895232974994291E-2</v>
      </c>
      <c r="T32">
        <f t="shared" si="11"/>
        <v>276.11103028279655</v>
      </c>
      <c r="U32">
        <f t="shared" si="12"/>
        <v>28.567165788272643</v>
      </c>
      <c r="V32">
        <f t="shared" si="13"/>
        <v>28.567165788272643</v>
      </c>
      <c r="W32">
        <f t="shared" si="14"/>
        <v>3.9221360215631722</v>
      </c>
      <c r="X32">
        <f t="shared" si="15"/>
        <v>67.59240719650127</v>
      </c>
      <c r="Y32">
        <f t="shared" si="16"/>
        <v>2.3616206255903198</v>
      </c>
      <c r="Z32">
        <f t="shared" si="17"/>
        <v>3.4939140704439398</v>
      </c>
      <c r="AA32">
        <f t="shared" si="18"/>
        <v>1.5605153959728524</v>
      </c>
      <c r="AB32">
        <f t="shared" si="19"/>
        <v>-13.681413071901058</v>
      </c>
      <c r="AC32">
        <f t="shared" si="20"/>
        <v>-239.52206876435662</v>
      </c>
      <c r="AD32">
        <f t="shared" si="21"/>
        <v>-23.135294546583623</v>
      </c>
      <c r="AE32">
        <f t="shared" si="22"/>
        <v>-0.22774610004475448</v>
      </c>
      <c r="AF32">
        <v>1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52189.082334595958</v>
      </c>
      <c r="AK32">
        <f t="shared" si="26"/>
        <v>1799.97</v>
      </c>
      <c r="AL32">
        <f t="shared" si="27"/>
        <v>1499.08813978125</v>
      </c>
      <c r="AM32">
        <f t="shared" si="28"/>
        <v>0.832840625</v>
      </c>
      <c r="AN32">
        <f t="shared" si="29"/>
        <v>0.15339757345000002</v>
      </c>
      <c r="AO32">
        <v>30</v>
      </c>
      <c r="AP32">
        <v>0.5</v>
      </c>
      <c r="AQ32" t="s">
        <v>331</v>
      </c>
      <c r="AR32">
        <v>2</v>
      </c>
      <c r="AS32">
        <v>1690374036</v>
      </c>
      <c r="AT32">
        <v>769.94100000000003</v>
      </c>
      <c r="AU32">
        <v>800.02599999999995</v>
      </c>
      <c r="AV32">
        <v>23.900200000000002</v>
      </c>
      <c r="AW32">
        <v>20.8736</v>
      </c>
      <c r="AX32">
        <v>771.29100000000005</v>
      </c>
      <c r="AY32">
        <v>23.717400000000001</v>
      </c>
      <c r="AZ32">
        <v>300.16000000000003</v>
      </c>
      <c r="BA32">
        <v>98.711799999999997</v>
      </c>
      <c r="BB32">
        <v>9.9951600000000002E-2</v>
      </c>
      <c r="BC32">
        <v>26.590199999999999</v>
      </c>
      <c r="BD32">
        <v>27.350100000000001</v>
      </c>
      <c r="BE32">
        <v>28.430399999999999</v>
      </c>
      <c r="BF32">
        <v>0</v>
      </c>
      <c r="BG32">
        <v>0</v>
      </c>
      <c r="BH32">
        <v>9984.3799999999992</v>
      </c>
      <c r="BI32">
        <v>1105.8800000000001</v>
      </c>
      <c r="BJ32">
        <v>1.2334499999999999</v>
      </c>
      <c r="BK32">
        <v>-30.085599999999999</v>
      </c>
      <c r="BL32">
        <v>788.79300000000001</v>
      </c>
      <c r="BM32">
        <v>817.08199999999999</v>
      </c>
      <c r="BN32">
        <v>3.0266099999999998</v>
      </c>
      <c r="BO32">
        <v>800.02599999999995</v>
      </c>
      <c r="BP32">
        <v>20.8736</v>
      </c>
      <c r="BQ32">
        <v>2.3592300000000002</v>
      </c>
      <c r="BR32">
        <v>2.06047</v>
      </c>
      <c r="BS32">
        <v>20.086600000000001</v>
      </c>
      <c r="BT32">
        <v>17.916799999999999</v>
      </c>
      <c r="BU32">
        <v>1799.97</v>
      </c>
      <c r="BV32">
        <v>0.91000199999999998</v>
      </c>
      <c r="BW32">
        <v>3.40004E-2</v>
      </c>
      <c r="BX32">
        <v>2.2002000000000001E-2</v>
      </c>
      <c r="BY32">
        <v>3.3995900000000003E-2</v>
      </c>
      <c r="BZ32">
        <v>22</v>
      </c>
      <c r="CA32">
        <v>33527.800000000003</v>
      </c>
      <c r="CB32">
        <v>1690373417</v>
      </c>
      <c r="CC32" t="s">
        <v>332</v>
      </c>
      <c r="CD32">
        <v>1690373417</v>
      </c>
      <c r="CE32">
        <v>1690373415</v>
      </c>
      <c r="CF32">
        <v>1</v>
      </c>
      <c r="CG32">
        <v>-1.319</v>
      </c>
      <c r="CH32">
        <v>0.01</v>
      </c>
      <c r="CI32">
        <v>-1.371</v>
      </c>
      <c r="CJ32">
        <v>0.183</v>
      </c>
      <c r="CK32">
        <v>800</v>
      </c>
      <c r="CL32">
        <v>21</v>
      </c>
      <c r="CM32">
        <v>0.09</v>
      </c>
      <c r="CN32">
        <v>7.0000000000000007E-2</v>
      </c>
      <c r="CO32">
        <v>-26.790426829268291</v>
      </c>
      <c r="CP32">
        <v>-18.432593728223011</v>
      </c>
      <c r="CQ32">
        <v>1.817801201535685</v>
      </c>
      <c r="CR32">
        <v>-1</v>
      </c>
      <c r="CS32">
        <v>3.1836953658536591</v>
      </c>
      <c r="CT32">
        <v>-0.38021184668989311</v>
      </c>
      <c r="CU32">
        <v>7.3919260769240852E-2</v>
      </c>
      <c r="CV32">
        <v>-1</v>
      </c>
      <c r="CW32">
        <v>0</v>
      </c>
      <c r="CX32">
        <v>0</v>
      </c>
      <c r="CY32" t="s">
        <v>333</v>
      </c>
      <c r="CZ32">
        <v>2.3653200000000001</v>
      </c>
      <c r="DA32">
        <v>2.71373</v>
      </c>
      <c r="DB32">
        <v>0.14299100000000001</v>
      </c>
      <c r="DC32">
        <v>0.14618700000000001</v>
      </c>
      <c r="DD32">
        <v>0.113425</v>
      </c>
      <c r="DE32">
        <v>0.101593</v>
      </c>
      <c r="DF32">
        <v>31294.7</v>
      </c>
      <c r="DG32">
        <v>27479</v>
      </c>
      <c r="DH32">
        <v>31170.5</v>
      </c>
      <c r="DI32">
        <v>28040.3</v>
      </c>
      <c r="DJ32">
        <v>37510.699999999997</v>
      </c>
      <c r="DK32">
        <v>35794</v>
      </c>
      <c r="DL32">
        <v>44351.6</v>
      </c>
      <c r="DM32">
        <v>42469.2</v>
      </c>
      <c r="DN32">
        <v>1.4700800000000001</v>
      </c>
      <c r="DO32">
        <v>2.1040299999999998</v>
      </c>
      <c r="DP32">
        <v>0.115812</v>
      </c>
      <c r="DQ32">
        <v>0.189558</v>
      </c>
      <c r="DR32">
        <v>25.4543</v>
      </c>
      <c r="DS32">
        <v>25.329799999999999</v>
      </c>
      <c r="DT32">
        <v>69.400000000000006</v>
      </c>
      <c r="DU32">
        <v>23.8</v>
      </c>
      <c r="DV32">
        <v>20.806000000000001</v>
      </c>
      <c r="DW32">
        <v>62.16</v>
      </c>
      <c r="DX32">
        <v>35.633000000000003</v>
      </c>
      <c r="DY32">
        <v>1</v>
      </c>
      <c r="DZ32">
        <v>-0.158384</v>
      </c>
      <c r="EA32">
        <v>3.7133699999999998</v>
      </c>
      <c r="EB32">
        <v>20.138000000000002</v>
      </c>
      <c r="EC32">
        <v>5.24275</v>
      </c>
      <c r="ED32">
        <v>12.039899999999999</v>
      </c>
      <c r="EE32">
        <v>5.0169499999999996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1.8686799999999999</v>
      </c>
      <c r="EL32">
        <v>1.86432</v>
      </c>
      <c r="EM32">
        <v>1.86904</v>
      </c>
      <c r="EN32">
        <v>1.86703</v>
      </c>
      <c r="EO32">
        <v>1.86314</v>
      </c>
      <c r="EP32">
        <v>1.8641399999999999</v>
      </c>
      <c r="EQ32">
        <v>1.8699699999999999</v>
      </c>
      <c r="ER32">
        <v>1.8692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-1.35</v>
      </c>
      <c r="FG32">
        <v>0.18279999999999999</v>
      </c>
      <c r="FH32">
        <v>-0.81947142863283695</v>
      </c>
      <c r="FI32">
        <v>-6.1462078757559423E-4</v>
      </c>
      <c r="FJ32">
        <v>-1.8861989874597051E-7</v>
      </c>
      <c r="FK32">
        <v>1.1980462299894961E-10</v>
      </c>
      <c r="FL32">
        <v>0.18283500000000069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10.3</v>
      </c>
      <c r="FU32">
        <v>10.3</v>
      </c>
      <c r="FV32">
        <v>1.78589</v>
      </c>
      <c r="FW32">
        <v>2.5476100000000002</v>
      </c>
      <c r="FX32">
        <v>1.5490699999999999</v>
      </c>
      <c r="FY32">
        <v>2.34619</v>
      </c>
      <c r="FZ32">
        <v>1.50146</v>
      </c>
      <c r="GA32">
        <v>2.2717299999999998</v>
      </c>
      <c r="GB32">
        <v>29.537800000000001</v>
      </c>
      <c r="GC32">
        <v>23.956199999999999</v>
      </c>
      <c r="GD32">
        <v>19</v>
      </c>
      <c r="GE32">
        <v>276.17399999999998</v>
      </c>
      <c r="GF32">
        <v>628.78700000000003</v>
      </c>
      <c r="GG32">
        <v>23.720300000000002</v>
      </c>
      <c r="GH32">
        <v>25.429300000000001</v>
      </c>
      <c r="GI32">
        <v>30.002300000000002</v>
      </c>
      <c r="GJ32">
        <v>25.411100000000001</v>
      </c>
      <c r="GK32">
        <v>25.3416</v>
      </c>
      <c r="GL32">
        <v>35.719299999999997</v>
      </c>
      <c r="GM32">
        <v>0</v>
      </c>
      <c r="GN32">
        <v>100</v>
      </c>
      <c r="GO32">
        <v>23.328299999999999</v>
      </c>
      <c r="GP32">
        <v>800</v>
      </c>
      <c r="GQ32">
        <v>21.075700000000001</v>
      </c>
      <c r="GR32">
        <v>99.722999999999999</v>
      </c>
      <c r="GS32">
        <v>99.378399999999999</v>
      </c>
    </row>
    <row r="33" spans="1:201" x14ac:dyDescent="0.25">
      <c r="A33">
        <v>17</v>
      </c>
      <c r="B33">
        <v>1690374046</v>
      </c>
      <c r="C33">
        <v>226.5</v>
      </c>
      <c r="D33" t="s">
        <v>367</v>
      </c>
      <c r="E33" t="s">
        <v>368</v>
      </c>
      <c r="F33" t="s">
        <v>330</v>
      </c>
      <c r="H33">
        <v>1690374046</v>
      </c>
      <c r="I33">
        <f t="shared" si="0"/>
        <v>2.8987358907723258E-4</v>
      </c>
      <c r="J33">
        <f t="shared" si="1"/>
        <v>0.2898735890772326</v>
      </c>
      <c r="K33">
        <f t="shared" si="2"/>
        <v>3.1453197768842589</v>
      </c>
      <c r="L33">
        <f t="shared" si="3"/>
        <v>766.34900000000005</v>
      </c>
      <c r="M33">
        <f t="shared" si="4"/>
        <v>467.91730774818251</v>
      </c>
      <c r="N33">
        <f t="shared" si="5"/>
        <v>46.235858114898022</v>
      </c>
      <c r="O33">
        <f t="shared" si="6"/>
        <v>75.724498845772004</v>
      </c>
      <c r="P33">
        <f t="shared" si="7"/>
        <v>1.7889682733983232E-2</v>
      </c>
      <c r="Q33">
        <f t="shared" si="8"/>
        <v>2.2498817537164513</v>
      </c>
      <c r="R33">
        <f t="shared" si="9"/>
        <v>1.7811031318464458E-2</v>
      </c>
      <c r="S33">
        <f t="shared" si="10"/>
        <v>1.113893217591419E-2</v>
      </c>
      <c r="T33">
        <f t="shared" si="11"/>
        <v>276.11016402923428</v>
      </c>
      <c r="U33">
        <f t="shared" si="12"/>
        <v>28.466428444983972</v>
      </c>
      <c r="V33">
        <f t="shared" si="13"/>
        <v>28.466428444983972</v>
      </c>
      <c r="W33">
        <f t="shared" si="14"/>
        <v>3.8992579660828803</v>
      </c>
      <c r="X33">
        <f t="shared" si="15"/>
        <v>67.445992859516636</v>
      </c>
      <c r="Y33">
        <f t="shared" si="16"/>
        <v>2.3418845884111996</v>
      </c>
      <c r="Z33">
        <f t="shared" si="17"/>
        <v>3.4722368062534339</v>
      </c>
      <c r="AA33">
        <f t="shared" si="18"/>
        <v>1.5573733776716807</v>
      </c>
      <c r="AB33">
        <f t="shared" si="19"/>
        <v>-12.783425278305957</v>
      </c>
      <c r="AC33">
        <f t="shared" si="20"/>
        <v>-240.38712008789886</v>
      </c>
      <c r="AD33">
        <f t="shared" si="21"/>
        <v>-23.168328007643467</v>
      </c>
      <c r="AE33">
        <f t="shared" si="22"/>
        <v>-0.22870934461403181</v>
      </c>
      <c r="AF33">
        <v>1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52308.004771763321</v>
      </c>
      <c r="AK33">
        <f t="shared" si="26"/>
        <v>1799.97</v>
      </c>
      <c r="AL33">
        <f t="shared" si="27"/>
        <v>1499.0850510327298</v>
      </c>
      <c r="AM33">
        <f t="shared" si="28"/>
        <v>0.83283890899999991</v>
      </c>
      <c r="AN33">
        <f t="shared" si="29"/>
        <v>0.15339709218999997</v>
      </c>
      <c r="AO33">
        <v>30</v>
      </c>
      <c r="AP33">
        <v>0.5</v>
      </c>
      <c r="AQ33" t="s">
        <v>331</v>
      </c>
      <c r="AR33">
        <v>2</v>
      </c>
      <c r="AS33">
        <v>1690374046</v>
      </c>
      <c r="AT33">
        <v>766.34900000000005</v>
      </c>
      <c r="AU33">
        <v>800.00300000000004</v>
      </c>
      <c r="AV33">
        <v>23.700399999999998</v>
      </c>
      <c r="AW33">
        <v>20.8721</v>
      </c>
      <c r="AX33">
        <v>767.697</v>
      </c>
      <c r="AY33">
        <v>23.517600000000002</v>
      </c>
      <c r="AZ33">
        <v>300.18400000000003</v>
      </c>
      <c r="BA33">
        <v>98.712000000000003</v>
      </c>
      <c r="BB33">
        <v>0.10002800000000001</v>
      </c>
      <c r="BC33">
        <v>26.4846</v>
      </c>
      <c r="BD33">
        <v>27.216899999999999</v>
      </c>
      <c r="BE33">
        <v>28.3401</v>
      </c>
      <c r="BF33">
        <v>0</v>
      </c>
      <c r="BG33">
        <v>0</v>
      </c>
      <c r="BH33">
        <v>10004.4</v>
      </c>
      <c r="BI33">
        <v>1104.3599999999999</v>
      </c>
      <c r="BJ33">
        <v>1.2334499999999999</v>
      </c>
      <c r="BK33">
        <v>-33.654600000000002</v>
      </c>
      <c r="BL33">
        <v>784.952</v>
      </c>
      <c r="BM33">
        <v>817.05700000000002</v>
      </c>
      <c r="BN33">
        <v>2.8283999999999998</v>
      </c>
      <c r="BO33">
        <v>800.00300000000004</v>
      </c>
      <c r="BP33">
        <v>20.8721</v>
      </c>
      <c r="BQ33">
        <v>2.3395199999999998</v>
      </c>
      <c r="BR33">
        <v>2.0603199999999999</v>
      </c>
      <c r="BS33">
        <v>19.9511</v>
      </c>
      <c r="BT33">
        <v>17.915700000000001</v>
      </c>
      <c r="BU33">
        <v>1799.97</v>
      </c>
      <c r="BV33">
        <v>0.90999600000000003</v>
      </c>
      <c r="BW33">
        <v>3.4005199999999999E-2</v>
      </c>
      <c r="BX33">
        <v>2.1994199999999998E-2</v>
      </c>
      <c r="BY33">
        <v>3.4004899999999998E-2</v>
      </c>
      <c r="BZ33">
        <v>22</v>
      </c>
      <c r="CA33">
        <v>33527.800000000003</v>
      </c>
      <c r="CB33">
        <v>1690373417</v>
      </c>
      <c r="CC33" t="s">
        <v>332</v>
      </c>
      <c r="CD33">
        <v>1690373417</v>
      </c>
      <c r="CE33">
        <v>1690373415</v>
      </c>
      <c r="CF33">
        <v>1</v>
      </c>
      <c r="CG33">
        <v>-1.319</v>
      </c>
      <c r="CH33">
        <v>0.01</v>
      </c>
      <c r="CI33">
        <v>-1.371</v>
      </c>
      <c r="CJ33">
        <v>0.183</v>
      </c>
      <c r="CK33">
        <v>800</v>
      </c>
      <c r="CL33">
        <v>21</v>
      </c>
      <c r="CM33">
        <v>0.09</v>
      </c>
      <c r="CN33">
        <v>7.0000000000000007E-2</v>
      </c>
      <c r="CO33">
        <v>-29.978656097560979</v>
      </c>
      <c r="CP33">
        <v>-19.920533101045329</v>
      </c>
      <c r="CQ33">
        <v>1.9652905566910239</v>
      </c>
      <c r="CR33">
        <v>-1</v>
      </c>
      <c r="CS33">
        <v>3.0398412195121951</v>
      </c>
      <c r="CT33">
        <v>-1.2715549128919821</v>
      </c>
      <c r="CU33">
        <v>0.12543651452651891</v>
      </c>
      <c r="CV33">
        <v>-1</v>
      </c>
      <c r="CW33">
        <v>0</v>
      </c>
      <c r="CX33">
        <v>0</v>
      </c>
      <c r="CY33" t="s">
        <v>333</v>
      </c>
      <c r="CZ33">
        <v>2.3654000000000002</v>
      </c>
      <c r="DA33">
        <v>2.7138200000000001</v>
      </c>
      <c r="DB33">
        <v>0.142538</v>
      </c>
      <c r="DC33">
        <v>0.14618200000000001</v>
      </c>
      <c r="DD33">
        <v>0.11275399999999999</v>
      </c>
      <c r="DE33">
        <v>0.101587</v>
      </c>
      <c r="DF33">
        <v>31309.1</v>
      </c>
      <c r="DG33">
        <v>27477.200000000001</v>
      </c>
      <c r="DH33">
        <v>31168.400000000001</v>
      </c>
      <c r="DI33">
        <v>28038.400000000001</v>
      </c>
      <c r="DJ33">
        <v>37536.9</v>
      </c>
      <c r="DK33">
        <v>35792</v>
      </c>
      <c r="DL33">
        <v>44348.6</v>
      </c>
      <c r="DM33">
        <v>42466.5</v>
      </c>
      <c r="DN33">
        <v>1.4700800000000001</v>
      </c>
      <c r="DO33">
        <v>2.10392</v>
      </c>
      <c r="DP33">
        <v>0.108607</v>
      </c>
      <c r="DQ33">
        <v>0.184946</v>
      </c>
      <c r="DR33">
        <v>25.438800000000001</v>
      </c>
      <c r="DS33">
        <v>25.314599999999999</v>
      </c>
      <c r="DT33">
        <v>69.400000000000006</v>
      </c>
      <c r="DU33">
        <v>23.8</v>
      </c>
      <c r="DV33">
        <v>20.802099999999999</v>
      </c>
      <c r="DW33">
        <v>61.55</v>
      </c>
      <c r="DX33">
        <v>35.584899999999998</v>
      </c>
      <c r="DY33">
        <v>1</v>
      </c>
      <c r="DZ33">
        <v>-0.156557</v>
      </c>
      <c r="EA33">
        <v>3.5624600000000002</v>
      </c>
      <c r="EB33">
        <v>20.143999999999998</v>
      </c>
      <c r="EC33">
        <v>5.2424499999999998</v>
      </c>
      <c r="ED33">
        <v>12.039899999999999</v>
      </c>
      <c r="EE33">
        <v>5.0170500000000002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1.8687199999999999</v>
      </c>
      <c r="EL33">
        <v>1.86432</v>
      </c>
      <c r="EM33">
        <v>1.8690500000000001</v>
      </c>
      <c r="EN33">
        <v>1.86703</v>
      </c>
      <c r="EO33">
        <v>1.86311</v>
      </c>
      <c r="EP33">
        <v>1.8641700000000001</v>
      </c>
      <c r="EQ33">
        <v>1.8699600000000001</v>
      </c>
      <c r="ER33">
        <v>1.8692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-1.3480000000000001</v>
      </c>
      <c r="FG33">
        <v>0.18279999999999999</v>
      </c>
      <c r="FH33">
        <v>-0.81947142863283695</v>
      </c>
      <c r="FI33">
        <v>-6.1462078757559423E-4</v>
      </c>
      <c r="FJ33">
        <v>-1.8861989874597051E-7</v>
      </c>
      <c r="FK33">
        <v>1.1980462299894961E-10</v>
      </c>
      <c r="FL33">
        <v>0.18283500000000069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10.5</v>
      </c>
      <c r="FU33">
        <v>10.5</v>
      </c>
      <c r="FV33">
        <v>1.78711</v>
      </c>
      <c r="FW33">
        <v>2.5524900000000001</v>
      </c>
      <c r="FX33">
        <v>1.5490699999999999</v>
      </c>
      <c r="FY33">
        <v>2.34619</v>
      </c>
      <c r="FZ33">
        <v>1.50146</v>
      </c>
      <c r="GA33">
        <v>2.32544</v>
      </c>
      <c r="GB33">
        <v>29.537800000000001</v>
      </c>
      <c r="GC33">
        <v>23.9649</v>
      </c>
      <c r="GD33">
        <v>19</v>
      </c>
      <c r="GE33">
        <v>276.19799999999998</v>
      </c>
      <c r="GF33">
        <v>628.79300000000001</v>
      </c>
      <c r="GG33">
        <v>22.920400000000001</v>
      </c>
      <c r="GH33">
        <v>25.4435</v>
      </c>
      <c r="GI33">
        <v>30.000900000000001</v>
      </c>
      <c r="GJ33">
        <v>25.416599999999999</v>
      </c>
      <c r="GK33">
        <v>25.3491</v>
      </c>
      <c r="GL33">
        <v>35.719200000000001</v>
      </c>
      <c r="GM33">
        <v>0</v>
      </c>
      <c r="GN33">
        <v>100</v>
      </c>
      <c r="GO33">
        <v>22.7864</v>
      </c>
      <c r="GP33">
        <v>800</v>
      </c>
      <c r="GQ33">
        <v>20.983799999999999</v>
      </c>
      <c r="GR33">
        <v>99.716399999999993</v>
      </c>
      <c r="GS33">
        <v>99.371799999999993</v>
      </c>
    </row>
    <row r="34" spans="1:201" x14ac:dyDescent="0.25">
      <c r="A34">
        <v>18</v>
      </c>
      <c r="B34">
        <v>1690374056</v>
      </c>
      <c r="C34">
        <v>236.5</v>
      </c>
      <c r="D34" t="s">
        <v>369</v>
      </c>
      <c r="E34" t="s">
        <v>370</v>
      </c>
      <c r="F34" t="s">
        <v>330</v>
      </c>
      <c r="H34">
        <v>1690374056</v>
      </c>
      <c r="I34">
        <f t="shared" si="0"/>
        <v>2.7769394471797819E-4</v>
      </c>
      <c r="J34">
        <f t="shared" si="1"/>
        <v>0.2776939447179782</v>
      </c>
      <c r="K34">
        <f t="shared" si="2"/>
        <v>3.5561272044804717</v>
      </c>
      <c r="L34">
        <f t="shared" si="3"/>
        <v>762.37800000000004</v>
      </c>
      <c r="M34">
        <f t="shared" si="4"/>
        <v>417.67439486194672</v>
      </c>
      <c r="N34">
        <f t="shared" si="5"/>
        <v>41.270674685596063</v>
      </c>
      <c r="O34">
        <f t="shared" si="6"/>
        <v>75.331058864298001</v>
      </c>
      <c r="P34">
        <f t="shared" si="7"/>
        <v>1.7330175941118148E-2</v>
      </c>
      <c r="Q34">
        <f t="shared" si="8"/>
        <v>2.248491679709482</v>
      </c>
      <c r="R34">
        <f t="shared" si="9"/>
        <v>1.7256310915609047E-2</v>
      </c>
      <c r="S34">
        <f t="shared" si="10"/>
        <v>1.079180446993638E-2</v>
      </c>
      <c r="T34">
        <f t="shared" si="11"/>
        <v>276.11165976830495</v>
      </c>
      <c r="U34">
        <f t="shared" si="12"/>
        <v>28.338633874483754</v>
      </c>
      <c r="V34">
        <f t="shared" si="13"/>
        <v>28.338633874483754</v>
      </c>
      <c r="W34">
        <f t="shared" si="14"/>
        <v>3.8704026042831594</v>
      </c>
      <c r="X34">
        <f t="shared" si="15"/>
        <v>67.638908036707676</v>
      </c>
      <c r="Y34">
        <f t="shared" si="16"/>
        <v>2.3302019413825001</v>
      </c>
      <c r="Z34">
        <f t="shared" si="17"/>
        <v>3.4450614432123863</v>
      </c>
      <c r="AA34">
        <f t="shared" si="18"/>
        <v>1.5402006629006593</v>
      </c>
      <c r="AB34">
        <f t="shared" si="19"/>
        <v>-12.246302962062838</v>
      </c>
      <c r="AC34">
        <f t="shared" si="20"/>
        <v>-240.89384841307958</v>
      </c>
      <c r="AD34">
        <f t="shared" si="21"/>
        <v>-23.20126575097629</v>
      </c>
      <c r="AE34">
        <f t="shared" si="22"/>
        <v>-0.22975735781375306</v>
      </c>
      <c r="AF34">
        <v>1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52277.104650271453</v>
      </c>
      <c r="AK34">
        <f t="shared" si="26"/>
        <v>1799.97</v>
      </c>
      <c r="AL34">
        <f t="shared" si="27"/>
        <v>1499.08970935509</v>
      </c>
      <c r="AM34">
        <f t="shared" si="28"/>
        <v>0.83284149699999999</v>
      </c>
      <c r="AN34">
        <f t="shared" si="29"/>
        <v>0.15339792317000003</v>
      </c>
      <c r="AO34">
        <v>30</v>
      </c>
      <c r="AP34">
        <v>0.5</v>
      </c>
      <c r="AQ34" t="s">
        <v>331</v>
      </c>
      <c r="AR34">
        <v>2</v>
      </c>
      <c r="AS34">
        <v>1690374056</v>
      </c>
      <c r="AT34">
        <v>762.37800000000004</v>
      </c>
      <c r="AU34">
        <v>800.03200000000004</v>
      </c>
      <c r="AV34">
        <v>23.5825</v>
      </c>
      <c r="AW34">
        <v>20.872800000000002</v>
      </c>
      <c r="AX34">
        <v>763.72299999999996</v>
      </c>
      <c r="AY34">
        <v>23.3996</v>
      </c>
      <c r="AZ34">
        <v>300.19400000000002</v>
      </c>
      <c r="BA34">
        <v>98.710599999999999</v>
      </c>
      <c r="BB34">
        <v>0.100041</v>
      </c>
      <c r="BC34">
        <v>26.351400000000002</v>
      </c>
      <c r="BD34">
        <v>27.114799999999999</v>
      </c>
      <c r="BE34">
        <v>28.180800000000001</v>
      </c>
      <c r="BF34">
        <v>0</v>
      </c>
      <c r="BG34">
        <v>0</v>
      </c>
      <c r="BH34">
        <v>9993.75</v>
      </c>
      <c r="BI34">
        <v>1102.53</v>
      </c>
      <c r="BJ34">
        <v>1.2334499999999999</v>
      </c>
      <c r="BK34">
        <v>-37.654499999999999</v>
      </c>
      <c r="BL34">
        <v>780.79100000000005</v>
      </c>
      <c r="BM34">
        <v>817.08699999999999</v>
      </c>
      <c r="BN34">
        <v>2.7096900000000002</v>
      </c>
      <c r="BO34">
        <v>800.03200000000004</v>
      </c>
      <c r="BP34">
        <v>20.872800000000002</v>
      </c>
      <c r="BQ34">
        <v>2.3278400000000001</v>
      </c>
      <c r="BR34">
        <v>2.0603699999999998</v>
      </c>
      <c r="BS34">
        <v>19.8704</v>
      </c>
      <c r="BT34">
        <v>17.916</v>
      </c>
      <c r="BU34">
        <v>1799.97</v>
      </c>
      <c r="BV34">
        <v>0.91000300000000001</v>
      </c>
      <c r="BW34">
        <v>3.3996699999999998E-2</v>
      </c>
      <c r="BX34">
        <v>2.2007599999999999E-2</v>
      </c>
      <c r="BY34">
        <v>3.39929E-2</v>
      </c>
      <c r="BZ34">
        <v>22.125</v>
      </c>
      <c r="CA34">
        <v>33527.699999999997</v>
      </c>
      <c r="CB34">
        <v>1690373417</v>
      </c>
      <c r="CC34" t="s">
        <v>332</v>
      </c>
      <c r="CD34">
        <v>1690373417</v>
      </c>
      <c r="CE34">
        <v>1690373415</v>
      </c>
      <c r="CF34">
        <v>1</v>
      </c>
      <c r="CG34">
        <v>-1.319</v>
      </c>
      <c r="CH34">
        <v>0.01</v>
      </c>
      <c r="CI34">
        <v>-1.371</v>
      </c>
      <c r="CJ34">
        <v>0.183</v>
      </c>
      <c r="CK34">
        <v>800</v>
      </c>
      <c r="CL34">
        <v>21</v>
      </c>
      <c r="CM34">
        <v>0.09</v>
      </c>
      <c r="CN34">
        <v>7.0000000000000007E-2</v>
      </c>
      <c r="CO34">
        <v>-33.133407317073178</v>
      </c>
      <c r="CP34">
        <v>-22.16082857142862</v>
      </c>
      <c r="CQ34">
        <v>2.186107354312822</v>
      </c>
      <c r="CR34">
        <v>-1</v>
      </c>
      <c r="CS34">
        <v>2.866805853658537</v>
      </c>
      <c r="CT34">
        <v>-1.0329171428571411</v>
      </c>
      <c r="CU34">
        <v>0.1025111983407026</v>
      </c>
      <c r="CV34">
        <v>-1</v>
      </c>
      <c r="CW34">
        <v>0</v>
      </c>
      <c r="CX34">
        <v>0</v>
      </c>
      <c r="CY34" t="s">
        <v>333</v>
      </c>
      <c r="CZ34">
        <v>2.3654099999999998</v>
      </c>
      <c r="DA34">
        <v>2.7138300000000002</v>
      </c>
      <c r="DB34">
        <v>0.14203399999999999</v>
      </c>
      <c r="DC34">
        <v>0.14618</v>
      </c>
      <c r="DD34">
        <v>0.11235199999999999</v>
      </c>
      <c r="DE34">
        <v>0.101586</v>
      </c>
      <c r="DF34">
        <v>31327.3</v>
      </c>
      <c r="DG34">
        <v>27477.1</v>
      </c>
      <c r="DH34">
        <v>31168.2</v>
      </c>
      <c r="DI34">
        <v>28038.3</v>
      </c>
      <c r="DJ34">
        <v>37553.800000000003</v>
      </c>
      <c r="DK34">
        <v>35792.199999999997</v>
      </c>
      <c r="DL34">
        <v>44348.3</v>
      </c>
      <c r="DM34">
        <v>42466.7</v>
      </c>
      <c r="DN34">
        <v>1.4705699999999999</v>
      </c>
      <c r="DO34">
        <v>2.1031300000000002</v>
      </c>
      <c r="DP34">
        <v>0.10341400000000001</v>
      </c>
      <c r="DQ34">
        <v>0.176653</v>
      </c>
      <c r="DR34">
        <v>25.421500000000002</v>
      </c>
      <c r="DS34">
        <v>25.290500000000002</v>
      </c>
      <c r="DT34">
        <v>69.3</v>
      </c>
      <c r="DU34">
        <v>23.8</v>
      </c>
      <c r="DV34">
        <v>20.7727</v>
      </c>
      <c r="DW34">
        <v>61.93</v>
      </c>
      <c r="DX34">
        <v>36.438299999999998</v>
      </c>
      <c r="DY34">
        <v>1</v>
      </c>
      <c r="DZ34">
        <v>-0.15731999999999999</v>
      </c>
      <c r="EA34">
        <v>3.0342199999999999</v>
      </c>
      <c r="EB34">
        <v>20.158300000000001</v>
      </c>
      <c r="EC34">
        <v>5.2426000000000004</v>
      </c>
      <c r="ED34">
        <v>12.039899999999999</v>
      </c>
      <c r="EE34">
        <v>5.0170500000000002</v>
      </c>
      <c r="EF34">
        <v>3.2879499999999999</v>
      </c>
      <c r="EG34">
        <v>9999</v>
      </c>
      <c r="EH34">
        <v>9999</v>
      </c>
      <c r="EI34">
        <v>9999</v>
      </c>
      <c r="EJ34">
        <v>999.9</v>
      </c>
      <c r="EK34">
        <v>1.8687100000000001</v>
      </c>
      <c r="EL34">
        <v>1.86432</v>
      </c>
      <c r="EM34">
        <v>1.8690500000000001</v>
      </c>
      <c r="EN34">
        <v>1.8670500000000001</v>
      </c>
      <c r="EO34">
        <v>1.8631500000000001</v>
      </c>
      <c r="EP34">
        <v>1.8641399999999999</v>
      </c>
      <c r="EQ34">
        <v>1.86999</v>
      </c>
      <c r="ER34">
        <v>1.86921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-1.345</v>
      </c>
      <c r="FG34">
        <v>0.18290000000000001</v>
      </c>
      <c r="FH34">
        <v>-0.81947142863283695</v>
      </c>
      <c r="FI34">
        <v>-6.1462078757559423E-4</v>
      </c>
      <c r="FJ34">
        <v>-1.8861989874597051E-7</v>
      </c>
      <c r="FK34">
        <v>1.1980462299894961E-10</v>
      </c>
      <c r="FL34">
        <v>0.18283500000000069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10.7</v>
      </c>
      <c r="FU34">
        <v>10.7</v>
      </c>
      <c r="FV34">
        <v>1.78711</v>
      </c>
      <c r="FW34">
        <v>2.5476100000000002</v>
      </c>
      <c r="FX34">
        <v>1.5490699999999999</v>
      </c>
      <c r="FY34">
        <v>2.34619</v>
      </c>
      <c r="FZ34">
        <v>1.50146</v>
      </c>
      <c r="GA34">
        <v>2.3779300000000001</v>
      </c>
      <c r="GB34">
        <v>29.559100000000001</v>
      </c>
      <c r="GC34">
        <v>23.982399999999998</v>
      </c>
      <c r="GD34">
        <v>19</v>
      </c>
      <c r="GE34">
        <v>276.44299999999998</v>
      </c>
      <c r="GF34">
        <v>628.19299999999998</v>
      </c>
      <c r="GG34">
        <v>22.477699999999999</v>
      </c>
      <c r="GH34">
        <v>25.456600000000002</v>
      </c>
      <c r="GI34">
        <v>29.9999</v>
      </c>
      <c r="GJ34">
        <v>25.4253</v>
      </c>
      <c r="GK34">
        <v>25.356999999999999</v>
      </c>
      <c r="GL34">
        <v>35.718699999999998</v>
      </c>
      <c r="GM34">
        <v>0</v>
      </c>
      <c r="GN34">
        <v>100</v>
      </c>
      <c r="GO34">
        <v>22.421199999999999</v>
      </c>
      <c r="GP34">
        <v>800</v>
      </c>
      <c r="GQ34">
        <v>20.811299999999999</v>
      </c>
      <c r="GR34">
        <v>99.715699999999998</v>
      </c>
      <c r="GS34">
        <v>99.371899999999997</v>
      </c>
    </row>
    <row r="35" spans="1:201" x14ac:dyDescent="0.25">
      <c r="A35">
        <v>19</v>
      </c>
      <c r="B35">
        <v>1690374066</v>
      </c>
      <c r="C35">
        <v>246.5</v>
      </c>
      <c r="D35" t="s">
        <v>371</v>
      </c>
      <c r="E35" t="s">
        <v>372</v>
      </c>
      <c r="F35" t="s">
        <v>330</v>
      </c>
      <c r="H35">
        <v>1690374066</v>
      </c>
      <c r="I35">
        <f t="shared" si="0"/>
        <v>2.7593939346767381E-4</v>
      </c>
      <c r="J35">
        <f t="shared" si="1"/>
        <v>0.27593939346767382</v>
      </c>
      <c r="K35">
        <f t="shared" si="2"/>
        <v>3.9912259202969782</v>
      </c>
      <c r="L35">
        <f t="shared" si="3"/>
        <v>758.04200000000003</v>
      </c>
      <c r="M35">
        <f t="shared" si="4"/>
        <v>376.3127005115449</v>
      </c>
      <c r="N35">
        <f t="shared" si="5"/>
        <v>37.182528068862787</v>
      </c>
      <c r="O35">
        <f t="shared" si="6"/>
        <v>74.900256898218004</v>
      </c>
      <c r="P35">
        <f t="shared" si="7"/>
        <v>1.7449234755508542E-2</v>
      </c>
      <c r="Q35">
        <f t="shared" si="8"/>
        <v>2.2465983633938853</v>
      </c>
      <c r="R35">
        <f t="shared" si="9"/>
        <v>1.7374290887700677E-2</v>
      </c>
      <c r="S35">
        <f t="shared" si="10"/>
        <v>1.0865638293611261E-2</v>
      </c>
      <c r="T35">
        <f t="shared" si="11"/>
        <v>276.11105087445327</v>
      </c>
      <c r="U35">
        <f t="shared" si="12"/>
        <v>28.239717031899897</v>
      </c>
      <c r="V35">
        <f t="shared" si="13"/>
        <v>28.239717031899897</v>
      </c>
      <c r="W35">
        <f t="shared" si="14"/>
        <v>3.8481957449124637</v>
      </c>
      <c r="X35">
        <f t="shared" si="15"/>
        <v>67.979209044860937</v>
      </c>
      <c r="Y35">
        <f t="shared" si="16"/>
        <v>2.3279745485103005</v>
      </c>
      <c r="Z35">
        <f t="shared" si="17"/>
        <v>3.4245390336536872</v>
      </c>
      <c r="AA35">
        <f t="shared" si="18"/>
        <v>1.5202211964021632</v>
      </c>
      <c r="AB35">
        <f t="shared" si="19"/>
        <v>-12.168927251924416</v>
      </c>
      <c r="AC35">
        <f t="shared" si="20"/>
        <v>-240.9675393994834</v>
      </c>
      <c r="AD35">
        <f t="shared" si="21"/>
        <v>-23.204715663192619</v>
      </c>
      <c r="AE35">
        <f t="shared" si="22"/>
        <v>-0.23013144014717568</v>
      </c>
      <c r="AF35">
        <v>1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52220.995950823024</v>
      </c>
      <c r="AK35">
        <f t="shared" si="26"/>
        <v>1799.97</v>
      </c>
      <c r="AL35">
        <f t="shared" si="27"/>
        <v>1499.0837370546301</v>
      </c>
      <c r="AM35">
        <f t="shared" si="28"/>
        <v>0.83283817900000001</v>
      </c>
      <c r="AN35">
        <f t="shared" si="29"/>
        <v>0.15339758488999999</v>
      </c>
      <c r="AO35">
        <v>30</v>
      </c>
      <c r="AP35">
        <v>0.5</v>
      </c>
      <c r="AQ35" t="s">
        <v>331</v>
      </c>
      <c r="AR35">
        <v>2</v>
      </c>
      <c r="AS35">
        <v>1690374066</v>
      </c>
      <c r="AT35">
        <v>758.04200000000003</v>
      </c>
      <c r="AU35">
        <v>800.01199999999994</v>
      </c>
      <c r="AV35">
        <v>23.560700000000001</v>
      </c>
      <c r="AW35">
        <v>20.868500000000001</v>
      </c>
      <c r="AX35">
        <v>759.38499999999999</v>
      </c>
      <c r="AY35">
        <v>23.3779</v>
      </c>
      <c r="AZ35">
        <v>300.24299999999999</v>
      </c>
      <c r="BA35">
        <v>98.707499999999996</v>
      </c>
      <c r="BB35">
        <v>0.10002900000000001</v>
      </c>
      <c r="BC35">
        <v>26.2502</v>
      </c>
      <c r="BD35">
        <v>26.9847</v>
      </c>
      <c r="BE35">
        <v>28.104600000000001</v>
      </c>
      <c r="BF35">
        <v>0</v>
      </c>
      <c r="BG35">
        <v>0</v>
      </c>
      <c r="BH35">
        <v>9979.3799999999992</v>
      </c>
      <c r="BI35">
        <v>1100.8499999999999</v>
      </c>
      <c r="BJ35">
        <v>1.2334499999999999</v>
      </c>
      <c r="BK35">
        <v>-41.969799999999999</v>
      </c>
      <c r="BL35">
        <v>776.33299999999997</v>
      </c>
      <c r="BM35">
        <v>817.06299999999999</v>
      </c>
      <c r="BN35">
        <v>2.6922299999999999</v>
      </c>
      <c r="BO35">
        <v>800.01199999999994</v>
      </c>
      <c r="BP35">
        <v>20.868500000000001</v>
      </c>
      <c r="BQ35">
        <v>2.3256199999999998</v>
      </c>
      <c r="BR35">
        <v>2.0598700000000001</v>
      </c>
      <c r="BS35">
        <v>19.854900000000001</v>
      </c>
      <c r="BT35">
        <v>17.912199999999999</v>
      </c>
      <c r="BU35">
        <v>1799.97</v>
      </c>
      <c r="BV35">
        <v>0.90998100000000004</v>
      </c>
      <c r="BW35">
        <v>3.40057E-2</v>
      </c>
      <c r="BX35">
        <v>2.2000200000000001E-2</v>
      </c>
      <c r="BY35">
        <v>3.4013300000000003E-2</v>
      </c>
      <c r="BZ35">
        <v>23</v>
      </c>
      <c r="CA35">
        <v>33527.800000000003</v>
      </c>
      <c r="CB35">
        <v>1690373417</v>
      </c>
      <c r="CC35" t="s">
        <v>332</v>
      </c>
      <c r="CD35">
        <v>1690373417</v>
      </c>
      <c r="CE35">
        <v>1690373415</v>
      </c>
      <c r="CF35">
        <v>1</v>
      </c>
      <c r="CG35">
        <v>-1.319</v>
      </c>
      <c r="CH35">
        <v>0.01</v>
      </c>
      <c r="CI35">
        <v>-1.371</v>
      </c>
      <c r="CJ35">
        <v>0.183</v>
      </c>
      <c r="CK35">
        <v>800</v>
      </c>
      <c r="CL35">
        <v>21</v>
      </c>
      <c r="CM35">
        <v>0.09</v>
      </c>
      <c r="CN35">
        <v>7.0000000000000007E-2</v>
      </c>
      <c r="CO35">
        <v>-37.466509756097558</v>
      </c>
      <c r="CP35">
        <v>-24.960137979094078</v>
      </c>
      <c r="CQ35">
        <v>2.4620393743562321</v>
      </c>
      <c r="CR35">
        <v>-1</v>
      </c>
      <c r="CS35">
        <v>2.73101268292683</v>
      </c>
      <c r="CT35">
        <v>-0.43901916376306949</v>
      </c>
      <c r="CU35">
        <v>4.5883995616963338E-2</v>
      </c>
      <c r="CV35">
        <v>-1</v>
      </c>
      <c r="CW35">
        <v>0</v>
      </c>
      <c r="CX35">
        <v>0</v>
      </c>
      <c r="CY35" t="s">
        <v>333</v>
      </c>
      <c r="CZ35">
        <v>2.3655400000000002</v>
      </c>
      <c r="DA35">
        <v>2.7138</v>
      </c>
      <c r="DB35">
        <v>0.141482</v>
      </c>
      <c r="DC35">
        <v>0.146171</v>
      </c>
      <c r="DD35">
        <v>0.112272</v>
      </c>
      <c r="DE35">
        <v>0.101566</v>
      </c>
      <c r="DF35">
        <v>31346.799999999999</v>
      </c>
      <c r="DG35">
        <v>27477.4</v>
      </c>
      <c r="DH35">
        <v>31167.7</v>
      </c>
      <c r="DI35">
        <v>28038.3</v>
      </c>
      <c r="DJ35">
        <v>37556.6</v>
      </c>
      <c r="DK35">
        <v>35792.9</v>
      </c>
      <c r="DL35">
        <v>44347.6</v>
      </c>
      <c r="DM35">
        <v>42466.6</v>
      </c>
      <c r="DN35">
        <v>1.47045</v>
      </c>
      <c r="DO35">
        <v>2.1029499999999999</v>
      </c>
      <c r="DP35">
        <v>9.68054E-2</v>
      </c>
      <c r="DQ35">
        <v>0.17394899999999999</v>
      </c>
      <c r="DR35">
        <v>25.3995</v>
      </c>
      <c r="DS35">
        <v>25.258400000000002</v>
      </c>
      <c r="DT35">
        <v>69.3</v>
      </c>
      <c r="DU35">
        <v>23.8</v>
      </c>
      <c r="DV35">
        <v>20.776399999999999</v>
      </c>
      <c r="DW35">
        <v>62.13</v>
      </c>
      <c r="DX35">
        <v>36.554499999999997</v>
      </c>
      <c r="DY35">
        <v>1</v>
      </c>
      <c r="DZ35">
        <v>-0.157752</v>
      </c>
      <c r="EA35">
        <v>2.4570099999999999</v>
      </c>
      <c r="EB35">
        <v>20.1708</v>
      </c>
      <c r="EC35">
        <v>5.2431999999999999</v>
      </c>
      <c r="ED35">
        <v>12.039899999999999</v>
      </c>
      <c r="EE35">
        <v>5.0169499999999996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1.8687199999999999</v>
      </c>
      <c r="EL35">
        <v>1.86432</v>
      </c>
      <c r="EM35">
        <v>1.8690500000000001</v>
      </c>
      <c r="EN35">
        <v>1.86707</v>
      </c>
      <c r="EO35">
        <v>1.8631500000000001</v>
      </c>
      <c r="EP35">
        <v>1.8641700000000001</v>
      </c>
      <c r="EQ35">
        <v>1.8699699999999999</v>
      </c>
      <c r="ER35">
        <v>1.8692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-1.343</v>
      </c>
      <c r="FG35">
        <v>0.18279999999999999</v>
      </c>
      <c r="FH35">
        <v>-0.81947142863283695</v>
      </c>
      <c r="FI35">
        <v>-6.1462078757559423E-4</v>
      </c>
      <c r="FJ35">
        <v>-1.8861989874597051E-7</v>
      </c>
      <c r="FK35">
        <v>1.1980462299894961E-10</v>
      </c>
      <c r="FL35">
        <v>0.18283500000000069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10.8</v>
      </c>
      <c r="FU35">
        <v>10.8</v>
      </c>
      <c r="FV35">
        <v>1.78589</v>
      </c>
      <c r="FW35">
        <v>2.5463900000000002</v>
      </c>
      <c r="FX35">
        <v>1.5490699999999999</v>
      </c>
      <c r="FY35">
        <v>2.34619</v>
      </c>
      <c r="FZ35">
        <v>1.50146</v>
      </c>
      <c r="GA35">
        <v>2.4023400000000001</v>
      </c>
      <c r="GB35">
        <v>29.580400000000001</v>
      </c>
      <c r="GC35">
        <v>23.991199999999999</v>
      </c>
      <c r="GD35">
        <v>19</v>
      </c>
      <c r="GE35">
        <v>276.44</v>
      </c>
      <c r="GF35">
        <v>628.14599999999996</v>
      </c>
      <c r="GG35">
        <v>22.257200000000001</v>
      </c>
      <c r="GH35">
        <v>25.469200000000001</v>
      </c>
      <c r="GI35">
        <v>30</v>
      </c>
      <c r="GJ35">
        <v>25.436499999999999</v>
      </c>
      <c r="GK35">
        <v>25.365500000000001</v>
      </c>
      <c r="GL35">
        <v>35.718899999999998</v>
      </c>
      <c r="GM35">
        <v>1.6715199999999999</v>
      </c>
      <c r="GN35">
        <v>100</v>
      </c>
      <c r="GO35">
        <v>22.313199999999998</v>
      </c>
      <c r="GP35">
        <v>800</v>
      </c>
      <c r="GQ35">
        <v>20.569099999999999</v>
      </c>
      <c r="GR35">
        <v>99.714100000000002</v>
      </c>
      <c r="GS35">
        <v>99.371799999999993</v>
      </c>
    </row>
    <row r="36" spans="1:201" x14ac:dyDescent="0.25">
      <c r="A36">
        <v>20</v>
      </c>
      <c r="B36">
        <v>1690374076</v>
      </c>
      <c r="C36">
        <v>256.5</v>
      </c>
      <c r="D36" t="s">
        <v>373</v>
      </c>
      <c r="E36" t="s">
        <v>374</v>
      </c>
      <c r="F36" t="s">
        <v>330</v>
      </c>
      <c r="H36">
        <v>1690374076</v>
      </c>
      <c r="I36">
        <f t="shared" si="0"/>
        <v>2.9438349307642241E-4</v>
      </c>
      <c r="J36">
        <f t="shared" si="1"/>
        <v>0.29438349307642242</v>
      </c>
      <c r="K36">
        <f t="shared" si="2"/>
        <v>4.4509443756673335</v>
      </c>
      <c r="L36">
        <f t="shared" si="3"/>
        <v>753.39300000000003</v>
      </c>
      <c r="M36">
        <f t="shared" si="4"/>
        <v>362.24364700890902</v>
      </c>
      <c r="N36">
        <f t="shared" si="5"/>
        <v>35.792553610448522</v>
      </c>
      <c r="O36">
        <f t="shared" si="6"/>
        <v>74.441220887922</v>
      </c>
      <c r="P36">
        <f t="shared" si="7"/>
        <v>1.8954062980122165E-2</v>
      </c>
      <c r="Q36">
        <f t="shared" si="8"/>
        <v>2.2471672822651469</v>
      </c>
      <c r="R36">
        <f t="shared" si="9"/>
        <v>1.8865692961694942E-2</v>
      </c>
      <c r="S36">
        <f t="shared" si="10"/>
        <v>1.1798963354920146E-2</v>
      </c>
      <c r="T36">
        <f t="shared" si="11"/>
        <v>276.10817495642601</v>
      </c>
      <c r="U36">
        <f t="shared" si="12"/>
        <v>28.170115009324491</v>
      </c>
      <c r="V36">
        <f t="shared" si="13"/>
        <v>28.170115009324491</v>
      </c>
      <c r="W36">
        <f t="shared" si="14"/>
        <v>3.8326367672500212</v>
      </c>
      <c r="X36">
        <f t="shared" si="15"/>
        <v>68.555426055146825</v>
      </c>
      <c r="Y36">
        <f t="shared" si="16"/>
        <v>2.3389720062925998</v>
      </c>
      <c r="Z36">
        <f t="shared" si="17"/>
        <v>3.4117970536877742</v>
      </c>
      <c r="AA36">
        <f t="shared" si="18"/>
        <v>1.4936647609574214</v>
      </c>
      <c r="AB36">
        <f t="shared" si="19"/>
        <v>-12.982312044670229</v>
      </c>
      <c r="AC36">
        <f t="shared" si="20"/>
        <v>-240.24084560898513</v>
      </c>
      <c r="AD36">
        <f t="shared" si="21"/>
        <v>-23.113547495154481</v>
      </c>
      <c r="AE36">
        <f t="shared" si="22"/>
        <v>-0.22853019238382899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52254.169020968038</v>
      </c>
      <c r="AK36">
        <f t="shared" si="26"/>
        <v>1799.96</v>
      </c>
      <c r="AL36">
        <f t="shared" si="27"/>
        <v>1499.0785964020001</v>
      </c>
      <c r="AM36">
        <f t="shared" si="28"/>
        <v>0.83283995</v>
      </c>
      <c r="AN36">
        <f t="shared" si="29"/>
        <v>0.15339683935000001</v>
      </c>
      <c r="AO36">
        <v>30</v>
      </c>
      <c r="AP36">
        <v>0.5</v>
      </c>
      <c r="AQ36" t="s">
        <v>331</v>
      </c>
      <c r="AR36">
        <v>2</v>
      </c>
      <c r="AS36">
        <v>1690374076</v>
      </c>
      <c r="AT36">
        <v>753.39300000000003</v>
      </c>
      <c r="AU36">
        <v>800.08699999999999</v>
      </c>
      <c r="AV36">
        <v>23.671900000000001</v>
      </c>
      <c r="AW36">
        <v>20.799800000000001</v>
      </c>
      <c r="AX36">
        <v>754.73199999999997</v>
      </c>
      <c r="AY36">
        <v>23.489100000000001</v>
      </c>
      <c r="AZ36">
        <v>300.214</v>
      </c>
      <c r="BA36">
        <v>98.707899999999995</v>
      </c>
      <c r="BB36">
        <v>0.100054</v>
      </c>
      <c r="BC36">
        <v>26.187100000000001</v>
      </c>
      <c r="BD36">
        <v>26.889399999999998</v>
      </c>
      <c r="BE36">
        <v>28.0138</v>
      </c>
      <c r="BF36">
        <v>0</v>
      </c>
      <c r="BG36">
        <v>0</v>
      </c>
      <c r="BH36">
        <v>9983.75</v>
      </c>
      <c r="BI36">
        <v>1099.07</v>
      </c>
      <c r="BJ36">
        <v>1.2334499999999999</v>
      </c>
      <c r="BK36">
        <v>-46.6935</v>
      </c>
      <c r="BL36">
        <v>771.66</v>
      </c>
      <c r="BM36">
        <v>817.08199999999999</v>
      </c>
      <c r="BN36">
        <v>2.8721100000000002</v>
      </c>
      <c r="BO36">
        <v>800.08699999999999</v>
      </c>
      <c r="BP36">
        <v>20.799800000000001</v>
      </c>
      <c r="BQ36">
        <v>2.3365999999999998</v>
      </c>
      <c r="BR36">
        <v>2.0531000000000001</v>
      </c>
      <c r="BS36">
        <v>19.931000000000001</v>
      </c>
      <c r="BT36">
        <v>17.8599</v>
      </c>
      <c r="BU36">
        <v>1799.96</v>
      </c>
      <c r="BV36">
        <v>0.91000800000000004</v>
      </c>
      <c r="BW36">
        <v>3.3995299999999999E-2</v>
      </c>
      <c r="BX36">
        <v>2.1993499999999999E-2</v>
      </c>
      <c r="BY36">
        <v>3.4002900000000003E-2</v>
      </c>
      <c r="BZ36">
        <v>23</v>
      </c>
      <c r="CA36">
        <v>33527.800000000003</v>
      </c>
      <c r="CB36">
        <v>1690373417</v>
      </c>
      <c r="CC36" t="s">
        <v>332</v>
      </c>
      <c r="CD36">
        <v>1690373417</v>
      </c>
      <c r="CE36">
        <v>1690373415</v>
      </c>
      <c r="CF36">
        <v>1</v>
      </c>
      <c r="CG36">
        <v>-1.319</v>
      </c>
      <c r="CH36">
        <v>0.01</v>
      </c>
      <c r="CI36">
        <v>-1.371</v>
      </c>
      <c r="CJ36">
        <v>0.183</v>
      </c>
      <c r="CK36">
        <v>800</v>
      </c>
      <c r="CL36">
        <v>21</v>
      </c>
      <c r="CM36">
        <v>0.09</v>
      </c>
      <c r="CN36">
        <v>7.0000000000000007E-2</v>
      </c>
      <c r="CO36">
        <v>-41.356758536585367</v>
      </c>
      <c r="CP36">
        <v>-26.765757491289211</v>
      </c>
      <c r="CQ36">
        <v>2.639897733235006</v>
      </c>
      <c r="CR36">
        <v>-1</v>
      </c>
      <c r="CS36">
        <v>2.713428048780488</v>
      </c>
      <c r="CT36">
        <v>0.20247742160278409</v>
      </c>
      <c r="CU36">
        <v>3.0797728235787528E-2</v>
      </c>
      <c r="CV36">
        <v>-1</v>
      </c>
      <c r="CW36">
        <v>0</v>
      </c>
      <c r="CX36">
        <v>0</v>
      </c>
      <c r="CY36" t="s">
        <v>333</v>
      </c>
      <c r="CZ36">
        <v>2.3654600000000001</v>
      </c>
      <c r="DA36">
        <v>2.7138300000000002</v>
      </c>
      <c r="DB36">
        <v>0.14089299999999999</v>
      </c>
      <c r="DC36">
        <v>0.146173</v>
      </c>
      <c r="DD36">
        <v>0.11264200000000001</v>
      </c>
      <c r="DE36">
        <v>0.101326</v>
      </c>
      <c r="DF36">
        <v>31368</v>
      </c>
      <c r="DG36">
        <v>27476.3</v>
      </c>
      <c r="DH36">
        <v>31167.4</v>
      </c>
      <c r="DI36">
        <v>28037.3</v>
      </c>
      <c r="DJ36">
        <v>37540.1</v>
      </c>
      <c r="DK36">
        <v>35801.4</v>
      </c>
      <c r="DL36">
        <v>44346.9</v>
      </c>
      <c r="DM36">
        <v>42465.4</v>
      </c>
      <c r="DN36">
        <v>1.4732700000000001</v>
      </c>
      <c r="DO36">
        <v>2.1026699999999998</v>
      </c>
      <c r="DP36">
        <v>9.28789E-2</v>
      </c>
      <c r="DQ36">
        <v>0.17076</v>
      </c>
      <c r="DR36">
        <v>25.368300000000001</v>
      </c>
      <c r="DS36">
        <v>25.2195</v>
      </c>
      <c r="DT36">
        <v>69.3</v>
      </c>
      <c r="DU36">
        <v>23.9</v>
      </c>
      <c r="DV36">
        <v>20.900700000000001</v>
      </c>
      <c r="DW36">
        <v>62.27</v>
      </c>
      <c r="DX36">
        <v>35.877400000000002</v>
      </c>
      <c r="DY36">
        <v>1</v>
      </c>
      <c r="DZ36">
        <v>-0.157388</v>
      </c>
      <c r="EA36">
        <v>-1.49007</v>
      </c>
      <c r="EB36">
        <v>20.177499999999998</v>
      </c>
      <c r="EC36">
        <v>5.242</v>
      </c>
      <c r="ED36">
        <v>12.039899999999999</v>
      </c>
      <c r="EE36">
        <v>5.0168499999999998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1.8687100000000001</v>
      </c>
      <c r="EL36">
        <v>1.86433</v>
      </c>
      <c r="EM36">
        <v>1.8690500000000001</v>
      </c>
      <c r="EN36">
        <v>1.8670599999999999</v>
      </c>
      <c r="EO36">
        <v>1.8631500000000001</v>
      </c>
      <c r="EP36">
        <v>1.8641700000000001</v>
      </c>
      <c r="EQ36">
        <v>1.8699600000000001</v>
      </c>
      <c r="ER36">
        <v>1.8692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-1.339</v>
      </c>
      <c r="FG36">
        <v>0.18279999999999999</v>
      </c>
      <c r="FH36">
        <v>-0.81947142863283695</v>
      </c>
      <c r="FI36">
        <v>-6.1462078757559423E-4</v>
      </c>
      <c r="FJ36">
        <v>-1.8861989874597051E-7</v>
      </c>
      <c r="FK36">
        <v>1.1980462299894961E-10</v>
      </c>
      <c r="FL36">
        <v>0.18283500000000069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11</v>
      </c>
      <c r="FU36">
        <v>11</v>
      </c>
      <c r="FV36">
        <v>1.78589</v>
      </c>
      <c r="FW36">
        <v>2.5402800000000001</v>
      </c>
      <c r="FX36">
        <v>1.5490699999999999</v>
      </c>
      <c r="FY36">
        <v>2.34619</v>
      </c>
      <c r="FZ36">
        <v>1.50146</v>
      </c>
      <c r="GA36">
        <v>2.3535200000000001</v>
      </c>
      <c r="GB36">
        <v>29.580400000000001</v>
      </c>
      <c r="GC36">
        <v>23.991199999999999</v>
      </c>
      <c r="GD36">
        <v>19</v>
      </c>
      <c r="GE36">
        <v>277.67</v>
      </c>
      <c r="GF36">
        <v>628.00300000000004</v>
      </c>
      <c r="GG36">
        <v>23.241800000000001</v>
      </c>
      <c r="GH36">
        <v>25.481000000000002</v>
      </c>
      <c r="GI36">
        <v>30</v>
      </c>
      <c r="GJ36">
        <v>25.448399999999999</v>
      </c>
      <c r="GK36">
        <v>25.3733</v>
      </c>
      <c r="GL36">
        <v>35.714500000000001</v>
      </c>
      <c r="GM36">
        <v>5.5031499999999998</v>
      </c>
      <c r="GN36">
        <v>100</v>
      </c>
      <c r="GO36">
        <v>23.55</v>
      </c>
      <c r="GP36">
        <v>800</v>
      </c>
      <c r="GQ36">
        <v>20.167899999999999</v>
      </c>
      <c r="GR36">
        <v>99.712800000000001</v>
      </c>
      <c r="GS36">
        <v>99.368700000000004</v>
      </c>
    </row>
    <row r="37" spans="1:201" x14ac:dyDescent="0.25">
      <c r="A37">
        <v>21</v>
      </c>
      <c r="B37">
        <v>1690374086</v>
      </c>
      <c r="C37">
        <v>266.5</v>
      </c>
      <c r="D37" t="s">
        <v>375</v>
      </c>
      <c r="E37" t="s">
        <v>376</v>
      </c>
      <c r="F37" t="s">
        <v>330</v>
      </c>
      <c r="H37">
        <v>1690374086</v>
      </c>
      <c r="I37">
        <f t="shared" si="0"/>
        <v>3.7844694518989863E-4</v>
      </c>
      <c r="J37">
        <f t="shared" si="1"/>
        <v>0.37844694518989863</v>
      </c>
      <c r="K37">
        <f t="shared" si="2"/>
        <v>4.9021468331534228</v>
      </c>
      <c r="L37">
        <f t="shared" si="3"/>
        <v>748.471</v>
      </c>
      <c r="M37">
        <f t="shared" si="4"/>
        <v>418.6294017979684</v>
      </c>
      <c r="N37">
        <f t="shared" si="5"/>
        <v>41.363045015181889</v>
      </c>
      <c r="O37">
        <f t="shared" si="6"/>
        <v>73.953333264678605</v>
      </c>
      <c r="P37">
        <f t="shared" si="7"/>
        <v>2.4981969732035297E-2</v>
      </c>
      <c r="Q37">
        <f t="shared" si="8"/>
        <v>2.2481893659736518</v>
      </c>
      <c r="R37">
        <f t="shared" si="9"/>
        <v>2.4828768246845916E-2</v>
      </c>
      <c r="S37">
        <f t="shared" si="10"/>
        <v>1.5531666266395867E-2</v>
      </c>
      <c r="T37">
        <f t="shared" si="11"/>
        <v>276.11196477322142</v>
      </c>
      <c r="U37">
        <f t="shared" si="12"/>
        <v>28.21197270282104</v>
      </c>
      <c r="V37">
        <f t="shared" si="13"/>
        <v>28.21197270282104</v>
      </c>
      <c r="W37">
        <f t="shared" si="14"/>
        <v>3.8419871295001045</v>
      </c>
      <c r="X37">
        <f t="shared" si="15"/>
        <v>69.566608274656431</v>
      </c>
      <c r="Y37">
        <f t="shared" si="16"/>
        <v>2.3834052359328601</v>
      </c>
      <c r="Z37">
        <f t="shared" si="17"/>
        <v>3.4260765258569461</v>
      </c>
      <c r="AA37">
        <f t="shared" si="18"/>
        <v>1.4585818935672443</v>
      </c>
      <c r="AB37">
        <f t="shared" si="19"/>
        <v>-16.689510282874529</v>
      </c>
      <c r="AC37">
        <f t="shared" si="20"/>
        <v>-236.85430082144691</v>
      </c>
      <c r="AD37">
        <f t="shared" si="21"/>
        <v>-22.790174830194104</v>
      </c>
      <c r="AE37">
        <f t="shared" si="22"/>
        <v>-0.22202116129412275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52281.579326977982</v>
      </c>
      <c r="AK37">
        <f t="shared" si="26"/>
        <v>1799.97</v>
      </c>
      <c r="AL37">
        <f t="shared" si="27"/>
        <v>1499.0879633841901</v>
      </c>
      <c r="AM37">
        <f t="shared" si="28"/>
        <v>0.832840527</v>
      </c>
      <c r="AN37">
        <f t="shared" si="29"/>
        <v>0.15339809262000001</v>
      </c>
      <c r="AO37">
        <v>30</v>
      </c>
      <c r="AP37">
        <v>0.5</v>
      </c>
      <c r="AQ37" t="s">
        <v>331</v>
      </c>
      <c r="AR37">
        <v>2</v>
      </c>
      <c r="AS37">
        <v>1690374086</v>
      </c>
      <c r="AT37">
        <v>748.471</v>
      </c>
      <c r="AU37">
        <v>800.28599999999994</v>
      </c>
      <c r="AV37">
        <v>24.1221</v>
      </c>
      <c r="AW37">
        <v>20.431699999999999</v>
      </c>
      <c r="AX37">
        <v>749.80700000000002</v>
      </c>
      <c r="AY37">
        <v>23.9392</v>
      </c>
      <c r="AZ37">
        <v>300.226</v>
      </c>
      <c r="BA37">
        <v>98.7059</v>
      </c>
      <c r="BB37">
        <v>9.9976599999999999E-2</v>
      </c>
      <c r="BC37">
        <v>26.2578</v>
      </c>
      <c r="BD37">
        <v>26.969000000000001</v>
      </c>
      <c r="BE37">
        <v>28.0244</v>
      </c>
      <c r="BF37">
        <v>0</v>
      </c>
      <c r="BG37">
        <v>0</v>
      </c>
      <c r="BH37">
        <v>9991.8799999999992</v>
      </c>
      <c r="BI37">
        <v>1097.6300000000001</v>
      </c>
      <c r="BJ37">
        <v>1.2110300000000001</v>
      </c>
      <c r="BK37">
        <v>-51.815199999999997</v>
      </c>
      <c r="BL37">
        <v>766.97199999999998</v>
      </c>
      <c r="BM37">
        <v>816.97799999999995</v>
      </c>
      <c r="BN37">
        <v>3.69042</v>
      </c>
      <c r="BO37">
        <v>800.28599999999994</v>
      </c>
      <c r="BP37">
        <v>20.431699999999999</v>
      </c>
      <c r="BQ37">
        <v>2.3809900000000002</v>
      </c>
      <c r="BR37">
        <v>2.0167299999999999</v>
      </c>
      <c r="BS37">
        <v>20.235099999999999</v>
      </c>
      <c r="BT37">
        <v>17.5763</v>
      </c>
      <c r="BU37">
        <v>1799.97</v>
      </c>
      <c r="BV37">
        <v>0.90999399999999997</v>
      </c>
      <c r="BW37">
        <v>3.4005599999999997E-2</v>
      </c>
      <c r="BX37">
        <v>2.2008099999999999E-2</v>
      </c>
      <c r="BY37">
        <v>3.3992799999999997E-2</v>
      </c>
      <c r="BZ37">
        <v>23</v>
      </c>
      <c r="CA37">
        <v>33527.599999999999</v>
      </c>
      <c r="CB37">
        <v>1690373417</v>
      </c>
      <c r="CC37" t="s">
        <v>332</v>
      </c>
      <c r="CD37">
        <v>1690373417</v>
      </c>
      <c r="CE37">
        <v>1690373415</v>
      </c>
      <c r="CF37">
        <v>1</v>
      </c>
      <c r="CG37">
        <v>-1.319</v>
      </c>
      <c r="CH37">
        <v>0.01</v>
      </c>
      <c r="CI37">
        <v>-1.371</v>
      </c>
      <c r="CJ37">
        <v>0.183</v>
      </c>
      <c r="CK37">
        <v>800</v>
      </c>
      <c r="CL37">
        <v>21</v>
      </c>
      <c r="CM37">
        <v>0.09</v>
      </c>
      <c r="CN37">
        <v>7.0000000000000007E-2</v>
      </c>
      <c r="CO37">
        <v>-46.401555000000002</v>
      </c>
      <c r="CP37">
        <v>-29.515729080675349</v>
      </c>
      <c r="CQ37">
        <v>2.839957448444431</v>
      </c>
      <c r="CR37">
        <v>-1</v>
      </c>
      <c r="CS37">
        <v>2.9648490000000001</v>
      </c>
      <c r="CT37">
        <v>2.754016435272042</v>
      </c>
      <c r="CU37">
        <v>0.28285794247996637</v>
      </c>
      <c r="CV37">
        <v>-1</v>
      </c>
      <c r="CW37">
        <v>0</v>
      </c>
      <c r="CX37">
        <v>0</v>
      </c>
      <c r="CY37" t="s">
        <v>333</v>
      </c>
      <c r="CZ37">
        <v>2.36544</v>
      </c>
      <c r="DA37">
        <v>2.7137600000000002</v>
      </c>
      <c r="DB37">
        <v>0.14027500000000001</v>
      </c>
      <c r="DC37">
        <v>0.14618800000000001</v>
      </c>
      <c r="DD37">
        <v>0.114146</v>
      </c>
      <c r="DE37">
        <v>0.100054</v>
      </c>
      <c r="DF37">
        <v>31390.7</v>
      </c>
      <c r="DG37">
        <v>27476</v>
      </c>
      <c r="DH37">
        <v>31167.5</v>
      </c>
      <c r="DI37">
        <v>28037.5</v>
      </c>
      <c r="DJ37">
        <v>37475.699999999997</v>
      </c>
      <c r="DK37">
        <v>35852.5</v>
      </c>
      <c r="DL37">
        <v>44346.9</v>
      </c>
      <c r="DM37">
        <v>42465.7</v>
      </c>
      <c r="DN37">
        <v>1.4720299999999999</v>
      </c>
      <c r="DO37">
        <v>2.1013000000000002</v>
      </c>
      <c r="DP37">
        <v>9.9658999999999998E-2</v>
      </c>
      <c r="DQ37">
        <v>0.17365800000000001</v>
      </c>
      <c r="DR37">
        <v>25.3369</v>
      </c>
      <c r="DS37">
        <v>25.182500000000001</v>
      </c>
      <c r="DT37">
        <v>69.2</v>
      </c>
      <c r="DU37">
        <v>23.9</v>
      </c>
      <c r="DV37">
        <v>20.872900000000001</v>
      </c>
      <c r="DW37">
        <v>62.35</v>
      </c>
      <c r="DX37">
        <v>35.316499999999998</v>
      </c>
      <c r="DY37">
        <v>1</v>
      </c>
      <c r="DZ37">
        <v>-0.15968199999999999</v>
      </c>
      <c r="EA37">
        <v>0.41811500000000001</v>
      </c>
      <c r="EB37">
        <v>20.191099999999999</v>
      </c>
      <c r="EC37">
        <v>5.2409499999999998</v>
      </c>
      <c r="ED37">
        <v>12.039899999999999</v>
      </c>
      <c r="EE37">
        <v>5.0168499999999998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1.8687100000000001</v>
      </c>
      <c r="EL37">
        <v>1.86432</v>
      </c>
      <c r="EM37">
        <v>1.8690500000000001</v>
      </c>
      <c r="EN37">
        <v>1.8670500000000001</v>
      </c>
      <c r="EO37">
        <v>1.8631599999999999</v>
      </c>
      <c r="EP37">
        <v>1.86415</v>
      </c>
      <c r="EQ37">
        <v>1.86998</v>
      </c>
      <c r="ER37">
        <v>1.8692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-1.3360000000000001</v>
      </c>
      <c r="FG37">
        <v>0.18290000000000001</v>
      </c>
      <c r="FH37">
        <v>-0.81947142863283695</v>
      </c>
      <c r="FI37">
        <v>-6.1462078757559423E-4</v>
      </c>
      <c r="FJ37">
        <v>-1.8861989874597051E-7</v>
      </c>
      <c r="FK37">
        <v>1.1980462299894961E-10</v>
      </c>
      <c r="FL37">
        <v>0.18283500000000069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11.2</v>
      </c>
      <c r="FU37">
        <v>11.2</v>
      </c>
      <c r="FV37">
        <v>1.78589</v>
      </c>
      <c r="FW37">
        <v>2.5524900000000001</v>
      </c>
      <c r="FX37">
        <v>1.5490699999999999</v>
      </c>
      <c r="FY37">
        <v>2.34619</v>
      </c>
      <c r="FZ37">
        <v>1.50146</v>
      </c>
      <c r="GA37">
        <v>2.2668499999999998</v>
      </c>
      <c r="GB37">
        <v>29.601700000000001</v>
      </c>
      <c r="GC37">
        <v>23.982399999999998</v>
      </c>
      <c r="GD37">
        <v>19</v>
      </c>
      <c r="GE37">
        <v>277.22199999999998</v>
      </c>
      <c r="GF37">
        <v>626.89</v>
      </c>
      <c r="GG37">
        <v>23.727699999999999</v>
      </c>
      <c r="GH37">
        <v>25.491700000000002</v>
      </c>
      <c r="GI37">
        <v>29.9999</v>
      </c>
      <c r="GJ37">
        <v>25.465499999999999</v>
      </c>
      <c r="GK37">
        <v>25.380199999999999</v>
      </c>
      <c r="GL37">
        <v>35.698500000000003</v>
      </c>
      <c r="GM37">
        <v>12.17</v>
      </c>
      <c r="GN37">
        <v>100</v>
      </c>
      <c r="GO37">
        <v>23.6416</v>
      </c>
      <c r="GP37">
        <v>800</v>
      </c>
      <c r="GQ37">
        <v>19.600000000000001</v>
      </c>
      <c r="GR37">
        <v>99.712999999999994</v>
      </c>
      <c r="GS37">
        <v>99.369500000000002</v>
      </c>
    </row>
    <row r="38" spans="1:201" x14ac:dyDescent="0.25">
      <c r="A38">
        <v>22</v>
      </c>
      <c r="B38">
        <v>1690374096</v>
      </c>
      <c r="C38">
        <v>276.5</v>
      </c>
      <c r="D38" t="s">
        <v>377</v>
      </c>
      <c r="E38" t="s">
        <v>378</v>
      </c>
      <c r="F38" t="s">
        <v>330</v>
      </c>
      <c r="H38">
        <v>1690374096</v>
      </c>
      <c r="I38">
        <f t="shared" si="0"/>
        <v>4.6113757159472308E-4</v>
      </c>
      <c r="J38">
        <f t="shared" si="1"/>
        <v>0.46113757159472307</v>
      </c>
      <c r="K38">
        <f t="shared" si="2"/>
        <v>5.3187897675448665</v>
      </c>
      <c r="L38">
        <f t="shared" si="3"/>
        <v>743.66700000000003</v>
      </c>
      <c r="M38">
        <f t="shared" si="4"/>
        <v>450.01805354332538</v>
      </c>
      <c r="N38">
        <f t="shared" si="5"/>
        <v>44.464783510425463</v>
      </c>
      <c r="O38">
        <f t="shared" si="6"/>
        <v>73.479256884221996</v>
      </c>
      <c r="P38">
        <f t="shared" si="7"/>
        <v>3.0678017067160179E-2</v>
      </c>
      <c r="Q38">
        <f t="shared" si="8"/>
        <v>2.2453772871903963</v>
      </c>
      <c r="R38">
        <f t="shared" si="9"/>
        <v>3.0447050839399067E-2</v>
      </c>
      <c r="S38">
        <f t="shared" si="10"/>
        <v>1.9050013114180055E-2</v>
      </c>
      <c r="T38">
        <f t="shared" si="11"/>
        <v>276.11257464441564</v>
      </c>
      <c r="U38">
        <f t="shared" si="12"/>
        <v>28.22294951693317</v>
      </c>
      <c r="V38">
        <f t="shared" si="13"/>
        <v>28.22294951693317</v>
      </c>
      <c r="W38">
        <f t="shared" si="14"/>
        <v>3.8444424713021572</v>
      </c>
      <c r="X38">
        <f t="shared" si="15"/>
        <v>69.761522282003426</v>
      </c>
      <c r="Y38">
        <f t="shared" si="16"/>
        <v>2.3952119131723997</v>
      </c>
      <c r="Z38">
        <f t="shared" si="17"/>
        <v>3.4334283926460403</v>
      </c>
      <c r="AA38">
        <f t="shared" si="18"/>
        <v>1.4492305581297575</v>
      </c>
      <c r="AB38">
        <f t="shared" si="19"/>
        <v>-20.336166907327289</v>
      </c>
      <c r="AC38">
        <f t="shared" si="20"/>
        <v>-233.49259681859075</v>
      </c>
      <c r="AD38">
        <f t="shared" si="21"/>
        <v>-22.500155405211242</v>
      </c>
      <c r="AE38">
        <f t="shared" si="22"/>
        <v>-0.21634448671363771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52165.811229409315</v>
      </c>
      <c r="AK38">
        <f t="shared" si="26"/>
        <v>1799.98</v>
      </c>
      <c r="AL38">
        <f t="shared" si="27"/>
        <v>1499.0955267979598</v>
      </c>
      <c r="AM38">
        <f t="shared" si="28"/>
        <v>0.83284010199999992</v>
      </c>
      <c r="AN38">
        <f t="shared" si="29"/>
        <v>0.15339757922000002</v>
      </c>
      <c r="AO38">
        <v>30</v>
      </c>
      <c r="AP38">
        <v>0.5</v>
      </c>
      <c r="AQ38" t="s">
        <v>331</v>
      </c>
      <c r="AR38">
        <v>2</v>
      </c>
      <c r="AS38">
        <v>1690374096</v>
      </c>
      <c r="AT38">
        <v>743.66700000000003</v>
      </c>
      <c r="AU38">
        <v>800.26800000000003</v>
      </c>
      <c r="AV38">
        <v>24.241399999999999</v>
      </c>
      <c r="AW38">
        <v>19.743099999999998</v>
      </c>
      <c r="AX38">
        <v>744.99900000000002</v>
      </c>
      <c r="AY38">
        <v>24.058599999999998</v>
      </c>
      <c r="AZ38">
        <v>300.08600000000001</v>
      </c>
      <c r="BA38">
        <v>98.706699999999998</v>
      </c>
      <c r="BB38">
        <v>9.9965999999999999E-2</v>
      </c>
      <c r="BC38">
        <v>26.2941</v>
      </c>
      <c r="BD38">
        <v>26.976500000000001</v>
      </c>
      <c r="BE38">
        <v>28.052499999999998</v>
      </c>
      <c r="BF38">
        <v>0</v>
      </c>
      <c r="BG38">
        <v>0</v>
      </c>
      <c r="BH38">
        <v>9970</v>
      </c>
      <c r="BI38">
        <v>1096.47</v>
      </c>
      <c r="BJ38">
        <v>1.3455900000000001</v>
      </c>
      <c r="BK38">
        <v>-56.600999999999999</v>
      </c>
      <c r="BL38">
        <v>762.14200000000005</v>
      </c>
      <c r="BM38">
        <v>816.38599999999997</v>
      </c>
      <c r="BN38">
        <v>4.4983500000000003</v>
      </c>
      <c r="BO38">
        <v>800.26800000000003</v>
      </c>
      <c r="BP38">
        <v>19.743099999999998</v>
      </c>
      <c r="BQ38">
        <v>2.3927900000000002</v>
      </c>
      <c r="BR38">
        <v>1.94878</v>
      </c>
      <c r="BS38">
        <v>20.315100000000001</v>
      </c>
      <c r="BT38">
        <v>17.034199999999998</v>
      </c>
      <c r="BU38">
        <v>1799.98</v>
      </c>
      <c r="BV38">
        <v>0.90999399999999997</v>
      </c>
      <c r="BW38">
        <v>3.3995499999999998E-2</v>
      </c>
      <c r="BX38">
        <v>2.20016E-2</v>
      </c>
      <c r="BY38">
        <v>3.4009200000000003E-2</v>
      </c>
      <c r="BZ38">
        <v>23</v>
      </c>
      <c r="CA38">
        <v>33528</v>
      </c>
      <c r="CB38">
        <v>1690373417</v>
      </c>
      <c r="CC38" t="s">
        <v>332</v>
      </c>
      <c r="CD38">
        <v>1690373417</v>
      </c>
      <c r="CE38">
        <v>1690373415</v>
      </c>
      <c r="CF38">
        <v>1</v>
      </c>
      <c r="CG38">
        <v>-1.319</v>
      </c>
      <c r="CH38">
        <v>0.01</v>
      </c>
      <c r="CI38">
        <v>-1.371</v>
      </c>
      <c r="CJ38">
        <v>0.183</v>
      </c>
      <c r="CK38">
        <v>800</v>
      </c>
      <c r="CL38">
        <v>21</v>
      </c>
      <c r="CM38">
        <v>0.09</v>
      </c>
      <c r="CN38">
        <v>7.0000000000000007E-2</v>
      </c>
      <c r="CO38">
        <v>-51.388837500000001</v>
      </c>
      <c r="CP38">
        <v>-30.130355347091889</v>
      </c>
      <c r="CQ38">
        <v>2.8987798738165251</v>
      </c>
      <c r="CR38">
        <v>-1</v>
      </c>
      <c r="CS38">
        <v>3.6282885</v>
      </c>
      <c r="CT38">
        <v>5.1730804502814243</v>
      </c>
      <c r="CU38">
        <v>0.49797711920604348</v>
      </c>
      <c r="CV38">
        <v>-1</v>
      </c>
      <c r="CW38">
        <v>0</v>
      </c>
      <c r="CX38">
        <v>0</v>
      </c>
      <c r="CY38" t="s">
        <v>333</v>
      </c>
      <c r="CZ38">
        <v>2.3650000000000002</v>
      </c>
      <c r="DA38">
        <v>2.71373</v>
      </c>
      <c r="DB38">
        <v>0.13966799999999999</v>
      </c>
      <c r="DC38">
        <v>0.146172</v>
      </c>
      <c r="DD38">
        <v>0.11454300000000001</v>
      </c>
      <c r="DE38">
        <v>9.7651799999999997E-2</v>
      </c>
      <c r="DF38">
        <v>31412.799999999999</v>
      </c>
      <c r="DG38">
        <v>27476</v>
      </c>
      <c r="DH38">
        <v>31167.5</v>
      </c>
      <c r="DI38">
        <v>28037.1</v>
      </c>
      <c r="DJ38">
        <v>37458.699999999997</v>
      </c>
      <c r="DK38">
        <v>35947.9</v>
      </c>
      <c r="DL38">
        <v>44346.9</v>
      </c>
      <c r="DM38">
        <v>42465.1</v>
      </c>
      <c r="DN38">
        <v>1.4710700000000001</v>
      </c>
      <c r="DO38">
        <v>2.1007199999999999</v>
      </c>
      <c r="DP38">
        <v>0.101648</v>
      </c>
      <c r="DQ38">
        <v>0.17692099999999999</v>
      </c>
      <c r="DR38">
        <v>25.311800000000002</v>
      </c>
      <c r="DS38">
        <v>25.157299999999999</v>
      </c>
      <c r="DT38">
        <v>69.2</v>
      </c>
      <c r="DU38">
        <v>23.9</v>
      </c>
      <c r="DV38">
        <v>20.8703</v>
      </c>
      <c r="DW38">
        <v>61.83</v>
      </c>
      <c r="DX38">
        <v>36.081699999999998</v>
      </c>
      <c r="DY38">
        <v>1</v>
      </c>
      <c r="DZ38">
        <v>-0.15756600000000001</v>
      </c>
      <c r="EA38">
        <v>0.93599900000000003</v>
      </c>
      <c r="EB38">
        <v>20.188500000000001</v>
      </c>
      <c r="EC38">
        <v>5.2408000000000001</v>
      </c>
      <c r="ED38">
        <v>12.039899999999999</v>
      </c>
      <c r="EE38">
        <v>5.0166000000000004</v>
      </c>
      <c r="EF38">
        <v>3.2879499999999999</v>
      </c>
      <c r="EG38">
        <v>9999</v>
      </c>
      <c r="EH38">
        <v>9999</v>
      </c>
      <c r="EI38">
        <v>9999</v>
      </c>
      <c r="EJ38">
        <v>999.9</v>
      </c>
      <c r="EK38">
        <v>1.8687400000000001</v>
      </c>
      <c r="EL38">
        <v>1.86432</v>
      </c>
      <c r="EM38">
        <v>1.8690500000000001</v>
      </c>
      <c r="EN38">
        <v>1.8670599999999999</v>
      </c>
      <c r="EO38">
        <v>1.8631599999999999</v>
      </c>
      <c r="EP38">
        <v>1.86416</v>
      </c>
      <c r="EQ38">
        <v>1.8699600000000001</v>
      </c>
      <c r="ER38">
        <v>1.8692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-1.3320000000000001</v>
      </c>
      <c r="FG38">
        <v>0.18279999999999999</v>
      </c>
      <c r="FH38">
        <v>-0.81947142863283695</v>
      </c>
      <c r="FI38">
        <v>-6.1462078757559423E-4</v>
      </c>
      <c r="FJ38">
        <v>-1.8861989874597051E-7</v>
      </c>
      <c r="FK38">
        <v>1.1980462299894961E-10</v>
      </c>
      <c r="FL38">
        <v>0.18283500000000069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11.3</v>
      </c>
      <c r="FU38">
        <v>11.3</v>
      </c>
      <c r="FV38">
        <v>1.78467</v>
      </c>
      <c r="FW38">
        <v>2.5500500000000001</v>
      </c>
      <c r="FX38">
        <v>1.5490699999999999</v>
      </c>
      <c r="FY38">
        <v>2.34619</v>
      </c>
      <c r="FZ38">
        <v>1.50146</v>
      </c>
      <c r="GA38">
        <v>2.34619</v>
      </c>
      <c r="GB38">
        <v>29.623000000000001</v>
      </c>
      <c r="GC38">
        <v>23.991199999999999</v>
      </c>
      <c r="GD38">
        <v>19</v>
      </c>
      <c r="GE38">
        <v>276.86099999999999</v>
      </c>
      <c r="GF38">
        <v>626.46100000000001</v>
      </c>
      <c r="GG38">
        <v>23.704899999999999</v>
      </c>
      <c r="GH38">
        <v>25.5014</v>
      </c>
      <c r="GI38">
        <v>30.000699999999998</v>
      </c>
      <c r="GJ38">
        <v>25.473099999999999</v>
      </c>
      <c r="GK38">
        <v>25.385999999999999</v>
      </c>
      <c r="GL38">
        <v>35.674599999999998</v>
      </c>
      <c r="GM38">
        <v>15.9556</v>
      </c>
      <c r="GN38">
        <v>100</v>
      </c>
      <c r="GO38">
        <v>23.661799999999999</v>
      </c>
      <c r="GP38">
        <v>800</v>
      </c>
      <c r="GQ38">
        <v>19.341200000000001</v>
      </c>
      <c r="GR38">
        <v>99.712999999999994</v>
      </c>
      <c r="GS38">
        <v>99.367900000000006</v>
      </c>
    </row>
    <row r="39" spans="1:201" x14ac:dyDescent="0.25">
      <c r="A39">
        <v>23</v>
      </c>
      <c r="B39">
        <v>1690374106</v>
      </c>
      <c r="C39">
        <v>286.5</v>
      </c>
      <c r="D39" t="s">
        <v>379</v>
      </c>
      <c r="E39" t="s">
        <v>380</v>
      </c>
      <c r="F39" t="s">
        <v>330</v>
      </c>
      <c r="H39">
        <v>1690374106</v>
      </c>
      <c r="I39">
        <f t="shared" si="0"/>
        <v>4.908506439154517E-4</v>
      </c>
      <c r="J39">
        <f t="shared" si="1"/>
        <v>0.49085064391545169</v>
      </c>
      <c r="K39">
        <f t="shared" si="2"/>
        <v>5.7686136130743924</v>
      </c>
      <c r="L39">
        <f t="shared" si="3"/>
        <v>738.87900000000002</v>
      </c>
      <c r="M39">
        <f t="shared" si="4"/>
        <v>439.70692804505302</v>
      </c>
      <c r="N39">
        <f t="shared" si="5"/>
        <v>43.446669874472974</v>
      </c>
      <c r="O39">
        <f t="shared" si="6"/>
        <v>73.007337257355005</v>
      </c>
      <c r="P39">
        <f t="shared" si="7"/>
        <v>3.2621339660567114E-2</v>
      </c>
      <c r="Q39">
        <f t="shared" si="8"/>
        <v>2.2502312437719354</v>
      </c>
      <c r="R39">
        <f t="shared" si="9"/>
        <v>3.2360877695616366E-2</v>
      </c>
      <c r="S39">
        <f t="shared" si="10"/>
        <v>2.0248776579760295E-2</v>
      </c>
      <c r="T39">
        <f t="shared" si="11"/>
        <v>276.11029155710884</v>
      </c>
      <c r="U39">
        <f t="shared" si="12"/>
        <v>28.196293038058734</v>
      </c>
      <c r="V39">
        <f t="shared" si="13"/>
        <v>28.196293038058734</v>
      </c>
      <c r="W39">
        <f t="shared" si="14"/>
        <v>3.8384822061962409</v>
      </c>
      <c r="X39">
        <f t="shared" si="15"/>
        <v>69.574859972621283</v>
      </c>
      <c r="Y39">
        <f t="shared" si="16"/>
        <v>2.386970059412</v>
      </c>
      <c r="Z39">
        <f t="shared" si="17"/>
        <v>3.4307939108340388</v>
      </c>
      <c r="AA39">
        <f t="shared" si="18"/>
        <v>1.4515121467842409</v>
      </c>
      <c r="AB39">
        <f t="shared" si="19"/>
        <v>-21.64651339667142</v>
      </c>
      <c r="AC39">
        <f t="shared" si="20"/>
        <v>-232.3406222584257</v>
      </c>
      <c r="AD39">
        <f t="shared" si="21"/>
        <v>-22.336422775824207</v>
      </c>
      <c r="AE39">
        <f t="shared" si="22"/>
        <v>-0.21326687381250053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52357.110678262034</v>
      </c>
      <c r="AK39">
        <f t="shared" si="26"/>
        <v>1799.97</v>
      </c>
      <c r="AL39">
        <f t="shared" si="27"/>
        <v>1499.08404304953</v>
      </c>
      <c r="AM39">
        <f t="shared" si="28"/>
        <v>0.83283834899999998</v>
      </c>
      <c r="AN39">
        <f t="shared" si="29"/>
        <v>0.15339716304000001</v>
      </c>
      <c r="AO39">
        <v>30</v>
      </c>
      <c r="AP39">
        <v>0.5</v>
      </c>
      <c r="AQ39" t="s">
        <v>331</v>
      </c>
      <c r="AR39">
        <v>2</v>
      </c>
      <c r="AS39">
        <v>1690374106</v>
      </c>
      <c r="AT39">
        <v>738.87900000000002</v>
      </c>
      <c r="AU39">
        <v>800.15700000000004</v>
      </c>
      <c r="AV39">
        <v>24.157599999999999</v>
      </c>
      <c r="AW39">
        <v>19.3704</v>
      </c>
      <c r="AX39">
        <v>740.20799999999997</v>
      </c>
      <c r="AY39">
        <v>23.974799999999998</v>
      </c>
      <c r="AZ39">
        <v>300.17099999999999</v>
      </c>
      <c r="BA39">
        <v>98.708200000000005</v>
      </c>
      <c r="BB39">
        <v>0.100045</v>
      </c>
      <c r="BC39">
        <v>26.281099999999999</v>
      </c>
      <c r="BD39">
        <v>26.959499999999998</v>
      </c>
      <c r="BE39">
        <v>28.032399999999999</v>
      </c>
      <c r="BF39">
        <v>0</v>
      </c>
      <c r="BG39">
        <v>0</v>
      </c>
      <c r="BH39">
        <v>10007.5</v>
      </c>
      <c r="BI39">
        <v>1095.28</v>
      </c>
      <c r="BJ39">
        <v>1.3147500000000001</v>
      </c>
      <c r="BK39">
        <v>-61.277799999999999</v>
      </c>
      <c r="BL39">
        <v>757.17</v>
      </c>
      <c r="BM39">
        <v>815.96199999999999</v>
      </c>
      <c r="BN39">
        <v>4.7872300000000001</v>
      </c>
      <c r="BO39">
        <v>800.15700000000004</v>
      </c>
      <c r="BP39">
        <v>19.3704</v>
      </c>
      <c r="BQ39">
        <v>2.3845499999999999</v>
      </c>
      <c r="BR39">
        <v>1.9120200000000001</v>
      </c>
      <c r="BS39">
        <v>20.2593</v>
      </c>
      <c r="BT39">
        <v>16.733899999999998</v>
      </c>
      <c r="BU39">
        <v>1799.97</v>
      </c>
      <c r="BV39">
        <v>0.90999200000000002</v>
      </c>
      <c r="BW39">
        <v>3.4006799999999997E-2</v>
      </c>
      <c r="BX39">
        <v>2.19957E-2</v>
      </c>
      <c r="BY39">
        <v>3.4005399999999998E-2</v>
      </c>
      <c r="BZ39">
        <v>23</v>
      </c>
      <c r="CA39">
        <v>33527.9</v>
      </c>
      <c r="CB39">
        <v>1690373417</v>
      </c>
      <c r="CC39" t="s">
        <v>332</v>
      </c>
      <c r="CD39">
        <v>1690373417</v>
      </c>
      <c r="CE39">
        <v>1690373415</v>
      </c>
      <c r="CF39">
        <v>1</v>
      </c>
      <c r="CG39">
        <v>-1.319</v>
      </c>
      <c r="CH39">
        <v>0.01</v>
      </c>
      <c r="CI39">
        <v>-1.371</v>
      </c>
      <c r="CJ39">
        <v>0.183</v>
      </c>
      <c r="CK39">
        <v>800</v>
      </c>
      <c r="CL39">
        <v>21</v>
      </c>
      <c r="CM39">
        <v>0.09</v>
      </c>
      <c r="CN39">
        <v>7.0000000000000007E-2</v>
      </c>
      <c r="CO39">
        <v>-55.878019512195117</v>
      </c>
      <c r="CP39">
        <v>-28.16230034843214</v>
      </c>
      <c r="CQ39">
        <v>2.7772925641596249</v>
      </c>
      <c r="CR39">
        <v>-1</v>
      </c>
      <c r="CS39">
        <v>4.3083068292682931</v>
      </c>
      <c r="CT39">
        <v>3.6970124738675958</v>
      </c>
      <c r="CU39">
        <v>0.37355274113824638</v>
      </c>
      <c r="CV39">
        <v>-1</v>
      </c>
      <c r="CW39">
        <v>0</v>
      </c>
      <c r="CX39">
        <v>0</v>
      </c>
      <c r="CY39" t="s">
        <v>333</v>
      </c>
      <c r="CZ39">
        <v>2.3652299999999999</v>
      </c>
      <c r="DA39">
        <v>2.7138399999999998</v>
      </c>
      <c r="DB39">
        <v>0.13905899999999999</v>
      </c>
      <c r="DC39">
        <v>0.14615</v>
      </c>
      <c r="DD39">
        <v>0.114264</v>
      </c>
      <c r="DE39">
        <v>9.6337500000000006E-2</v>
      </c>
      <c r="DF39">
        <v>31433.9</v>
      </c>
      <c r="DG39">
        <v>27476.2</v>
      </c>
      <c r="DH39">
        <v>31166.400000000001</v>
      </c>
      <c r="DI39">
        <v>28036.7</v>
      </c>
      <c r="DJ39">
        <v>37469.300000000003</v>
      </c>
      <c r="DK39">
        <v>35999.800000000003</v>
      </c>
      <c r="DL39">
        <v>44345.4</v>
      </c>
      <c r="DM39">
        <v>42464.4</v>
      </c>
      <c r="DN39">
        <v>1.47193</v>
      </c>
      <c r="DO39">
        <v>2.1000800000000002</v>
      </c>
      <c r="DP39">
        <v>0.10199800000000001</v>
      </c>
      <c r="DQ39">
        <v>0.17680999999999999</v>
      </c>
      <c r="DR39">
        <v>25.289000000000001</v>
      </c>
      <c r="DS39">
        <v>25.1389</v>
      </c>
      <c r="DT39">
        <v>69.2</v>
      </c>
      <c r="DU39">
        <v>23.9</v>
      </c>
      <c r="DV39">
        <v>20.871099999999998</v>
      </c>
      <c r="DW39">
        <v>61.67</v>
      </c>
      <c r="DX39">
        <v>36.730800000000002</v>
      </c>
      <c r="DY39">
        <v>1</v>
      </c>
      <c r="DZ39">
        <v>-0.15625500000000001</v>
      </c>
      <c r="EA39">
        <v>0.81019300000000005</v>
      </c>
      <c r="EB39">
        <v>20.188600000000001</v>
      </c>
      <c r="EC39">
        <v>5.2409499999999998</v>
      </c>
      <c r="ED39">
        <v>12.039899999999999</v>
      </c>
      <c r="EE39">
        <v>5.0170000000000003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1.8687</v>
      </c>
      <c r="EL39">
        <v>1.86432</v>
      </c>
      <c r="EM39">
        <v>1.8690500000000001</v>
      </c>
      <c r="EN39">
        <v>1.8670500000000001</v>
      </c>
      <c r="EO39">
        <v>1.8631599999999999</v>
      </c>
      <c r="EP39">
        <v>1.8641700000000001</v>
      </c>
      <c r="EQ39">
        <v>1.86998</v>
      </c>
      <c r="ER39">
        <v>1.8692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-1.329</v>
      </c>
      <c r="FG39">
        <v>0.18279999999999999</v>
      </c>
      <c r="FH39">
        <v>-0.81947142863283695</v>
      </c>
      <c r="FI39">
        <v>-6.1462078757559423E-4</v>
      </c>
      <c r="FJ39">
        <v>-1.8861989874597051E-7</v>
      </c>
      <c r="FK39">
        <v>1.1980462299894961E-10</v>
      </c>
      <c r="FL39">
        <v>0.18283500000000069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11.5</v>
      </c>
      <c r="FU39">
        <v>11.5</v>
      </c>
      <c r="FV39">
        <v>1.78345</v>
      </c>
      <c r="FW39">
        <v>2.5439500000000002</v>
      </c>
      <c r="FX39">
        <v>1.5490699999999999</v>
      </c>
      <c r="FY39">
        <v>2.34619</v>
      </c>
      <c r="FZ39">
        <v>1.50146</v>
      </c>
      <c r="GA39">
        <v>2.3999000000000001</v>
      </c>
      <c r="GB39">
        <v>29.644300000000001</v>
      </c>
      <c r="GC39">
        <v>23.991199999999999</v>
      </c>
      <c r="GD39">
        <v>19</v>
      </c>
      <c r="GE39">
        <v>277.233</v>
      </c>
      <c r="GF39">
        <v>625.99400000000003</v>
      </c>
      <c r="GG39">
        <v>23.6813</v>
      </c>
      <c r="GH39">
        <v>25.509399999999999</v>
      </c>
      <c r="GI39">
        <v>30.000699999999998</v>
      </c>
      <c r="GJ39">
        <v>25.4773</v>
      </c>
      <c r="GK39">
        <v>25.393999999999998</v>
      </c>
      <c r="GL39">
        <v>35.664900000000003</v>
      </c>
      <c r="GM39">
        <v>17.547699999999999</v>
      </c>
      <c r="GN39">
        <v>100</v>
      </c>
      <c r="GO39">
        <v>23.715499999999999</v>
      </c>
      <c r="GP39">
        <v>800</v>
      </c>
      <c r="GQ39">
        <v>19.1309</v>
      </c>
      <c r="GR39">
        <v>99.709599999999995</v>
      </c>
      <c r="GS39">
        <v>99.366500000000002</v>
      </c>
    </row>
    <row r="40" spans="1:201" x14ac:dyDescent="0.25">
      <c r="A40">
        <v>24</v>
      </c>
      <c r="B40">
        <v>1690374116</v>
      </c>
      <c r="C40">
        <v>296.5</v>
      </c>
      <c r="D40" t="s">
        <v>381</v>
      </c>
      <c r="E40" t="s">
        <v>382</v>
      </c>
      <c r="F40" t="s">
        <v>330</v>
      </c>
      <c r="H40">
        <v>1690374116</v>
      </c>
      <c r="I40">
        <f t="shared" si="0"/>
        <v>5.0540777359785107E-4</v>
      </c>
      <c r="J40">
        <f t="shared" si="1"/>
        <v>0.50540777359785105</v>
      </c>
      <c r="K40">
        <f t="shared" si="2"/>
        <v>6.2368966978682385</v>
      </c>
      <c r="L40">
        <f t="shared" si="3"/>
        <v>734.04</v>
      </c>
      <c r="M40">
        <f t="shared" si="4"/>
        <v>419.46662656724436</v>
      </c>
      <c r="N40">
        <f t="shared" si="5"/>
        <v>41.447169348207439</v>
      </c>
      <c r="O40">
        <f t="shared" si="6"/>
        <v>72.529918380720005</v>
      </c>
      <c r="P40">
        <f t="shared" si="7"/>
        <v>3.3439554390684467E-2</v>
      </c>
      <c r="Q40">
        <f t="shared" si="8"/>
        <v>2.2512093812194025</v>
      </c>
      <c r="R40">
        <f t="shared" si="9"/>
        <v>3.316603962518163E-2</v>
      </c>
      <c r="S40">
        <f t="shared" si="10"/>
        <v>2.0753162400903684E-2</v>
      </c>
      <c r="T40">
        <f t="shared" si="11"/>
        <v>276.11206399008961</v>
      </c>
      <c r="U40">
        <f t="shared" si="12"/>
        <v>28.186523743364003</v>
      </c>
      <c r="V40">
        <f t="shared" si="13"/>
        <v>28.186523743364003</v>
      </c>
      <c r="W40">
        <f t="shared" si="14"/>
        <v>3.8362998565723156</v>
      </c>
      <c r="X40">
        <f t="shared" si="15"/>
        <v>69.328346738993289</v>
      </c>
      <c r="Y40">
        <f t="shared" si="16"/>
        <v>2.3779228785444002</v>
      </c>
      <c r="Z40">
        <f t="shared" si="17"/>
        <v>3.4299431479258868</v>
      </c>
      <c r="AA40">
        <f t="shared" si="18"/>
        <v>1.4583769780279154</v>
      </c>
      <c r="AB40">
        <f t="shared" si="19"/>
        <v>-22.288482815665233</v>
      </c>
      <c r="AC40">
        <f t="shared" si="20"/>
        <v>-231.76568709172096</v>
      </c>
      <c r="AD40">
        <f t="shared" si="21"/>
        <v>-22.26991385322254</v>
      </c>
      <c r="AE40">
        <f t="shared" si="22"/>
        <v>-0.21201977051913445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52396.00021185066</v>
      </c>
      <c r="AK40">
        <f t="shared" si="26"/>
        <v>1799.98</v>
      </c>
      <c r="AL40">
        <f t="shared" si="27"/>
        <v>1499.0961567909599</v>
      </c>
      <c r="AM40">
        <f t="shared" si="28"/>
        <v>0.8328404519999999</v>
      </c>
      <c r="AN40">
        <f t="shared" si="29"/>
        <v>0.15339729552</v>
      </c>
      <c r="AO40">
        <v>30</v>
      </c>
      <c r="AP40">
        <v>0.5</v>
      </c>
      <c r="AQ40" t="s">
        <v>331</v>
      </c>
      <c r="AR40">
        <v>2</v>
      </c>
      <c r="AS40">
        <v>1690374116</v>
      </c>
      <c r="AT40">
        <v>734.04</v>
      </c>
      <c r="AU40">
        <v>800.07</v>
      </c>
      <c r="AV40">
        <v>24.065799999999999</v>
      </c>
      <c r="AW40">
        <v>19.137</v>
      </c>
      <c r="AX40">
        <v>735.36500000000001</v>
      </c>
      <c r="AY40">
        <v>23.882999999999999</v>
      </c>
      <c r="AZ40">
        <v>300.22199999999998</v>
      </c>
      <c r="BA40">
        <v>98.709199999999996</v>
      </c>
      <c r="BB40">
        <v>0.100018</v>
      </c>
      <c r="BC40">
        <v>26.276900000000001</v>
      </c>
      <c r="BD40">
        <v>26.9907</v>
      </c>
      <c r="BE40">
        <v>28.042899999999999</v>
      </c>
      <c r="BF40">
        <v>0</v>
      </c>
      <c r="BG40">
        <v>0</v>
      </c>
      <c r="BH40">
        <v>10015</v>
      </c>
      <c r="BI40">
        <v>1094.27</v>
      </c>
      <c r="BJ40">
        <v>1.28952</v>
      </c>
      <c r="BK40">
        <v>-66.029899999999998</v>
      </c>
      <c r="BL40">
        <v>752.14</v>
      </c>
      <c r="BM40">
        <v>815.67899999999997</v>
      </c>
      <c r="BN40">
        <v>4.9288299999999996</v>
      </c>
      <c r="BO40">
        <v>800.07</v>
      </c>
      <c r="BP40">
        <v>19.137</v>
      </c>
      <c r="BQ40">
        <v>2.3755099999999998</v>
      </c>
      <c r="BR40">
        <v>1.8889899999999999</v>
      </c>
      <c r="BS40">
        <v>20.197800000000001</v>
      </c>
      <c r="BT40">
        <v>16.543299999999999</v>
      </c>
      <c r="BU40">
        <v>1799.98</v>
      </c>
      <c r="BV40">
        <v>0.91000599999999998</v>
      </c>
      <c r="BW40">
        <v>3.3997800000000002E-2</v>
      </c>
      <c r="BX40">
        <v>2.1999600000000001E-2</v>
      </c>
      <c r="BY40">
        <v>3.3996400000000003E-2</v>
      </c>
      <c r="BZ40">
        <v>23</v>
      </c>
      <c r="CA40">
        <v>33528</v>
      </c>
      <c r="CB40">
        <v>1690373417</v>
      </c>
      <c r="CC40" t="s">
        <v>332</v>
      </c>
      <c r="CD40">
        <v>1690373417</v>
      </c>
      <c r="CE40">
        <v>1690373415</v>
      </c>
      <c r="CF40">
        <v>1</v>
      </c>
      <c r="CG40">
        <v>-1.319</v>
      </c>
      <c r="CH40">
        <v>0.01</v>
      </c>
      <c r="CI40">
        <v>-1.371</v>
      </c>
      <c r="CJ40">
        <v>0.183</v>
      </c>
      <c r="CK40">
        <v>800</v>
      </c>
      <c r="CL40">
        <v>21</v>
      </c>
      <c r="CM40">
        <v>0.09</v>
      </c>
      <c r="CN40">
        <v>7.0000000000000007E-2</v>
      </c>
      <c r="CO40">
        <v>-60.944425000000003</v>
      </c>
      <c r="CP40">
        <v>-28.488808255159299</v>
      </c>
      <c r="CQ40">
        <v>2.7407076491984692</v>
      </c>
      <c r="CR40">
        <v>-1</v>
      </c>
      <c r="CS40">
        <v>4.7484835000000007</v>
      </c>
      <c r="CT40">
        <v>1.2377738836772869</v>
      </c>
      <c r="CU40">
        <v>0.1217726130037045</v>
      </c>
      <c r="CV40">
        <v>-1</v>
      </c>
      <c r="CW40">
        <v>0</v>
      </c>
      <c r="CX40">
        <v>0</v>
      </c>
      <c r="CY40" t="s">
        <v>333</v>
      </c>
      <c r="CZ40">
        <v>2.3654199999999999</v>
      </c>
      <c r="DA40">
        <v>2.7138200000000001</v>
      </c>
      <c r="DB40">
        <v>0.13844000000000001</v>
      </c>
      <c r="DC40">
        <v>0.14613399999999999</v>
      </c>
      <c r="DD40">
        <v>0.113957</v>
      </c>
      <c r="DE40">
        <v>9.5508599999999999E-2</v>
      </c>
      <c r="DF40">
        <v>31456</v>
      </c>
      <c r="DG40">
        <v>27476.5</v>
      </c>
      <c r="DH40">
        <v>31166</v>
      </c>
      <c r="DI40">
        <v>28036.400000000001</v>
      </c>
      <c r="DJ40">
        <v>37482.1</v>
      </c>
      <c r="DK40">
        <v>36032.800000000003</v>
      </c>
      <c r="DL40">
        <v>44345.1</v>
      </c>
      <c r="DM40">
        <v>42464.3</v>
      </c>
      <c r="DN40">
        <v>1.4716</v>
      </c>
      <c r="DO40">
        <v>2.0994199999999998</v>
      </c>
      <c r="DP40">
        <v>0.105202</v>
      </c>
      <c r="DQ40">
        <v>0.17851600000000001</v>
      </c>
      <c r="DR40">
        <v>25.267700000000001</v>
      </c>
      <c r="DS40">
        <v>25.121400000000001</v>
      </c>
      <c r="DT40">
        <v>69.2</v>
      </c>
      <c r="DU40">
        <v>23.9</v>
      </c>
      <c r="DV40">
        <v>20.870999999999999</v>
      </c>
      <c r="DW40">
        <v>61.84</v>
      </c>
      <c r="DX40">
        <v>36.005600000000001</v>
      </c>
      <c r="DY40">
        <v>1</v>
      </c>
      <c r="DZ40">
        <v>-0.156504</v>
      </c>
      <c r="EA40">
        <v>0.69332000000000005</v>
      </c>
      <c r="EB40">
        <v>20.189399999999999</v>
      </c>
      <c r="EC40">
        <v>5.2409499999999998</v>
      </c>
      <c r="ED40">
        <v>12.039899999999999</v>
      </c>
      <c r="EE40">
        <v>5.0170000000000003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1.8687400000000001</v>
      </c>
      <c r="EL40">
        <v>1.86432</v>
      </c>
      <c r="EM40">
        <v>1.8690500000000001</v>
      </c>
      <c r="EN40">
        <v>1.8670599999999999</v>
      </c>
      <c r="EO40">
        <v>1.8631899999999999</v>
      </c>
      <c r="EP40">
        <v>1.8641700000000001</v>
      </c>
      <c r="EQ40">
        <v>1.86998</v>
      </c>
      <c r="ER40">
        <v>1.8692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-1.325</v>
      </c>
      <c r="FG40">
        <v>0.18279999999999999</v>
      </c>
      <c r="FH40">
        <v>-0.81947142863283695</v>
      </c>
      <c r="FI40">
        <v>-6.1462078757559423E-4</v>
      </c>
      <c r="FJ40">
        <v>-1.8861989874597051E-7</v>
      </c>
      <c r="FK40">
        <v>1.1980462299894961E-10</v>
      </c>
      <c r="FL40">
        <v>0.18283500000000069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11.7</v>
      </c>
      <c r="FU40">
        <v>11.7</v>
      </c>
      <c r="FV40">
        <v>1.78345</v>
      </c>
      <c r="FW40">
        <v>2.5439500000000002</v>
      </c>
      <c r="FX40">
        <v>1.5490699999999999</v>
      </c>
      <c r="FY40">
        <v>2.34619</v>
      </c>
      <c r="FZ40">
        <v>1.50146</v>
      </c>
      <c r="GA40">
        <v>2.3571800000000001</v>
      </c>
      <c r="GB40">
        <v>29.644300000000001</v>
      </c>
      <c r="GC40">
        <v>23.991199999999999</v>
      </c>
      <c r="GD40">
        <v>19</v>
      </c>
      <c r="GE40">
        <v>277.12099999999998</v>
      </c>
      <c r="GF40">
        <v>625.52700000000004</v>
      </c>
      <c r="GG40">
        <v>23.7239</v>
      </c>
      <c r="GH40">
        <v>25.515699999999999</v>
      </c>
      <c r="GI40">
        <v>30.0002</v>
      </c>
      <c r="GJ40">
        <v>25.482600000000001</v>
      </c>
      <c r="GK40">
        <v>25.402000000000001</v>
      </c>
      <c r="GL40">
        <v>35.657400000000003</v>
      </c>
      <c r="GM40">
        <v>18.741499999999998</v>
      </c>
      <c r="GN40">
        <v>100</v>
      </c>
      <c r="GO40">
        <v>23.7423</v>
      </c>
      <c r="GP40">
        <v>800</v>
      </c>
      <c r="GQ40">
        <v>18.929200000000002</v>
      </c>
      <c r="GR40">
        <v>99.708600000000004</v>
      </c>
      <c r="GS40">
        <v>99.365899999999996</v>
      </c>
    </row>
    <row r="41" spans="1:201" x14ac:dyDescent="0.25">
      <c r="A41">
        <v>25</v>
      </c>
      <c r="B41">
        <v>1690374126</v>
      </c>
      <c r="C41">
        <v>306.5</v>
      </c>
      <c r="D41" t="s">
        <v>383</v>
      </c>
      <c r="E41" t="s">
        <v>384</v>
      </c>
      <c r="F41" t="s">
        <v>330</v>
      </c>
      <c r="H41">
        <v>1690374126</v>
      </c>
      <c r="I41">
        <f t="shared" si="0"/>
        <v>5.1966875228290886E-4</v>
      </c>
      <c r="J41">
        <f t="shared" si="1"/>
        <v>0.51966875228290887</v>
      </c>
      <c r="K41">
        <f t="shared" si="2"/>
        <v>6.7058424382600421</v>
      </c>
      <c r="L41">
        <f t="shared" si="3"/>
        <v>729.31600000000003</v>
      </c>
      <c r="M41">
        <f t="shared" si="4"/>
        <v>401.01588101783022</v>
      </c>
      <c r="N41">
        <f t="shared" si="5"/>
        <v>39.6246454779168</v>
      </c>
      <c r="O41">
        <f t="shared" si="6"/>
        <v>72.064198225824001</v>
      </c>
      <c r="P41">
        <f t="shared" si="7"/>
        <v>3.4360256388329638E-2</v>
      </c>
      <c r="Q41">
        <f t="shared" si="8"/>
        <v>2.2527590080772688</v>
      </c>
      <c r="R41">
        <f t="shared" si="9"/>
        <v>3.4071739695884527E-2</v>
      </c>
      <c r="S41">
        <f t="shared" si="10"/>
        <v>2.1320557357998572E-2</v>
      </c>
      <c r="T41">
        <f t="shared" si="11"/>
        <v>276.11300714360999</v>
      </c>
      <c r="U41">
        <f t="shared" si="12"/>
        <v>28.162732409375714</v>
      </c>
      <c r="V41">
        <f t="shared" si="13"/>
        <v>28.162732409375714</v>
      </c>
      <c r="W41">
        <f t="shared" si="14"/>
        <v>3.8309896695423946</v>
      </c>
      <c r="X41">
        <f t="shared" si="15"/>
        <v>69.205718208021182</v>
      </c>
      <c r="Y41">
        <f t="shared" si="16"/>
        <v>2.3712089093399999</v>
      </c>
      <c r="Z41">
        <f t="shared" si="17"/>
        <v>3.4263193428793413</v>
      </c>
      <c r="AA41">
        <f t="shared" si="18"/>
        <v>1.4597807602023947</v>
      </c>
      <c r="AB41">
        <f t="shared" si="19"/>
        <v>-22.917391975676281</v>
      </c>
      <c r="AC41">
        <f t="shared" si="20"/>
        <v>-231.20971681683952</v>
      </c>
      <c r="AD41">
        <f t="shared" si="21"/>
        <v>-22.196584031651597</v>
      </c>
      <c r="AE41">
        <f t="shared" si="22"/>
        <v>-0.21068568055738979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52459.61536671732</v>
      </c>
      <c r="AK41">
        <f t="shared" si="26"/>
        <v>1799.98</v>
      </c>
      <c r="AL41">
        <f t="shared" si="27"/>
        <v>1499.0970801807</v>
      </c>
      <c r="AM41">
        <f t="shared" si="28"/>
        <v>0.83284096500000004</v>
      </c>
      <c r="AN41">
        <f t="shared" si="29"/>
        <v>0.1533978195</v>
      </c>
      <c r="AO41">
        <v>30</v>
      </c>
      <c r="AP41">
        <v>0.5</v>
      </c>
      <c r="AQ41" t="s">
        <v>331</v>
      </c>
      <c r="AR41">
        <v>2</v>
      </c>
      <c r="AS41">
        <v>1690374126</v>
      </c>
      <c r="AT41">
        <v>729.31600000000003</v>
      </c>
      <c r="AU41">
        <v>800.13400000000001</v>
      </c>
      <c r="AV41">
        <v>23.997499999999999</v>
      </c>
      <c r="AW41">
        <v>18.927700000000002</v>
      </c>
      <c r="AX41">
        <v>730.63800000000003</v>
      </c>
      <c r="AY41">
        <v>23.814699999999998</v>
      </c>
      <c r="AZ41">
        <v>300.12900000000002</v>
      </c>
      <c r="BA41">
        <v>98.710700000000003</v>
      </c>
      <c r="BB41">
        <v>9.9963999999999997E-2</v>
      </c>
      <c r="BC41">
        <v>26.259</v>
      </c>
      <c r="BD41">
        <v>26.963200000000001</v>
      </c>
      <c r="BE41">
        <v>28.0487</v>
      </c>
      <c r="BF41">
        <v>0</v>
      </c>
      <c r="BG41">
        <v>0</v>
      </c>
      <c r="BH41">
        <v>10026.9</v>
      </c>
      <c r="BI41">
        <v>1093.24</v>
      </c>
      <c r="BJ41">
        <v>1.28952</v>
      </c>
      <c r="BK41">
        <v>-70.818100000000001</v>
      </c>
      <c r="BL41">
        <v>747.24800000000005</v>
      </c>
      <c r="BM41">
        <v>815.57100000000003</v>
      </c>
      <c r="BN41">
        <v>5.0697599999999996</v>
      </c>
      <c r="BO41">
        <v>800.13400000000001</v>
      </c>
      <c r="BP41">
        <v>18.927700000000002</v>
      </c>
      <c r="BQ41">
        <v>2.3688099999999999</v>
      </c>
      <c r="BR41">
        <v>1.8683700000000001</v>
      </c>
      <c r="BS41">
        <v>20.152100000000001</v>
      </c>
      <c r="BT41">
        <v>16.370899999999999</v>
      </c>
      <c r="BU41">
        <v>1799.98</v>
      </c>
      <c r="BV41">
        <v>0.91000300000000001</v>
      </c>
      <c r="BW41">
        <v>3.4003800000000001E-2</v>
      </c>
      <c r="BX41">
        <v>2.2005500000000001E-2</v>
      </c>
      <c r="BY41">
        <v>3.3987999999999997E-2</v>
      </c>
      <c r="BZ41">
        <v>23</v>
      </c>
      <c r="CA41">
        <v>33527.9</v>
      </c>
      <c r="CB41">
        <v>1690373417</v>
      </c>
      <c r="CC41" t="s">
        <v>332</v>
      </c>
      <c r="CD41">
        <v>1690373417</v>
      </c>
      <c r="CE41">
        <v>1690373415</v>
      </c>
      <c r="CF41">
        <v>1</v>
      </c>
      <c r="CG41">
        <v>-1.319</v>
      </c>
      <c r="CH41">
        <v>0.01</v>
      </c>
      <c r="CI41">
        <v>-1.371</v>
      </c>
      <c r="CJ41">
        <v>0.183</v>
      </c>
      <c r="CK41">
        <v>800</v>
      </c>
      <c r="CL41">
        <v>21</v>
      </c>
      <c r="CM41">
        <v>0.09</v>
      </c>
      <c r="CN41">
        <v>7.0000000000000007E-2</v>
      </c>
      <c r="CO41">
        <v>-65.691732499999986</v>
      </c>
      <c r="CP41">
        <v>-28.387745966228781</v>
      </c>
      <c r="CQ41">
        <v>2.7309116627408052</v>
      </c>
      <c r="CR41">
        <v>-1</v>
      </c>
      <c r="CS41">
        <v>4.918577</v>
      </c>
      <c r="CT41">
        <v>0.8452120075046794</v>
      </c>
      <c r="CU41">
        <v>8.1325151466197704E-2</v>
      </c>
      <c r="CV41">
        <v>-1</v>
      </c>
      <c r="CW41">
        <v>0</v>
      </c>
      <c r="CX41">
        <v>0</v>
      </c>
      <c r="CY41" t="s">
        <v>333</v>
      </c>
      <c r="CZ41">
        <v>2.3651</v>
      </c>
      <c r="DA41">
        <v>2.7137799999999999</v>
      </c>
      <c r="DB41">
        <v>0.13783500000000001</v>
      </c>
      <c r="DC41">
        <v>0.14613699999999999</v>
      </c>
      <c r="DD41">
        <v>0.113729</v>
      </c>
      <c r="DE41">
        <v>9.4762700000000005E-2</v>
      </c>
      <c r="DF41">
        <v>31477.8</v>
      </c>
      <c r="DG41">
        <v>27476.1</v>
      </c>
      <c r="DH41">
        <v>31165.8</v>
      </c>
      <c r="DI41">
        <v>28036.1</v>
      </c>
      <c r="DJ41">
        <v>37491.4</v>
      </c>
      <c r="DK41">
        <v>36062.400000000001</v>
      </c>
      <c r="DL41">
        <v>44344.5</v>
      </c>
      <c r="DM41">
        <v>42464.1</v>
      </c>
      <c r="DN41">
        <v>1.4715</v>
      </c>
      <c r="DO41">
        <v>2.0988199999999999</v>
      </c>
      <c r="DP41">
        <v>0.104591</v>
      </c>
      <c r="DQ41">
        <v>0.17990900000000001</v>
      </c>
      <c r="DR41">
        <v>25.250299999999999</v>
      </c>
      <c r="DS41">
        <v>25.104399999999998</v>
      </c>
      <c r="DT41">
        <v>69.099999999999994</v>
      </c>
      <c r="DU41">
        <v>23.9</v>
      </c>
      <c r="DV41">
        <v>20.839099999999998</v>
      </c>
      <c r="DW41">
        <v>61.59</v>
      </c>
      <c r="DX41">
        <v>35.492800000000003</v>
      </c>
      <c r="DY41">
        <v>1</v>
      </c>
      <c r="DZ41">
        <v>-0.156136</v>
      </c>
      <c r="EA41">
        <v>0.62611399999999995</v>
      </c>
      <c r="EB41">
        <v>20.190000000000001</v>
      </c>
      <c r="EC41">
        <v>5.2411000000000003</v>
      </c>
      <c r="ED41">
        <v>12.039899999999999</v>
      </c>
      <c r="EE41">
        <v>5.0170500000000002</v>
      </c>
      <c r="EF41">
        <v>3.2879700000000001</v>
      </c>
      <c r="EG41">
        <v>9999</v>
      </c>
      <c r="EH41">
        <v>9999</v>
      </c>
      <c r="EI41">
        <v>9999</v>
      </c>
      <c r="EJ41">
        <v>999.9</v>
      </c>
      <c r="EK41">
        <v>1.8687199999999999</v>
      </c>
      <c r="EL41">
        <v>1.86432</v>
      </c>
      <c r="EM41">
        <v>1.8690500000000001</v>
      </c>
      <c r="EN41">
        <v>1.86707</v>
      </c>
      <c r="EO41">
        <v>1.8631899999999999</v>
      </c>
      <c r="EP41">
        <v>1.8641700000000001</v>
      </c>
      <c r="EQ41">
        <v>1.86999</v>
      </c>
      <c r="ER41">
        <v>1.8692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-1.3220000000000001</v>
      </c>
      <c r="FG41">
        <v>0.18279999999999999</v>
      </c>
      <c r="FH41">
        <v>-0.81947142863283695</v>
      </c>
      <c r="FI41">
        <v>-6.1462078757559423E-4</v>
      </c>
      <c r="FJ41">
        <v>-1.8861989874597051E-7</v>
      </c>
      <c r="FK41">
        <v>1.1980462299894961E-10</v>
      </c>
      <c r="FL41">
        <v>0.18283500000000069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11.8</v>
      </c>
      <c r="FU41">
        <v>11.8</v>
      </c>
      <c r="FV41">
        <v>1.78345</v>
      </c>
      <c r="FW41">
        <v>2.5561500000000001</v>
      </c>
      <c r="FX41">
        <v>1.5490699999999999</v>
      </c>
      <c r="FY41">
        <v>2.34619</v>
      </c>
      <c r="FZ41">
        <v>1.50146</v>
      </c>
      <c r="GA41">
        <v>2.2741699999999998</v>
      </c>
      <c r="GB41">
        <v>29.665700000000001</v>
      </c>
      <c r="GC41">
        <v>23.982399999999998</v>
      </c>
      <c r="GD41">
        <v>19</v>
      </c>
      <c r="GE41">
        <v>277.10700000000003</v>
      </c>
      <c r="GF41">
        <v>625.096</v>
      </c>
      <c r="GG41">
        <v>23.755700000000001</v>
      </c>
      <c r="GH41">
        <v>25.520499999999998</v>
      </c>
      <c r="GI41">
        <v>30.000299999999999</v>
      </c>
      <c r="GJ41">
        <v>25.489000000000001</v>
      </c>
      <c r="GK41">
        <v>25.409300000000002</v>
      </c>
      <c r="GL41">
        <v>35.650399999999998</v>
      </c>
      <c r="GM41">
        <v>19.901299999999999</v>
      </c>
      <c r="GN41">
        <v>100</v>
      </c>
      <c r="GO41">
        <v>23.775099999999998</v>
      </c>
      <c r="GP41">
        <v>800</v>
      </c>
      <c r="GQ41">
        <v>18.726099999999999</v>
      </c>
      <c r="GR41">
        <v>99.707599999999999</v>
      </c>
      <c r="GS41">
        <v>99.365300000000005</v>
      </c>
    </row>
    <row r="42" spans="1:201" x14ac:dyDescent="0.25">
      <c r="A42">
        <v>26</v>
      </c>
      <c r="B42">
        <v>1690374136</v>
      </c>
      <c r="C42">
        <v>316.5</v>
      </c>
      <c r="D42" t="s">
        <v>385</v>
      </c>
      <c r="E42" t="s">
        <v>386</v>
      </c>
      <c r="F42" t="s">
        <v>330</v>
      </c>
      <c r="H42">
        <v>1690374136</v>
      </c>
      <c r="I42">
        <f t="shared" si="0"/>
        <v>5.3518847307915791E-4</v>
      </c>
      <c r="J42">
        <f t="shared" si="1"/>
        <v>0.53518847307915796</v>
      </c>
      <c r="K42">
        <f t="shared" si="2"/>
        <v>7.1487947100330818</v>
      </c>
      <c r="L42">
        <f t="shared" si="3"/>
        <v>724.77</v>
      </c>
      <c r="M42">
        <f t="shared" si="4"/>
        <v>384.35978917612545</v>
      </c>
      <c r="N42">
        <f t="shared" si="5"/>
        <v>37.978084489778652</v>
      </c>
      <c r="O42">
        <f t="shared" si="6"/>
        <v>71.613569032956008</v>
      </c>
      <c r="P42">
        <f t="shared" si="7"/>
        <v>3.5257245690927169E-2</v>
      </c>
      <c r="Q42">
        <f t="shared" si="8"/>
        <v>2.2441116734075646</v>
      </c>
      <c r="R42">
        <f t="shared" si="9"/>
        <v>3.4952381142653026E-2</v>
      </c>
      <c r="S42">
        <f t="shared" si="10"/>
        <v>2.1872409265194633E-2</v>
      </c>
      <c r="T42">
        <f t="shared" si="11"/>
        <v>276.11089904698383</v>
      </c>
      <c r="U42">
        <f t="shared" si="12"/>
        <v>28.164748047545963</v>
      </c>
      <c r="V42">
        <f t="shared" si="13"/>
        <v>28.164748047545963</v>
      </c>
      <c r="W42">
        <f t="shared" si="14"/>
        <v>3.8314393079522078</v>
      </c>
      <c r="X42">
        <f t="shared" si="15"/>
        <v>69.049737813012342</v>
      </c>
      <c r="Y42">
        <f t="shared" si="16"/>
        <v>2.3659343861728801</v>
      </c>
      <c r="Z42">
        <f t="shared" si="17"/>
        <v>3.4264205210740459</v>
      </c>
      <c r="AA42">
        <f t="shared" si="18"/>
        <v>1.4655049217793277</v>
      </c>
      <c r="AB42">
        <f t="shared" si="19"/>
        <v>-23.601811662790865</v>
      </c>
      <c r="AC42">
        <f t="shared" si="20"/>
        <v>-230.50557488287023</v>
      </c>
      <c r="AD42">
        <f t="shared" si="21"/>
        <v>-22.214535201555453</v>
      </c>
      <c r="AE42">
        <f t="shared" si="22"/>
        <v>-0.21102270023271785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52122.663453102417</v>
      </c>
      <c r="AK42">
        <f t="shared" si="26"/>
        <v>1799.97</v>
      </c>
      <c r="AL42">
        <f t="shared" si="27"/>
        <v>1499.0848260364799</v>
      </c>
      <c r="AM42">
        <f t="shared" si="28"/>
        <v>0.83283878399999989</v>
      </c>
      <c r="AN42">
        <f t="shared" si="29"/>
        <v>0.15339750054000001</v>
      </c>
      <c r="AO42">
        <v>30</v>
      </c>
      <c r="AP42">
        <v>0.5</v>
      </c>
      <c r="AQ42" t="s">
        <v>331</v>
      </c>
      <c r="AR42">
        <v>2</v>
      </c>
      <c r="AS42">
        <v>1690374136</v>
      </c>
      <c r="AT42">
        <v>724.77</v>
      </c>
      <c r="AU42">
        <v>800.11900000000003</v>
      </c>
      <c r="AV42">
        <v>23.944600000000001</v>
      </c>
      <c r="AW42">
        <v>18.722100000000001</v>
      </c>
      <c r="AX42">
        <v>726.08900000000006</v>
      </c>
      <c r="AY42">
        <v>23.761800000000001</v>
      </c>
      <c r="AZ42">
        <v>300.07100000000003</v>
      </c>
      <c r="BA42">
        <v>98.708699999999993</v>
      </c>
      <c r="BB42">
        <v>9.9982799999999997E-2</v>
      </c>
      <c r="BC42">
        <v>26.259499999999999</v>
      </c>
      <c r="BD42">
        <v>26.968</v>
      </c>
      <c r="BE42">
        <v>28.037800000000001</v>
      </c>
      <c r="BF42">
        <v>0</v>
      </c>
      <c r="BG42">
        <v>0</v>
      </c>
      <c r="BH42">
        <v>9960</v>
      </c>
      <c r="BI42">
        <v>1092.46</v>
      </c>
      <c r="BJ42">
        <v>1.1325400000000001</v>
      </c>
      <c r="BK42">
        <v>-75.349100000000007</v>
      </c>
      <c r="BL42">
        <v>742.55</v>
      </c>
      <c r="BM42">
        <v>815.38499999999999</v>
      </c>
      <c r="BN42">
        <v>5.22248</v>
      </c>
      <c r="BO42">
        <v>800.11900000000003</v>
      </c>
      <c r="BP42">
        <v>18.722100000000001</v>
      </c>
      <c r="BQ42">
        <v>2.36354</v>
      </c>
      <c r="BR42">
        <v>1.8480300000000001</v>
      </c>
      <c r="BS42">
        <v>20.116099999999999</v>
      </c>
      <c r="BT42">
        <v>16.199100000000001</v>
      </c>
      <c r="BU42">
        <v>1799.97</v>
      </c>
      <c r="BV42">
        <v>0.90998699999999999</v>
      </c>
      <c r="BW42">
        <v>3.4001400000000001E-2</v>
      </c>
      <c r="BX42">
        <v>2.2000200000000001E-2</v>
      </c>
      <c r="BY42">
        <v>3.4011399999999997E-2</v>
      </c>
      <c r="BZ42">
        <v>23</v>
      </c>
      <c r="CA42">
        <v>33527.800000000003</v>
      </c>
      <c r="CB42">
        <v>1690373417</v>
      </c>
      <c r="CC42" t="s">
        <v>332</v>
      </c>
      <c r="CD42">
        <v>1690373417</v>
      </c>
      <c r="CE42">
        <v>1690373415</v>
      </c>
      <c r="CF42">
        <v>1</v>
      </c>
      <c r="CG42">
        <v>-1.319</v>
      </c>
      <c r="CH42">
        <v>0.01</v>
      </c>
      <c r="CI42">
        <v>-1.371</v>
      </c>
      <c r="CJ42">
        <v>0.183</v>
      </c>
      <c r="CK42">
        <v>800</v>
      </c>
      <c r="CL42">
        <v>21</v>
      </c>
      <c r="CM42">
        <v>0.09</v>
      </c>
      <c r="CN42">
        <v>7.0000000000000007E-2</v>
      </c>
      <c r="CO42">
        <v>-70.499090243902458</v>
      </c>
      <c r="CP42">
        <v>-27.841304529616679</v>
      </c>
      <c r="CQ42">
        <v>2.7456012789244642</v>
      </c>
      <c r="CR42">
        <v>-1</v>
      </c>
      <c r="CS42">
        <v>5.0657282926829268</v>
      </c>
      <c r="CT42">
        <v>0.88464355400697026</v>
      </c>
      <c r="CU42">
        <v>8.7255686820120318E-2</v>
      </c>
      <c r="CV42">
        <v>-1</v>
      </c>
      <c r="CW42">
        <v>0</v>
      </c>
      <c r="CX42">
        <v>0</v>
      </c>
      <c r="CY42" t="s">
        <v>333</v>
      </c>
      <c r="CZ42">
        <v>2.3649100000000001</v>
      </c>
      <c r="DA42">
        <v>2.71374</v>
      </c>
      <c r="DB42">
        <v>0.13724600000000001</v>
      </c>
      <c r="DC42">
        <v>0.14612600000000001</v>
      </c>
      <c r="DD42">
        <v>0.113548</v>
      </c>
      <c r="DE42">
        <v>9.4023099999999998E-2</v>
      </c>
      <c r="DF42">
        <v>31498.799999999999</v>
      </c>
      <c r="DG42">
        <v>27476.5</v>
      </c>
      <c r="DH42">
        <v>31165.3</v>
      </c>
      <c r="DI42">
        <v>28036.2</v>
      </c>
      <c r="DJ42">
        <v>37498.6</v>
      </c>
      <c r="DK42">
        <v>36092.1</v>
      </c>
      <c r="DL42">
        <v>44344</v>
      </c>
      <c r="DM42">
        <v>42464.3</v>
      </c>
      <c r="DN42">
        <v>1.4712799999999999</v>
      </c>
      <c r="DO42">
        <v>2.0982699999999999</v>
      </c>
      <c r="DP42">
        <v>0.105821</v>
      </c>
      <c r="DQ42">
        <v>0.18033399999999999</v>
      </c>
      <c r="DR42">
        <v>25.2349</v>
      </c>
      <c r="DS42">
        <v>25.086500000000001</v>
      </c>
      <c r="DT42">
        <v>69.099999999999994</v>
      </c>
      <c r="DU42">
        <v>23.9</v>
      </c>
      <c r="DV42">
        <v>20.841699999999999</v>
      </c>
      <c r="DW42">
        <v>62.21</v>
      </c>
      <c r="DX42">
        <v>36.614600000000003</v>
      </c>
      <c r="DY42">
        <v>1</v>
      </c>
      <c r="DZ42">
        <v>-0.155196</v>
      </c>
      <c r="EA42">
        <v>0.49790899999999999</v>
      </c>
      <c r="EB42">
        <v>20.1904</v>
      </c>
      <c r="EC42">
        <v>5.2409499999999998</v>
      </c>
      <c r="ED42">
        <v>12.039899999999999</v>
      </c>
      <c r="EE42">
        <v>5.0168999999999997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1.86869</v>
      </c>
      <c r="EL42">
        <v>1.86432</v>
      </c>
      <c r="EM42">
        <v>1.8690500000000001</v>
      </c>
      <c r="EN42">
        <v>1.86707</v>
      </c>
      <c r="EO42">
        <v>1.8631599999999999</v>
      </c>
      <c r="EP42">
        <v>1.8641700000000001</v>
      </c>
      <c r="EQ42">
        <v>1.86998</v>
      </c>
      <c r="ER42">
        <v>1.8692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-1.319</v>
      </c>
      <c r="FG42">
        <v>0.18279999999999999</v>
      </c>
      <c r="FH42">
        <v>-0.81947142863283695</v>
      </c>
      <c r="FI42">
        <v>-6.1462078757559423E-4</v>
      </c>
      <c r="FJ42">
        <v>-1.8861989874597051E-7</v>
      </c>
      <c r="FK42">
        <v>1.1980462299894961E-10</v>
      </c>
      <c r="FL42">
        <v>0.18283500000000069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12</v>
      </c>
      <c r="FU42">
        <v>12</v>
      </c>
      <c r="FV42">
        <v>1.78223</v>
      </c>
      <c r="FW42">
        <v>2.5476100000000002</v>
      </c>
      <c r="FX42">
        <v>1.5490699999999999</v>
      </c>
      <c r="FY42">
        <v>2.34619</v>
      </c>
      <c r="FZ42">
        <v>1.50146</v>
      </c>
      <c r="GA42">
        <v>2.3791500000000001</v>
      </c>
      <c r="GB42">
        <v>29.665700000000001</v>
      </c>
      <c r="GC42">
        <v>23.982399999999998</v>
      </c>
      <c r="GD42">
        <v>19</v>
      </c>
      <c r="GE42">
        <v>277.041</v>
      </c>
      <c r="GF42">
        <v>624.702</v>
      </c>
      <c r="GG42">
        <v>23.802600000000002</v>
      </c>
      <c r="GH42">
        <v>25.5246</v>
      </c>
      <c r="GI42">
        <v>30.000299999999999</v>
      </c>
      <c r="GJ42">
        <v>25.4954</v>
      </c>
      <c r="GK42">
        <v>25.4161</v>
      </c>
      <c r="GL42">
        <v>35.640500000000003</v>
      </c>
      <c r="GM42">
        <v>21.120699999999999</v>
      </c>
      <c r="GN42">
        <v>100</v>
      </c>
      <c r="GO42">
        <v>23.841000000000001</v>
      </c>
      <c r="GP42">
        <v>800</v>
      </c>
      <c r="GQ42">
        <v>18.5258</v>
      </c>
      <c r="GR42">
        <v>99.706100000000006</v>
      </c>
      <c r="GS42">
        <v>99.365600000000001</v>
      </c>
    </row>
    <row r="43" spans="1:201" x14ac:dyDescent="0.25">
      <c r="A43">
        <v>27</v>
      </c>
      <c r="B43">
        <v>1690374146</v>
      </c>
      <c r="C43">
        <v>326.5</v>
      </c>
      <c r="D43" t="s">
        <v>387</v>
      </c>
      <c r="E43" t="s">
        <v>388</v>
      </c>
      <c r="F43" t="s">
        <v>330</v>
      </c>
      <c r="H43">
        <v>1690374146</v>
      </c>
      <c r="I43">
        <f t="shared" si="0"/>
        <v>5.5388600880471842E-4</v>
      </c>
      <c r="J43">
        <f t="shared" si="1"/>
        <v>0.55388600880471839</v>
      </c>
      <c r="K43">
        <f t="shared" si="2"/>
        <v>7.5785741247785205</v>
      </c>
      <c r="L43">
        <f t="shared" si="3"/>
        <v>720.31100000000004</v>
      </c>
      <c r="M43">
        <f t="shared" si="4"/>
        <v>372.74457347785358</v>
      </c>
      <c r="N43">
        <f t="shared" si="5"/>
        <v>36.829590799529846</v>
      </c>
      <c r="O43">
        <f t="shared" si="6"/>
        <v>71.171416744921004</v>
      </c>
      <c r="P43">
        <f t="shared" si="7"/>
        <v>3.6561014020244767E-2</v>
      </c>
      <c r="Q43">
        <f t="shared" si="8"/>
        <v>2.2521399320390167</v>
      </c>
      <c r="R43">
        <f t="shared" si="9"/>
        <v>3.6234455601992482E-2</v>
      </c>
      <c r="S43">
        <f t="shared" si="10"/>
        <v>2.2675631527874388E-2</v>
      </c>
      <c r="T43">
        <f t="shared" si="11"/>
        <v>276.10989093778591</v>
      </c>
      <c r="U43">
        <f t="shared" si="12"/>
        <v>28.138160798864288</v>
      </c>
      <c r="V43">
        <f t="shared" si="13"/>
        <v>28.138160798864288</v>
      </c>
      <c r="W43">
        <f t="shared" si="14"/>
        <v>3.8255120583008955</v>
      </c>
      <c r="X43">
        <f t="shared" si="15"/>
        <v>69.005428990761018</v>
      </c>
      <c r="Y43">
        <f t="shared" si="16"/>
        <v>2.3624340360567002</v>
      </c>
      <c r="Z43">
        <f t="shared" si="17"/>
        <v>3.4235480752869476</v>
      </c>
      <c r="AA43">
        <f t="shared" si="18"/>
        <v>1.4630780222441953</v>
      </c>
      <c r="AB43">
        <f t="shared" si="19"/>
        <v>-24.426372988288083</v>
      </c>
      <c r="AC43">
        <f t="shared" si="20"/>
        <v>-229.82617621893053</v>
      </c>
      <c r="AD43">
        <f t="shared" si="21"/>
        <v>-22.065603895522624</v>
      </c>
      <c r="AE43">
        <f t="shared" si="22"/>
        <v>-0.2082621649553289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52437.771999293604</v>
      </c>
      <c r="AK43">
        <f t="shared" si="26"/>
        <v>1799.97</v>
      </c>
      <c r="AL43">
        <f t="shared" si="27"/>
        <v>1499.08812538149</v>
      </c>
      <c r="AM43">
        <f t="shared" si="28"/>
        <v>0.83284061700000001</v>
      </c>
      <c r="AN43">
        <f t="shared" si="29"/>
        <v>0.15339694046999999</v>
      </c>
      <c r="AO43">
        <v>30</v>
      </c>
      <c r="AP43">
        <v>0.5</v>
      </c>
      <c r="AQ43" t="s">
        <v>331</v>
      </c>
      <c r="AR43">
        <v>2</v>
      </c>
      <c r="AS43">
        <v>1690374146</v>
      </c>
      <c r="AT43">
        <v>720.31100000000004</v>
      </c>
      <c r="AU43">
        <v>800.05799999999999</v>
      </c>
      <c r="AV43">
        <v>23.909700000000001</v>
      </c>
      <c r="AW43">
        <v>18.505199999999999</v>
      </c>
      <c r="AX43">
        <v>721.62699999999995</v>
      </c>
      <c r="AY43">
        <v>23.726900000000001</v>
      </c>
      <c r="AZ43">
        <v>300.10700000000003</v>
      </c>
      <c r="BA43">
        <v>98.706599999999995</v>
      </c>
      <c r="BB43">
        <v>9.9911E-2</v>
      </c>
      <c r="BC43">
        <v>26.2453</v>
      </c>
      <c r="BD43">
        <v>26.963200000000001</v>
      </c>
      <c r="BE43">
        <v>28.035799999999998</v>
      </c>
      <c r="BF43">
        <v>0</v>
      </c>
      <c r="BG43">
        <v>0</v>
      </c>
      <c r="BH43">
        <v>10022.5</v>
      </c>
      <c r="BI43">
        <v>1091.45</v>
      </c>
      <c r="BJ43">
        <v>1.22224</v>
      </c>
      <c r="BK43">
        <v>-79.746799999999993</v>
      </c>
      <c r="BL43">
        <v>737.95500000000004</v>
      </c>
      <c r="BM43">
        <v>815.14200000000005</v>
      </c>
      <c r="BN43">
        <v>5.4045300000000003</v>
      </c>
      <c r="BO43">
        <v>800.05799999999999</v>
      </c>
      <c r="BP43">
        <v>18.505199999999999</v>
      </c>
      <c r="BQ43">
        <v>2.3600400000000001</v>
      </c>
      <c r="BR43">
        <v>1.8265800000000001</v>
      </c>
      <c r="BS43">
        <v>20.092199999999998</v>
      </c>
      <c r="BT43">
        <v>16.016100000000002</v>
      </c>
      <c r="BU43">
        <v>1799.97</v>
      </c>
      <c r="BV43">
        <v>0.91000999999999999</v>
      </c>
      <c r="BW43">
        <v>3.3992700000000001E-2</v>
      </c>
      <c r="BX43">
        <v>2.19946E-2</v>
      </c>
      <c r="BY43">
        <v>3.4002699999999997E-2</v>
      </c>
      <c r="BZ43">
        <v>23</v>
      </c>
      <c r="CA43">
        <v>33528</v>
      </c>
      <c r="CB43">
        <v>1690373417</v>
      </c>
      <c r="CC43" t="s">
        <v>332</v>
      </c>
      <c r="CD43">
        <v>1690373417</v>
      </c>
      <c r="CE43">
        <v>1690373415</v>
      </c>
      <c r="CF43">
        <v>1</v>
      </c>
      <c r="CG43">
        <v>-1.319</v>
      </c>
      <c r="CH43">
        <v>0.01</v>
      </c>
      <c r="CI43">
        <v>-1.371</v>
      </c>
      <c r="CJ43">
        <v>0.183</v>
      </c>
      <c r="CK43">
        <v>800</v>
      </c>
      <c r="CL43">
        <v>21</v>
      </c>
      <c r="CM43">
        <v>0.09</v>
      </c>
      <c r="CN43">
        <v>7.0000000000000007E-2</v>
      </c>
      <c r="CO43">
        <v>-74.652129268292683</v>
      </c>
      <c r="CP43">
        <v>-27.260795121951361</v>
      </c>
      <c r="CQ43">
        <v>2.6881158588964649</v>
      </c>
      <c r="CR43">
        <v>-1</v>
      </c>
      <c r="CS43">
        <v>5.2051121951219512</v>
      </c>
      <c r="CT43">
        <v>0.98027017421602891</v>
      </c>
      <c r="CU43">
        <v>9.6748960705634823E-2</v>
      </c>
      <c r="CV43">
        <v>-1</v>
      </c>
      <c r="CW43">
        <v>0</v>
      </c>
      <c r="CX43">
        <v>0</v>
      </c>
      <c r="CY43" t="s">
        <v>333</v>
      </c>
      <c r="CZ43">
        <v>2.3650199999999999</v>
      </c>
      <c r="DA43">
        <v>2.7137199999999999</v>
      </c>
      <c r="DB43">
        <v>0.13666700000000001</v>
      </c>
      <c r="DC43">
        <v>0.14610899999999999</v>
      </c>
      <c r="DD43">
        <v>0.113427</v>
      </c>
      <c r="DE43">
        <v>9.3239799999999998E-2</v>
      </c>
      <c r="DF43">
        <v>31520.400000000001</v>
      </c>
      <c r="DG43">
        <v>27477</v>
      </c>
      <c r="DH43">
        <v>31165.7</v>
      </c>
      <c r="DI43">
        <v>28036.1</v>
      </c>
      <c r="DJ43">
        <v>37504.199999999997</v>
      </c>
      <c r="DK43">
        <v>36123.5</v>
      </c>
      <c r="DL43">
        <v>44344.6</v>
      </c>
      <c r="DM43">
        <v>42464.4</v>
      </c>
      <c r="DN43">
        <v>1.4715199999999999</v>
      </c>
      <c r="DO43">
        <v>2.0979800000000002</v>
      </c>
      <c r="DP43">
        <v>0.106432</v>
      </c>
      <c r="DQ43">
        <v>0.181146</v>
      </c>
      <c r="DR43">
        <v>25.22</v>
      </c>
      <c r="DS43">
        <v>25.071200000000001</v>
      </c>
      <c r="DT43">
        <v>69.099999999999994</v>
      </c>
      <c r="DU43">
        <v>23.9</v>
      </c>
      <c r="DV43">
        <v>20.840599999999998</v>
      </c>
      <c r="DW43">
        <v>61.69</v>
      </c>
      <c r="DX43">
        <v>36.470399999999998</v>
      </c>
      <c r="DY43">
        <v>1</v>
      </c>
      <c r="DZ43">
        <v>-0.15467500000000001</v>
      </c>
      <c r="EA43">
        <v>0.44774799999999998</v>
      </c>
      <c r="EB43">
        <v>20.1905</v>
      </c>
      <c r="EC43">
        <v>5.2411000000000003</v>
      </c>
      <c r="ED43">
        <v>12.039899999999999</v>
      </c>
      <c r="EE43">
        <v>5.0169499999999996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1.8687100000000001</v>
      </c>
      <c r="EL43">
        <v>1.86432</v>
      </c>
      <c r="EM43">
        <v>1.8690500000000001</v>
      </c>
      <c r="EN43">
        <v>1.86707</v>
      </c>
      <c r="EO43">
        <v>1.8631800000000001</v>
      </c>
      <c r="EP43">
        <v>1.8641700000000001</v>
      </c>
      <c r="EQ43">
        <v>1.86998</v>
      </c>
      <c r="ER43">
        <v>1.8692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-1.3160000000000001</v>
      </c>
      <c r="FG43">
        <v>0.18279999999999999</v>
      </c>
      <c r="FH43">
        <v>-0.81947142863283695</v>
      </c>
      <c r="FI43">
        <v>-6.1462078757559423E-4</v>
      </c>
      <c r="FJ43">
        <v>-1.8861989874597051E-7</v>
      </c>
      <c r="FK43">
        <v>1.1980462299894961E-10</v>
      </c>
      <c r="FL43">
        <v>0.18283500000000069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12.2</v>
      </c>
      <c r="FU43">
        <v>12.2</v>
      </c>
      <c r="FV43">
        <v>1.78223</v>
      </c>
      <c r="FW43">
        <v>2.5427200000000001</v>
      </c>
      <c r="FX43">
        <v>1.5490699999999999</v>
      </c>
      <c r="FY43">
        <v>2.34619</v>
      </c>
      <c r="FZ43">
        <v>1.50146</v>
      </c>
      <c r="GA43">
        <v>2.3791500000000001</v>
      </c>
      <c r="GB43">
        <v>29.687000000000001</v>
      </c>
      <c r="GC43">
        <v>23.991199999999999</v>
      </c>
      <c r="GD43">
        <v>19</v>
      </c>
      <c r="GE43">
        <v>277.17399999999998</v>
      </c>
      <c r="GF43">
        <v>624.52</v>
      </c>
      <c r="GG43">
        <v>23.866399999999999</v>
      </c>
      <c r="GH43">
        <v>25.526800000000001</v>
      </c>
      <c r="GI43">
        <v>30.000399999999999</v>
      </c>
      <c r="GJ43">
        <v>25.501799999999999</v>
      </c>
      <c r="GK43">
        <v>25.422499999999999</v>
      </c>
      <c r="GL43">
        <v>35.636099999999999</v>
      </c>
      <c r="GM43">
        <v>22.0474</v>
      </c>
      <c r="GN43">
        <v>100</v>
      </c>
      <c r="GO43">
        <v>23.883099999999999</v>
      </c>
      <c r="GP43">
        <v>800</v>
      </c>
      <c r="GQ43">
        <v>18.318000000000001</v>
      </c>
      <c r="GR43">
        <v>99.707499999999996</v>
      </c>
      <c r="GS43">
        <v>99.365700000000004</v>
      </c>
    </row>
    <row r="44" spans="1:201" x14ac:dyDescent="0.25">
      <c r="A44">
        <v>28</v>
      </c>
      <c r="B44">
        <v>1690374156</v>
      </c>
      <c r="C44">
        <v>336.5</v>
      </c>
      <c r="D44" t="s">
        <v>389</v>
      </c>
      <c r="E44" t="s">
        <v>390</v>
      </c>
      <c r="F44" t="s">
        <v>330</v>
      </c>
      <c r="H44">
        <v>1690374156</v>
      </c>
      <c r="I44">
        <f t="shared" si="0"/>
        <v>5.7145444571294766E-4</v>
      </c>
      <c r="J44">
        <f t="shared" si="1"/>
        <v>0.57145444571294768</v>
      </c>
      <c r="K44">
        <f t="shared" si="2"/>
        <v>8.0128646446785385</v>
      </c>
      <c r="L44">
        <f t="shared" si="3"/>
        <v>715.90800000000002</v>
      </c>
      <c r="M44">
        <f t="shared" si="4"/>
        <v>359.75574824642393</v>
      </c>
      <c r="N44">
        <f t="shared" si="5"/>
        <v>35.547036655377241</v>
      </c>
      <c r="O44">
        <f t="shared" si="6"/>
        <v>70.738016117663989</v>
      </c>
      <c r="P44">
        <f t="shared" si="7"/>
        <v>3.76759265653532E-2</v>
      </c>
      <c r="Q44">
        <f t="shared" si="8"/>
        <v>2.2487903228753932</v>
      </c>
      <c r="R44">
        <f t="shared" si="9"/>
        <v>3.7328738589216363E-2</v>
      </c>
      <c r="S44">
        <f t="shared" si="10"/>
        <v>2.3361388336663326E-2</v>
      </c>
      <c r="T44">
        <f t="shared" si="11"/>
        <v>276.11228857359418</v>
      </c>
      <c r="U44">
        <f t="shared" si="12"/>
        <v>28.13152391826619</v>
      </c>
      <c r="V44">
        <f t="shared" si="13"/>
        <v>28.13152391826619</v>
      </c>
      <c r="W44">
        <f t="shared" si="14"/>
        <v>3.8240337082431397</v>
      </c>
      <c r="X44">
        <f t="shared" si="15"/>
        <v>68.910908266930136</v>
      </c>
      <c r="Y44">
        <f t="shared" si="16"/>
        <v>2.3587243410527998</v>
      </c>
      <c r="Z44">
        <f t="shared" si="17"/>
        <v>3.4228606186935648</v>
      </c>
      <c r="AA44">
        <f t="shared" si="18"/>
        <v>1.4653093671903399</v>
      </c>
      <c r="AB44">
        <f t="shared" si="19"/>
        <v>-25.20114105594099</v>
      </c>
      <c r="AC44">
        <f t="shared" si="20"/>
        <v>-229.09192660627613</v>
      </c>
      <c r="AD44">
        <f t="shared" si="21"/>
        <v>-22.026765207766882</v>
      </c>
      <c r="AE44">
        <f t="shared" si="22"/>
        <v>-0.20754429638981264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52307.829316474323</v>
      </c>
      <c r="AK44">
        <f t="shared" si="26"/>
        <v>1799.98</v>
      </c>
      <c r="AL44">
        <f t="shared" si="27"/>
        <v>1499.0953953994199</v>
      </c>
      <c r="AM44">
        <f t="shared" si="28"/>
        <v>0.83284002899999998</v>
      </c>
      <c r="AN44">
        <f t="shared" si="29"/>
        <v>0.15339742029</v>
      </c>
      <c r="AO44">
        <v>30</v>
      </c>
      <c r="AP44">
        <v>0.5</v>
      </c>
      <c r="AQ44" t="s">
        <v>331</v>
      </c>
      <c r="AR44">
        <v>2</v>
      </c>
      <c r="AS44">
        <v>1690374156</v>
      </c>
      <c r="AT44">
        <v>715.90800000000002</v>
      </c>
      <c r="AU44">
        <v>800.08199999999999</v>
      </c>
      <c r="AV44">
        <v>23.871600000000001</v>
      </c>
      <c r="AW44">
        <v>18.296500000000002</v>
      </c>
      <c r="AX44">
        <v>717.221</v>
      </c>
      <c r="AY44">
        <v>23.688700000000001</v>
      </c>
      <c r="AZ44">
        <v>300.16300000000001</v>
      </c>
      <c r="BA44">
        <v>98.708799999999997</v>
      </c>
      <c r="BB44">
        <v>0.100008</v>
      </c>
      <c r="BC44">
        <v>26.241900000000001</v>
      </c>
      <c r="BD44">
        <v>26.944600000000001</v>
      </c>
      <c r="BE44">
        <v>28.0291</v>
      </c>
      <c r="BF44">
        <v>0</v>
      </c>
      <c r="BG44">
        <v>0</v>
      </c>
      <c r="BH44">
        <v>9996.25</v>
      </c>
      <c r="BI44">
        <v>1090.6400000000001</v>
      </c>
      <c r="BJ44">
        <v>1.2334499999999999</v>
      </c>
      <c r="BK44">
        <v>-84.174199999999999</v>
      </c>
      <c r="BL44">
        <v>733.41600000000005</v>
      </c>
      <c r="BM44">
        <v>814.99400000000003</v>
      </c>
      <c r="BN44">
        <v>5.5750999999999999</v>
      </c>
      <c r="BO44">
        <v>800.08199999999999</v>
      </c>
      <c r="BP44">
        <v>18.296500000000002</v>
      </c>
      <c r="BQ44">
        <v>2.3563399999999999</v>
      </c>
      <c r="BR44">
        <v>1.80602</v>
      </c>
      <c r="BS44">
        <v>20.066800000000001</v>
      </c>
      <c r="BT44">
        <v>15.839</v>
      </c>
      <c r="BU44">
        <v>1799.98</v>
      </c>
      <c r="BV44">
        <v>0.91000099999999995</v>
      </c>
      <c r="BW44">
        <v>3.4005300000000002E-2</v>
      </c>
      <c r="BX44">
        <v>2.19992E-2</v>
      </c>
      <c r="BY44">
        <v>3.3994900000000002E-2</v>
      </c>
      <c r="BZ44">
        <v>23</v>
      </c>
      <c r="CA44">
        <v>33528</v>
      </c>
      <c r="CB44">
        <v>1690373417</v>
      </c>
      <c r="CC44" t="s">
        <v>332</v>
      </c>
      <c r="CD44">
        <v>1690373417</v>
      </c>
      <c r="CE44">
        <v>1690373415</v>
      </c>
      <c r="CF44">
        <v>1</v>
      </c>
      <c r="CG44">
        <v>-1.319</v>
      </c>
      <c r="CH44">
        <v>0.01</v>
      </c>
      <c r="CI44">
        <v>-1.371</v>
      </c>
      <c r="CJ44">
        <v>0.183</v>
      </c>
      <c r="CK44">
        <v>800</v>
      </c>
      <c r="CL44">
        <v>21</v>
      </c>
      <c r="CM44">
        <v>0.09</v>
      </c>
      <c r="CN44">
        <v>7.0000000000000007E-2</v>
      </c>
      <c r="CO44">
        <v>-79.475897500000002</v>
      </c>
      <c r="CP44">
        <v>-26.60977598499046</v>
      </c>
      <c r="CQ44">
        <v>2.5600496148011951</v>
      </c>
      <c r="CR44">
        <v>-1</v>
      </c>
      <c r="CS44">
        <v>5.3910970000000002</v>
      </c>
      <c r="CT44">
        <v>1.1092772983114489</v>
      </c>
      <c r="CU44">
        <v>0.1067960716786905</v>
      </c>
      <c r="CV44">
        <v>-1</v>
      </c>
      <c r="CW44">
        <v>0</v>
      </c>
      <c r="CX44">
        <v>0</v>
      </c>
      <c r="CY44" t="s">
        <v>333</v>
      </c>
      <c r="CZ44">
        <v>2.3651599999999999</v>
      </c>
      <c r="DA44">
        <v>2.7138</v>
      </c>
      <c r="DB44">
        <v>0.1361</v>
      </c>
      <c r="DC44">
        <v>0.14610899999999999</v>
      </c>
      <c r="DD44">
        <v>0.1133</v>
      </c>
      <c r="DE44">
        <v>9.2486700000000005E-2</v>
      </c>
      <c r="DF44">
        <v>31541.1</v>
      </c>
      <c r="DG44">
        <v>27477</v>
      </c>
      <c r="DH44">
        <v>31165.8</v>
      </c>
      <c r="DI44">
        <v>28036.2</v>
      </c>
      <c r="DJ44">
        <v>37509.599999999999</v>
      </c>
      <c r="DK44">
        <v>36153.599999999999</v>
      </c>
      <c r="DL44">
        <v>44344.6</v>
      </c>
      <c r="DM44">
        <v>42464.5</v>
      </c>
      <c r="DN44">
        <v>1.4717</v>
      </c>
      <c r="DO44">
        <v>2.0969500000000001</v>
      </c>
      <c r="DP44">
        <v>0.10613400000000001</v>
      </c>
      <c r="DQ44">
        <v>0.18146599999999999</v>
      </c>
      <c r="DR44">
        <v>25.206299999999999</v>
      </c>
      <c r="DS44">
        <v>25.059200000000001</v>
      </c>
      <c r="DT44">
        <v>69</v>
      </c>
      <c r="DU44">
        <v>24</v>
      </c>
      <c r="DV44">
        <v>20.933900000000001</v>
      </c>
      <c r="DW44">
        <v>62.16</v>
      </c>
      <c r="DX44">
        <v>35.572899999999997</v>
      </c>
      <c r="DY44">
        <v>1</v>
      </c>
      <c r="DZ44">
        <v>-0.15438499999999999</v>
      </c>
      <c r="EA44">
        <v>0.31372299999999997</v>
      </c>
      <c r="EB44">
        <v>20.190999999999999</v>
      </c>
      <c r="EC44">
        <v>5.2411000000000003</v>
      </c>
      <c r="ED44">
        <v>12.039899999999999</v>
      </c>
      <c r="EE44">
        <v>5.0167999999999999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1.8686700000000001</v>
      </c>
      <c r="EL44">
        <v>1.86432</v>
      </c>
      <c r="EM44">
        <v>1.8690500000000001</v>
      </c>
      <c r="EN44">
        <v>1.86707</v>
      </c>
      <c r="EO44">
        <v>1.8631899999999999</v>
      </c>
      <c r="EP44">
        <v>1.8641700000000001</v>
      </c>
      <c r="EQ44">
        <v>1.86998</v>
      </c>
      <c r="ER44">
        <v>1.8692200000000001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-1.3129999999999999</v>
      </c>
      <c r="FG44">
        <v>0.18290000000000001</v>
      </c>
      <c r="FH44">
        <v>-0.81947142863283695</v>
      </c>
      <c r="FI44">
        <v>-6.1462078757559423E-4</v>
      </c>
      <c r="FJ44">
        <v>-1.8861989874597051E-7</v>
      </c>
      <c r="FK44">
        <v>1.1980462299894961E-10</v>
      </c>
      <c r="FL44">
        <v>0.18283500000000069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12.3</v>
      </c>
      <c r="FU44">
        <v>12.3</v>
      </c>
      <c r="FV44">
        <v>1.78223</v>
      </c>
      <c r="FW44">
        <v>2.5476100000000002</v>
      </c>
      <c r="FX44">
        <v>1.5490699999999999</v>
      </c>
      <c r="FY44">
        <v>2.34497</v>
      </c>
      <c r="FZ44">
        <v>1.50146</v>
      </c>
      <c r="GA44">
        <v>2.2656200000000002</v>
      </c>
      <c r="GB44">
        <v>29.708300000000001</v>
      </c>
      <c r="GC44">
        <v>23.982399999999998</v>
      </c>
      <c r="GD44">
        <v>19</v>
      </c>
      <c r="GE44">
        <v>277.26799999999997</v>
      </c>
      <c r="GF44">
        <v>623.702</v>
      </c>
      <c r="GG44">
        <v>23.920400000000001</v>
      </c>
      <c r="GH44">
        <v>25.5289</v>
      </c>
      <c r="GI44">
        <v>30.000299999999999</v>
      </c>
      <c r="GJ44">
        <v>25.506599999999999</v>
      </c>
      <c r="GK44">
        <v>25.4283</v>
      </c>
      <c r="GL44">
        <v>35.630299999999998</v>
      </c>
      <c r="GM44">
        <v>22.946100000000001</v>
      </c>
      <c r="GN44">
        <v>100</v>
      </c>
      <c r="GO44">
        <v>23.9833</v>
      </c>
      <c r="GP44">
        <v>800</v>
      </c>
      <c r="GQ44">
        <v>18.1203</v>
      </c>
      <c r="GR44">
        <v>99.707599999999999</v>
      </c>
      <c r="GS44">
        <v>99.365899999999996</v>
      </c>
    </row>
    <row r="45" spans="1:201" x14ac:dyDescent="0.25">
      <c r="A45">
        <v>29</v>
      </c>
      <c r="B45">
        <v>1690374166</v>
      </c>
      <c r="C45">
        <v>346.5</v>
      </c>
      <c r="D45" t="s">
        <v>391</v>
      </c>
      <c r="E45" t="s">
        <v>392</v>
      </c>
      <c r="F45" t="s">
        <v>330</v>
      </c>
      <c r="H45">
        <v>1690374166</v>
      </c>
      <c r="I45">
        <f t="shared" si="0"/>
        <v>5.887786023837982E-4</v>
      </c>
      <c r="J45">
        <f t="shared" si="1"/>
        <v>0.5887786023837982</v>
      </c>
      <c r="K45">
        <f t="shared" si="2"/>
        <v>8.4278505990563453</v>
      </c>
      <c r="L45">
        <f t="shared" si="3"/>
        <v>711.65200000000004</v>
      </c>
      <c r="M45">
        <f t="shared" si="4"/>
        <v>348.22884632596941</v>
      </c>
      <c r="N45">
        <f t="shared" si="5"/>
        <v>34.408910876542322</v>
      </c>
      <c r="O45">
        <f t="shared" si="6"/>
        <v>70.319189525704019</v>
      </c>
      <c r="P45">
        <f t="shared" si="7"/>
        <v>3.8793650870851716E-2</v>
      </c>
      <c r="Q45">
        <f t="shared" si="8"/>
        <v>2.2479362672706555</v>
      </c>
      <c r="R45">
        <f t="shared" si="9"/>
        <v>3.8425527576888566E-2</v>
      </c>
      <c r="S45">
        <f t="shared" si="10"/>
        <v>2.4048737930968699E-2</v>
      </c>
      <c r="T45">
        <f t="shared" si="11"/>
        <v>276.11290044079561</v>
      </c>
      <c r="U45">
        <f t="shared" si="12"/>
        <v>28.125629631711487</v>
      </c>
      <c r="V45">
        <f t="shared" si="13"/>
        <v>28.125629631711487</v>
      </c>
      <c r="W45">
        <f t="shared" si="14"/>
        <v>3.8227211872123235</v>
      </c>
      <c r="X45">
        <f t="shared" si="15"/>
        <v>68.835000022618431</v>
      </c>
      <c r="Y45">
        <f t="shared" si="16"/>
        <v>2.3560147760071999</v>
      </c>
      <c r="Z45">
        <f t="shared" si="17"/>
        <v>3.4226988817215647</v>
      </c>
      <c r="AA45">
        <f t="shared" si="18"/>
        <v>1.4667064112051236</v>
      </c>
      <c r="AB45">
        <f t="shared" si="19"/>
        <v>-25.965136365125502</v>
      </c>
      <c r="AC45">
        <f t="shared" si="20"/>
        <v>-228.38754069648846</v>
      </c>
      <c r="AD45">
        <f t="shared" si="21"/>
        <v>-21.96664669408576</v>
      </c>
      <c r="AE45">
        <f t="shared" si="22"/>
        <v>-0.20642331490412857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52274.753707246178</v>
      </c>
      <c r="AK45">
        <f t="shared" si="26"/>
        <v>1799.98</v>
      </c>
      <c r="AL45">
        <f t="shared" si="27"/>
        <v>1499.0988027615601</v>
      </c>
      <c r="AM45">
        <f t="shared" si="28"/>
        <v>0.83284192200000007</v>
      </c>
      <c r="AN45">
        <f t="shared" si="29"/>
        <v>0.15339776022000001</v>
      </c>
      <c r="AO45">
        <v>30</v>
      </c>
      <c r="AP45">
        <v>0.5</v>
      </c>
      <c r="AQ45" t="s">
        <v>331</v>
      </c>
      <c r="AR45">
        <v>2</v>
      </c>
      <c r="AS45">
        <v>1690374166</v>
      </c>
      <c r="AT45">
        <v>711.65200000000004</v>
      </c>
      <c r="AU45">
        <v>800.07899999999995</v>
      </c>
      <c r="AV45">
        <v>23.843599999999999</v>
      </c>
      <c r="AW45">
        <v>18.0989</v>
      </c>
      <c r="AX45">
        <v>712.96299999999997</v>
      </c>
      <c r="AY45">
        <v>23.660799999999998</v>
      </c>
      <c r="AZ45">
        <v>300.14100000000002</v>
      </c>
      <c r="BA45">
        <v>98.711200000000005</v>
      </c>
      <c r="BB45">
        <v>0.10000199999999999</v>
      </c>
      <c r="BC45">
        <v>26.241099999999999</v>
      </c>
      <c r="BD45">
        <v>26.9237</v>
      </c>
      <c r="BE45">
        <v>28.004300000000001</v>
      </c>
      <c r="BF45">
        <v>0</v>
      </c>
      <c r="BG45">
        <v>0</v>
      </c>
      <c r="BH45">
        <v>9989.3799999999992</v>
      </c>
      <c r="BI45">
        <v>1089.82</v>
      </c>
      <c r="BJ45">
        <v>1.2642899999999999</v>
      </c>
      <c r="BK45">
        <v>-88.427000000000007</v>
      </c>
      <c r="BL45">
        <v>729.03499999999997</v>
      </c>
      <c r="BM45">
        <v>814.827</v>
      </c>
      <c r="BN45">
        <v>5.7447400000000002</v>
      </c>
      <c r="BO45">
        <v>800.07899999999995</v>
      </c>
      <c r="BP45">
        <v>18.0989</v>
      </c>
      <c r="BQ45">
        <v>2.3536299999999999</v>
      </c>
      <c r="BR45">
        <v>1.7865599999999999</v>
      </c>
      <c r="BS45">
        <v>20.048200000000001</v>
      </c>
      <c r="BT45">
        <v>15.669700000000001</v>
      </c>
      <c r="BU45">
        <v>1799.98</v>
      </c>
      <c r="BV45">
        <v>0.91000999999999999</v>
      </c>
      <c r="BW45">
        <v>3.39975E-2</v>
      </c>
      <c r="BX45">
        <v>2.20056E-2</v>
      </c>
      <c r="BY45">
        <v>3.3987200000000002E-2</v>
      </c>
      <c r="BZ45">
        <v>23.375</v>
      </c>
      <c r="CA45">
        <v>33527.9</v>
      </c>
      <c r="CB45">
        <v>1690373417</v>
      </c>
      <c r="CC45" t="s">
        <v>332</v>
      </c>
      <c r="CD45">
        <v>1690373417</v>
      </c>
      <c r="CE45">
        <v>1690373415</v>
      </c>
      <c r="CF45">
        <v>1</v>
      </c>
      <c r="CG45">
        <v>-1.319</v>
      </c>
      <c r="CH45">
        <v>0.01</v>
      </c>
      <c r="CI45">
        <v>-1.371</v>
      </c>
      <c r="CJ45">
        <v>0.183</v>
      </c>
      <c r="CK45">
        <v>800</v>
      </c>
      <c r="CL45">
        <v>21</v>
      </c>
      <c r="CM45">
        <v>0.09</v>
      </c>
      <c r="CN45">
        <v>7.0000000000000007E-2</v>
      </c>
      <c r="CO45">
        <v>-83.49530731707317</v>
      </c>
      <c r="CP45">
        <v>-25.833286411149881</v>
      </c>
      <c r="CQ45">
        <v>2.5479984469297108</v>
      </c>
      <c r="CR45">
        <v>-1</v>
      </c>
      <c r="CS45">
        <v>5.5501097560975614</v>
      </c>
      <c r="CT45">
        <v>0.99225219512195006</v>
      </c>
      <c r="CU45">
        <v>9.8138608858700391E-2</v>
      </c>
      <c r="CV45">
        <v>-1</v>
      </c>
      <c r="CW45">
        <v>0</v>
      </c>
      <c r="CX45">
        <v>0</v>
      </c>
      <c r="CY45" t="s">
        <v>333</v>
      </c>
      <c r="CZ45">
        <v>2.3650799999999998</v>
      </c>
      <c r="DA45">
        <v>2.7137799999999999</v>
      </c>
      <c r="DB45">
        <v>0.13555</v>
      </c>
      <c r="DC45">
        <v>0.14610699999999999</v>
      </c>
      <c r="DD45">
        <v>0.113208</v>
      </c>
      <c r="DE45">
        <v>9.1770699999999997E-2</v>
      </c>
      <c r="DF45">
        <v>31561.1</v>
      </c>
      <c r="DG45">
        <v>27477</v>
      </c>
      <c r="DH45">
        <v>31165.7</v>
      </c>
      <c r="DI45">
        <v>28036.1</v>
      </c>
      <c r="DJ45">
        <v>37513.599999999999</v>
      </c>
      <c r="DK45">
        <v>36182.199999999997</v>
      </c>
      <c r="DL45">
        <v>44344.7</v>
      </c>
      <c r="DM45">
        <v>42464.5</v>
      </c>
      <c r="DN45">
        <v>1.47177</v>
      </c>
      <c r="DO45">
        <v>2.09707</v>
      </c>
      <c r="DP45">
        <v>0.10563400000000001</v>
      </c>
      <c r="DQ45">
        <v>0.18052799999999999</v>
      </c>
      <c r="DR45">
        <v>25.1935</v>
      </c>
      <c r="DS45">
        <v>25.049700000000001</v>
      </c>
      <c r="DT45">
        <v>69</v>
      </c>
      <c r="DU45">
        <v>24</v>
      </c>
      <c r="DV45">
        <v>20.931799999999999</v>
      </c>
      <c r="DW45">
        <v>62.36</v>
      </c>
      <c r="DX45">
        <v>35.901400000000002</v>
      </c>
      <c r="DY45">
        <v>1</v>
      </c>
      <c r="DZ45">
        <v>-0.15492600000000001</v>
      </c>
      <c r="EA45">
        <v>0.19170799999999999</v>
      </c>
      <c r="EB45">
        <v>20.191700000000001</v>
      </c>
      <c r="EC45">
        <v>5.2413999999999996</v>
      </c>
      <c r="ED45">
        <v>12.039899999999999</v>
      </c>
      <c r="EE45">
        <v>5.0164999999999997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1.86873</v>
      </c>
      <c r="EL45">
        <v>1.86433</v>
      </c>
      <c r="EM45">
        <v>1.8690500000000001</v>
      </c>
      <c r="EN45">
        <v>1.86707</v>
      </c>
      <c r="EO45">
        <v>1.8632</v>
      </c>
      <c r="EP45">
        <v>1.8641700000000001</v>
      </c>
      <c r="EQ45">
        <v>1.8699699999999999</v>
      </c>
      <c r="ER45">
        <v>1.8692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-1.3109999999999999</v>
      </c>
      <c r="FG45">
        <v>0.18279999999999999</v>
      </c>
      <c r="FH45">
        <v>-0.81947142863283695</v>
      </c>
      <c r="FI45">
        <v>-6.1462078757559423E-4</v>
      </c>
      <c r="FJ45">
        <v>-1.8861989874597051E-7</v>
      </c>
      <c r="FK45">
        <v>1.1980462299894961E-10</v>
      </c>
      <c r="FL45">
        <v>0.18283500000000069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12.5</v>
      </c>
      <c r="FU45">
        <v>12.5</v>
      </c>
      <c r="FV45">
        <v>1.78223</v>
      </c>
      <c r="FW45">
        <v>2.5476100000000002</v>
      </c>
      <c r="FX45">
        <v>1.5490699999999999</v>
      </c>
      <c r="FY45">
        <v>2.34619</v>
      </c>
      <c r="FZ45">
        <v>1.50146</v>
      </c>
      <c r="GA45">
        <v>2.3083499999999999</v>
      </c>
      <c r="GB45">
        <v>29.708300000000001</v>
      </c>
      <c r="GC45">
        <v>23.982399999999998</v>
      </c>
      <c r="GD45">
        <v>19</v>
      </c>
      <c r="GE45">
        <v>277.32</v>
      </c>
      <c r="GF45">
        <v>623.88300000000004</v>
      </c>
      <c r="GG45">
        <v>24.027799999999999</v>
      </c>
      <c r="GH45">
        <v>25.5289</v>
      </c>
      <c r="GI45">
        <v>29.9999</v>
      </c>
      <c r="GJ45">
        <v>25.511500000000002</v>
      </c>
      <c r="GK45">
        <v>25.434200000000001</v>
      </c>
      <c r="GL45">
        <v>35.624400000000001</v>
      </c>
      <c r="GM45">
        <v>23.817</v>
      </c>
      <c r="GN45">
        <v>100</v>
      </c>
      <c r="GO45">
        <v>24.0684</v>
      </c>
      <c r="GP45">
        <v>800</v>
      </c>
      <c r="GQ45">
        <v>17.917100000000001</v>
      </c>
      <c r="GR45">
        <v>99.707599999999999</v>
      </c>
      <c r="GS45">
        <v>99.365700000000004</v>
      </c>
    </row>
    <row r="46" spans="1:201" x14ac:dyDescent="0.25">
      <c r="A46">
        <v>30</v>
      </c>
      <c r="B46">
        <v>1690374176</v>
      </c>
      <c r="C46">
        <v>356.5</v>
      </c>
      <c r="D46" t="s">
        <v>393</v>
      </c>
      <c r="E46" t="s">
        <v>394</v>
      </c>
      <c r="F46" t="s">
        <v>330</v>
      </c>
      <c r="H46">
        <v>1690374176</v>
      </c>
      <c r="I46">
        <f t="shared" si="0"/>
        <v>6.0814398989635662E-4</v>
      </c>
      <c r="J46">
        <f t="shared" si="1"/>
        <v>0.60814398989635665</v>
      </c>
      <c r="K46">
        <f t="shared" si="2"/>
        <v>8.8243879820712543</v>
      </c>
      <c r="L46">
        <f t="shared" si="3"/>
        <v>707.52599999999995</v>
      </c>
      <c r="M46">
        <f t="shared" si="4"/>
        <v>339.27135892773725</v>
      </c>
      <c r="N46">
        <f t="shared" si="5"/>
        <v>33.523779906129484</v>
      </c>
      <c r="O46">
        <f t="shared" si="6"/>
        <v>69.91143012138599</v>
      </c>
      <c r="P46">
        <f t="shared" si="7"/>
        <v>4.0059721352100376E-2</v>
      </c>
      <c r="Q46">
        <f t="shared" si="8"/>
        <v>2.2488203316058044</v>
      </c>
      <c r="R46">
        <f t="shared" si="9"/>
        <v>3.9667461556787638E-2</v>
      </c>
      <c r="S46">
        <f t="shared" si="10"/>
        <v>2.4827086270211657E-2</v>
      </c>
      <c r="T46">
        <f t="shared" si="11"/>
        <v>276.11074698551818</v>
      </c>
      <c r="U46">
        <f t="shared" si="12"/>
        <v>28.120701840053759</v>
      </c>
      <c r="V46">
        <f t="shared" si="13"/>
        <v>28.120701840053759</v>
      </c>
      <c r="W46">
        <f t="shared" si="14"/>
        <v>3.8216241838445359</v>
      </c>
      <c r="X46">
        <f t="shared" si="15"/>
        <v>68.769704501233392</v>
      </c>
      <c r="Y46">
        <f t="shared" si="16"/>
        <v>2.3540857895751</v>
      </c>
      <c r="Z46">
        <f t="shared" si="17"/>
        <v>3.4231436744546131</v>
      </c>
      <c r="AA46">
        <f t="shared" si="18"/>
        <v>1.467538394269436</v>
      </c>
      <c r="AB46">
        <f t="shared" si="19"/>
        <v>-26.819149954429328</v>
      </c>
      <c r="AC46">
        <f t="shared" si="20"/>
        <v>-227.6131984696714</v>
      </c>
      <c r="AD46">
        <f t="shared" si="21"/>
        <v>-21.883263089920387</v>
      </c>
      <c r="AE46">
        <f t="shared" si="22"/>
        <v>-0.2048645285029238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52308.803407747182</v>
      </c>
      <c r="AK46">
        <f t="shared" si="26"/>
        <v>1799.97</v>
      </c>
      <c r="AL46">
        <f t="shared" si="27"/>
        <v>1499.0850366329698</v>
      </c>
      <c r="AM46">
        <f t="shared" si="28"/>
        <v>0.83283890099999991</v>
      </c>
      <c r="AN46">
        <f t="shared" si="29"/>
        <v>0.15339741605999999</v>
      </c>
      <c r="AO46">
        <v>30</v>
      </c>
      <c r="AP46">
        <v>0.5</v>
      </c>
      <c r="AQ46" t="s">
        <v>331</v>
      </c>
      <c r="AR46">
        <v>2</v>
      </c>
      <c r="AS46">
        <v>1690374176</v>
      </c>
      <c r="AT46">
        <v>707.52599999999995</v>
      </c>
      <c r="AU46">
        <v>800.01099999999997</v>
      </c>
      <c r="AV46">
        <v>23.824100000000001</v>
      </c>
      <c r="AW46">
        <v>17.891500000000001</v>
      </c>
      <c r="AX46">
        <v>708.83299999999997</v>
      </c>
      <c r="AY46">
        <v>23.641300000000001</v>
      </c>
      <c r="AZ46">
        <v>300.2</v>
      </c>
      <c r="BA46">
        <v>98.711100000000002</v>
      </c>
      <c r="BB46">
        <v>0.100011</v>
      </c>
      <c r="BC46">
        <v>26.243300000000001</v>
      </c>
      <c r="BD46">
        <v>26.902200000000001</v>
      </c>
      <c r="BE46">
        <v>28.034199999999998</v>
      </c>
      <c r="BF46">
        <v>0</v>
      </c>
      <c r="BG46">
        <v>0</v>
      </c>
      <c r="BH46">
        <v>9996.25</v>
      </c>
      <c r="BI46">
        <v>1089.1600000000001</v>
      </c>
      <c r="BJ46">
        <v>1.26149</v>
      </c>
      <c r="BK46">
        <v>-92.484999999999999</v>
      </c>
      <c r="BL46">
        <v>724.79300000000001</v>
      </c>
      <c r="BM46">
        <v>814.58500000000004</v>
      </c>
      <c r="BN46">
        <v>5.9325999999999999</v>
      </c>
      <c r="BO46">
        <v>800.01099999999997</v>
      </c>
      <c r="BP46">
        <v>17.891500000000001</v>
      </c>
      <c r="BQ46">
        <v>2.3517000000000001</v>
      </c>
      <c r="BR46">
        <v>1.7660899999999999</v>
      </c>
      <c r="BS46">
        <v>20.035</v>
      </c>
      <c r="BT46">
        <v>15.489800000000001</v>
      </c>
      <c r="BU46">
        <v>1799.97</v>
      </c>
      <c r="BV46">
        <v>0.90998999999999997</v>
      </c>
      <c r="BW46">
        <v>3.39987E-2</v>
      </c>
      <c r="BX46">
        <v>2.20003E-2</v>
      </c>
      <c r="BY46">
        <v>3.4010600000000002E-2</v>
      </c>
      <c r="BZ46">
        <v>24</v>
      </c>
      <c r="CA46">
        <v>33527.9</v>
      </c>
      <c r="CB46">
        <v>1690373417</v>
      </c>
      <c r="CC46" t="s">
        <v>332</v>
      </c>
      <c r="CD46">
        <v>1690373417</v>
      </c>
      <c r="CE46">
        <v>1690373415</v>
      </c>
      <c r="CF46">
        <v>1</v>
      </c>
      <c r="CG46">
        <v>-1.319</v>
      </c>
      <c r="CH46">
        <v>0.01</v>
      </c>
      <c r="CI46">
        <v>-1.371</v>
      </c>
      <c r="CJ46">
        <v>0.183</v>
      </c>
      <c r="CK46">
        <v>800</v>
      </c>
      <c r="CL46">
        <v>21</v>
      </c>
      <c r="CM46">
        <v>0.09</v>
      </c>
      <c r="CN46">
        <v>7.0000000000000007E-2</v>
      </c>
      <c r="CO46">
        <v>-88.067245</v>
      </c>
      <c r="CP46">
        <v>-25.158330956847902</v>
      </c>
      <c r="CQ46">
        <v>2.4203456758229809</v>
      </c>
      <c r="CR46">
        <v>-1</v>
      </c>
      <c r="CS46">
        <v>5.7338240000000003</v>
      </c>
      <c r="CT46">
        <v>1.0890056285178269</v>
      </c>
      <c r="CU46">
        <v>0.1048565965926799</v>
      </c>
      <c r="CV46">
        <v>-1</v>
      </c>
      <c r="CW46">
        <v>0</v>
      </c>
      <c r="CX46">
        <v>0</v>
      </c>
      <c r="CY46" t="s">
        <v>333</v>
      </c>
      <c r="CZ46">
        <v>2.3652600000000001</v>
      </c>
      <c r="DA46">
        <v>2.7138</v>
      </c>
      <c r="DB46">
        <v>0.13501199999999999</v>
      </c>
      <c r="DC46">
        <v>0.146092</v>
      </c>
      <c r="DD46">
        <v>0.11314100000000001</v>
      </c>
      <c r="DE46">
        <v>9.1013800000000006E-2</v>
      </c>
      <c r="DF46">
        <v>31580.6</v>
      </c>
      <c r="DG46">
        <v>27477.4</v>
      </c>
      <c r="DH46">
        <v>31165.599999999999</v>
      </c>
      <c r="DI46">
        <v>28036</v>
      </c>
      <c r="DJ46">
        <v>37516</v>
      </c>
      <c r="DK46">
        <v>36212.699999999997</v>
      </c>
      <c r="DL46">
        <v>44344.2</v>
      </c>
      <c r="DM46">
        <v>42464.800000000003</v>
      </c>
      <c r="DN46">
        <v>1.4720299999999999</v>
      </c>
      <c r="DO46">
        <v>2.0963699999999998</v>
      </c>
      <c r="DP46">
        <v>0.105031</v>
      </c>
      <c r="DQ46">
        <v>0.18293400000000001</v>
      </c>
      <c r="DR46">
        <v>25.181899999999999</v>
      </c>
      <c r="DS46">
        <v>25.040199999999999</v>
      </c>
      <c r="DT46">
        <v>69</v>
      </c>
      <c r="DU46">
        <v>24</v>
      </c>
      <c r="DV46">
        <v>20.937999999999999</v>
      </c>
      <c r="DW46">
        <v>62.38</v>
      </c>
      <c r="DX46">
        <v>36.798900000000003</v>
      </c>
      <c r="DY46">
        <v>1</v>
      </c>
      <c r="DZ46">
        <v>-0.155307</v>
      </c>
      <c r="EA46">
        <v>6.5356800000000007E-2</v>
      </c>
      <c r="EB46">
        <v>20.191600000000001</v>
      </c>
      <c r="EC46">
        <v>5.2411000000000003</v>
      </c>
      <c r="ED46">
        <v>12.039899999999999</v>
      </c>
      <c r="EE46">
        <v>5.0165499999999996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1.8687400000000001</v>
      </c>
      <c r="EL46">
        <v>1.86432</v>
      </c>
      <c r="EM46">
        <v>1.8690500000000001</v>
      </c>
      <c r="EN46">
        <v>1.8670599999999999</v>
      </c>
      <c r="EO46">
        <v>1.86321</v>
      </c>
      <c r="EP46">
        <v>1.8641700000000001</v>
      </c>
      <c r="EQ46">
        <v>1.86999</v>
      </c>
      <c r="ER46">
        <v>1.8692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-1.3069999999999999</v>
      </c>
      <c r="FG46">
        <v>0.18279999999999999</v>
      </c>
      <c r="FH46">
        <v>-0.81947142863283695</v>
      </c>
      <c r="FI46">
        <v>-6.1462078757559423E-4</v>
      </c>
      <c r="FJ46">
        <v>-1.8861989874597051E-7</v>
      </c>
      <c r="FK46">
        <v>1.1980462299894961E-10</v>
      </c>
      <c r="FL46">
        <v>0.18283500000000069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12.7</v>
      </c>
      <c r="FU46">
        <v>12.7</v>
      </c>
      <c r="FV46">
        <v>1.78101</v>
      </c>
      <c r="FW46">
        <v>2.5500500000000001</v>
      </c>
      <c r="FX46">
        <v>1.5490699999999999</v>
      </c>
      <c r="FY46">
        <v>2.34497</v>
      </c>
      <c r="FZ46">
        <v>1.50146</v>
      </c>
      <c r="GA46">
        <v>2.4084500000000002</v>
      </c>
      <c r="GB46">
        <v>29.729700000000001</v>
      </c>
      <c r="GC46">
        <v>23.991199999999999</v>
      </c>
      <c r="GD46">
        <v>19</v>
      </c>
      <c r="GE46">
        <v>277.44200000000001</v>
      </c>
      <c r="GF46">
        <v>623.33299999999997</v>
      </c>
      <c r="GG46">
        <v>24.127400000000002</v>
      </c>
      <c r="GH46">
        <v>25.5289</v>
      </c>
      <c r="GI46">
        <v>29.9999</v>
      </c>
      <c r="GJ46">
        <v>25.515499999999999</v>
      </c>
      <c r="GK46">
        <v>25.4389</v>
      </c>
      <c r="GL46">
        <v>35.619599999999998</v>
      </c>
      <c r="GM46">
        <v>24.680199999999999</v>
      </c>
      <c r="GN46">
        <v>100</v>
      </c>
      <c r="GO46">
        <v>24.1844</v>
      </c>
      <c r="GP46">
        <v>800</v>
      </c>
      <c r="GQ46">
        <v>17.714600000000001</v>
      </c>
      <c r="GR46">
        <v>99.706900000000005</v>
      </c>
      <c r="GS46">
        <v>99.366100000000003</v>
      </c>
    </row>
    <row r="47" spans="1:201" x14ac:dyDescent="0.25">
      <c r="A47">
        <v>31</v>
      </c>
      <c r="B47">
        <v>1690374186</v>
      </c>
      <c r="C47">
        <v>366.5</v>
      </c>
      <c r="D47" t="s">
        <v>395</v>
      </c>
      <c r="E47" t="s">
        <v>396</v>
      </c>
      <c r="F47" t="s">
        <v>330</v>
      </c>
      <c r="H47">
        <v>1690374186</v>
      </c>
      <c r="I47">
        <f t="shared" si="0"/>
        <v>6.2703630571565004E-4</v>
      </c>
      <c r="J47">
        <f t="shared" si="1"/>
        <v>0.62703630571565006</v>
      </c>
      <c r="K47">
        <f t="shared" si="2"/>
        <v>9.2277576409589717</v>
      </c>
      <c r="L47">
        <f t="shared" si="3"/>
        <v>703.38900000000001</v>
      </c>
      <c r="M47">
        <f t="shared" si="4"/>
        <v>329.88108177607199</v>
      </c>
      <c r="N47">
        <f t="shared" si="5"/>
        <v>32.596044182035257</v>
      </c>
      <c r="O47">
        <f t="shared" si="6"/>
        <v>69.502921470111005</v>
      </c>
      <c r="P47">
        <f t="shared" si="7"/>
        <v>4.1272859159870313E-2</v>
      </c>
      <c r="Q47">
        <f t="shared" si="8"/>
        <v>2.2542979982049607</v>
      </c>
      <c r="R47">
        <f t="shared" si="9"/>
        <v>4.0857615450669668E-2</v>
      </c>
      <c r="S47">
        <f t="shared" si="10"/>
        <v>2.5572969413393151E-2</v>
      </c>
      <c r="T47">
        <f t="shared" si="11"/>
        <v>276.11167370042625</v>
      </c>
      <c r="U47">
        <f t="shared" si="12"/>
        <v>28.119866682068857</v>
      </c>
      <c r="V47">
        <f t="shared" si="13"/>
        <v>28.119866682068857</v>
      </c>
      <c r="W47">
        <f t="shared" si="14"/>
        <v>3.8214382918557406</v>
      </c>
      <c r="X47">
        <f t="shared" si="15"/>
        <v>68.680506007192605</v>
      </c>
      <c r="Y47">
        <f t="shared" si="16"/>
        <v>2.3523658320934002</v>
      </c>
      <c r="Z47">
        <f t="shared" si="17"/>
        <v>3.4250851789691934</v>
      </c>
      <c r="AA47">
        <f t="shared" si="18"/>
        <v>1.4690724597623404</v>
      </c>
      <c r="AB47">
        <f t="shared" si="19"/>
        <v>-27.652301082060166</v>
      </c>
      <c r="AC47">
        <f t="shared" si="20"/>
        <v>-226.89939418721065</v>
      </c>
      <c r="AD47">
        <f t="shared" si="21"/>
        <v>-21.762580159658693</v>
      </c>
      <c r="AE47">
        <f t="shared" si="22"/>
        <v>-0.20260172850325375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52520.775708086781</v>
      </c>
      <c r="AK47">
        <f t="shared" si="26"/>
        <v>1799.98</v>
      </c>
      <c r="AL47">
        <f t="shared" si="27"/>
        <v>1499.0934604209199</v>
      </c>
      <c r="AM47">
        <f t="shared" si="28"/>
        <v>0.83283895399999996</v>
      </c>
      <c r="AN47">
        <f t="shared" si="29"/>
        <v>0.15339707869000002</v>
      </c>
      <c r="AO47">
        <v>30</v>
      </c>
      <c r="AP47">
        <v>0.5</v>
      </c>
      <c r="AQ47" t="s">
        <v>331</v>
      </c>
      <c r="AR47">
        <v>2</v>
      </c>
      <c r="AS47">
        <v>1690374186</v>
      </c>
      <c r="AT47">
        <v>703.38900000000001</v>
      </c>
      <c r="AU47">
        <v>800.02200000000005</v>
      </c>
      <c r="AV47">
        <v>23.8066</v>
      </c>
      <c r="AW47">
        <v>17.689</v>
      </c>
      <c r="AX47">
        <v>704.69399999999996</v>
      </c>
      <c r="AY47">
        <v>23.623799999999999</v>
      </c>
      <c r="AZ47">
        <v>300.17099999999999</v>
      </c>
      <c r="BA47">
        <v>98.711500000000001</v>
      </c>
      <c r="BB47">
        <v>9.9999000000000005E-2</v>
      </c>
      <c r="BC47">
        <v>26.2529</v>
      </c>
      <c r="BD47">
        <v>26.941500000000001</v>
      </c>
      <c r="BE47">
        <v>28.008400000000002</v>
      </c>
      <c r="BF47">
        <v>0</v>
      </c>
      <c r="BG47">
        <v>0</v>
      </c>
      <c r="BH47">
        <v>10038.799999999999</v>
      </c>
      <c r="BI47">
        <v>1088.43</v>
      </c>
      <c r="BJ47">
        <v>1.2334499999999999</v>
      </c>
      <c r="BK47">
        <v>-96.632800000000003</v>
      </c>
      <c r="BL47">
        <v>720.54300000000001</v>
      </c>
      <c r="BM47">
        <v>814.42899999999997</v>
      </c>
      <c r="BN47">
        <v>6.1176599999999999</v>
      </c>
      <c r="BO47">
        <v>800.02200000000005</v>
      </c>
      <c r="BP47">
        <v>17.689</v>
      </c>
      <c r="BQ47">
        <v>2.34999</v>
      </c>
      <c r="BR47">
        <v>1.7461100000000001</v>
      </c>
      <c r="BS47">
        <v>20.023199999999999</v>
      </c>
      <c r="BT47">
        <v>15.3125</v>
      </c>
      <c r="BU47">
        <v>1799.98</v>
      </c>
      <c r="BV47">
        <v>0.90999799999999997</v>
      </c>
      <c r="BW47">
        <v>3.4002499999999998E-2</v>
      </c>
      <c r="BX47">
        <v>2.19957E-2</v>
      </c>
      <c r="BY47">
        <v>3.4003499999999999E-2</v>
      </c>
      <c r="BZ47">
        <v>24</v>
      </c>
      <c r="CA47">
        <v>33528</v>
      </c>
      <c r="CB47">
        <v>1690373417</v>
      </c>
      <c r="CC47" t="s">
        <v>332</v>
      </c>
      <c r="CD47">
        <v>1690373417</v>
      </c>
      <c r="CE47">
        <v>1690373415</v>
      </c>
      <c r="CF47">
        <v>1</v>
      </c>
      <c r="CG47">
        <v>-1.319</v>
      </c>
      <c r="CH47">
        <v>0.01</v>
      </c>
      <c r="CI47">
        <v>-1.371</v>
      </c>
      <c r="CJ47">
        <v>0.183</v>
      </c>
      <c r="CK47">
        <v>800</v>
      </c>
      <c r="CL47">
        <v>21</v>
      </c>
      <c r="CM47">
        <v>0.09</v>
      </c>
      <c r="CN47">
        <v>7.0000000000000007E-2</v>
      </c>
      <c r="CO47">
        <v>-92.237522499999997</v>
      </c>
      <c r="CP47">
        <v>-24.737060037523349</v>
      </c>
      <c r="CQ47">
        <v>2.379921575019595</v>
      </c>
      <c r="CR47">
        <v>-1</v>
      </c>
      <c r="CS47">
        <v>5.9174889999999998</v>
      </c>
      <c r="CT47">
        <v>1.1079813883677121</v>
      </c>
      <c r="CU47">
        <v>0.1066358243931184</v>
      </c>
      <c r="CV47">
        <v>-1</v>
      </c>
      <c r="CW47">
        <v>0</v>
      </c>
      <c r="CX47">
        <v>0</v>
      </c>
      <c r="CY47" t="s">
        <v>333</v>
      </c>
      <c r="CZ47">
        <v>2.36517</v>
      </c>
      <c r="DA47">
        <v>2.7138200000000001</v>
      </c>
      <c r="DB47">
        <v>0.13447300000000001</v>
      </c>
      <c r="DC47">
        <v>0.146088</v>
      </c>
      <c r="DD47">
        <v>0.113082</v>
      </c>
      <c r="DE47">
        <v>9.0271599999999994E-2</v>
      </c>
      <c r="DF47">
        <v>31600.2</v>
      </c>
      <c r="DG47">
        <v>27477.9</v>
      </c>
      <c r="DH47">
        <v>31165.5</v>
      </c>
      <c r="DI47">
        <v>28036.400000000001</v>
      </c>
      <c r="DJ47">
        <v>37518.5</v>
      </c>
      <c r="DK47">
        <v>36242.699999999997</v>
      </c>
      <c r="DL47">
        <v>44344.2</v>
      </c>
      <c r="DM47">
        <v>42465.2</v>
      </c>
      <c r="DN47">
        <v>1.47245</v>
      </c>
      <c r="DO47">
        <v>2.0959500000000002</v>
      </c>
      <c r="DP47">
        <v>0.108086</v>
      </c>
      <c r="DQ47">
        <v>0.18199499999999999</v>
      </c>
      <c r="DR47">
        <v>25.171199999999999</v>
      </c>
      <c r="DS47">
        <v>25.029599999999999</v>
      </c>
      <c r="DT47">
        <v>68.900000000000006</v>
      </c>
      <c r="DU47">
        <v>24</v>
      </c>
      <c r="DV47">
        <v>20.904399999999999</v>
      </c>
      <c r="DW47">
        <v>62.31</v>
      </c>
      <c r="DX47">
        <v>35.833300000000001</v>
      </c>
      <c r="DY47">
        <v>1</v>
      </c>
      <c r="DZ47">
        <v>-0.154721</v>
      </c>
      <c r="EA47">
        <v>-4.4792999999999999E-2</v>
      </c>
      <c r="EB47">
        <v>20.191600000000001</v>
      </c>
      <c r="EC47">
        <v>5.2411000000000003</v>
      </c>
      <c r="ED47">
        <v>12.039899999999999</v>
      </c>
      <c r="EE47">
        <v>5.0167000000000002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1.8687199999999999</v>
      </c>
      <c r="EL47">
        <v>1.86432</v>
      </c>
      <c r="EM47">
        <v>1.8690500000000001</v>
      </c>
      <c r="EN47">
        <v>1.86707</v>
      </c>
      <c r="EO47">
        <v>1.86317</v>
      </c>
      <c r="EP47">
        <v>1.8641700000000001</v>
      </c>
      <c r="EQ47">
        <v>1.86998</v>
      </c>
      <c r="ER47">
        <v>1.8692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-1.3049999999999999</v>
      </c>
      <c r="FG47">
        <v>0.18279999999999999</v>
      </c>
      <c r="FH47">
        <v>-0.81947142863283695</v>
      </c>
      <c r="FI47">
        <v>-6.1462078757559423E-4</v>
      </c>
      <c r="FJ47">
        <v>-1.8861989874597051E-7</v>
      </c>
      <c r="FK47">
        <v>1.1980462299894961E-10</v>
      </c>
      <c r="FL47">
        <v>0.18283500000000069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12.8</v>
      </c>
      <c r="FU47">
        <v>12.8</v>
      </c>
      <c r="FV47">
        <v>1.78101</v>
      </c>
      <c r="FW47">
        <v>2.5378400000000001</v>
      </c>
      <c r="FX47">
        <v>1.5490699999999999</v>
      </c>
      <c r="FY47">
        <v>2.34619</v>
      </c>
      <c r="FZ47">
        <v>1.50146</v>
      </c>
      <c r="GA47">
        <v>2.34619</v>
      </c>
      <c r="GB47">
        <v>29.729700000000001</v>
      </c>
      <c r="GC47">
        <v>23.991199999999999</v>
      </c>
      <c r="GD47">
        <v>19</v>
      </c>
      <c r="GE47">
        <v>277.63799999999998</v>
      </c>
      <c r="GF47">
        <v>623.03099999999995</v>
      </c>
      <c r="GG47">
        <v>24.249400000000001</v>
      </c>
      <c r="GH47">
        <v>25.5289</v>
      </c>
      <c r="GI47">
        <v>30.0001</v>
      </c>
      <c r="GJ47">
        <v>25.519500000000001</v>
      </c>
      <c r="GK47">
        <v>25.444299999999998</v>
      </c>
      <c r="GL47">
        <v>35.614899999999999</v>
      </c>
      <c r="GM47">
        <v>25.8386</v>
      </c>
      <c r="GN47">
        <v>100</v>
      </c>
      <c r="GO47">
        <v>24.300599999999999</v>
      </c>
      <c r="GP47">
        <v>800</v>
      </c>
      <c r="GQ47">
        <v>17.5137</v>
      </c>
      <c r="GR47">
        <v>99.706800000000001</v>
      </c>
      <c r="GS47">
        <v>99.367199999999997</v>
      </c>
    </row>
    <row r="48" spans="1:201" x14ac:dyDescent="0.25">
      <c r="A48">
        <v>32</v>
      </c>
      <c r="B48">
        <v>1690374196</v>
      </c>
      <c r="C48">
        <v>376.5</v>
      </c>
      <c r="D48" t="s">
        <v>397</v>
      </c>
      <c r="E48" t="s">
        <v>398</v>
      </c>
      <c r="F48" t="s">
        <v>330</v>
      </c>
      <c r="H48">
        <v>1690374196</v>
      </c>
      <c r="I48">
        <f t="shared" si="0"/>
        <v>6.4548039175916572E-4</v>
      </c>
      <c r="J48">
        <f t="shared" si="1"/>
        <v>0.64548039175916572</v>
      </c>
      <c r="K48">
        <f t="shared" si="2"/>
        <v>9.6260978033173519</v>
      </c>
      <c r="L48">
        <f t="shared" si="3"/>
        <v>699.34799999999996</v>
      </c>
      <c r="M48">
        <f t="shared" si="4"/>
        <v>319.8561774084867</v>
      </c>
      <c r="N48">
        <f t="shared" si="5"/>
        <v>31.604629211461074</v>
      </c>
      <c r="O48">
        <f t="shared" si="6"/>
        <v>69.101789463173986</v>
      </c>
      <c r="P48">
        <f t="shared" si="7"/>
        <v>4.2348276917124165E-2</v>
      </c>
      <c r="Q48">
        <f t="shared" si="8"/>
        <v>2.2458900907791857</v>
      </c>
      <c r="R48">
        <f t="shared" si="9"/>
        <v>4.1909617601262869E-2</v>
      </c>
      <c r="S48">
        <f t="shared" si="10"/>
        <v>2.6232544066940547E-2</v>
      </c>
      <c r="T48">
        <f t="shared" si="11"/>
        <v>276.10952278992181</v>
      </c>
      <c r="U48">
        <f t="shared" si="12"/>
        <v>28.136172191539508</v>
      </c>
      <c r="V48">
        <f t="shared" si="13"/>
        <v>28.136172191539508</v>
      </c>
      <c r="W48">
        <f t="shared" si="14"/>
        <v>3.8250690482367569</v>
      </c>
      <c r="X48">
        <f t="shared" si="15"/>
        <v>68.569603581918557</v>
      </c>
      <c r="Y48">
        <f t="shared" si="16"/>
        <v>2.3508014805706998</v>
      </c>
      <c r="Z48">
        <f t="shared" si="17"/>
        <v>3.4283434025723225</v>
      </c>
      <c r="AA48">
        <f t="shared" si="18"/>
        <v>1.474267567666057</v>
      </c>
      <c r="AB48">
        <f t="shared" si="19"/>
        <v>-28.465685276579208</v>
      </c>
      <c r="AC48">
        <f t="shared" si="20"/>
        <v>-226.07800543887757</v>
      </c>
      <c r="AD48">
        <f t="shared" si="21"/>
        <v>-21.768500261849489</v>
      </c>
      <c r="AE48">
        <f t="shared" si="22"/>
        <v>-0.20266818738443249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52190.183456207356</v>
      </c>
      <c r="AK48">
        <f t="shared" si="26"/>
        <v>1799.97</v>
      </c>
      <c r="AL48">
        <f t="shared" si="27"/>
        <v>1499.0888039701799</v>
      </c>
      <c r="AM48">
        <f t="shared" si="28"/>
        <v>0.83284099399999989</v>
      </c>
      <c r="AN48">
        <f t="shared" si="29"/>
        <v>0.15339673594</v>
      </c>
      <c r="AO48">
        <v>30</v>
      </c>
      <c r="AP48">
        <v>0.5</v>
      </c>
      <c r="AQ48" t="s">
        <v>331</v>
      </c>
      <c r="AR48">
        <v>2</v>
      </c>
      <c r="AS48">
        <v>1690374196</v>
      </c>
      <c r="AT48">
        <v>699.34799999999996</v>
      </c>
      <c r="AU48">
        <v>800.05700000000002</v>
      </c>
      <c r="AV48">
        <v>23.791399999999999</v>
      </c>
      <c r="AW48">
        <v>17.494299999999999</v>
      </c>
      <c r="AX48">
        <v>700.649</v>
      </c>
      <c r="AY48">
        <v>23.608499999999999</v>
      </c>
      <c r="AZ48">
        <v>300.197</v>
      </c>
      <c r="BA48">
        <v>98.7089</v>
      </c>
      <c r="BB48">
        <v>9.9975499999999995E-2</v>
      </c>
      <c r="BC48">
        <v>26.268999999999998</v>
      </c>
      <c r="BD48">
        <v>26.952100000000002</v>
      </c>
      <c r="BE48">
        <v>28.017399999999999</v>
      </c>
      <c r="BF48">
        <v>0</v>
      </c>
      <c r="BG48">
        <v>0</v>
      </c>
      <c r="BH48">
        <v>9973.75</v>
      </c>
      <c r="BI48">
        <v>1087.8800000000001</v>
      </c>
      <c r="BJ48">
        <v>1.2334499999999999</v>
      </c>
      <c r="BK48">
        <v>-100.709</v>
      </c>
      <c r="BL48">
        <v>716.39200000000005</v>
      </c>
      <c r="BM48">
        <v>814.30200000000002</v>
      </c>
      <c r="BN48">
        <v>6.2970100000000002</v>
      </c>
      <c r="BO48">
        <v>800.05700000000002</v>
      </c>
      <c r="BP48">
        <v>17.494299999999999</v>
      </c>
      <c r="BQ48">
        <v>2.34842</v>
      </c>
      <c r="BR48">
        <v>1.72685</v>
      </c>
      <c r="BS48">
        <v>20.0124</v>
      </c>
      <c r="BT48">
        <v>15.139900000000001</v>
      </c>
      <c r="BU48">
        <v>1799.97</v>
      </c>
      <c r="BV48">
        <v>0.91001699999999996</v>
      </c>
      <c r="BW48">
        <v>3.3995600000000001E-2</v>
      </c>
      <c r="BX48">
        <v>2.1991199999999999E-2</v>
      </c>
      <c r="BY48">
        <v>3.3996600000000002E-2</v>
      </c>
      <c r="BZ48">
        <v>24</v>
      </c>
      <c r="CA48">
        <v>33528.1</v>
      </c>
      <c r="CB48">
        <v>1690373417</v>
      </c>
      <c r="CC48" t="s">
        <v>332</v>
      </c>
      <c r="CD48">
        <v>1690373417</v>
      </c>
      <c r="CE48">
        <v>1690373415</v>
      </c>
      <c r="CF48">
        <v>1</v>
      </c>
      <c r="CG48">
        <v>-1.319</v>
      </c>
      <c r="CH48">
        <v>0.01</v>
      </c>
      <c r="CI48">
        <v>-1.371</v>
      </c>
      <c r="CJ48">
        <v>0.183</v>
      </c>
      <c r="CK48">
        <v>800</v>
      </c>
      <c r="CL48">
        <v>21</v>
      </c>
      <c r="CM48">
        <v>0.09</v>
      </c>
      <c r="CN48">
        <v>7.0000000000000007E-2</v>
      </c>
      <c r="CO48">
        <v>-96.441931707317082</v>
      </c>
      <c r="CP48">
        <v>-24.533954006968749</v>
      </c>
      <c r="CQ48">
        <v>2.4194003867557079</v>
      </c>
      <c r="CR48">
        <v>-1</v>
      </c>
      <c r="CS48">
        <v>6.1056426829268293</v>
      </c>
      <c r="CT48">
        <v>1.0870074564459959</v>
      </c>
      <c r="CU48">
        <v>0.1072115873794043</v>
      </c>
      <c r="CV48">
        <v>-1</v>
      </c>
      <c r="CW48">
        <v>0</v>
      </c>
      <c r="CX48">
        <v>0</v>
      </c>
      <c r="CY48" t="s">
        <v>333</v>
      </c>
      <c r="CZ48">
        <v>2.3652500000000001</v>
      </c>
      <c r="DA48">
        <v>2.71374</v>
      </c>
      <c r="DB48">
        <v>0.13394</v>
      </c>
      <c r="DC48">
        <v>0.14608399999999999</v>
      </c>
      <c r="DD48">
        <v>0.113027</v>
      </c>
      <c r="DE48">
        <v>8.9552699999999999E-2</v>
      </c>
      <c r="DF48">
        <v>31619.9</v>
      </c>
      <c r="DG48">
        <v>27478.6</v>
      </c>
      <c r="DH48">
        <v>31165.8</v>
      </c>
      <c r="DI48">
        <v>28037</v>
      </c>
      <c r="DJ48">
        <v>37521.1</v>
      </c>
      <c r="DK48">
        <v>36272.300000000003</v>
      </c>
      <c r="DL48">
        <v>44344.6</v>
      </c>
      <c r="DM48">
        <v>42466.3</v>
      </c>
      <c r="DN48">
        <v>1.4723999999999999</v>
      </c>
      <c r="DO48">
        <v>2.0956999999999999</v>
      </c>
      <c r="DP48">
        <v>0.109501</v>
      </c>
      <c r="DQ48">
        <v>0.18302399999999999</v>
      </c>
      <c r="DR48">
        <v>25.1585</v>
      </c>
      <c r="DS48">
        <v>25.021799999999999</v>
      </c>
      <c r="DT48">
        <v>68.900000000000006</v>
      </c>
      <c r="DU48">
        <v>24</v>
      </c>
      <c r="DV48">
        <v>20.907</v>
      </c>
      <c r="DW48">
        <v>62.36</v>
      </c>
      <c r="DX48">
        <v>35.733199999999997</v>
      </c>
      <c r="DY48">
        <v>1</v>
      </c>
      <c r="DZ48">
        <v>-0.15493100000000001</v>
      </c>
      <c r="EA48">
        <v>-6.5220600000000004E-2</v>
      </c>
      <c r="EB48">
        <v>20.191500000000001</v>
      </c>
      <c r="EC48">
        <v>5.2411000000000003</v>
      </c>
      <c r="ED48">
        <v>12.039899999999999</v>
      </c>
      <c r="EE48">
        <v>5.0167999999999999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1.8687199999999999</v>
      </c>
      <c r="EL48">
        <v>1.86432</v>
      </c>
      <c r="EM48">
        <v>1.8690500000000001</v>
      </c>
      <c r="EN48">
        <v>1.8670599999999999</v>
      </c>
      <c r="EO48">
        <v>1.86317</v>
      </c>
      <c r="EP48">
        <v>1.8641700000000001</v>
      </c>
      <c r="EQ48">
        <v>1.86998</v>
      </c>
      <c r="ER48">
        <v>1.8692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-1.3009999999999999</v>
      </c>
      <c r="FG48">
        <v>0.18290000000000001</v>
      </c>
      <c r="FH48">
        <v>-0.81947142863283695</v>
      </c>
      <c r="FI48">
        <v>-6.1462078757559423E-4</v>
      </c>
      <c r="FJ48">
        <v>-1.8861989874597051E-7</v>
      </c>
      <c r="FK48">
        <v>1.1980462299894961E-10</v>
      </c>
      <c r="FL48">
        <v>0.18283500000000069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13</v>
      </c>
      <c r="FU48">
        <v>13</v>
      </c>
      <c r="FV48">
        <v>1.78101</v>
      </c>
      <c r="FW48">
        <v>2.5500500000000001</v>
      </c>
      <c r="FX48">
        <v>1.5490699999999999</v>
      </c>
      <c r="FY48">
        <v>2.34619</v>
      </c>
      <c r="FZ48">
        <v>1.50146</v>
      </c>
      <c r="GA48">
        <v>2.2985799999999998</v>
      </c>
      <c r="GB48">
        <v>29.751000000000001</v>
      </c>
      <c r="GC48">
        <v>23.982399999999998</v>
      </c>
      <c r="GD48">
        <v>19</v>
      </c>
      <c r="GE48">
        <v>277.62799999999999</v>
      </c>
      <c r="GF48">
        <v>622.87199999999996</v>
      </c>
      <c r="GG48">
        <v>24.352699999999999</v>
      </c>
      <c r="GH48">
        <v>25.526800000000001</v>
      </c>
      <c r="GI48">
        <v>30.000299999999999</v>
      </c>
      <c r="GJ48">
        <v>25.522099999999998</v>
      </c>
      <c r="GK48">
        <v>25.448899999999998</v>
      </c>
      <c r="GL48">
        <v>35.610399999999998</v>
      </c>
      <c r="GM48">
        <v>26.708600000000001</v>
      </c>
      <c r="GN48">
        <v>100</v>
      </c>
      <c r="GO48">
        <v>24.391300000000001</v>
      </c>
      <c r="GP48">
        <v>800</v>
      </c>
      <c r="GQ48">
        <v>17.3171</v>
      </c>
      <c r="GR48">
        <v>99.707599999999999</v>
      </c>
      <c r="GS48">
        <v>99.369600000000005</v>
      </c>
    </row>
    <row r="49" spans="1:201" x14ac:dyDescent="0.25">
      <c r="A49">
        <v>33</v>
      </c>
      <c r="B49">
        <v>1690374206</v>
      </c>
      <c r="C49">
        <v>386.5</v>
      </c>
      <c r="D49" t="s">
        <v>399</v>
      </c>
      <c r="E49" t="s">
        <v>400</v>
      </c>
      <c r="F49" t="s">
        <v>330</v>
      </c>
      <c r="H49">
        <v>1690374206</v>
      </c>
      <c r="I49">
        <f t="shared" si="0"/>
        <v>6.6371537413622498E-4</v>
      </c>
      <c r="J49">
        <f t="shared" si="1"/>
        <v>0.66371537413622494</v>
      </c>
      <c r="K49">
        <f t="shared" si="2"/>
        <v>10.021547426116554</v>
      </c>
      <c r="L49">
        <f t="shared" si="3"/>
        <v>695.26400000000001</v>
      </c>
      <c r="M49">
        <f t="shared" si="4"/>
        <v>311.16458944826138</v>
      </c>
      <c r="N49">
        <f t="shared" si="5"/>
        <v>30.745628825399301</v>
      </c>
      <c r="O49">
        <f t="shared" si="6"/>
        <v>68.697819753737591</v>
      </c>
      <c r="P49">
        <f t="shared" si="7"/>
        <v>4.3533634521121856E-2</v>
      </c>
      <c r="Q49">
        <f t="shared" si="8"/>
        <v>2.2500652064303903</v>
      </c>
      <c r="R49">
        <f t="shared" si="9"/>
        <v>4.3071069751081173E-2</v>
      </c>
      <c r="S49">
        <f t="shared" si="10"/>
        <v>2.696056855472621E-2</v>
      </c>
      <c r="T49">
        <f t="shared" si="11"/>
        <v>276.11329550040597</v>
      </c>
      <c r="U49">
        <f t="shared" si="12"/>
        <v>28.133074365504665</v>
      </c>
      <c r="V49">
        <f t="shared" si="13"/>
        <v>28.133074365504665</v>
      </c>
      <c r="W49">
        <f t="shared" si="14"/>
        <v>3.8243790222160596</v>
      </c>
      <c r="X49">
        <f t="shared" si="15"/>
        <v>68.502122823254439</v>
      </c>
      <c r="Y49">
        <f t="shared" si="16"/>
        <v>2.3493341391740299</v>
      </c>
      <c r="Z49">
        <f t="shared" si="17"/>
        <v>3.4295785916527839</v>
      </c>
      <c r="AA49">
        <f t="shared" si="18"/>
        <v>1.4750448830420297</v>
      </c>
      <c r="AB49">
        <f t="shared" si="19"/>
        <v>-29.269847999407521</v>
      </c>
      <c r="AC49">
        <f t="shared" si="20"/>
        <v>-225.38253802439309</v>
      </c>
      <c r="AD49">
        <f t="shared" si="21"/>
        <v>-21.661589921835223</v>
      </c>
      <c r="AE49">
        <f t="shared" si="22"/>
        <v>-0.20068044522986384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52351.691031946459</v>
      </c>
      <c r="AK49">
        <f t="shared" si="26"/>
        <v>1799.98</v>
      </c>
      <c r="AL49">
        <f t="shared" si="27"/>
        <v>1499.0957571954002</v>
      </c>
      <c r="AM49">
        <f t="shared" si="28"/>
        <v>0.83284023000000007</v>
      </c>
      <c r="AN49">
        <f t="shared" si="29"/>
        <v>0.15339797969999999</v>
      </c>
      <c r="AO49">
        <v>30</v>
      </c>
      <c r="AP49">
        <v>0.5</v>
      </c>
      <c r="AQ49" t="s">
        <v>331</v>
      </c>
      <c r="AR49">
        <v>2</v>
      </c>
      <c r="AS49">
        <v>1690374206</v>
      </c>
      <c r="AT49">
        <v>695.26400000000001</v>
      </c>
      <c r="AU49">
        <v>800.02700000000004</v>
      </c>
      <c r="AV49">
        <v>23.776700000000002</v>
      </c>
      <c r="AW49">
        <v>17.301500000000001</v>
      </c>
      <c r="AX49">
        <v>696.56200000000001</v>
      </c>
      <c r="AY49">
        <v>23.593900000000001</v>
      </c>
      <c r="AZ49">
        <v>300.19200000000001</v>
      </c>
      <c r="BA49">
        <v>98.708299999999994</v>
      </c>
      <c r="BB49">
        <v>9.9950899999999995E-2</v>
      </c>
      <c r="BC49">
        <v>26.275099999999998</v>
      </c>
      <c r="BD49">
        <v>26.950299999999999</v>
      </c>
      <c r="BE49">
        <v>28.010100000000001</v>
      </c>
      <c r="BF49">
        <v>0</v>
      </c>
      <c r="BG49">
        <v>0</v>
      </c>
      <c r="BH49">
        <v>10006.200000000001</v>
      </c>
      <c r="BI49">
        <v>1087.48</v>
      </c>
      <c r="BJ49">
        <v>1.2334499999999999</v>
      </c>
      <c r="BK49">
        <v>-104.76300000000001</v>
      </c>
      <c r="BL49">
        <v>712.19799999999998</v>
      </c>
      <c r="BM49">
        <v>814.11199999999997</v>
      </c>
      <c r="BN49">
        <v>6.4752099999999997</v>
      </c>
      <c r="BO49">
        <v>800.02700000000004</v>
      </c>
      <c r="BP49">
        <v>17.301500000000001</v>
      </c>
      <c r="BQ49">
        <v>2.3469600000000002</v>
      </c>
      <c r="BR49">
        <v>1.7078</v>
      </c>
      <c r="BS49">
        <v>20.002400000000002</v>
      </c>
      <c r="BT49">
        <v>14.967499999999999</v>
      </c>
      <c r="BU49">
        <v>1799.98</v>
      </c>
      <c r="BV49">
        <v>0.90999600000000003</v>
      </c>
      <c r="BW49">
        <v>3.4005899999999999E-2</v>
      </c>
      <c r="BX49">
        <v>2.2008E-2</v>
      </c>
      <c r="BY49">
        <v>3.3989999999999999E-2</v>
      </c>
      <c r="BZ49">
        <v>24</v>
      </c>
      <c r="CA49">
        <v>33527.800000000003</v>
      </c>
      <c r="CB49">
        <v>1690373417</v>
      </c>
      <c r="CC49" t="s">
        <v>332</v>
      </c>
      <c r="CD49">
        <v>1690373417</v>
      </c>
      <c r="CE49">
        <v>1690373415</v>
      </c>
      <c r="CF49">
        <v>1</v>
      </c>
      <c r="CG49">
        <v>-1.319</v>
      </c>
      <c r="CH49">
        <v>0.01</v>
      </c>
      <c r="CI49">
        <v>-1.371</v>
      </c>
      <c r="CJ49">
        <v>0.183</v>
      </c>
      <c r="CK49">
        <v>800</v>
      </c>
      <c r="CL49">
        <v>21</v>
      </c>
      <c r="CM49">
        <v>0.09</v>
      </c>
      <c r="CN49">
        <v>7.0000000000000007E-2</v>
      </c>
      <c r="CO49">
        <v>-100.39901</v>
      </c>
      <c r="CP49">
        <v>-24.26823039399622</v>
      </c>
      <c r="CQ49">
        <v>2.3345746460329768</v>
      </c>
      <c r="CR49">
        <v>-1</v>
      </c>
      <c r="CS49">
        <v>6.2811765000000008</v>
      </c>
      <c r="CT49">
        <v>1.0582851782363949</v>
      </c>
      <c r="CU49">
        <v>0.10186239871881091</v>
      </c>
      <c r="CV49">
        <v>-1</v>
      </c>
      <c r="CW49">
        <v>0</v>
      </c>
      <c r="CX49">
        <v>0</v>
      </c>
      <c r="CY49" t="s">
        <v>333</v>
      </c>
      <c r="CZ49">
        <v>2.36524</v>
      </c>
      <c r="DA49">
        <v>2.7137500000000001</v>
      </c>
      <c r="DB49">
        <v>0.13340299999999999</v>
      </c>
      <c r="DC49">
        <v>0.14607400000000001</v>
      </c>
      <c r="DD49">
        <v>0.11297599999999999</v>
      </c>
      <c r="DE49">
        <v>8.8839000000000001E-2</v>
      </c>
      <c r="DF49">
        <v>31639.8</v>
      </c>
      <c r="DG49">
        <v>27479.1</v>
      </c>
      <c r="DH49">
        <v>31166.1</v>
      </c>
      <c r="DI49">
        <v>28037.200000000001</v>
      </c>
      <c r="DJ49">
        <v>37523.599999999999</v>
      </c>
      <c r="DK49">
        <v>36301.199999999997</v>
      </c>
      <c r="DL49">
        <v>44345.1</v>
      </c>
      <c r="DM49">
        <v>42466.7</v>
      </c>
      <c r="DN49">
        <v>1.4726300000000001</v>
      </c>
      <c r="DO49">
        <v>2.0953200000000001</v>
      </c>
      <c r="DP49">
        <v>0.10996300000000001</v>
      </c>
      <c r="DQ49">
        <v>0.18285999999999999</v>
      </c>
      <c r="DR49">
        <v>25.1492</v>
      </c>
      <c r="DS49">
        <v>25.017199999999999</v>
      </c>
      <c r="DT49">
        <v>68.900000000000006</v>
      </c>
      <c r="DU49">
        <v>24</v>
      </c>
      <c r="DV49">
        <v>20.905000000000001</v>
      </c>
      <c r="DW49">
        <v>62.2</v>
      </c>
      <c r="DX49">
        <v>36.750799999999998</v>
      </c>
      <c r="DY49">
        <v>1</v>
      </c>
      <c r="DZ49">
        <v>-0.154947</v>
      </c>
      <c r="EA49">
        <v>-8.7214100000000003E-2</v>
      </c>
      <c r="EB49">
        <v>20.191700000000001</v>
      </c>
      <c r="EC49">
        <v>5.2409499999999998</v>
      </c>
      <c r="ED49">
        <v>12.039899999999999</v>
      </c>
      <c r="EE49">
        <v>5.0167000000000002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1.8687100000000001</v>
      </c>
      <c r="EL49">
        <v>1.86432</v>
      </c>
      <c r="EM49">
        <v>1.8690500000000001</v>
      </c>
      <c r="EN49">
        <v>1.8670500000000001</v>
      </c>
      <c r="EO49">
        <v>1.8632</v>
      </c>
      <c r="EP49">
        <v>1.86416</v>
      </c>
      <c r="EQ49">
        <v>1.86998</v>
      </c>
      <c r="ER49">
        <v>1.8692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-1.298</v>
      </c>
      <c r="FG49">
        <v>0.18279999999999999</v>
      </c>
      <c r="FH49">
        <v>-0.81947142863283695</v>
      </c>
      <c r="FI49">
        <v>-6.1462078757559423E-4</v>
      </c>
      <c r="FJ49">
        <v>-1.8861989874597051E-7</v>
      </c>
      <c r="FK49">
        <v>1.1980462299894961E-10</v>
      </c>
      <c r="FL49">
        <v>0.18283500000000069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13.2</v>
      </c>
      <c r="FU49">
        <v>13.2</v>
      </c>
      <c r="FV49">
        <v>1.78101</v>
      </c>
      <c r="FW49">
        <v>2.5427200000000001</v>
      </c>
      <c r="FX49">
        <v>1.5490699999999999</v>
      </c>
      <c r="FY49">
        <v>2.34619</v>
      </c>
      <c r="FZ49">
        <v>1.50146</v>
      </c>
      <c r="GA49">
        <v>2.3779300000000001</v>
      </c>
      <c r="GB49">
        <v>29.772400000000001</v>
      </c>
      <c r="GC49">
        <v>23.991199999999999</v>
      </c>
      <c r="GD49">
        <v>19</v>
      </c>
      <c r="GE49">
        <v>277.738</v>
      </c>
      <c r="GF49">
        <v>622.6</v>
      </c>
      <c r="GG49">
        <v>24.436699999999998</v>
      </c>
      <c r="GH49">
        <v>25.525500000000001</v>
      </c>
      <c r="GI49">
        <v>29.999600000000001</v>
      </c>
      <c r="GJ49">
        <v>25.5259</v>
      </c>
      <c r="GK49">
        <v>25.453299999999999</v>
      </c>
      <c r="GL49">
        <v>35.607700000000001</v>
      </c>
      <c r="GM49">
        <v>27.864000000000001</v>
      </c>
      <c r="GN49">
        <v>100</v>
      </c>
      <c r="GO49">
        <v>24.458400000000001</v>
      </c>
      <c r="GP49">
        <v>800</v>
      </c>
      <c r="GQ49">
        <v>17.119199999999999</v>
      </c>
      <c r="GR49">
        <v>99.708699999999993</v>
      </c>
      <c r="GS49">
        <v>99.370500000000007</v>
      </c>
    </row>
    <row r="50" spans="1:201" x14ac:dyDescent="0.25">
      <c r="A50">
        <v>34</v>
      </c>
      <c r="B50">
        <v>1690374216</v>
      </c>
      <c r="C50">
        <v>396.5</v>
      </c>
      <c r="D50" t="s">
        <v>401</v>
      </c>
      <c r="E50" t="s">
        <v>402</v>
      </c>
      <c r="F50" t="s">
        <v>330</v>
      </c>
      <c r="H50">
        <v>1690374216</v>
      </c>
      <c r="I50">
        <f t="shared" si="0"/>
        <v>6.8336343317217086E-4</v>
      </c>
      <c r="J50">
        <f t="shared" si="1"/>
        <v>0.68336343317217085</v>
      </c>
      <c r="K50">
        <f t="shared" si="2"/>
        <v>10.407401516639142</v>
      </c>
      <c r="L50">
        <f t="shared" si="3"/>
        <v>691.25599999999997</v>
      </c>
      <c r="M50">
        <f t="shared" si="4"/>
        <v>304.02702631172446</v>
      </c>
      <c r="N50">
        <f t="shared" si="5"/>
        <v>30.039814391626237</v>
      </c>
      <c r="O50">
        <f t="shared" si="6"/>
        <v>68.300513243868807</v>
      </c>
      <c r="P50">
        <f t="shared" si="7"/>
        <v>4.482849631997847E-2</v>
      </c>
      <c r="Q50">
        <f t="shared" si="8"/>
        <v>2.2488401740535005</v>
      </c>
      <c r="R50">
        <f t="shared" si="9"/>
        <v>4.4337908543127587E-2</v>
      </c>
      <c r="S50">
        <f t="shared" si="10"/>
        <v>2.7754822753036514E-2</v>
      </c>
      <c r="T50">
        <f t="shared" si="11"/>
        <v>276.11283369753721</v>
      </c>
      <c r="U50">
        <f t="shared" si="12"/>
        <v>28.126671076934674</v>
      </c>
      <c r="V50">
        <f t="shared" si="13"/>
        <v>28.126671076934674</v>
      </c>
      <c r="W50">
        <f t="shared" si="14"/>
        <v>3.8229530643414229</v>
      </c>
      <c r="X50">
        <f t="shared" si="15"/>
        <v>68.455957081675066</v>
      </c>
      <c r="Y50">
        <f t="shared" si="16"/>
        <v>2.3476399404480004</v>
      </c>
      <c r="Z50">
        <f t="shared" si="17"/>
        <v>3.4294165775040177</v>
      </c>
      <c r="AA50">
        <f t="shared" si="18"/>
        <v>1.4753131238934225</v>
      </c>
      <c r="AB50">
        <f t="shared" si="19"/>
        <v>-30.136327402892736</v>
      </c>
      <c r="AC50">
        <f t="shared" si="20"/>
        <v>-224.58049032196809</v>
      </c>
      <c r="AD50">
        <f t="shared" si="21"/>
        <v>-21.595484265478362</v>
      </c>
      <c r="AE50">
        <f t="shared" si="22"/>
        <v>-0.19946829280198131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52304.0564371324</v>
      </c>
      <c r="AK50">
        <f t="shared" si="26"/>
        <v>1799.98</v>
      </c>
      <c r="AL50">
        <f t="shared" si="27"/>
        <v>1499.09382941682</v>
      </c>
      <c r="AM50">
        <f t="shared" si="28"/>
        <v>0.83283915899999994</v>
      </c>
      <c r="AN50">
        <f t="shared" si="29"/>
        <v>0.15339772314</v>
      </c>
      <c r="AO50">
        <v>30</v>
      </c>
      <c r="AP50">
        <v>0.5</v>
      </c>
      <c r="AQ50" t="s">
        <v>331</v>
      </c>
      <c r="AR50">
        <v>2</v>
      </c>
      <c r="AS50">
        <v>1690374216</v>
      </c>
      <c r="AT50">
        <v>691.25599999999997</v>
      </c>
      <c r="AU50">
        <v>799.99400000000003</v>
      </c>
      <c r="AV50">
        <v>23.76</v>
      </c>
      <c r="AW50">
        <v>17.092400000000001</v>
      </c>
      <c r="AX50">
        <v>692.55100000000004</v>
      </c>
      <c r="AY50">
        <v>23.577100000000002</v>
      </c>
      <c r="AZ50">
        <v>300.16500000000002</v>
      </c>
      <c r="BA50">
        <v>98.706400000000002</v>
      </c>
      <c r="BB50">
        <v>9.9994799999999995E-2</v>
      </c>
      <c r="BC50">
        <v>26.2743</v>
      </c>
      <c r="BD50">
        <v>26.948699999999999</v>
      </c>
      <c r="BE50">
        <v>28.034400000000002</v>
      </c>
      <c r="BF50">
        <v>0</v>
      </c>
      <c r="BG50">
        <v>0</v>
      </c>
      <c r="BH50">
        <v>9996.8799999999992</v>
      </c>
      <c r="BI50">
        <v>1087.01</v>
      </c>
      <c r="BJ50">
        <v>1.2783100000000001</v>
      </c>
      <c r="BK50">
        <v>-108.738</v>
      </c>
      <c r="BL50">
        <v>708.08</v>
      </c>
      <c r="BM50">
        <v>813.90599999999995</v>
      </c>
      <c r="BN50">
        <v>6.6676099999999998</v>
      </c>
      <c r="BO50">
        <v>799.99400000000003</v>
      </c>
      <c r="BP50">
        <v>17.092400000000001</v>
      </c>
      <c r="BQ50">
        <v>2.3452600000000001</v>
      </c>
      <c r="BR50">
        <v>1.68713</v>
      </c>
      <c r="BS50">
        <v>19.9907</v>
      </c>
      <c r="BT50">
        <v>14.778499999999999</v>
      </c>
      <c r="BU50">
        <v>1799.98</v>
      </c>
      <c r="BV50">
        <v>0.90998800000000002</v>
      </c>
      <c r="BW50">
        <v>3.4002600000000001E-2</v>
      </c>
      <c r="BX50">
        <v>2.2003700000000001E-2</v>
      </c>
      <c r="BY50">
        <v>3.4005599999999997E-2</v>
      </c>
      <c r="BZ50">
        <v>24</v>
      </c>
      <c r="CA50">
        <v>33528</v>
      </c>
      <c r="CB50">
        <v>1690373417</v>
      </c>
      <c r="CC50" t="s">
        <v>332</v>
      </c>
      <c r="CD50">
        <v>1690373417</v>
      </c>
      <c r="CE50">
        <v>1690373415</v>
      </c>
      <c r="CF50">
        <v>1</v>
      </c>
      <c r="CG50">
        <v>-1.319</v>
      </c>
      <c r="CH50">
        <v>0.01</v>
      </c>
      <c r="CI50">
        <v>-1.371</v>
      </c>
      <c r="CJ50">
        <v>0.183</v>
      </c>
      <c r="CK50">
        <v>800</v>
      </c>
      <c r="CL50">
        <v>21</v>
      </c>
      <c r="CM50">
        <v>0.09</v>
      </c>
      <c r="CN50">
        <v>7.0000000000000007E-2</v>
      </c>
      <c r="CO50">
        <v>-104.5567073170732</v>
      </c>
      <c r="CP50">
        <v>-24.37082926829267</v>
      </c>
      <c r="CQ50">
        <v>2.403172783328702</v>
      </c>
      <c r="CR50">
        <v>-1</v>
      </c>
      <c r="CS50">
        <v>6.4677197560975612</v>
      </c>
      <c r="CT50">
        <v>1.1205058536585379</v>
      </c>
      <c r="CU50">
        <v>0.11075556145234169</v>
      </c>
      <c r="CV50">
        <v>-1</v>
      </c>
      <c r="CW50">
        <v>0</v>
      </c>
      <c r="CX50">
        <v>0</v>
      </c>
      <c r="CY50" t="s">
        <v>333</v>
      </c>
      <c r="CZ50">
        <v>2.3651800000000001</v>
      </c>
      <c r="DA50">
        <v>2.7137799999999999</v>
      </c>
      <c r="DB50">
        <v>0.13287299999999999</v>
      </c>
      <c r="DC50">
        <v>0.146061</v>
      </c>
      <c r="DD50">
        <v>0.112917</v>
      </c>
      <c r="DE50">
        <v>8.8060700000000006E-2</v>
      </c>
      <c r="DF50">
        <v>31659.4</v>
      </c>
      <c r="DG50">
        <v>27480.400000000001</v>
      </c>
      <c r="DH50">
        <v>31166.3</v>
      </c>
      <c r="DI50">
        <v>28038.1</v>
      </c>
      <c r="DJ50">
        <v>37526.300000000003</v>
      </c>
      <c r="DK50">
        <v>36333.300000000003</v>
      </c>
      <c r="DL50">
        <v>44345.4</v>
      </c>
      <c r="DM50">
        <v>42468</v>
      </c>
      <c r="DN50">
        <v>1.4722500000000001</v>
      </c>
      <c r="DO50">
        <v>2.0952999999999999</v>
      </c>
      <c r="DP50">
        <v>0.110254</v>
      </c>
      <c r="DQ50">
        <v>0.184476</v>
      </c>
      <c r="DR50">
        <v>25.142800000000001</v>
      </c>
      <c r="DS50">
        <v>25.0151</v>
      </c>
      <c r="DT50">
        <v>68.900000000000006</v>
      </c>
      <c r="DU50">
        <v>24</v>
      </c>
      <c r="DV50">
        <v>20.9056</v>
      </c>
      <c r="DW50">
        <v>62.37</v>
      </c>
      <c r="DX50">
        <v>36.350200000000001</v>
      </c>
      <c r="DY50">
        <v>1</v>
      </c>
      <c r="DZ50">
        <v>-0.15484500000000001</v>
      </c>
      <c r="EA50">
        <v>-0.11602700000000001</v>
      </c>
      <c r="EB50">
        <v>20.191700000000001</v>
      </c>
      <c r="EC50">
        <v>5.2415500000000002</v>
      </c>
      <c r="ED50">
        <v>12.039899999999999</v>
      </c>
      <c r="EE50">
        <v>5.0167999999999999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1.8687400000000001</v>
      </c>
      <c r="EL50">
        <v>1.86432</v>
      </c>
      <c r="EM50">
        <v>1.8690500000000001</v>
      </c>
      <c r="EN50">
        <v>1.86707</v>
      </c>
      <c r="EO50">
        <v>1.86324</v>
      </c>
      <c r="EP50">
        <v>1.8641700000000001</v>
      </c>
      <c r="EQ50">
        <v>1.87001</v>
      </c>
      <c r="ER50">
        <v>1.8692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-1.2949999999999999</v>
      </c>
      <c r="FG50">
        <v>0.18290000000000001</v>
      </c>
      <c r="FH50">
        <v>-0.81947142863283695</v>
      </c>
      <c r="FI50">
        <v>-6.1462078757559423E-4</v>
      </c>
      <c r="FJ50">
        <v>-1.8861989874597051E-7</v>
      </c>
      <c r="FK50">
        <v>1.1980462299894961E-10</v>
      </c>
      <c r="FL50">
        <v>0.18283500000000069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13.3</v>
      </c>
      <c r="FU50">
        <v>13.3</v>
      </c>
      <c r="FV50">
        <v>1.78101</v>
      </c>
      <c r="FW50">
        <v>2.5463900000000002</v>
      </c>
      <c r="FX50">
        <v>1.5490699999999999</v>
      </c>
      <c r="FY50">
        <v>2.34619</v>
      </c>
      <c r="FZ50">
        <v>1.50024</v>
      </c>
      <c r="GA50">
        <v>2.3730500000000001</v>
      </c>
      <c r="GB50">
        <v>29.772400000000001</v>
      </c>
      <c r="GC50">
        <v>23.991199999999999</v>
      </c>
      <c r="GD50">
        <v>19</v>
      </c>
      <c r="GE50">
        <v>277.59199999999998</v>
      </c>
      <c r="GF50">
        <v>622.62900000000002</v>
      </c>
      <c r="GG50">
        <v>24.498100000000001</v>
      </c>
      <c r="GH50">
        <v>25.522500000000001</v>
      </c>
      <c r="GI50">
        <v>29.9999</v>
      </c>
      <c r="GJ50">
        <v>25.528300000000002</v>
      </c>
      <c r="GK50">
        <v>25.4574</v>
      </c>
      <c r="GL50">
        <v>35.604399999999998</v>
      </c>
      <c r="GM50">
        <v>28.7119</v>
      </c>
      <c r="GN50">
        <v>100</v>
      </c>
      <c r="GO50">
        <v>24.5274</v>
      </c>
      <c r="GP50">
        <v>800</v>
      </c>
      <c r="GQ50">
        <v>16.9284</v>
      </c>
      <c r="GR50">
        <v>99.709299999999999</v>
      </c>
      <c r="GS50">
        <v>99.373500000000007</v>
      </c>
    </row>
    <row r="51" spans="1:201" x14ac:dyDescent="0.25">
      <c r="A51">
        <v>35</v>
      </c>
      <c r="B51">
        <v>1690374226</v>
      </c>
      <c r="C51">
        <v>406.5</v>
      </c>
      <c r="D51" t="s">
        <v>403</v>
      </c>
      <c r="E51" t="s">
        <v>404</v>
      </c>
      <c r="F51" t="s">
        <v>330</v>
      </c>
      <c r="H51">
        <v>1690374226</v>
      </c>
      <c r="I51">
        <f t="shared" si="0"/>
        <v>7.0021028372488413E-4</v>
      </c>
      <c r="J51">
        <f t="shared" si="1"/>
        <v>0.70021028372488414</v>
      </c>
      <c r="K51">
        <f t="shared" si="2"/>
        <v>10.793729525930637</v>
      </c>
      <c r="L51">
        <f t="shared" si="3"/>
        <v>687.24800000000005</v>
      </c>
      <c r="M51">
        <f t="shared" si="4"/>
        <v>294.66561436099943</v>
      </c>
      <c r="N51">
        <f t="shared" si="5"/>
        <v>29.115844970573615</v>
      </c>
      <c r="O51">
        <f t="shared" si="6"/>
        <v>67.906824716312016</v>
      </c>
      <c r="P51">
        <f t="shared" si="7"/>
        <v>4.5830454422502567E-2</v>
      </c>
      <c r="Q51">
        <f t="shared" si="8"/>
        <v>2.2540318496883929</v>
      </c>
      <c r="R51">
        <f t="shared" si="9"/>
        <v>4.5318993164207969E-2</v>
      </c>
      <c r="S51">
        <f t="shared" si="10"/>
        <v>2.8369847804187158E-2</v>
      </c>
      <c r="T51">
        <f t="shared" si="11"/>
        <v>276.11213170533722</v>
      </c>
      <c r="U51">
        <f t="shared" si="12"/>
        <v>28.135157616320974</v>
      </c>
      <c r="V51">
        <f t="shared" si="13"/>
        <v>28.135157616320974</v>
      </c>
      <c r="W51">
        <f t="shared" si="14"/>
        <v>3.8248430444707995</v>
      </c>
      <c r="X51">
        <f t="shared" si="15"/>
        <v>68.330607132523539</v>
      </c>
      <c r="Y51">
        <f t="shared" si="16"/>
        <v>2.3458331416133502</v>
      </c>
      <c r="Z51">
        <f t="shared" si="17"/>
        <v>3.433063512905326</v>
      </c>
      <c r="AA51">
        <f t="shared" si="18"/>
        <v>1.4790099028574493</v>
      </c>
      <c r="AB51">
        <f t="shared" si="19"/>
        <v>-30.879273512267389</v>
      </c>
      <c r="AC51">
        <f t="shared" si="20"/>
        <v>-223.94288746890527</v>
      </c>
      <c r="AD51">
        <f t="shared" si="21"/>
        <v>-21.487414928708176</v>
      </c>
      <c r="AE51">
        <f t="shared" si="22"/>
        <v>-0.19744420454361489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52503.433610832988</v>
      </c>
      <c r="AK51">
        <f t="shared" si="26"/>
        <v>1799.98</v>
      </c>
      <c r="AL51">
        <f t="shared" si="27"/>
        <v>1499.09493640452</v>
      </c>
      <c r="AM51">
        <f t="shared" si="28"/>
        <v>0.83283977399999998</v>
      </c>
      <c r="AN51">
        <f t="shared" si="29"/>
        <v>0.15339733314000001</v>
      </c>
      <c r="AO51">
        <v>30</v>
      </c>
      <c r="AP51">
        <v>0.5</v>
      </c>
      <c r="AQ51" t="s">
        <v>331</v>
      </c>
      <c r="AR51">
        <v>2</v>
      </c>
      <c r="AS51">
        <v>1690374226</v>
      </c>
      <c r="AT51">
        <v>687.24800000000005</v>
      </c>
      <c r="AU51">
        <v>799.93700000000001</v>
      </c>
      <c r="AV51">
        <v>23.7409</v>
      </c>
      <c r="AW51">
        <v>16.9087</v>
      </c>
      <c r="AX51">
        <v>688.54100000000005</v>
      </c>
      <c r="AY51">
        <v>23.558</v>
      </c>
      <c r="AZ51">
        <v>300.161</v>
      </c>
      <c r="BA51">
        <v>98.709800000000001</v>
      </c>
      <c r="BB51">
        <v>9.9981500000000001E-2</v>
      </c>
      <c r="BC51">
        <v>26.292300000000001</v>
      </c>
      <c r="BD51">
        <v>26.981999999999999</v>
      </c>
      <c r="BE51">
        <v>28.0578</v>
      </c>
      <c r="BF51">
        <v>0</v>
      </c>
      <c r="BG51">
        <v>0</v>
      </c>
      <c r="BH51">
        <v>10036.9</v>
      </c>
      <c r="BI51">
        <v>1086.53</v>
      </c>
      <c r="BJ51">
        <v>1.4016500000000001</v>
      </c>
      <c r="BK51">
        <v>-112.68899999999999</v>
      </c>
      <c r="BL51">
        <v>703.96100000000001</v>
      </c>
      <c r="BM51">
        <v>813.69500000000005</v>
      </c>
      <c r="BN51">
        <v>6.83216</v>
      </c>
      <c r="BO51">
        <v>799.93700000000001</v>
      </c>
      <c r="BP51">
        <v>16.9087</v>
      </c>
      <c r="BQ51">
        <v>2.3434599999999999</v>
      </c>
      <c r="BR51">
        <v>1.66906</v>
      </c>
      <c r="BS51">
        <v>19.978300000000001</v>
      </c>
      <c r="BT51">
        <v>14.611599999999999</v>
      </c>
      <c r="BU51">
        <v>1799.98</v>
      </c>
      <c r="BV51">
        <v>0.90999699999999994</v>
      </c>
      <c r="BW51">
        <v>3.3995699999999997E-2</v>
      </c>
      <c r="BX51">
        <v>2.19992E-2</v>
      </c>
      <c r="BY51">
        <v>3.4007999999999997E-2</v>
      </c>
      <c r="BZ51">
        <v>24</v>
      </c>
      <c r="CA51">
        <v>33528</v>
      </c>
      <c r="CB51">
        <v>1690373417</v>
      </c>
      <c r="CC51" t="s">
        <v>332</v>
      </c>
      <c r="CD51">
        <v>1690373417</v>
      </c>
      <c r="CE51">
        <v>1690373415</v>
      </c>
      <c r="CF51">
        <v>1</v>
      </c>
      <c r="CG51">
        <v>-1.319</v>
      </c>
      <c r="CH51">
        <v>0.01</v>
      </c>
      <c r="CI51">
        <v>-1.371</v>
      </c>
      <c r="CJ51">
        <v>0.183</v>
      </c>
      <c r="CK51">
        <v>800</v>
      </c>
      <c r="CL51">
        <v>21</v>
      </c>
      <c r="CM51">
        <v>0.09</v>
      </c>
      <c r="CN51">
        <v>7.0000000000000007E-2</v>
      </c>
      <c r="CO51">
        <v>-108.5714634146342</v>
      </c>
      <c r="CP51">
        <v>-23.735602787456589</v>
      </c>
      <c r="CQ51">
        <v>2.340700198528896</v>
      </c>
      <c r="CR51">
        <v>-1</v>
      </c>
      <c r="CS51">
        <v>6.6491504878048788</v>
      </c>
      <c r="CT51">
        <v>1.079969686411141</v>
      </c>
      <c r="CU51">
        <v>0.1068036027745118</v>
      </c>
      <c r="CV51">
        <v>-1</v>
      </c>
      <c r="CW51">
        <v>0</v>
      </c>
      <c r="CX51">
        <v>0</v>
      </c>
      <c r="CY51" t="s">
        <v>333</v>
      </c>
      <c r="CZ51">
        <v>2.36517</v>
      </c>
      <c r="DA51">
        <v>2.7138100000000001</v>
      </c>
      <c r="DB51">
        <v>0.13234899999999999</v>
      </c>
      <c r="DC51">
        <v>0.14605499999999999</v>
      </c>
      <c r="DD51">
        <v>0.112856</v>
      </c>
      <c r="DE51">
        <v>8.7378499999999998E-2</v>
      </c>
      <c r="DF51">
        <v>31679.1</v>
      </c>
      <c r="DG51">
        <v>27480.9</v>
      </c>
      <c r="DH51">
        <v>31166.799999999999</v>
      </c>
      <c r="DI51">
        <v>28038.400000000001</v>
      </c>
      <c r="DJ51">
        <v>37529.599999999999</v>
      </c>
      <c r="DK51">
        <v>36361</v>
      </c>
      <c r="DL51">
        <v>44346.2</v>
      </c>
      <c r="DM51">
        <v>42468.5</v>
      </c>
      <c r="DN51">
        <v>1.47265</v>
      </c>
      <c r="DO51">
        <v>2.0946199999999999</v>
      </c>
      <c r="DP51">
        <v>0.11261599999999999</v>
      </c>
      <c r="DQ51">
        <v>0.18604100000000001</v>
      </c>
      <c r="DR51">
        <v>25.137499999999999</v>
      </c>
      <c r="DS51">
        <v>25.013000000000002</v>
      </c>
      <c r="DT51">
        <v>68.8</v>
      </c>
      <c r="DU51">
        <v>24</v>
      </c>
      <c r="DV51">
        <v>20.877600000000001</v>
      </c>
      <c r="DW51">
        <v>61.97</v>
      </c>
      <c r="DX51">
        <v>35.649000000000001</v>
      </c>
      <c r="DY51">
        <v>1</v>
      </c>
      <c r="DZ51">
        <v>-0.15492600000000001</v>
      </c>
      <c r="EA51">
        <v>-0.151147</v>
      </c>
      <c r="EB51">
        <v>20.191700000000001</v>
      </c>
      <c r="EC51">
        <v>5.24125</v>
      </c>
      <c r="ED51">
        <v>12.039899999999999</v>
      </c>
      <c r="EE51">
        <v>5.0168499999999998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1.86873</v>
      </c>
      <c r="EL51">
        <v>1.86433</v>
      </c>
      <c r="EM51">
        <v>1.8690500000000001</v>
      </c>
      <c r="EN51">
        <v>1.86707</v>
      </c>
      <c r="EO51">
        <v>1.8632</v>
      </c>
      <c r="EP51">
        <v>1.8641700000000001</v>
      </c>
      <c r="EQ51">
        <v>1.87002</v>
      </c>
      <c r="ER51">
        <v>1.8692200000000001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-1.2929999999999999</v>
      </c>
      <c r="FG51">
        <v>0.18290000000000001</v>
      </c>
      <c r="FH51">
        <v>-0.81947142863283695</v>
      </c>
      <c r="FI51">
        <v>-6.1462078757559423E-4</v>
      </c>
      <c r="FJ51">
        <v>-1.8861989874597051E-7</v>
      </c>
      <c r="FK51">
        <v>1.1980462299894961E-10</v>
      </c>
      <c r="FL51">
        <v>0.18283500000000069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13.5</v>
      </c>
      <c r="FU51">
        <v>13.5</v>
      </c>
      <c r="FV51">
        <v>1.78101</v>
      </c>
      <c r="FW51">
        <v>2.5549300000000001</v>
      </c>
      <c r="FX51">
        <v>1.5490699999999999</v>
      </c>
      <c r="FY51">
        <v>2.34619</v>
      </c>
      <c r="FZ51">
        <v>1.50146</v>
      </c>
      <c r="GA51">
        <v>2.2692899999999998</v>
      </c>
      <c r="GB51">
        <v>29.793700000000001</v>
      </c>
      <c r="GC51">
        <v>23.982399999999998</v>
      </c>
      <c r="GD51">
        <v>19</v>
      </c>
      <c r="GE51">
        <v>277.767</v>
      </c>
      <c r="GF51">
        <v>622.08399999999995</v>
      </c>
      <c r="GG51">
        <v>24.561900000000001</v>
      </c>
      <c r="GH51">
        <v>25.520299999999999</v>
      </c>
      <c r="GI51">
        <v>30</v>
      </c>
      <c r="GJ51">
        <v>25.530100000000001</v>
      </c>
      <c r="GK51">
        <v>25.460699999999999</v>
      </c>
      <c r="GL51">
        <v>35.605699999999999</v>
      </c>
      <c r="GM51">
        <v>29.603200000000001</v>
      </c>
      <c r="GN51">
        <v>100</v>
      </c>
      <c r="GO51">
        <v>24.578700000000001</v>
      </c>
      <c r="GP51">
        <v>800</v>
      </c>
      <c r="GQ51">
        <v>16.738099999999999</v>
      </c>
      <c r="GR51">
        <v>99.711200000000005</v>
      </c>
      <c r="GS51">
        <v>99.374600000000001</v>
      </c>
    </row>
    <row r="52" spans="1:201" x14ac:dyDescent="0.25">
      <c r="A52">
        <v>36</v>
      </c>
      <c r="B52">
        <v>1690374236</v>
      </c>
      <c r="C52">
        <v>416.5</v>
      </c>
      <c r="D52" t="s">
        <v>405</v>
      </c>
      <c r="E52" t="s">
        <v>406</v>
      </c>
      <c r="F52" t="s">
        <v>330</v>
      </c>
      <c r="H52">
        <v>1690374236</v>
      </c>
      <c r="I52">
        <f t="shared" si="0"/>
        <v>7.2037820795227013E-4</v>
      </c>
      <c r="J52">
        <f t="shared" si="1"/>
        <v>0.72037820795227014</v>
      </c>
      <c r="K52">
        <f t="shared" si="2"/>
        <v>11.196151737391093</v>
      </c>
      <c r="L52">
        <f t="shared" si="3"/>
        <v>683.20600000000002</v>
      </c>
      <c r="M52">
        <f t="shared" si="4"/>
        <v>287.36913807943722</v>
      </c>
      <c r="N52">
        <f t="shared" si="5"/>
        <v>28.39414421057964</v>
      </c>
      <c r="O52">
        <f t="shared" si="6"/>
        <v>67.505682131290001</v>
      </c>
      <c r="P52">
        <f t="shared" si="7"/>
        <v>4.7134657520393745E-2</v>
      </c>
      <c r="Q52">
        <f t="shared" si="8"/>
        <v>2.2438491578810145</v>
      </c>
      <c r="R52">
        <f t="shared" si="9"/>
        <v>4.6591434236986508E-2</v>
      </c>
      <c r="S52">
        <f t="shared" si="10"/>
        <v>2.9167931128744794E-2</v>
      </c>
      <c r="T52">
        <f t="shared" si="11"/>
        <v>276.11176692139043</v>
      </c>
      <c r="U52">
        <f t="shared" si="12"/>
        <v>28.134380209828901</v>
      </c>
      <c r="V52">
        <f t="shared" si="13"/>
        <v>28.134380209828901</v>
      </c>
      <c r="W52">
        <f t="shared" si="14"/>
        <v>3.8246698795897327</v>
      </c>
      <c r="X52">
        <f t="shared" si="15"/>
        <v>68.302877471105035</v>
      </c>
      <c r="Y52">
        <f t="shared" si="16"/>
        <v>2.3446458083424999</v>
      </c>
      <c r="Z52">
        <f t="shared" si="17"/>
        <v>3.4327189353543455</v>
      </c>
      <c r="AA52">
        <f t="shared" si="18"/>
        <v>1.4800240712472328</v>
      </c>
      <c r="AB52">
        <f t="shared" si="19"/>
        <v>-31.768678970695113</v>
      </c>
      <c r="AC52">
        <f t="shared" si="20"/>
        <v>-223.04282175062136</v>
      </c>
      <c r="AD52">
        <f t="shared" si="21"/>
        <v>-21.497906312998143</v>
      </c>
      <c r="AE52">
        <f t="shared" si="22"/>
        <v>-0.19764011292417649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52107.010352635341</v>
      </c>
      <c r="AK52">
        <f t="shared" si="26"/>
        <v>1799.98</v>
      </c>
      <c r="AL52">
        <f t="shared" si="27"/>
        <v>1499.0937826173401</v>
      </c>
      <c r="AM52">
        <f t="shared" si="28"/>
        <v>0.83283913300000001</v>
      </c>
      <c r="AN52">
        <f t="shared" si="29"/>
        <v>0.15339713048</v>
      </c>
      <c r="AO52">
        <v>30</v>
      </c>
      <c r="AP52">
        <v>0.5</v>
      </c>
      <c r="AQ52" t="s">
        <v>331</v>
      </c>
      <c r="AR52">
        <v>2</v>
      </c>
      <c r="AS52">
        <v>1690374236</v>
      </c>
      <c r="AT52">
        <v>683.20600000000002</v>
      </c>
      <c r="AU52">
        <v>800.03700000000003</v>
      </c>
      <c r="AV52">
        <v>23.729500000000002</v>
      </c>
      <c r="AW52">
        <v>16.6998</v>
      </c>
      <c r="AX52">
        <v>684.49599999999998</v>
      </c>
      <c r="AY52">
        <v>23.546600000000002</v>
      </c>
      <c r="AZ52">
        <v>300.13400000000001</v>
      </c>
      <c r="BA52">
        <v>98.7072</v>
      </c>
      <c r="BB52">
        <v>0.10001500000000001</v>
      </c>
      <c r="BC52">
        <v>26.290600000000001</v>
      </c>
      <c r="BD52">
        <v>26.978899999999999</v>
      </c>
      <c r="BE52">
        <v>28.0791</v>
      </c>
      <c r="BF52">
        <v>0</v>
      </c>
      <c r="BG52">
        <v>0</v>
      </c>
      <c r="BH52">
        <v>9958.1200000000008</v>
      </c>
      <c r="BI52">
        <v>1086.21</v>
      </c>
      <c r="BJ52">
        <v>1.28952</v>
      </c>
      <c r="BK52">
        <v>-116.83</v>
      </c>
      <c r="BL52">
        <v>699.81200000000001</v>
      </c>
      <c r="BM52">
        <v>813.62400000000002</v>
      </c>
      <c r="BN52">
        <v>7.0296799999999999</v>
      </c>
      <c r="BO52">
        <v>800.03700000000003</v>
      </c>
      <c r="BP52">
        <v>16.6998</v>
      </c>
      <c r="BQ52">
        <v>2.3422700000000001</v>
      </c>
      <c r="BR52">
        <v>1.64839</v>
      </c>
      <c r="BS52">
        <v>19.970099999999999</v>
      </c>
      <c r="BT52">
        <v>14.418799999999999</v>
      </c>
      <c r="BU52">
        <v>1799.98</v>
      </c>
      <c r="BV52">
        <v>0.90999799999999997</v>
      </c>
      <c r="BW52">
        <v>3.4006000000000002E-2</v>
      </c>
      <c r="BX52">
        <v>2.1994900000000001E-2</v>
      </c>
      <c r="BY52">
        <v>3.4001400000000001E-2</v>
      </c>
      <c r="BZ52">
        <v>24</v>
      </c>
      <c r="CA52">
        <v>33528.1</v>
      </c>
      <c r="CB52">
        <v>1690373417</v>
      </c>
      <c r="CC52" t="s">
        <v>332</v>
      </c>
      <c r="CD52">
        <v>1690373417</v>
      </c>
      <c r="CE52">
        <v>1690373415</v>
      </c>
      <c r="CF52">
        <v>1</v>
      </c>
      <c r="CG52">
        <v>-1.319</v>
      </c>
      <c r="CH52">
        <v>0.01</v>
      </c>
      <c r="CI52">
        <v>-1.371</v>
      </c>
      <c r="CJ52">
        <v>0.183</v>
      </c>
      <c r="CK52">
        <v>800</v>
      </c>
      <c r="CL52">
        <v>21</v>
      </c>
      <c r="CM52">
        <v>0.09</v>
      </c>
      <c r="CN52">
        <v>7.0000000000000007E-2</v>
      </c>
      <c r="CO52">
        <v>-112.45175</v>
      </c>
      <c r="CP52">
        <v>-24.070469043151821</v>
      </c>
      <c r="CQ52">
        <v>2.315990552118036</v>
      </c>
      <c r="CR52">
        <v>-1</v>
      </c>
      <c r="CS52">
        <v>6.8253365000000006</v>
      </c>
      <c r="CT52">
        <v>1.107178086303928</v>
      </c>
      <c r="CU52">
        <v>0.1067924067420058</v>
      </c>
      <c r="CV52">
        <v>-1</v>
      </c>
      <c r="CW52">
        <v>0</v>
      </c>
      <c r="CX52">
        <v>0</v>
      </c>
      <c r="CY52" t="s">
        <v>333</v>
      </c>
      <c r="CZ52">
        <v>2.3650799999999998</v>
      </c>
      <c r="DA52">
        <v>2.7137699999999998</v>
      </c>
      <c r="DB52">
        <v>0.13181100000000001</v>
      </c>
      <c r="DC52">
        <v>0.14605799999999999</v>
      </c>
      <c r="DD52">
        <v>0.112815</v>
      </c>
      <c r="DE52">
        <v>8.6593500000000004E-2</v>
      </c>
      <c r="DF52">
        <v>31699.200000000001</v>
      </c>
      <c r="DG52">
        <v>27481.3</v>
      </c>
      <c r="DH52">
        <v>31167.3</v>
      </c>
      <c r="DI52">
        <v>28038.9</v>
      </c>
      <c r="DJ52">
        <v>37532</v>
      </c>
      <c r="DK52">
        <v>36393.199999999997</v>
      </c>
      <c r="DL52">
        <v>44347.1</v>
      </c>
      <c r="DM52">
        <v>42469.4</v>
      </c>
      <c r="DN52">
        <v>1.47255</v>
      </c>
      <c r="DO52">
        <v>2.09457</v>
      </c>
      <c r="DP52">
        <v>0.11275</v>
      </c>
      <c r="DQ52">
        <v>0.18750900000000001</v>
      </c>
      <c r="DR52">
        <v>25.132200000000001</v>
      </c>
      <c r="DS52">
        <v>25.010200000000001</v>
      </c>
      <c r="DT52">
        <v>68.8</v>
      </c>
      <c r="DU52">
        <v>24</v>
      </c>
      <c r="DV52">
        <v>20.872</v>
      </c>
      <c r="DW52">
        <v>62.11</v>
      </c>
      <c r="DX52">
        <v>36.5625</v>
      </c>
      <c r="DY52">
        <v>1</v>
      </c>
      <c r="DZ52">
        <v>-0.155584</v>
      </c>
      <c r="EA52">
        <v>-0.13917499999999999</v>
      </c>
      <c r="EB52">
        <v>20.191800000000001</v>
      </c>
      <c r="EC52">
        <v>5.2416999999999998</v>
      </c>
      <c r="ED52">
        <v>12.039899999999999</v>
      </c>
      <c r="EE52">
        <v>5.0167999999999999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1.86873</v>
      </c>
      <c r="EL52">
        <v>1.86432</v>
      </c>
      <c r="EM52">
        <v>1.8690500000000001</v>
      </c>
      <c r="EN52">
        <v>1.8670599999999999</v>
      </c>
      <c r="EO52">
        <v>1.8632</v>
      </c>
      <c r="EP52">
        <v>1.8641700000000001</v>
      </c>
      <c r="EQ52">
        <v>1.86999</v>
      </c>
      <c r="ER52">
        <v>1.8692200000000001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-1.29</v>
      </c>
      <c r="FG52">
        <v>0.18290000000000001</v>
      </c>
      <c r="FH52">
        <v>-0.81947142863283695</v>
      </c>
      <c r="FI52">
        <v>-6.1462078757559423E-4</v>
      </c>
      <c r="FJ52">
        <v>-1.8861989874597051E-7</v>
      </c>
      <c r="FK52">
        <v>1.1980462299894961E-10</v>
      </c>
      <c r="FL52">
        <v>0.18283500000000069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13.7</v>
      </c>
      <c r="FU52">
        <v>13.7</v>
      </c>
      <c r="FV52">
        <v>1.78101</v>
      </c>
      <c r="FW52">
        <v>2.5537100000000001</v>
      </c>
      <c r="FX52">
        <v>1.5490699999999999</v>
      </c>
      <c r="FY52">
        <v>2.34497</v>
      </c>
      <c r="FZ52">
        <v>1.50146</v>
      </c>
      <c r="GA52">
        <v>2.34375</v>
      </c>
      <c r="GB52">
        <v>29.793700000000001</v>
      </c>
      <c r="GC52">
        <v>23.982399999999998</v>
      </c>
      <c r="GD52">
        <v>19</v>
      </c>
      <c r="GE52">
        <v>277.73599999999999</v>
      </c>
      <c r="GF52">
        <v>622.08000000000004</v>
      </c>
      <c r="GG52">
        <v>24.598700000000001</v>
      </c>
      <c r="GH52">
        <v>25.517399999999999</v>
      </c>
      <c r="GI52">
        <v>29.999600000000001</v>
      </c>
      <c r="GJ52">
        <v>25.532299999999999</v>
      </c>
      <c r="GK52">
        <v>25.463799999999999</v>
      </c>
      <c r="GL52">
        <v>35.603000000000002</v>
      </c>
      <c r="GM52">
        <v>30.1983</v>
      </c>
      <c r="GN52">
        <v>100</v>
      </c>
      <c r="GO52">
        <v>24.615500000000001</v>
      </c>
      <c r="GP52">
        <v>800</v>
      </c>
      <c r="GQ52">
        <v>16.547899999999998</v>
      </c>
      <c r="GR52">
        <v>99.712900000000005</v>
      </c>
      <c r="GS52">
        <v>99.3767</v>
      </c>
    </row>
    <row r="53" spans="1:201" x14ac:dyDescent="0.25">
      <c r="A53">
        <v>37</v>
      </c>
      <c r="B53">
        <v>1690374246</v>
      </c>
      <c r="C53">
        <v>426.5</v>
      </c>
      <c r="D53" t="s">
        <v>407</v>
      </c>
      <c r="E53" t="s">
        <v>408</v>
      </c>
      <c r="F53" t="s">
        <v>330</v>
      </c>
      <c r="H53">
        <v>1690374246</v>
      </c>
      <c r="I53">
        <f t="shared" si="0"/>
        <v>7.3725999690868709E-4</v>
      </c>
      <c r="J53">
        <f t="shared" si="1"/>
        <v>0.73725999690868704</v>
      </c>
      <c r="K53">
        <f t="shared" si="2"/>
        <v>11.592525788179589</v>
      </c>
      <c r="L53">
        <f t="shared" si="3"/>
        <v>679.19200000000001</v>
      </c>
      <c r="M53">
        <f t="shared" si="4"/>
        <v>278.78815382745995</v>
      </c>
      <c r="N53">
        <f t="shared" si="5"/>
        <v>27.546576096186101</v>
      </c>
      <c r="O53">
        <f t="shared" si="6"/>
        <v>67.109788759173597</v>
      </c>
      <c r="P53">
        <f t="shared" si="7"/>
        <v>4.8219970102148568E-2</v>
      </c>
      <c r="Q53">
        <f t="shared" si="8"/>
        <v>2.2534471775396456</v>
      </c>
      <c r="R53">
        <f t="shared" si="9"/>
        <v>4.7653995378440173E-2</v>
      </c>
      <c r="S53">
        <f t="shared" si="10"/>
        <v>2.983404411569196E-2</v>
      </c>
      <c r="T53">
        <f t="shared" si="11"/>
        <v>276.11093311665502</v>
      </c>
      <c r="U53">
        <f t="shared" si="12"/>
        <v>28.132589245545276</v>
      </c>
      <c r="V53">
        <f t="shared" si="13"/>
        <v>28.132589245545276</v>
      </c>
      <c r="W53">
        <f t="shared" si="14"/>
        <v>3.824270973886545</v>
      </c>
      <c r="X53">
        <f t="shared" si="15"/>
        <v>68.219566173403138</v>
      </c>
      <c r="Y53">
        <f t="shared" si="16"/>
        <v>2.3433073671008096</v>
      </c>
      <c r="Z53">
        <f t="shared" si="17"/>
        <v>3.4349490894511119</v>
      </c>
      <c r="AA53">
        <f t="shared" si="18"/>
        <v>1.4809636067857355</v>
      </c>
      <c r="AB53">
        <f t="shared" si="19"/>
        <v>-32.513165863673102</v>
      </c>
      <c r="AC53">
        <f t="shared" si="20"/>
        <v>-222.44293625971193</v>
      </c>
      <c r="AD53">
        <f t="shared" si="21"/>
        <v>-21.349747167658407</v>
      </c>
      <c r="AE53">
        <f t="shared" si="22"/>
        <v>-0.19491617438839626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52478.948565196457</v>
      </c>
      <c r="AK53">
        <f t="shared" si="26"/>
        <v>1799.98</v>
      </c>
      <c r="AL53">
        <f t="shared" si="27"/>
        <v>1499.0941822129</v>
      </c>
      <c r="AM53">
        <f t="shared" si="28"/>
        <v>0.83283935499999995</v>
      </c>
      <c r="AN53">
        <f t="shared" si="29"/>
        <v>0.15339666725000001</v>
      </c>
      <c r="AO53">
        <v>30</v>
      </c>
      <c r="AP53">
        <v>0.5</v>
      </c>
      <c r="AQ53" t="s">
        <v>331</v>
      </c>
      <c r="AR53">
        <v>2</v>
      </c>
      <c r="AS53">
        <v>1690374246</v>
      </c>
      <c r="AT53">
        <v>679.19200000000001</v>
      </c>
      <c r="AU53">
        <v>800.02800000000002</v>
      </c>
      <c r="AV53">
        <v>23.715699999999998</v>
      </c>
      <c r="AW53">
        <v>16.523700000000002</v>
      </c>
      <c r="AX53">
        <v>680.48</v>
      </c>
      <c r="AY53">
        <v>23.532800000000002</v>
      </c>
      <c r="AZ53">
        <v>300.24</v>
      </c>
      <c r="BA53">
        <v>98.708299999999994</v>
      </c>
      <c r="BB53">
        <v>9.9973300000000001E-2</v>
      </c>
      <c r="BC53">
        <v>26.301600000000001</v>
      </c>
      <c r="BD53">
        <v>26.981300000000001</v>
      </c>
      <c r="BE53">
        <v>28.065000000000001</v>
      </c>
      <c r="BF53">
        <v>0</v>
      </c>
      <c r="BG53">
        <v>0</v>
      </c>
      <c r="BH53">
        <v>10032.5</v>
      </c>
      <c r="BI53">
        <v>1085.83</v>
      </c>
      <c r="BJ53">
        <v>1.4212800000000001</v>
      </c>
      <c r="BK53">
        <v>-120.836</v>
      </c>
      <c r="BL53">
        <v>695.69100000000003</v>
      </c>
      <c r="BM53">
        <v>813.47</v>
      </c>
      <c r="BN53">
        <v>7.1919300000000002</v>
      </c>
      <c r="BO53">
        <v>800.02800000000002</v>
      </c>
      <c r="BP53">
        <v>16.523700000000002</v>
      </c>
      <c r="BQ53">
        <v>2.3409300000000002</v>
      </c>
      <c r="BR53">
        <v>1.63103</v>
      </c>
      <c r="BS53">
        <v>19.960899999999999</v>
      </c>
      <c r="BT53">
        <v>14.255100000000001</v>
      </c>
      <c r="BU53">
        <v>1799.98</v>
      </c>
      <c r="BV53">
        <v>0.91000999999999999</v>
      </c>
      <c r="BW53">
        <v>3.40033E-2</v>
      </c>
      <c r="BX53">
        <v>2.1991E-2</v>
      </c>
      <c r="BY53">
        <v>3.3995299999999999E-2</v>
      </c>
      <c r="BZ53">
        <v>24</v>
      </c>
      <c r="CA53">
        <v>33528.1</v>
      </c>
      <c r="CB53">
        <v>1690373417</v>
      </c>
      <c r="CC53" t="s">
        <v>332</v>
      </c>
      <c r="CD53">
        <v>1690373417</v>
      </c>
      <c r="CE53">
        <v>1690373415</v>
      </c>
      <c r="CF53">
        <v>1</v>
      </c>
      <c r="CG53">
        <v>-1.319</v>
      </c>
      <c r="CH53">
        <v>0.01</v>
      </c>
      <c r="CI53">
        <v>-1.371</v>
      </c>
      <c r="CJ53">
        <v>0.183</v>
      </c>
      <c r="CK53">
        <v>800</v>
      </c>
      <c r="CL53">
        <v>21</v>
      </c>
      <c r="CM53">
        <v>0.09</v>
      </c>
      <c r="CN53">
        <v>7.0000000000000007E-2</v>
      </c>
      <c r="CO53">
        <v>-116.4833</v>
      </c>
      <c r="CP53">
        <v>-24.374116322701401</v>
      </c>
      <c r="CQ53">
        <v>2.3450043091644841</v>
      </c>
      <c r="CR53">
        <v>-1</v>
      </c>
      <c r="CS53">
        <v>7.0064309999999992</v>
      </c>
      <c r="CT53">
        <v>1.093066716697924</v>
      </c>
      <c r="CU53">
        <v>0.10543782259701689</v>
      </c>
      <c r="CV53">
        <v>-1</v>
      </c>
      <c r="CW53">
        <v>0</v>
      </c>
      <c r="CX53">
        <v>0</v>
      </c>
      <c r="CY53" t="s">
        <v>333</v>
      </c>
      <c r="CZ53">
        <v>2.3654299999999999</v>
      </c>
      <c r="DA53">
        <v>2.7137899999999999</v>
      </c>
      <c r="DB53">
        <v>0.13128000000000001</v>
      </c>
      <c r="DC53">
        <v>0.14605399999999999</v>
      </c>
      <c r="DD53">
        <v>0.11276899999999999</v>
      </c>
      <c r="DE53">
        <v>8.5931499999999994E-2</v>
      </c>
      <c r="DF53">
        <v>31718.799999999999</v>
      </c>
      <c r="DG53">
        <v>27481.5</v>
      </c>
      <c r="DH53">
        <v>31167.5</v>
      </c>
      <c r="DI53">
        <v>28039</v>
      </c>
      <c r="DJ53">
        <v>37534</v>
      </c>
      <c r="DK53">
        <v>36419.5</v>
      </c>
      <c r="DL53">
        <v>44347.199999999997</v>
      </c>
      <c r="DM53">
        <v>42469.4</v>
      </c>
      <c r="DN53">
        <v>1.4725699999999999</v>
      </c>
      <c r="DO53">
        <v>2.0941999999999998</v>
      </c>
      <c r="DP53">
        <v>0.113353</v>
      </c>
      <c r="DQ53">
        <v>0.18690499999999999</v>
      </c>
      <c r="DR53">
        <v>25.124700000000001</v>
      </c>
      <c r="DS53">
        <v>25.006</v>
      </c>
      <c r="DT53">
        <v>68.8</v>
      </c>
      <c r="DU53">
        <v>24</v>
      </c>
      <c r="DV53">
        <v>20.874099999999999</v>
      </c>
      <c r="DW53">
        <v>61.92</v>
      </c>
      <c r="DX53">
        <v>36.558500000000002</v>
      </c>
      <c r="DY53">
        <v>1</v>
      </c>
      <c r="DZ53">
        <v>-0.15537899999999999</v>
      </c>
      <c r="EA53">
        <v>-0.164216</v>
      </c>
      <c r="EB53">
        <v>20.191600000000001</v>
      </c>
      <c r="EC53">
        <v>5.2426000000000004</v>
      </c>
      <c r="ED53">
        <v>12.039899999999999</v>
      </c>
      <c r="EE53">
        <v>5.0171999999999999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1.86873</v>
      </c>
      <c r="EL53">
        <v>1.86432</v>
      </c>
      <c r="EM53">
        <v>1.8690500000000001</v>
      </c>
      <c r="EN53">
        <v>1.86707</v>
      </c>
      <c r="EO53">
        <v>1.8632</v>
      </c>
      <c r="EP53">
        <v>1.86415</v>
      </c>
      <c r="EQ53">
        <v>1.86998</v>
      </c>
      <c r="ER53">
        <v>1.8692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-1.288</v>
      </c>
      <c r="FG53">
        <v>0.18290000000000001</v>
      </c>
      <c r="FH53">
        <v>-0.81947142863283695</v>
      </c>
      <c r="FI53">
        <v>-6.1462078757559423E-4</v>
      </c>
      <c r="FJ53">
        <v>-1.8861989874597051E-7</v>
      </c>
      <c r="FK53">
        <v>1.1980462299894961E-10</v>
      </c>
      <c r="FL53">
        <v>0.18283500000000069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13.8</v>
      </c>
      <c r="FU53">
        <v>13.8</v>
      </c>
      <c r="FV53">
        <v>1.78101</v>
      </c>
      <c r="FW53">
        <v>2.5463900000000002</v>
      </c>
      <c r="FX53">
        <v>1.5490699999999999</v>
      </c>
      <c r="FY53">
        <v>2.34619</v>
      </c>
      <c r="FZ53">
        <v>1.50146</v>
      </c>
      <c r="GA53">
        <v>2.3950200000000001</v>
      </c>
      <c r="GB53">
        <v>29.815100000000001</v>
      </c>
      <c r="GC53">
        <v>23.991199999999999</v>
      </c>
      <c r="GD53">
        <v>19</v>
      </c>
      <c r="GE53">
        <v>277.74700000000001</v>
      </c>
      <c r="GF53">
        <v>621.80100000000004</v>
      </c>
      <c r="GG53">
        <v>24.6373</v>
      </c>
      <c r="GH53">
        <v>25.5139</v>
      </c>
      <c r="GI53">
        <v>30</v>
      </c>
      <c r="GJ53">
        <v>25.532599999999999</v>
      </c>
      <c r="GK53">
        <v>25.467600000000001</v>
      </c>
      <c r="GL53">
        <v>35.604399999999998</v>
      </c>
      <c r="GM53">
        <v>31.0715</v>
      </c>
      <c r="GN53">
        <v>99.625900000000001</v>
      </c>
      <c r="GO53">
        <v>24.650300000000001</v>
      </c>
      <c r="GP53">
        <v>800</v>
      </c>
      <c r="GQ53">
        <v>16.3626</v>
      </c>
      <c r="GR53">
        <v>99.713399999999993</v>
      </c>
      <c r="GS53">
        <v>99.376599999999996</v>
      </c>
    </row>
    <row r="54" spans="1:201" x14ac:dyDescent="0.25">
      <c r="A54">
        <v>38</v>
      </c>
      <c r="B54">
        <v>1690374256</v>
      </c>
      <c r="C54">
        <v>436.5</v>
      </c>
      <c r="D54" t="s">
        <v>409</v>
      </c>
      <c r="E54" t="s">
        <v>410</v>
      </c>
      <c r="F54" t="s">
        <v>330</v>
      </c>
      <c r="H54">
        <v>1690374256</v>
      </c>
      <c r="I54">
        <f t="shared" si="0"/>
        <v>7.538727567402906E-4</v>
      </c>
      <c r="J54">
        <f t="shared" si="1"/>
        <v>0.75387275674029064</v>
      </c>
      <c r="K54">
        <f t="shared" si="2"/>
        <v>11.981998666339011</v>
      </c>
      <c r="L54">
        <f t="shared" si="3"/>
        <v>675.22900000000004</v>
      </c>
      <c r="M54">
        <f t="shared" si="4"/>
        <v>270.22115520099993</v>
      </c>
      <c r="N54">
        <f t="shared" si="5"/>
        <v>26.700317523226936</v>
      </c>
      <c r="O54">
        <f t="shared" si="6"/>
        <v>66.71879071599902</v>
      </c>
      <c r="P54">
        <f t="shared" si="7"/>
        <v>4.9250640651789808E-2</v>
      </c>
      <c r="Q54">
        <f t="shared" si="8"/>
        <v>2.2487942370903133</v>
      </c>
      <c r="R54">
        <f t="shared" si="9"/>
        <v>4.8659166907621176E-2</v>
      </c>
      <c r="S54">
        <f t="shared" si="10"/>
        <v>3.0464528976946941E-2</v>
      </c>
      <c r="T54">
        <f t="shared" si="11"/>
        <v>276.11329101845581</v>
      </c>
      <c r="U54">
        <f t="shared" si="12"/>
        <v>28.13653915388651</v>
      </c>
      <c r="V54">
        <f t="shared" si="13"/>
        <v>28.13653915388651</v>
      </c>
      <c r="W54">
        <f t="shared" si="14"/>
        <v>3.8251507945494119</v>
      </c>
      <c r="X54">
        <f t="shared" si="15"/>
        <v>68.159764838559227</v>
      </c>
      <c r="Y54">
        <f t="shared" si="16"/>
        <v>2.3420827130061004</v>
      </c>
      <c r="Z54">
        <f t="shared" si="17"/>
        <v>3.4361660703399921</v>
      </c>
      <c r="AA54">
        <f t="shared" si="18"/>
        <v>1.4830680815433115</v>
      </c>
      <c r="AB54">
        <f t="shared" si="19"/>
        <v>-33.245788572246816</v>
      </c>
      <c r="AC54">
        <f t="shared" si="20"/>
        <v>-221.73508689046213</v>
      </c>
      <c r="AD54">
        <f t="shared" si="21"/>
        <v>-21.32690238783966</v>
      </c>
      <c r="AE54">
        <f t="shared" si="22"/>
        <v>-0.19448683209279238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52296.506342886656</v>
      </c>
      <c r="AK54">
        <f t="shared" si="26"/>
        <v>1799.98</v>
      </c>
      <c r="AL54">
        <f t="shared" si="27"/>
        <v>1499.0985759640801</v>
      </c>
      <c r="AM54">
        <f t="shared" si="28"/>
        <v>0.83284179599999997</v>
      </c>
      <c r="AN54">
        <f t="shared" si="29"/>
        <v>0.15339797721000001</v>
      </c>
      <c r="AO54">
        <v>30</v>
      </c>
      <c r="AP54">
        <v>0.5</v>
      </c>
      <c r="AQ54" t="s">
        <v>331</v>
      </c>
      <c r="AR54">
        <v>2</v>
      </c>
      <c r="AS54">
        <v>1690374256</v>
      </c>
      <c r="AT54">
        <v>675.22900000000004</v>
      </c>
      <c r="AU54">
        <v>800.04200000000003</v>
      </c>
      <c r="AV54">
        <v>23.703099999999999</v>
      </c>
      <c r="AW54">
        <v>16.348800000000001</v>
      </c>
      <c r="AX54">
        <v>676.51300000000003</v>
      </c>
      <c r="AY54">
        <v>23.520299999999999</v>
      </c>
      <c r="AZ54">
        <v>300.23399999999998</v>
      </c>
      <c r="BA54">
        <v>98.709100000000007</v>
      </c>
      <c r="BB54">
        <v>0.10003099999999999</v>
      </c>
      <c r="BC54">
        <v>26.307600000000001</v>
      </c>
      <c r="BD54">
        <v>26.9575</v>
      </c>
      <c r="BE54">
        <v>28.028099999999998</v>
      </c>
      <c r="BF54">
        <v>0</v>
      </c>
      <c r="BG54">
        <v>0</v>
      </c>
      <c r="BH54">
        <v>9996.25</v>
      </c>
      <c r="BI54">
        <v>1085.53</v>
      </c>
      <c r="BJ54">
        <v>1.4577199999999999</v>
      </c>
      <c r="BK54">
        <v>-124.813</v>
      </c>
      <c r="BL54">
        <v>691.62199999999996</v>
      </c>
      <c r="BM54">
        <v>813.33900000000006</v>
      </c>
      <c r="BN54">
        <v>7.3543200000000004</v>
      </c>
      <c r="BO54">
        <v>800.04200000000003</v>
      </c>
      <c r="BP54">
        <v>16.348800000000001</v>
      </c>
      <c r="BQ54">
        <v>2.3397100000000002</v>
      </c>
      <c r="BR54">
        <v>1.6137699999999999</v>
      </c>
      <c r="BS54">
        <v>19.952400000000001</v>
      </c>
      <c r="BT54">
        <v>14.090999999999999</v>
      </c>
      <c r="BU54">
        <v>1799.98</v>
      </c>
      <c r="BV54">
        <v>0.91000499999999995</v>
      </c>
      <c r="BW54">
        <v>3.39975E-2</v>
      </c>
      <c r="BX54">
        <v>2.2008300000000001E-2</v>
      </c>
      <c r="BY54">
        <v>3.3989499999999999E-2</v>
      </c>
      <c r="BZ54">
        <v>24</v>
      </c>
      <c r="CA54">
        <v>33527.9</v>
      </c>
      <c r="CB54">
        <v>1690373417</v>
      </c>
      <c r="CC54" t="s">
        <v>332</v>
      </c>
      <c r="CD54">
        <v>1690373417</v>
      </c>
      <c r="CE54">
        <v>1690373415</v>
      </c>
      <c r="CF54">
        <v>1</v>
      </c>
      <c r="CG54">
        <v>-1.319</v>
      </c>
      <c r="CH54">
        <v>0.01</v>
      </c>
      <c r="CI54">
        <v>-1.371</v>
      </c>
      <c r="CJ54">
        <v>0.183</v>
      </c>
      <c r="CK54">
        <v>800</v>
      </c>
      <c r="CL54">
        <v>21</v>
      </c>
      <c r="CM54">
        <v>0.09</v>
      </c>
      <c r="CN54">
        <v>7.0000000000000007E-2</v>
      </c>
      <c r="CO54">
        <v>-120.2227804878049</v>
      </c>
      <c r="CP54">
        <v>-24.04659930313608</v>
      </c>
      <c r="CQ54">
        <v>2.371187296633658</v>
      </c>
      <c r="CR54">
        <v>-1</v>
      </c>
      <c r="CS54">
        <v>7.1704846341463417</v>
      </c>
      <c r="CT54">
        <v>1.0302098257839949</v>
      </c>
      <c r="CU54">
        <v>0.1017171960927144</v>
      </c>
      <c r="CV54">
        <v>-1</v>
      </c>
      <c r="CW54">
        <v>0</v>
      </c>
      <c r="CX54">
        <v>0</v>
      </c>
      <c r="CY54" t="s">
        <v>333</v>
      </c>
      <c r="CZ54">
        <v>2.3654199999999999</v>
      </c>
      <c r="DA54">
        <v>2.7138200000000001</v>
      </c>
      <c r="DB54">
        <v>0.13075300000000001</v>
      </c>
      <c r="DC54">
        <v>0.14605199999999999</v>
      </c>
      <c r="DD54">
        <v>0.11272699999999999</v>
      </c>
      <c r="DE54">
        <v>8.5271E-2</v>
      </c>
      <c r="DF54">
        <v>31738.1</v>
      </c>
      <c r="DG54">
        <v>27481.599999999999</v>
      </c>
      <c r="DH54">
        <v>31167.599999999999</v>
      </c>
      <c r="DI54">
        <v>28039.1</v>
      </c>
      <c r="DJ54">
        <v>37535.699999999997</v>
      </c>
      <c r="DK54">
        <v>36446.300000000003</v>
      </c>
      <c r="DL54">
        <v>44347.199999999997</v>
      </c>
      <c r="DM54">
        <v>42469.8</v>
      </c>
      <c r="DN54">
        <v>1.47292</v>
      </c>
      <c r="DO54">
        <v>2.0933999999999999</v>
      </c>
      <c r="DP54">
        <v>0.112474</v>
      </c>
      <c r="DQ54">
        <v>0.18493100000000001</v>
      </c>
      <c r="DR54">
        <v>25.115200000000002</v>
      </c>
      <c r="DS54">
        <v>25.001300000000001</v>
      </c>
      <c r="DT54">
        <v>68.7</v>
      </c>
      <c r="DU54">
        <v>24.1</v>
      </c>
      <c r="DV54">
        <v>20.970800000000001</v>
      </c>
      <c r="DW54">
        <v>62</v>
      </c>
      <c r="DX54">
        <v>35.552900000000001</v>
      </c>
      <c r="DY54">
        <v>1</v>
      </c>
      <c r="DZ54">
        <v>-0.15520600000000001</v>
      </c>
      <c r="EA54">
        <v>-0.17396800000000001</v>
      </c>
      <c r="EB54">
        <v>20.191700000000001</v>
      </c>
      <c r="EC54">
        <v>5.2423000000000002</v>
      </c>
      <c r="ED54">
        <v>12.039899999999999</v>
      </c>
      <c r="EE54">
        <v>5.0174000000000003</v>
      </c>
      <c r="EF54">
        <v>3.2879700000000001</v>
      </c>
      <c r="EG54">
        <v>9999</v>
      </c>
      <c r="EH54">
        <v>9999</v>
      </c>
      <c r="EI54">
        <v>9999</v>
      </c>
      <c r="EJ54">
        <v>999.9</v>
      </c>
      <c r="EK54">
        <v>1.8687100000000001</v>
      </c>
      <c r="EL54">
        <v>1.86433</v>
      </c>
      <c r="EM54">
        <v>1.8690500000000001</v>
      </c>
      <c r="EN54">
        <v>1.8670599999999999</v>
      </c>
      <c r="EO54">
        <v>1.8631899999999999</v>
      </c>
      <c r="EP54">
        <v>1.8641700000000001</v>
      </c>
      <c r="EQ54">
        <v>1.87002</v>
      </c>
      <c r="ER54">
        <v>1.8692299999999999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-1.284</v>
      </c>
      <c r="FG54">
        <v>0.18279999999999999</v>
      </c>
      <c r="FH54">
        <v>-0.81947142863283695</v>
      </c>
      <c r="FI54">
        <v>-6.1462078757559423E-4</v>
      </c>
      <c r="FJ54">
        <v>-1.8861989874597051E-7</v>
      </c>
      <c r="FK54">
        <v>1.1980462299894961E-10</v>
      </c>
      <c r="FL54">
        <v>0.18283500000000069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14</v>
      </c>
      <c r="FU54">
        <v>14</v>
      </c>
      <c r="FV54">
        <v>1.77979</v>
      </c>
      <c r="FW54">
        <v>2.5488300000000002</v>
      </c>
      <c r="FX54">
        <v>1.5490699999999999</v>
      </c>
      <c r="FY54">
        <v>2.34619</v>
      </c>
      <c r="FZ54">
        <v>1.50146</v>
      </c>
      <c r="GA54">
        <v>2.2961399999999998</v>
      </c>
      <c r="GB54">
        <v>29.815100000000001</v>
      </c>
      <c r="GC54">
        <v>23.991199999999999</v>
      </c>
      <c r="GD54">
        <v>19</v>
      </c>
      <c r="GE54">
        <v>277.90300000000002</v>
      </c>
      <c r="GF54">
        <v>621.14</v>
      </c>
      <c r="GG54">
        <v>24.666399999999999</v>
      </c>
      <c r="GH54">
        <v>25.510400000000001</v>
      </c>
      <c r="GI54">
        <v>30.0001</v>
      </c>
      <c r="GJ54">
        <v>25.534800000000001</v>
      </c>
      <c r="GK54">
        <v>25.470099999999999</v>
      </c>
      <c r="GL54">
        <v>35.6008</v>
      </c>
      <c r="GM54">
        <v>31.952400000000001</v>
      </c>
      <c r="GN54">
        <v>99.625900000000001</v>
      </c>
      <c r="GO54">
        <v>24.68</v>
      </c>
      <c r="GP54">
        <v>800</v>
      </c>
      <c r="GQ54">
        <v>16.173400000000001</v>
      </c>
      <c r="GR54">
        <v>99.713399999999993</v>
      </c>
      <c r="GS54">
        <v>99.377399999999994</v>
      </c>
    </row>
    <row r="55" spans="1:201" x14ac:dyDescent="0.25">
      <c r="A55">
        <v>39</v>
      </c>
      <c r="B55">
        <v>1690374266</v>
      </c>
      <c r="C55">
        <v>446.5</v>
      </c>
      <c r="D55" t="s">
        <v>411</v>
      </c>
      <c r="E55" t="s">
        <v>412</v>
      </c>
      <c r="F55" t="s">
        <v>330</v>
      </c>
      <c r="H55">
        <v>1690374266</v>
      </c>
      <c r="I55">
        <f t="shared" si="0"/>
        <v>7.7579072380929575E-4</v>
      </c>
      <c r="J55">
        <f t="shared" si="1"/>
        <v>0.7757907238092957</v>
      </c>
      <c r="K55">
        <f t="shared" si="2"/>
        <v>12.361829781233119</v>
      </c>
      <c r="L55">
        <f t="shared" si="3"/>
        <v>671.21299999999997</v>
      </c>
      <c r="M55">
        <f t="shared" si="4"/>
        <v>265.74345316848888</v>
      </c>
      <c r="N55">
        <f t="shared" si="5"/>
        <v>26.25797077337333</v>
      </c>
      <c r="O55">
        <f t="shared" si="6"/>
        <v>66.322203337719401</v>
      </c>
      <c r="P55">
        <f t="shared" si="7"/>
        <v>5.0752806559745831E-2</v>
      </c>
      <c r="Q55">
        <f t="shared" si="8"/>
        <v>2.2500036248715984</v>
      </c>
      <c r="R55">
        <f t="shared" si="9"/>
        <v>5.0125283200460356E-2</v>
      </c>
      <c r="S55">
        <f t="shared" si="10"/>
        <v>3.1384035973018878E-2</v>
      </c>
      <c r="T55">
        <f t="shared" si="11"/>
        <v>276.11432697699468</v>
      </c>
      <c r="U55">
        <f t="shared" si="12"/>
        <v>28.128074483111604</v>
      </c>
      <c r="V55">
        <f t="shared" si="13"/>
        <v>28.128074483111604</v>
      </c>
      <c r="W55">
        <f t="shared" si="14"/>
        <v>3.8232655512592224</v>
      </c>
      <c r="X55">
        <f t="shared" si="15"/>
        <v>68.149706013484746</v>
      </c>
      <c r="Y55">
        <f t="shared" si="16"/>
        <v>2.3416956005335803</v>
      </c>
      <c r="Z55">
        <f t="shared" si="17"/>
        <v>3.4361052123544455</v>
      </c>
      <c r="AA55">
        <f t="shared" si="18"/>
        <v>1.4815699507256421</v>
      </c>
      <c r="AB55">
        <f t="shared" si="19"/>
        <v>-34.212370919989944</v>
      </c>
      <c r="AC55">
        <f t="shared" si="20"/>
        <v>-220.8639421735775</v>
      </c>
      <c r="AD55">
        <f t="shared" si="21"/>
        <v>-21.230764264664408</v>
      </c>
      <c r="AE55">
        <f t="shared" si="22"/>
        <v>-0.19275038123717536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52343.685198666251</v>
      </c>
      <c r="AK55">
        <f t="shared" si="26"/>
        <v>1799.99</v>
      </c>
      <c r="AL55">
        <f t="shared" si="27"/>
        <v>1499.1041269974701</v>
      </c>
      <c r="AM55">
        <f t="shared" si="28"/>
        <v>0.83284025300000009</v>
      </c>
      <c r="AN55">
        <f t="shared" si="29"/>
        <v>0.15339770052999999</v>
      </c>
      <c r="AO55">
        <v>30</v>
      </c>
      <c r="AP55">
        <v>0.5</v>
      </c>
      <c r="AQ55" t="s">
        <v>331</v>
      </c>
      <c r="AR55">
        <v>2</v>
      </c>
      <c r="AS55">
        <v>1690374266</v>
      </c>
      <c r="AT55">
        <v>671.21299999999997</v>
      </c>
      <c r="AU55">
        <v>799.99</v>
      </c>
      <c r="AV55">
        <v>23.699100000000001</v>
      </c>
      <c r="AW55">
        <v>16.1279</v>
      </c>
      <c r="AX55">
        <v>672.49400000000003</v>
      </c>
      <c r="AY55">
        <v>23.516200000000001</v>
      </c>
      <c r="AZ55">
        <v>300.113</v>
      </c>
      <c r="BA55">
        <v>98.709500000000006</v>
      </c>
      <c r="BB55">
        <v>9.9973800000000002E-2</v>
      </c>
      <c r="BC55">
        <v>26.307300000000001</v>
      </c>
      <c r="BD55">
        <v>26.991800000000001</v>
      </c>
      <c r="BE55">
        <v>28.046900000000001</v>
      </c>
      <c r="BF55">
        <v>0</v>
      </c>
      <c r="BG55">
        <v>0</v>
      </c>
      <c r="BH55">
        <v>10005.6</v>
      </c>
      <c r="BI55">
        <v>1085.1600000000001</v>
      </c>
      <c r="BJ55">
        <v>1.4577199999999999</v>
      </c>
      <c r="BK55">
        <v>-128.77699999999999</v>
      </c>
      <c r="BL55">
        <v>687.50599999999997</v>
      </c>
      <c r="BM55">
        <v>813.10400000000004</v>
      </c>
      <c r="BN55">
        <v>7.5711700000000004</v>
      </c>
      <c r="BO55">
        <v>799.99</v>
      </c>
      <c r="BP55">
        <v>16.1279</v>
      </c>
      <c r="BQ55">
        <v>2.3393199999999998</v>
      </c>
      <c r="BR55">
        <v>1.5919700000000001</v>
      </c>
      <c r="BS55">
        <v>19.9498</v>
      </c>
      <c r="BT55">
        <v>13.8813</v>
      </c>
      <c r="BU55">
        <v>1799.99</v>
      </c>
      <c r="BV55">
        <v>0.90999300000000005</v>
      </c>
      <c r="BW55">
        <v>3.3991399999999998E-2</v>
      </c>
      <c r="BX55">
        <v>2.20044E-2</v>
      </c>
      <c r="BY55">
        <v>3.4011100000000002E-2</v>
      </c>
      <c r="BZ55">
        <v>24</v>
      </c>
      <c r="CA55">
        <v>33528.199999999997</v>
      </c>
      <c r="CB55">
        <v>1690373417</v>
      </c>
      <c r="CC55" t="s">
        <v>332</v>
      </c>
      <c r="CD55">
        <v>1690373417</v>
      </c>
      <c r="CE55">
        <v>1690373415</v>
      </c>
      <c r="CF55">
        <v>1</v>
      </c>
      <c r="CG55">
        <v>-1.319</v>
      </c>
      <c r="CH55">
        <v>0.01</v>
      </c>
      <c r="CI55">
        <v>-1.371</v>
      </c>
      <c r="CJ55">
        <v>0.183</v>
      </c>
      <c r="CK55">
        <v>800</v>
      </c>
      <c r="CL55">
        <v>21</v>
      </c>
      <c r="CM55">
        <v>0.09</v>
      </c>
      <c r="CN55">
        <v>7.0000000000000007E-2</v>
      </c>
      <c r="CO55">
        <v>-124.505225</v>
      </c>
      <c r="CP55">
        <v>-23.78369606003708</v>
      </c>
      <c r="CQ55">
        <v>2.2881188724310189</v>
      </c>
      <c r="CR55">
        <v>-1</v>
      </c>
      <c r="CS55">
        <v>7.3594412500000006</v>
      </c>
      <c r="CT55">
        <v>1.1077527579737121</v>
      </c>
      <c r="CU55">
        <v>0.1070924290785184</v>
      </c>
      <c r="CV55">
        <v>-1</v>
      </c>
      <c r="CW55">
        <v>0</v>
      </c>
      <c r="CX55">
        <v>0</v>
      </c>
      <c r="CY55" t="s">
        <v>333</v>
      </c>
      <c r="CZ55">
        <v>2.3650500000000001</v>
      </c>
      <c r="DA55">
        <v>2.7137699999999998</v>
      </c>
      <c r="DB55">
        <v>0.130218</v>
      </c>
      <c r="DC55">
        <v>0.146041</v>
      </c>
      <c r="DD55">
        <v>0.11271399999999999</v>
      </c>
      <c r="DE55">
        <v>8.4432800000000002E-2</v>
      </c>
      <c r="DF55">
        <v>31757.599999999999</v>
      </c>
      <c r="DG55">
        <v>27482.1</v>
      </c>
      <c r="DH55">
        <v>31167.5</v>
      </c>
      <c r="DI55">
        <v>28039.200000000001</v>
      </c>
      <c r="DJ55">
        <v>37536.5</v>
      </c>
      <c r="DK55">
        <v>36480.1</v>
      </c>
      <c r="DL55">
        <v>44347.5</v>
      </c>
      <c r="DM55">
        <v>42470.2</v>
      </c>
      <c r="DN55">
        <v>1.4726999999999999</v>
      </c>
      <c r="DO55">
        <v>2.0937000000000001</v>
      </c>
      <c r="DP55">
        <v>0.115089</v>
      </c>
      <c r="DQ55">
        <v>0.186309</v>
      </c>
      <c r="DR55">
        <v>25.1067</v>
      </c>
      <c r="DS55">
        <v>24.997599999999998</v>
      </c>
      <c r="DT55">
        <v>68.7</v>
      </c>
      <c r="DU55">
        <v>24.1</v>
      </c>
      <c r="DV55">
        <v>20.969000000000001</v>
      </c>
      <c r="DW55">
        <v>61.9</v>
      </c>
      <c r="DX55">
        <v>36.342100000000002</v>
      </c>
      <c r="DY55">
        <v>1</v>
      </c>
      <c r="DZ55">
        <v>-0.155305</v>
      </c>
      <c r="EA55">
        <v>-0.19833100000000001</v>
      </c>
      <c r="EB55">
        <v>20.1919</v>
      </c>
      <c r="EC55">
        <v>5.242</v>
      </c>
      <c r="ED55">
        <v>12.039899999999999</v>
      </c>
      <c r="EE55">
        <v>5.0171999999999999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1.86873</v>
      </c>
      <c r="EL55">
        <v>1.86432</v>
      </c>
      <c r="EM55">
        <v>1.8690500000000001</v>
      </c>
      <c r="EN55">
        <v>1.86707</v>
      </c>
      <c r="EO55">
        <v>1.8632200000000001</v>
      </c>
      <c r="EP55">
        <v>1.8641700000000001</v>
      </c>
      <c r="EQ55">
        <v>1.86998</v>
      </c>
      <c r="ER55">
        <v>1.86921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-1.2809999999999999</v>
      </c>
      <c r="FG55">
        <v>0.18290000000000001</v>
      </c>
      <c r="FH55">
        <v>-0.81947142863283695</v>
      </c>
      <c r="FI55">
        <v>-6.1462078757559423E-4</v>
      </c>
      <c r="FJ55">
        <v>-1.8861989874597051E-7</v>
      </c>
      <c r="FK55">
        <v>1.1980462299894961E-10</v>
      </c>
      <c r="FL55">
        <v>0.18283500000000069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14.2</v>
      </c>
      <c r="FU55">
        <v>14.2</v>
      </c>
      <c r="FV55">
        <v>1.78101</v>
      </c>
      <c r="FW55">
        <v>2.5512700000000001</v>
      </c>
      <c r="FX55">
        <v>1.5490699999999999</v>
      </c>
      <c r="FY55">
        <v>2.34497</v>
      </c>
      <c r="FZ55">
        <v>1.50146</v>
      </c>
      <c r="GA55">
        <v>2.323</v>
      </c>
      <c r="GB55">
        <v>29.836400000000001</v>
      </c>
      <c r="GC55">
        <v>23.982399999999998</v>
      </c>
      <c r="GD55">
        <v>19</v>
      </c>
      <c r="GE55">
        <v>277.80900000000003</v>
      </c>
      <c r="GF55">
        <v>621.42600000000004</v>
      </c>
      <c r="GG55">
        <v>24.699400000000001</v>
      </c>
      <c r="GH55">
        <v>25.506699999999999</v>
      </c>
      <c r="GI55">
        <v>30</v>
      </c>
      <c r="GJ55">
        <v>25.534800000000001</v>
      </c>
      <c r="GK55">
        <v>25.472200000000001</v>
      </c>
      <c r="GL55">
        <v>35.603000000000002</v>
      </c>
      <c r="GM55">
        <v>32.511000000000003</v>
      </c>
      <c r="GN55">
        <v>99.625900000000001</v>
      </c>
      <c r="GO55">
        <v>24.700700000000001</v>
      </c>
      <c r="GP55">
        <v>800</v>
      </c>
      <c r="GQ55">
        <v>15.9849</v>
      </c>
      <c r="GR55">
        <v>99.713800000000006</v>
      </c>
      <c r="GS55">
        <v>99.378200000000007</v>
      </c>
    </row>
    <row r="56" spans="1:201" x14ac:dyDescent="0.25">
      <c r="A56">
        <v>40</v>
      </c>
      <c r="B56">
        <v>1690374276</v>
      </c>
      <c r="C56">
        <v>456.5</v>
      </c>
      <c r="D56" t="s">
        <v>413</v>
      </c>
      <c r="E56" t="s">
        <v>414</v>
      </c>
      <c r="F56" t="s">
        <v>330</v>
      </c>
      <c r="H56">
        <v>1690374276</v>
      </c>
      <c r="I56">
        <f t="shared" si="0"/>
        <v>7.928107132618127E-4</v>
      </c>
      <c r="J56">
        <f t="shared" si="1"/>
        <v>0.79281071326181274</v>
      </c>
      <c r="K56">
        <f t="shared" si="2"/>
        <v>12.759721507127257</v>
      </c>
      <c r="L56">
        <f t="shared" si="3"/>
        <v>667.26700000000005</v>
      </c>
      <c r="M56">
        <f t="shared" si="4"/>
        <v>257.76954388127319</v>
      </c>
      <c r="N56">
        <f t="shared" si="5"/>
        <v>25.470350661927281</v>
      </c>
      <c r="O56">
        <f t="shared" si="6"/>
        <v>65.933019934116999</v>
      </c>
      <c r="P56">
        <f t="shared" si="7"/>
        <v>5.1850912287184837E-2</v>
      </c>
      <c r="Q56">
        <f t="shared" si="8"/>
        <v>2.2448612100492555</v>
      </c>
      <c r="R56">
        <f t="shared" si="9"/>
        <v>5.1194649987907008E-2</v>
      </c>
      <c r="S56">
        <f t="shared" si="10"/>
        <v>3.2054926720705569E-2</v>
      </c>
      <c r="T56">
        <f t="shared" si="11"/>
        <v>276.11245980569163</v>
      </c>
      <c r="U56">
        <f t="shared" si="12"/>
        <v>28.129201695574899</v>
      </c>
      <c r="V56">
        <f t="shared" si="13"/>
        <v>28.129201695574899</v>
      </c>
      <c r="W56">
        <f t="shared" si="14"/>
        <v>3.8235165561357434</v>
      </c>
      <c r="X56">
        <f t="shared" si="15"/>
        <v>68.118828920525203</v>
      </c>
      <c r="Y56">
        <f t="shared" si="16"/>
        <v>2.3410492174572997</v>
      </c>
      <c r="Z56">
        <f t="shared" si="17"/>
        <v>3.4367138345678563</v>
      </c>
      <c r="AA56">
        <f t="shared" si="18"/>
        <v>1.4824673386784437</v>
      </c>
      <c r="AB56">
        <f t="shared" si="19"/>
        <v>-34.96295245484594</v>
      </c>
      <c r="AC56">
        <f t="shared" si="20"/>
        <v>-220.13250050580757</v>
      </c>
      <c r="AD56">
        <f t="shared" si="21"/>
        <v>-21.20936396366573</v>
      </c>
      <c r="AE56">
        <f t="shared" si="22"/>
        <v>-0.19235711862762628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52142.997620183422</v>
      </c>
      <c r="AK56">
        <f t="shared" si="26"/>
        <v>1799.98</v>
      </c>
      <c r="AL56">
        <f t="shared" si="27"/>
        <v>1499.0919448377601</v>
      </c>
      <c r="AM56">
        <f t="shared" si="28"/>
        <v>0.83283811200000002</v>
      </c>
      <c r="AN56">
        <f t="shared" si="29"/>
        <v>0.15339751542000002</v>
      </c>
      <c r="AO56">
        <v>30</v>
      </c>
      <c r="AP56">
        <v>0.5</v>
      </c>
      <c r="AQ56" t="s">
        <v>331</v>
      </c>
      <c r="AR56">
        <v>2</v>
      </c>
      <c r="AS56">
        <v>1690374276</v>
      </c>
      <c r="AT56">
        <v>667.26700000000005</v>
      </c>
      <c r="AU56">
        <v>800.05700000000002</v>
      </c>
      <c r="AV56">
        <v>23.692299999999999</v>
      </c>
      <c r="AW56">
        <v>15.957700000000001</v>
      </c>
      <c r="AX56">
        <v>668.54499999999996</v>
      </c>
      <c r="AY56">
        <v>23.509499999999999</v>
      </c>
      <c r="AZ56">
        <v>300.22000000000003</v>
      </c>
      <c r="BA56">
        <v>98.710499999999996</v>
      </c>
      <c r="BB56">
        <v>0.100051</v>
      </c>
      <c r="BC56">
        <v>26.310300000000002</v>
      </c>
      <c r="BD56">
        <v>26.968499999999999</v>
      </c>
      <c r="BE56">
        <v>28.0669</v>
      </c>
      <c r="BF56">
        <v>0</v>
      </c>
      <c r="BG56">
        <v>0</v>
      </c>
      <c r="BH56">
        <v>9965.6200000000008</v>
      </c>
      <c r="BI56">
        <v>1084.99</v>
      </c>
      <c r="BJ56">
        <v>1.4577199999999999</v>
      </c>
      <c r="BK56">
        <v>-132.791</v>
      </c>
      <c r="BL56">
        <v>683.45899999999995</v>
      </c>
      <c r="BM56">
        <v>813.03099999999995</v>
      </c>
      <c r="BN56">
        <v>7.7345600000000001</v>
      </c>
      <c r="BO56">
        <v>800.05700000000002</v>
      </c>
      <c r="BP56">
        <v>15.957700000000001</v>
      </c>
      <c r="BQ56">
        <v>2.3386800000000001</v>
      </c>
      <c r="BR56">
        <v>1.5751999999999999</v>
      </c>
      <c r="BS56">
        <v>19.9453</v>
      </c>
      <c r="BT56">
        <v>13.718299999999999</v>
      </c>
      <c r="BU56">
        <v>1799.98</v>
      </c>
      <c r="BV56">
        <v>0.90998400000000002</v>
      </c>
      <c r="BW56">
        <v>3.4005899999999999E-2</v>
      </c>
      <c r="BX56">
        <v>2.2000599999999999E-2</v>
      </c>
      <c r="BY56">
        <v>3.4009200000000003E-2</v>
      </c>
      <c r="BZ56">
        <v>24</v>
      </c>
      <c r="CA56">
        <v>33528</v>
      </c>
      <c r="CB56">
        <v>1690373417</v>
      </c>
      <c r="CC56" t="s">
        <v>332</v>
      </c>
      <c r="CD56">
        <v>1690373417</v>
      </c>
      <c r="CE56">
        <v>1690373415</v>
      </c>
      <c r="CF56">
        <v>1</v>
      </c>
      <c r="CG56">
        <v>-1.319</v>
      </c>
      <c r="CH56">
        <v>0.01</v>
      </c>
      <c r="CI56">
        <v>-1.371</v>
      </c>
      <c r="CJ56">
        <v>0.183</v>
      </c>
      <c r="CK56">
        <v>800</v>
      </c>
      <c r="CL56">
        <v>21</v>
      </c>
      <c r="CM56">
        <v>0.09</v>
      </c>
      <c r="CN56">
        <v>7.0000000000000007E-2</v>
      </c>
      <c r="CO56">
        <v>-128.47399999999999</v>
      </c>
      <c r="CP56">
        <v>-24.014949343339239</v>
      </c>
      <c r="CQ56">
        <v>2.310406306258705</v>
      </c>
      <c r="CR56">
        <v>-1</v>
      </c>
      <c r="CS56">
        <v>7.536975</v>
      </c>
      <c r="CT56">
        <v>1.0605491932457629</v>
      </c>
      <c r="CU56">
        <v>0.1029928139483527</v>
      </c>
      <c r="CV56">
        <v>-1</v>
      </c>
      <c r="CW56">
        <v>0</v>
      </c>
      <c r="CX56">
        <v>0</v>
      </c>
      <c r="CY56" t="s">
        <v>333</v>
      </c>
      <c r="CZ56">
        <v>2.36537</v>
      </c>
      <c r="DA56">
        <v>2.7138100000000001</v>
      </c>
      <c r="DB56">
        <v>0.129691</v>
      </c>
      <c r="DC56">
        <v>0.14604700000000001</v>
      </c>
      <c r="DD56">
        <v>0.112692</v>
      </c>
      <c r="DE56">
        <v>8.3784600000000001E-2</v>
      </c>
      <c r="DF56">
        <v>31777.1</v>
      </c>
      <c r="DG56">
        <v>27482.400000000001</v>
      </c>
      <c r="DH56">
        <v>31167.8</v>
      </c>
      <c r="DI56">
        <v>28039.7</v>
      </c>
      <c r="DJ56">
        <v>37537.599999999999</v>
      </c>
      <c r="DK56">
        <v>36506.699999999997</v>
      </c>
      <c r="DL56">
        <v>44347.8</v>
      </c>
      <c r="DM56">
        <v>42471</v>
      </c>
      <c r="DN56">
        <v>1.47322</v>
      </c>
      <c r="DO56">
        <v>2.0930800000000001</v>
      </c>
      <c r="DP56">
        <v>0.114247</v>
      </c>
      <c r="DQ56">
        <v>0.18788099999999999</v>
      </c>
      <c r="DR56">
        <v>25.097200000000001</v>
      </c>
      <c r="DS56">
        <v>24.991900000000001</v>
      </c>
      <c r="DT56">
        <v>68.7</v>
      </c>
      <c r="DU56">
        <v>24.1</v>
      </c>
      <c r="DV56">
        <v>20.9712</v>
      </c>
      <c r="DW56">
        <v>62.07</v>
      </c>
      <c r="DX56">
        <v>36.871000000000002</v>
      </c>
      <c r="DY56">
        <v>1</v>
      </c>
      <c r="DZ56">
        <v>-0.15567600000000001</v>
      </c>
      <c r="EA56">
        <v>-0.18754599999999999</v>
      </c>
      <c r="EB56">
        <v>20.1921</v>
      </c>
      <c r="EC56">
        <v>5.2435</v>
      </c>
      <c r="ED56">
        <v>12.039899999999999</v>
      </c>
      <c r="EE56">
        <v>5.01715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1.8687100000000001</v>
      </c>
      <c r="EL56">
        <v>1.86432</v>
      </c>
      <c r="EM56">
        <v>1.8690500000000001</v>
      </c>
      <c r="EN56">
        <v>1.8670599999999999</v>
      </c>
      <c r="EO56">
        <v>1.8632</v>
      </c>
      <c r="EP56">
        <v>1.8641700000000001</v>
      </c>
      <c r="EQ56">
        <v>1.86998</v>
      </c>
      <c r="ER56">
        <v>1.8692299999999999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-1.278</v>
      </c>
      <c r="FG56">
        <v>0.18279999999999999</v>
      </c>
      <c r="FH56">
        <v>-0.81947142863283695</v>
      </c>
      <c r="FI56">
        <v>-6.1462078757559423E-4</v>
      </c>
      <c r="FJ56">
        <v>-1.8861989874597051E-7</v>
      </c>
      <c r="FK56">
        <v>1.1980462299894961E-10</v>
      </c>
      <c r="FL56">
        <v>0.18283500000000069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14.3</v>
      </c>
      <c r="FU56">
        <v>14.3</v>
      </c>
      <c r="FV56">
        <v>1.78101</v>
      </c>
      <c r="FW56">
        <v>2.5451700000000002</v>
      </c>
      <c r="FX56">
        <v>1.5490699999999999</v>
      </c>
      <c r="FY56">
        <v>2.34619</v>
      </c>
      <c r="FZ56">
        <v>1.50146</v>
      </c>
      <c r="GA56">
        <v>2.3974600000000001</v>
      </c>
      <c r="GB56">
        <v>29.857800000000001</v>
      </c>
      <c r="GC56">
        <v>23.991199999999999</v>
      </c>
      <c r="GD56">
        <v>19</v>
      </c>
      <c r="GE56">
        <v>278.036</v>
      </c>
      <c r="GF56">
        <v>620.91099999999994</v>
      </c>
      <c r="GG56">
        <v>24.712900000000001</v>
      </c>
      <c r="GH56">
        <v>25.5031</v>
      </c>
      <c r="GI56">
        <v>29.9999</v>
      </c>
      <c r="GJ56">
        <v>25.5366</v>
      </c>
      <c r="GK56">
        <v>25.474399999999999</v>
      </c>
      <c r="GL56">
        <v>35.601500000000001</v>
      </c>
      <c r="GM56">
        <v>33.406500000000001</v>
      </c>
      <c r="GN56">
        <v>99.248999999999995</v>
      </c>
      <c r="GO56">
        <v>24.720400000000001</v>
      </c>
      <c r="GP56">
        <v>800</v>
      </c>
      <c r="GQ56">
        <v>15.796900000000001</v>
      </c>
      <c r="GR56">
        <v>99.714500000000001</v>
      </c>
      <c r="GS56">
        <v>99.38</v>
      </c>
    </row>
    <row r="57" spans="1:201" x14ac:dyDescent="0.25">
      <c r="A57">
        <v>41</v>
      </c>
      <c r="B57">
        <v>1690374286</v>
      </c>
      <c r="C57">
        <v>466.5</v>
      </c>
      <c r="D57" t="s">
        <v>415</v>
      </c>
      <c r="E57" t="s">
        <v>416</v>
      </c>
      <c r="F57" t="s">
        <v>330</v>
      </c>
      <c r="H57">
        <v>1690374286</v>
      </c>
      <c r="I57">
        <f t="shared" si="0"/>
        <v>8.0991601935035188E-4</v>
      </c>
      <c r="J57">
        <f t="shared" si="1"/>
        <v>0.80991601935035185</v>
      </c>
      <c r="K57">
        <f t="shared" si="2"/>
        <v>13.137707057861016</v>
      </c>
      <c r="L57">
        <f t="shared" si="3"/>
        <v>663.29399999999998</v>
      </c>
      <c r="M57">
        <f t="shared" si="4"/>
        <v>250.70977066613074</v>
      </c>
      <c r="N57">
        <f t="shared" si="5"/>
        <v>24.773071432328813</v>
      </c>
      <c r="O57">
        <f t="shared" si="6"/>
        <v>65.541241567793989</v>
      </c>
      <c r="P57">
        <f t="shared" si="7"/>
        <v>5.296989572261384E-2</v>
      </c>
      <c r="Q57">
        <f t="shared" si="8"/>
        <v>2.2483449415609225</v>
      </c>
      <c r="R57">
        <f t="shared" si="9"/>
        <v>5.2286250311696945E-2</v>
      </c>
      <c r="S57">
        <f t="shared" si="10"/>
        <v>3.2739594112635925E-2</v>
      </c>
      <c r="T57">
        <f t="shared" si="11"/>
        <v>276.11196400120065</v>
      </c>
      <c r="U57">
        <f t="shared" si="12"/>
        <v>28.128730906758644</v>
      </c>
      <c r="V57">
        <f t="shared" si="13"/>
        <v>28.128730906758644</v>
      </c>
      <c r="W57">
        <f t="shared" si="14"/>
        <v>3.8234117203011966</v>
      </c>
      <c r="X57">
        <f t="shared" si="15"/>
        <v>68.0730650953344</v>
      </c>
      <c r="Y57">
        <f t="shared" si="16"/>
        <v>2.3405539459369997</v>
      </c>
      <c r="Z57">
        <f t="shared" si="17"/>
        <v>3.4382966929124175</v>
      </c>
      <c r="AA57">
        <f t="shared" si="18"/>
        <v>1.4828577743641969</v>
      </c>
      <c r="AB57">
        <f t="shared" si="19"/>
        <v>-35.717296453350521</v>
      </c>
      <c r="AC57">
        <f t="shared" si="20"/>
        <v>-219.47159216327017</v>
      </c>
      <c r="AD57">
        <f t="shared" si="21"/>
        <v>-21.113693540216303</v>
      </c>
      <c r="AE57">
        <f t="shared" si="22"/>
        <v>-0.19061815563634354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52277.229917202167</v>
      </c>
      <c r="AK57">
        <f t="shared" si="26"/>
        <v>1799.98</v>
      </c>
      <c r="AL57">
        <f t="shared" si="27"/>
        <v>1499.0947888061598</v>
      </c>
      <c r="AM57">
        <f t="shared" si="28"/>
        <v>0.83283969199999996</v>
      </c>
      <c r="AN57">
        <f t="shared" si="29"/>
        <v>0.15339723997000002</v>
      </c>
      <c r="AO57">
        <v>30</v>
      </c>
      <c r="AP57">
        <v>0.5</v>
      </c>
      <c r="AQ57" t="s">
        <v>331</v>
      </c>
      <c r="AR57">
        <v>2</v>
      </c>
      <c r="AS57">
        <v>1690374286</v>
      </c>
      <c r="AT57">
        <v>663.29399999999998</v>
      </c>
      <c r="AU57">
        <v>799.95299999999997</v>
      </c>
      <c r="AV57">
        <v>23.687000000000001</v>
      </c>
      <c r="AW57">
        <v>15.7849</v>
      </c>
      <c r="AX57">
        <v>664.57100000000003</v>
      </c>
      <c r="AY57">
        <v>23.504200000000001</v>
      </c>
      <c r="AZ57">
        <v>300.19799999999998</v>
      </c>
      <c r="BA57">
        <v>98.711699999999993</v>
      </c>
      <c r="BB57">
        <v>0.100051</v>
      </c>
      <c r="BC57">
        <v>26.318100000000001</v>
      </c>
      <c r="BD57">
        <v>26.952500000000001</v>
      </c>
      <c r="BE57">
        <v>28.0365</v>
      </c>
      <c r="BF57">
        <v>0</v>
      </c>
      <c r="BG57">
        <v>0</v>
      </c>
      <c r="BH57">
        <v>9992.5</v>
      </c>
      <c r="BI57">
        <v>1084.73</v>
      </c>
      <c r="BJ57">
        <v>1.4577199999999999</v>
      </c>
      <c r="BK57">
        <v>-136.65899999999999</v>
      </c>
      <c r="BL57">
        <v>679.38699999999994</v>
      </c>
      <c r="BM57">
        <v>812.78300000000002</v>
      </c>
      <c r="BN57">
        <v>7.9020799999999998</v>
      </c>
      <c r="BO57">
        <v>799.95299999999997</v>
      </c>
      <c r="BP57">
        <v>15.7849</v>
      </c>
      <c r="BQ57">
        <v>2.3381799999999999</v>
      </c>
      <c r="BR57">
        <v>1.5581499999999999</v>
      </c>
      <c r="BS57">
        <v>19.9419</v>
      </c>
      <c r="BT57">
        <v>13.5511</v>
      </c>
      <c r="BU57">
        <v>1799.98</v>
      </c>
      <c r="BV57">
        <v>0.909999</v>
      </c>
      <c r="BW57">
        <v>3.40004E-2</v>
      </c>
      <c r="BX57">
        <v>2.1997099999999999E-2</v>
      </c>
      <c r="BY57">
        <v>3.4003699999999998E-2</v>
      </c>
      <c r="BZ57">
        <v>24</v>
      </c>
      <c r="CA57">
        <v>33528.1</v>
      </c>
      <c r="CB57">
        <v>1690373417</v>
      </c>
      <c r="CC57" t="s">
        <v>332</v>
      </c>
      <c r="CD57">
        <v>1690373417</v>
      </c>
      <c r="CE57">
        <v>1690373415</v>
      </c>
      <c r="CF57">
        <v>1</v>
      </c>
      <c r="CG57">
        <v>-1.319</v>
      </c>
      <c r="CH57">
        <v>0.01</v>
      </c>
      <c r="CI57">
        <v>-1.371</v>
      </c>
      <c r="CJ57">
        <v>0.183</v>
      </c>
      <c r="CK57">
        <v>800</v>
      </c>
      <c r="CL57">
        <v>21</v>
      </c>
      <c r="CM57">
        <v>0.09</v>
      </c>
      <c r="CN57">
        <v>7.0000000000000007E-2</v>
      </c>
      <c r="CO57">
        <v>-132.16758536585371</v>
      </c>
      <c r="CP57">
        <v>-23.974850174216229</v>
      </c>
      <c r="CQ57">
        <v>2.3642037691842201</v>
      </c>
      <c r="CR57">
        <v>-1</v>
      </c>
      <c r="CS57">
        <v>7.7096821951219496</v>
      </c>
      <c r="CT57">
        <v>1.0915432055749279</v>
      </c>
      <c r="CU57">
        <v>0.108662388797062</v>
      </c>
      <c r="CV57">
        <v>-1</v>
      </c>
      <c r="CW57">
        <v>0</v>
      </c>
      <c r="CX57">
        <v>0</v>
      </c>
      <c r="CY57" t="s">
        <v>333</v>
      </c>
      <c r="CZ57">
        <v>2.3653300000000002</v>
      </c>
      <c r="DA57">
        <v>2.7138399999999998</v>
      </c>
      <c r="DB57">
        <v>0.12916</v>
      </c>
      <c r="DC57">
        <v>0.14603099999999999</v>
      </c>
      <c r="DD57">
        <v>0.112676</v>
      </c>
      <c r="DE57">
        <v>8.31234E-2</v>
      </c>
      <c r="DF57">
        <v>31796.400000000001</v>
      </c>
      <c r="DG57">
        <v>27483</v>
      </c>
      <c r="DH57">
        <v>31167.7</v>
      </c>
      <c r="DI57">
        <v>28039.8</v>
      </c>
      <c r="DJ57">
        <v>37538.300000000003</v>
      </c>
      <c r="DK57">
        <v>36533.199999999997</v>
      </c>
      <c r="DL57">
        <v>44347.9</v>
      </c>
      <c r="DM57">
        <v>42471.199999999997</v>
      </c>
      <c r="DN57">
        <v>1.4732700000000001</v>
      </c>
      <c r="DO57">
        <v>2.0928499999999999</v>
      </c>
      <c r="DP57">
        <v>0.11371100000000001</v>
      </c>
      <c r="DQ57">
        <v>0.186309</v>
      </c>
      <c r="DR57">
        <v>25.0899</v>
      </c>
      <c r="DS57">
        <v>24.987100000000002</v>
      </c>
      <c r="DT57">
        <v>68.599999999999994</v>
      </c>
      <c r="DU57">
        <v>24.1</v>
      </c>
      <c r="DV57">
        <v>20.94</v>
      </c>
      <c r="DW57">
        <v>62.240099999999998</v>
      </c>
      <c r="DX57">
        <v>35.729199999999999</v>
      </c>
      <c r="DY57">
        <v>1</v>
      </c>
      <c r="DZ57">
        <v>-0.155836</v>
      </c>
      <c r="EA57">
        <v>-0.24830099999999999</v>
      </c>
      <c r="EB57">
        <v>20.192</v>
      </c>
      <c r="EC57">
        <v>5.2431999999999999</v>
      </c>
      <c r="ED57">
        <v>12.039899999999999</v>
      </c>
      <c r="EE57">
        <v>5.0170500000000002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1.8687199999999999</v>
      </c>
      <c r="EL57">
        <v>1.86432</v>
      </c>
      <c r="EM57">
        <v>1.8690500000000001</v>
      </c>
      <c r="EN57">
        <v>1.86707</v>
      </c>
      <c r="EO57">
        <v>1.8631899999999999</v>
      </c>
      <c r="EP57">
        <v>1.8641700000000001</v>
      </c>
      <c r="EQ57">
        <v>1.86998</v>
      </c>
      <c r="ER57">
        <v>1.8692200000000001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-1.2769999999999999</v>
      </c>
      <c r="FG57">
        <v>0.18279999999999999</v>
      </c>
      <c r="FH57">
        <v>-0.81947142863283695</v>
      </c>
      <c r="FI57">
        <v>-6.1462078757559423E-4</v>
      </c>
      <c r="FJ57">
        <v>-1.8861989874597051E-7</v>
      </c>
      <c r="FK57">
        <v>1.1980462299894961E-10</v>
      </c>
      <c r="FL57">
        <v>0.18283500000000069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14.5</v>
      </c>
      <c r="FU57">
        <v>14.5</v>
      </c>
      <c r="FV57">
        <v>1.78101</v>
      </c>
      <c r="FW57">
        <v>2.5451700000000002</v>
      </c>
      <c r="FX57">
        <v>1.5490699999999999</v>
      </c>
      <c r="FY57">
        <v>2.34497</v>
      </c>
      <c r="FZ57">
        <v>1.50146</v>
      </c>
      <c r="GA57">
        <v>2.34009</v>
      </c>
      <c r="GB57">
        <v>29.857800000000001</v>
      </c>
      <c r="GC57">
        <v>23.991199999999999</v>
      </c>
      <c r="GD57">
        <v>19</v>
      </c>
      <c r="GE57">
        <v>278.05799999999999</v>
      </c>
      <c r="GF57">
        <v>620.75</v>
      </c>
      <c r="GG57">
        <v>24.739699999999999</v>
      </c>
      <c r="GH57">
        <v>25.499199999999998</v>
      </c>
      <c r="GI57">
        <v>30.0001</v>
      </c>
      <c r="GJ57">
        <v>25.536899999999999</v>
      </c>
      <c r="GK57">
        <v>25.4771</v>
      </c>
      <c r="GL57">
        <v>35.602200000000003</v>
      </c>
      <c r="GM57">
        <v>34.281999999999996</v>
      </c>
      <c r="GN57">
        <v>99.248999999999995</v>
      </c>
      <c r="GO57">
        <v>24.753799999999998</v>
      </c>
      <c r="GP57">
        <v>800</v>
      </c>
      <c r="GQ57">
        <v>15.6091</v>
      </c>
      <c r="GR57">
        <v>99.714600000000004</v>
      </c>
      <c r="GS57">
        <v>99.380300000000005</v>
      </c>
    </row>
    <row r="58" spans="1:201" x14ac:dyDescent="0.25">
      <c r="A58">
        <v>42</v>
      </c>
      <c r="B58">
        <v>1690374296</v>
      </c>
      <c r="C58">
        <v>476.5</v>
      </c>
      <c r="D58" t="s">
        <v>417</v>
      </c>
      <c r="E58" t="s">
        <v>418</v>
      </c>
      <c r="F58" t="s">
        <v>330</v>
      </c>
      <c r="H58">
        <v>1690374296</v>
      </c>
      <c r="I58">
        <f t="shared" si="0"/>
        <v>8.3027984507589398E-4</v>
      </c>
      <c r="J58">
        <f t="shared" si="1"/>
        <v>0.83027984507589403</v>
      </c>
      <c r="K58">
        <f t="shared" si="2"/>
        <v>13.526302257078664</v>
      </c>
      <c r="L58">
        <f t="shared" si="3"/>
        <v>659.41099999999994</v>
      </c>
      <c r="M58">
        <f t="shared" si="4"/>
        <v>245.7625795694446</v>
      </c>
      <c r="N58">
        <f t="shared" si="5"/>
        <v>24.284131037926336</v>
      </c>
      <c r="O58">
        <f t="shared" si="6"/>
        <v>65.157287817794995</v>
      </c>
      <c r="P58">
        <f t="shared" si="7"/>
        <v>5.4391845126840928E-2</v>
      </c>
      <c r="Q58">
        <f t="shared" si="8"/>
        <v>2.2480174947304103</v>
      </c>
      <c r="R58">
        <f t="shared" si="9"/>
        <v>5.3671168638353715E-2</v>
      </c>
      <c r="S58">
        <f t="shared" si="10"/>
        <v>3.3608434748316512E-2</v>
      </c>
      <c r="T58">
        <f t="shared" si="11"/>
        <v>276.11129196066781</v>
      </c>
      <c r="U58">
        <f t="shared" si="12"/>
        <v>28.119306297064057</v>
      </c>
      <c r="V58">
        <f t="shared" si="13"/>
        <v>28.119306297064057</v>
      </c>
      <c r="W58">
        <f t="shared" si="14"/>
        <v>3.8213135640897793</v>
      </c>
      <c r="X58">
        <f t="shared" si="15"/>
        <v>68.079841254378366</v>
      </c>
      <c r="Y58">
        <f t="shared" si="16"/>
        <v>2.3403862308629999</v>
      </c>
      <c r="Z58">
        <f t="shared" si="17"/>
        <v>3.4377081199678683</v>
      </c>
      <c r="AA58">
        <f t="shared" si="18"/>
        <v>1.4809273332267794</v>
      </c>
      <c r="AB58">
        <f t="shared" si="19"/>
        <v>-36.615341167846921</v>
      </c>
      <c r="AC58">
        <f t="shared" si="20"/>
        <v>-218.64887767868055</v>
      </c>
      <c r="AD58">
        <f t="shared" si="21"/>
        <v>-21.036313552640781</v>
      </c>
      <c r="AE58">
        <f t="shared" si="22"/>
        <v>-0.18924043850046246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52264.977150523315</v>
      </c>
      <c r="AK58">
        <f t="shared" si="26"/>
        <v>1799.98</v>
      </c>
      <c r="AL58">
        <f t="shared" si="27"/>
        <v>1499.09622699018</v>
      </c>
      <c r="AM58">
        <f t="shared" si="28"/>
        <v>0.83284049100000002</v>
      </c>
      <c r="AN58">
        <f t="shared" si="29"/>
        <v>0.15339686661000002</v>
      </c>
      <c r="AO58">
        <v>30</v>
      </c>
      <c r="AP58">
        <v>0.5</v>
      </c>
      <c r="AQ58" t="s">
        <v>331</v>
      </c>
      <c r="AR58">
        <v>2</v>
      </c>
      <c r="AS58">
        <v>1690374296</v>
      </c>
      <c r="AT58">
        <v>659.41099999999994</v>
      </c>
      <c r="AU58">
        <v>800.05100000000004</v>
      </c>
      <c r="AV58">
        <v>23.685400000000001</v>
      </c>
      <c r="AW58">
        <v>15.584899999999999</v>
      </c>
      <c r="AX58">
        <v>660.68399999999997</v>
      </c>
      <c r="AY58">
        <v>23.502600000000001</v>
      </c>
      <c r="AZ58">
        <v>300.209</v>
      </c>
      <c r="BA58">
        <v>98.711299999999994</v>
      </c>
      <c r="BB58">
        <v>0.100045</v>
      </c>
      <c r="BC58">
        <v>26.315200000000001</v>
      </c>
      <c r="BD58">
        <v>26.973099999999999</v>
      </c>
      <c r="BE58">
        <v>28.032900000000001</v>
      </c>
      <c r="BF58">
        <v>0</v>
      </c>
      <c r="BG58">
        <v>0</v>
      </c>
      <c r="BH58">
        <v>9990</v>
      </c>
      <c r="BI58">
        <v>1084.55</v>
      </c>
      <c r="BJ58">
        <v>1.4577199999999999</v>
      </c>
      <c r="BK58">
        <v>-140.64099999999999</v>
      </c>
      <c r="BL58">
        <v>675.40800000000002</v>
      </c>
      <c r="BM58">
        <v>812.71699999999998</v>
      </c>
      <c r="BN58">
        <v>8.1004799999999992</v>
      </c>
      <c r="BO58">
        <v>800.05100000000004</v>
      </c>
      <c r="BP58">
        <v>15.584899999999999</v>
      </c>
      <c r="BQ58">
        <v>2.3380200000000002</v>
      </c>
      <c r="BR58">
        <v>1.5384100000000001</v>
      </c>
      <c r="BS58">
        <v>19.9407</v>
      </c>
      <c r="BT58">
        <v>13.3553</v>
      </c>
      <c r="BU58">
        <v>1799.98</v>
      </c>
      <c r="BV58">
        <v>0.91001200000000004</v>
      </c>
      <c r="BW58">
        <v>3.3995400000000002E-2</v>
      </c>
      <c r="BX58">
        <v>2.1993800000000001E-2</v>
      </c>
      <c r="BY58">
        <v>3.39987E-2</v>
      </c>
      <c r="BZ58">
        <v>24</v>
      </c>
      <c r="CA58">
        <v>33528.1</v>
      </c>
      <c r="CB58">
        <v>1690373417</v>
      </c>
      <c r="CC58" t="s">
        <v>332</v>
      </c>
      <c r="CD58">
        <v>1690373417</v>
      </c>
      <c r="CE58">
        <v>1690373415</v>
      </c>
      <c r="CF58">
        <v>1</v>
      </c>
      <c r="CG58">
        <v>-1.319</v>
      </c>
      <c r="CH58">
        <v>0.01</v>
      </c>
      <c r="CI58">
        <v>-1.371</v>
      </c>
      <c r="CJ58">
        <v>0.183</v>
      </c>
      <c r="CK58">
        <v>800</v>
      </c>
      <c r="CL58">
        <v>21</v>
      </c>
      <c r="CM58">
        <v>0.09</v>
      </c>
      <c r="CN58">
        <v>7.0000000000000007E-2</v>
      </c>
      <c r="CO58">
        <v>-136.41862499999999</v>
      </c>
      <c r="CP58">
        <v>-23.562157598498739</v>
      </c>
      <c r="CQ58">
        <v>2.266724417386242</v>
      </c>
      <c r="CR58">
        <v>-1</v>
      </c>
      <c r="CS58">
        <v>7.9044562500000008</v>
      </c>
      <c r="CT58">
        <v>1.0365607879925001</v>
      </c>
      <c r="CU58">
        <v>0.1001832550551114</v>
      </c>
      <c r="CV58">
        <v>-1</v>
      </c>
      <c r="CW58">
        <v>0</v>
      </c>
      <c r="CX58">
        <v>0</v>
      </c>
      <c r="CY58" t="s">
        <v>333</v>
      </c>
      <c r="CZ58">
        <v>2.36537</v>
      </c>
      <c r="DA58">
        <v>2.7138300000000002</v>
      </c>
      <c r="DB58">
        <v>0.128637</v>
      </c>
      <c r="DC58">
        <v>0.146038</v>
      </c>
      <c r="DD58">
        <v>0.11267000000000001</v>
      </c>
      <c r="DE58">
        <v>8.2353499999999996E-2</v>
      </c>
      <c r="DF58">
        <v>31815.8</v>
      </c>
      <c r="DG58">
        <v>27483.3</v>
      </c>
      <c r="DH58">
        <v>31168</v>
      </c>
      <c r="DI58">
        <v>28040.3</v>
      </c>
      <c r="DJ58">
        <v>37538.699999999997</v>
      </c>
      <c r="DK58">
        <v>36564.699999999997</v>
      </c>
      <c r="DL58">
        <v>44348.2</v>
      </c>
      <c r="DM58">
        <v>42471.9</v>
      </c>
      <c r="DN58">
        <v>1.47333</v>
      </c>
      <c r="DO58">
        <v>2.0924700000000001</v>
      </c>
      <c r="DP58">
        <v>0.115328</v>
      </c>
      <c r="DQ58">
        <v>0.186309</v>
      </c>
      <c r="DR58">
        <v>25.084099999999999</v>
      </c>
      <c r="DS58">
        <v>24.983499999999999</v>
      </c>
      <c r="DT58">
        <v>68.599999999999994</v>
      </c>
      <c r="DU58">
        <v>24.1</v>
      </c>
      <c r="DV58">
        <v>20.938600000000001</v>
      </c>
      <c r="DW58">
        <v>61.930100000000003</v>
      </c>
      <c r="DX58">
        <v>36.009599999999999</v>
      </c>
      <c r="DY58">
        <v>1</v>
      </c>
      <c r="DZ58">
        <v>-0.156138</v>
      </c>
      <c r="EA58">
        <v>-0.30353999999999998</v>
      </c>
      <c r="EB58">
        <v>20.191500000000001</v>
      </c>
      <c r="EC58">
        <v>5.2436499999999997</v>
      </c>
      <c r="ED58">
        <v>12.039899999999999</v>
      </c>
      <c r="EE58">
        <v>5.0169499999999996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1.86873</v>
      </c>
      <c r="EL58">
        <v>1.86433</v>
      </c>
      <c r="EM58">
        <v>1.8690500000000001</v>
      </c>
      <c r="EN58">
        <v>1.86707</v>
      </c>
      <c r="EO58">
        <v>1.8632200000000001</v>
      </c>
      <c r="EP58">
        <v>1.8641700000000001</v>
      </c>
      <c r="EQ58">
        <v>1.86998</v>
      </c>
      <c r="ER58">
        <v>1.86921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-1.2729999999999999</v>
      </c>
      <c r="FG58">
        <v>0.18279999999999999</v>
      </c>
      <c r="FH58">
        <v>-0.81947142863283695</v>
      </c>
      <c r="FI58">
        <v>-6.1462078757559423E-4</v>
      </c>
      <c r="FJ58">
        <v>-1.8861989874597051E-7</v>
      </c>
      <c r="FK58">
        <v>1.1980462299894961E-10</v>
      </c>
      <c r="FL58">
        <v>0.18283500000000069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14.7</v>
      </c>
      <c r="FU58">
        <v>14.7</v>
      </c>
      <c r="FV58">
        <v>1.77979</v>
      </c>
      <c r="FW58">
        <v>2.5537100000000001</v>
      </c>
      <c r="FX58">
        <v>1.5490699999999999</v>
      </c>
      <c r="FY58">
        <v>2.34497</v>
      </c>
      <c r="FZ58">
        <v>1.50146</v>
      </c>
      <c r="GA58">
        <v>2.32422</v>
      </c>
      <c r="GB58">
        <v>29.857800000000001</v>
      </c>
      <c r="GC58">
        <v>23.991199999999999</v>
      </c>
      <c r="GD58">
        <v>19</v>
      </c>
      <c r="GE58">
        <v>278.07900000000001</v>
      </c>
      <c r="GF58">
        <v>620.45799999999997</v>
      </c>
      <c r="GG58">
        <v>24.783999999999999</v>
      </c>
      <c r="GH58">
        <v>25.4954</v>
      </c>
      <c r="GI58">
        <v>29.9999</v>
      </c>
      <c r="GJ58">
        <v>25.536899999999999</v>
      </c>
      <c r="GK58">
        <v>25.479800000000001</v>
      </c>
      <c r="GL58">
        <v>35.598599999999998</v>
      </c>
      <c r="GM58">
        <v>35.131599999999999</v>
      </c>
      <c r="GN58">
        <v>98.872699999999995</v>
      </c>
      <c r="GO58">
        <v>24.7928</v>
      </c>
      <c r="GP58">
        <v>800</v>
      </c>
      <c r="GQ58">
        <v>15.4217</v>
      </c>
      <c r="GR58">
        <v>99.715199999999996</v>
      </c>
      <c r="GS58">
        <v>99.382199999999997</v>
      </c>
    </row>
    <row r="59" spans="1:201" x14ac:dyDescent="0.25">
      <c r="A59">
        <v>43</v>
      </c>
      <c r="B59">
        <v>1690374306</v>
      </c>
      <c r="C59">
        <v>486.5</v>
      </c>
      <c r="D59" t="s">
        <v>419</v>
      </c>
      <c r="E59" t="s">
        <v>420</v>
      </c>
      <c r="F59" t="s">
        <v>330</v>
      </c>
      <c r="H59">
        <v>1690374306</v>
      </c>
      <c r="I59">
        <f t="shared" si="0"/>
        <v>8.505668967873748E-4</v>
      </c>
      <c r="J59">
        <f t="shared" si="1"/>
        <v>0.85056689678737485</v>
      </c>
      <c r="K59">
        <f t="shared" si="2"/>
        <v>13.901167056328287</v>
      </c>
      <c r="L59">
        <f t="shared" si="3"/>
        <v>655.47500000000002</v>
      </c>
      <c r="M59">
        <f t="shared" si="4"/>
        <v>240.99275824998503</v>
      </c>
      <c r="N59">
        <f t="shared" si="5"/>
        <v>23.812579609521787</v>
      </c>
      <c r="O59">
        <f t="shared" si="6"/>
        <v>64.767716394865019</v>
      </c>
      <c r="P59">
        <f t="shared" si="7"/>
        <v>5.5783267312949962E-2</v>
      </c>
      <c r="Q59">
        <f t="shared" si="8"/>
        <v>2.2496162284973478</v>
      </c>
      <c r="R59">
        <f t="shared" si="9"/>
        <v>5.5026054915481917E-2</v>
      </c>
      <c r="S59">
        <f t="shared" si="10"/>
        <v>3.4458460501535067E-2</v>
      </c>
      <c r="T59">
        <f t="shared" si="11"/>
        <v>276.11299667638536</v>
      </c>
      <c r="U59">
        <f t="shared" si="12"/>
        <v>28.114308965087584</v>
      </c>
      <c r="V59">
        <f t="shared" si="13"/>
        <v>28.114308965087584</v>
      </c>
      <c r="W59">
        <f t="shared" si="14"/>
        <v>3.8202014393120574</v>
      </c>
      <c r="X59">
        <f t="shared" si="15"/>
        <v>68.070090593489027</v>
      </c>
      <c r="Y59">
        <f t="shared" si="16"/>
        <v>2.34045167373842</v>
      </c>
      <c r="Z59">
        <f t="shared" si="17"/>
        <v>3.4382966929124175</v>
      </c>
      <c r="AA59">
        <f t="shared" si="18"/>
        <v>1.4797497655736374</v>
      </c>
      <c r="AB59">
        <f t="shared" si="19"/>
        <v>-37.510000148323229</v>
      </c>
      <c r="AC59">
        <f t="shared" si="20"/>
        <v>-217.84657651849474</v>
      </c>
      <c r="AD59">
        <f t="shared" si="21"/>
        <v>-20.944007635687623</v>
      </c>
      <c r="AE59">
        <f t="shared" si="22"/>
        <v>-0.18758762612023361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52326.721060692842</v>
      </c>
      <c r="AK59">
        <f t="shared" si="26"/>
        <v>1799.99</v>
      </c>
      <c r="AL59">
        <f t="shared" si="27"/>
        <v>1499.1031622028302</v>
      </c>
      <c r="AM59">
        <f t="shared" si="28"/>
        <v>0.83283971700000003</v>
      </c>
      <c r="AN59">
        <f t="shared" si="29"/>
        <v>0.15339696147000004</v>
      </c>
      <c r="AO59">
        <v>30</v>
      </c>
      <c r="AP59">
        <v>0.5</v>
      </c>
      <c r="AQ59" t="s">
        <v>331</v>
      </c>
      <c r="AR59">
        <v>2</v>
      </c>
      <c r="AS59">
        <v>1690374306</v>
      </c>
      <c r="AT59">
        <v>655.47500000000002</v>
      </c>
      <c r="AU59">
        <v>799.99400000000003</v>
      </c>
      <c r="AV59">
        <v>23.686299999999999</v>
      </c>
      <c r="AW59">
        <v>15.385999999999999</v>
      </c>
      <c r="AX59">
        <v>656.745</v>
      </c>
      <c r="AY59">
        <v>23.503399999999999</v>
      </c>
      <c r="AZ59">
        <v>300.14100000000002</v>
      </c>
      <c r="BA59">
        <v>98.710400000000007</v>
      </c>
      <c r="BB59">
        <v>9.9953399999999998E-2</v>
      </c>
      <c r="BC59">
        <v>26.318100000000001</v>
      </c>
      <c r="BD59">
        <v>26.9816</v>
      </c>
      <c r="BE59">
        <v>28.0395</v>
      </c>
      <c r="BF59">
        <v>0</v>
      </c>
      <c r="BG59">
        <v>0</v>
      </c>
      <c r="BH59">
        <v>10002.5</v>
      </c>
      <c r="BI59">
        <v>1084.3599999999999</v>
      </c>
      <c r="BJ59">
        <v>1.4577199999999999</v>
      </c>
      <c r="BK59">
        <v>-144.51900000000001</v>
      </c>
      <c r="BL59">
        <v>671.37699999999995</v>
      </c>
      <c r="BM59">
        <v>812.495</v>
      </c>
      <c r="BN59">
        <v>8.3003</v>
      </c>
      <c r="BO59">
        <v>799.99400000000003</v>
      </c>
      <c r="BP59">
        <v>15.385999999999999</v>
      </c>
      <c r="BQ59">
        <v>2.3380800000000002</v>
      </c>
      <c r="BR59">
        <v>1.5187600000000001</v>
      </c>
      <c r="BS59">
        <v>19.941199999999998</v>
      </c>
      <c r="BT59">
        <v>13.158300000000001</v>
      </c>
      <c r="BU59">
        <v>1799.99</v>
      </c>
      <c r="BV59">
        <v>0.91000800000000004</v>
      </c>
      <c r="BW59">
        <v>3.4004100000000002E-2</v>
      </c>
      <c r="BX59">
        <v>2.19946E-2</v>
      </c>
      <c r="BY59">
        <v>3.3993099999999998E-2</v>
      </c>
      <c r="BZ59">
        <v>24</v>
      </c>
      <c r="CA59">
        <v>33528.199999999997</v>
      </c>
      <c r="CB59">
        <v>1690373417</v>
      </c>
      <c r="CC59" t="s">
        <v>332</v>
      </c>
      <c r="CD59">
        <v>1690373417</v>
      </c>
      <c r="CE59">
        <v>1690373415</v>
      </c>
      <c r="CF59">
        <v>1</v>
      </c>
      <c r="CG59">
        <v>-1.319</v>
      </c>
      <c r="CH59">
        <v>0.01</v>
      </c>
      <c r="CI59">
        <v>-1.371</v>
      </c>
      <c r="CJ59">
        <v>0.183</v>
      </c>
      <c r="CK59">
        <v>800</v>
      </c>
      <c r="CL59">
        <v>21</v>
      </c>
      <c r="CM59">
        <v>0.09</v>
      </c>
      <c r="CN59">
        <v>7.0000000000000007E-2</v>
      </c>
      <c r="CO59">
        <v>-140.34485000000001</v>
      </c>
      <c r="CP59">
        <v>-23.575519699812151</v>
      </c>
      <c r="CQ59">
        <v>2.2679474701809128</v>
      </c>
      <c r="CR59">
        <v>-1</v>
      </c>
      <c r="CS59">
        <v>8.0876507499999999</v>
      </c>
      <c r="CT59">
        <v>1.182706829268277</v>
      </c>
      <c r="CU59">
        <v>0.1138257540143596</v>
      </c>
      <c r="CV59">
        <v>-1</v>
      </c>
      <c r="CW59">
        <v>0</v>
      </c>
      <c r="CX59">
        <v>0</v>
      </c>
      <c r="CY59" t="s">
        <v>333</v>
      </c>
      <c r="CZ59">
        <v>2.3651800000000001</v>
      </c>
      <c r="DA59">
        <v>2.7137500000000001</v>
      </c>
      <c r="DB59">
        <v>0.128105</v>
      </c>
      <c r="DC59">
        <v>0.14602499999999999</v>
      </c>
      <c r="DD59">
        <v>0.11267199999999999</v>
      </c>
      <c r="DE59">
        <v>8.1583600000000006E-2</v>
      </c>
      <c r="DF59">
        <v>31835.4</v>
      </c>
      <c r="DG59">
        <v>27484.1</v>
      </c>
      <c r="DH59">
        <v>31168.1</v>
      </c>
      <c r="DI59">
        <v>28040.7</v>
      </c>
      <c r="DJ59">
        <v>37538.800000000003</v>
      </c>
      <c r="DK59">
        <v>36596.1</v>
      </c>
      <c r="DL59">
        <v>44348.5</v>
      </c>
      <c r="DM59">
        <v>42472.800000000003</v>
      </c>
      <c r="DN59">
        <v>1.4733000000000001</v>
      </c>
      <c r="DO59">
        <v>2.0919300000000001</v>
      </c>
      <c r="DP59">
        <v>0.11604299999999999</v>
      </c>
      <c r="DQ59">
        <v>0.18684600000000001</v>
      </c>
      <c r="DR59">
        <v>25.0809</v>
      </c>
      <c r="DS59">
        <v>24.981400000000001</v>
      </c>
      <c r="DT59">
        <v>68.599999999999994</v>
      </c>
      <c r="DU59">
        <v>24.1</v>
      </c>
      <c r="DV59">
        <v>20.9421</v>
      </c>
      <c r="DW59">
        <v>62.010100000000001</v>
      </c>
      <c r="DX59">
        <v>36.859000000000002</v>
      </c>
      <c r="DY59">
        <v>1</v>
      </c>
      <c r="DZ59">
        <v>-0.15645600000000001</v>
      </c>
      <c r="EA59">
        <v>-0.29098600000000002</v>
      </c>
      <c r="EB59">
        <v>20.191500000000001</v>
      </c>
      <c r="EC59">
        <v>5.2436499999999997</v>
      </c>
      <c r="ED59">
        <v>12.039899999999999</v>
      </c>
      <c r="EE59">
        <v>5.01715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1.8687400000000001</v>
      </c>
      <c r="EL59">
        <v>1.8643400000000001</v>
      </c>
      <c r="EM59">
        <v>1.8690500000000001</v>
      </c>
      <c r="EN59">
        <v>1.8670599999999999</v>
      </c>
      <c r="EO59">
        <v>1.8632</v>
      </c>
      <c r="EP59">
        <v>1.8641700000000001</v>
      </c>
      <c r="EQ59">
        <v>1.86998</v>
      </c>
      <c r="ER59">
        <v>1.8692200000000001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-1.27</v>
      </c>
      <c r="FG59">
        <v>0.18290000000000001</v>
      </c>
      <c r="FH59">
        <v>-0.81947142863283695</v>
      </c>
      <c r="FI59">
        <v>-6.1462078757559423E-4</v>
      </c>
      <c r="FJ59">
        <v>-1.8861989874597051E-7</v>
      </c>
      <c r="FK59">
        <v>1.1980462299894961E-10</v>
      </c>
      <c r="FL59">
        <v>0.18283500000000069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14.8</v>
      </c>
      <c r="FU59">
        <v>14.8</v>
      </c>
      <c r="FV59">
        <v>1.77979</v>
      </c>
      <c r="FW59">
        <v>2.5463900000000002</v>
      </c>
      <c r="FX59">
        <v>1.5490699999999999</v>
      </c>
      <c r="FY59">
        <v>2.34619</v>
      </c>
      <c r="FZ59">
        <v>1.50146</v>
      </c>
      <c r="GA59">
        <v>2.3852500000000001</v>
      </c>
      <c r="GB59">
        <v>29.879200000000001</v>
      </c>
      <c r="GC59">
        <v>23.991199999999999</v>
      </c>
      <c r="GD59">
        <v>19</v>
      </c>
      <c r="GE59">
        <v>278.06900000000002</v>
      </c>
      <c r="GF59">
        <v>620.00199999999995</v>
      </c>
      <c r="GG59">
        <v>24.813300000000002</v>
      </c>
      <c r="GH59">
        <v>25.4922</v>
      </c>
      <c r="GI59">
        <v>30.0001</v>
      </c>
      <c r="GJ59">
        <v>25.536899999999999</v>
      </c>
      <c r="GK59">
        <v>25.481400000000001</v>
      </c>
      <c r="GL59">
        <v>35.5946</v>
      </c>
      <c r="GM59">
        <v>35.976100000000002</v>
      </c>
      <c r="GN59">
        <v>98.491100000000003</v>
      </c>
      <c r="GO59">
        <v>24.824000000000002</v>
      </c>
      <c r="GP59">
        <v>800</v>
      </c>
      <c r="GQ59">
        <v>15.2286</v>
      </c>
      <c r="GR59">
        <v>99.715900000000005</v>
      </c>
      <c r="GS59">
        <v>99.383899999999997</v>
      </c>
    </row>
    <row r="60" spans="1:201" x14ac:dyDescent="0.25">
      <c r="A60">
        <v>44</v>
      </c>
      <c r="B60">
        <v>1690374316</v>
      </c>
      <c r="C60">
        <v>496.5</v>
      </c>
      <c r="D60" t="s">
        <v>421</v>
      </c>
      <c r="E60" t="s">
        <v>422</v>
      </c>
      <c r="F60" t="s">
        <v>330</v>
      </c>
      <c r="H60">
        <v>1690374316</v>
      </c>
      <c r="I60">
        <f t="shared" si="0"/>
        <v>8.7002973886006474E-4</v>
      </c>
      <c r="J60">
        <f t="shared" si="1"/>
        <v>0.87002973886006474</v>
      </c>
      <c r="K60">
        <f t="shared" si="2"/>
        <v>14.29076217346238</v>
      </c>
      <c r="L60">
        <f t="shared" si="3"/>
        <v>651.601</v>
      </c>
      <c r="M60">
        <f t="shared" si="4"/>
        <v>235.40472938924341</v>
      </c>
      <c r="N60">
        <f t="shared" si="5"/>
        <v>23.261077186135211</v>
      </c>
      <c r="O60">
        <f t="shared" si="6"/>
        <v>64.386731714725997</v>
      </c>
      <c r="P60">
        <f t="shared" si="7"/>
        <v>5.710244432625642E-2</v>
      </c>
      <c r="Q60">
        <f t="shared" si="8"/>
        <v>2.2499733567417635</v>
      </c>
      <c r="R60">
        <f t="shared" si="9"/>
        <v>5.6309393550885503E-2</v>
      </c>
      <c r="S60">
        <f t="shared" si="10"/>
        <v>3.5263705831575065E-2</v>
      </c>
      <c r="T60">
        <f t="shared" si="11"/>
        <v>276.11335110178817</v>
      </c>
      <c r="U60">
        <f t="shared" si="12"/>
        <v>28.112782762864384</v>
      </c>
      <c r="V60">
        <f t="shared" si="13"/>
        <v>28.112782762864384</v>
      </c>
      <c r="W60">
        <f t="shared" si="14"/>
        <v>3.8198618489036651</v>
      </c>
      <c r="X60">
        <f t="shared" si="15"/>
        <v>68.056566965096508</v>
      </c>
      <c r="Y60">
        <f t="shared" si="16"/>
        <v>2.3407050913131999</v>
      </c>
      <c r="Z60">
        <f t="shared" si="17"/>
        <v>3.4393522854505045</v>
      </c>
      <c r="AA60">
        <f t="shared" si="18"/>
        <v>1.4791567575904652</v>
      </c>
      <c r="AB60">
        <f t="shared" si="19"/>
        <v>-38.368311483728853</v>
      </c>
      <c r="AC60">
        <f t="shared" si="20"/>
        <v>-217.06526770343544</v>
      </c>
      <c r="AD60">
        <f t="shared" si="21"/>
        <v>-20.865960935019494</v>
      </c>
      <c r="AE60">
        <f t="shared" si="22"/>
        <v>-0.18618902039563068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52339.786008921976</v>
      </c>
      <c r="AK60">
        <f t="shared" si="26"/>
        <v>1799.98</v>
      </c>
      <c r="AL60">
        <f t="shared" si="27"/>
        <v>1499.0964393878198</v>
      </c>
      <c r="AM60">
        <f t="shared" si="28"/>
        <v>0.8328406089999999</v>
      </c>
      <c r="AN60">
        <f t="shared" si="29"/>
        <v>0.15339801058999999</v>
      </c>
      <c r="AO60">
        <v>30</v>
      </c>
      <c r="AP60">
        <v>0.5</v>
      </c>
      <c r="AQ60" t="s">
        <v>331</v>
      </c>
      <c r="AR60">
        <v>2</v>
      </c>
      <c r="AS60">
        <v>1690374316</v>
      </c>
      <c r="AT60">
        <v>651.601</v>
      </c>
      <c r="AU60">
        <v>800.05700000000002</v>
      </c>
      <c r="AV60">
        <v>23.688199999999998</v>
      </c>
      <c r="AW60">
        <v>15.200900000000001</v>
      </c>
      <c r="AX60">
        <v>652.86900000000003</v>
      </c>
      <c r="AY60">
        <v>23.505400000000002</v>
      </c>
      <c r="AZ60">
        <v>300.24400000000003</v>
      </c>
      <c r="BA60">
        <v>98.713099999999997</v>
      </c>
      <c r="BB60">
        <v>0.100026</v>
      </c>
      <c r="BC60">
        <v>26.3233</v>
      </c>
      <c r="BD60">
        <v>26.9938</v>
      </c>
      <c r="BE60">
        <v>28.039400000000001</v>
      </c>
      <c r="BF60">
        <v>0</v>
      </c>
      <c r="BG60">
        <v>0</v>
      </c>
      <c r="BH60">
        <v>10005</v>
      </c>
      <c r="BI60">
        <v>1084.21</v>
      </c>
      <c r="BJ60">
        <v>1.4577199999999999</v>
      </c>
      <c r="BK60">
        <v>-148.45599999999999</v>
      </c>
      <c r="BL60">
        <v>667.41099999999994</v>
      </c>
      <c r="BM60">
        <v>812.40599999999995</v>
      </c>
      <c r="BN60">
        <v>8.4872700000000005</v>
      </c>
      <c r="BO60">
        <v>800.05700000000002</v>
      </c>
      <c r="BP60">
        <v>15.200900000000001</v>
      </c>
      <c r="BQ60">
        <v>2.3383400000000001</v>
      </c>
      <c r="BR60">
        <v>1.5005299999999999</v>
      </c>
      <c r="BS60">
        <v>19.942900000000002</v>
      </c>
      <c r="BT60">
        <v>12.973599999999999</v>
      </c>
      <c r="BU60">
        <v>1799.98</v>
      </c>
      <c r="BV60">
        <v>0.90999799999999997</v>
      </c>
      <c r="BW60">
        <v>3.4005399999999998E-2</v>
      </c>
      <c r="BX60">
        <v>2.2008199999999999E-2</v>
      </c>
      <c r="BY60">
        <v>3.3988499999999998E-2</v>
      </c>
      <c r="BZ60">
        <v>24</v>
      </c>
      <c r="CA60">
        <v>33527.9</v>
      </c>
      <c r="CB60">
        <v>1690373417</v>
      </c>
      <c r="CC60" t="s">
        <v>332</v>
      </c>
      <c r="CD60">
        <v>1690373417</v>
      </c>
      <c r="CE60">
        <v>1690373415</v>
      </c>
      <c r="CF60">
        <v>1</v>
      </c>
      <c r="CG60">
        <v>-1.319</v>
      </c>
      <c r="CH60">
        <v>0.01</v>
      </c>
      <c r="CI60">
        <v>-1.371</v>
      </c>
      <c r="CJ60">
        <v>0.183</v>
      </c>
      <c r="CK60">
        <v>800</v>
      </c>
      <c r="CL60">
        <v>21</v>
      </c>
      <c r="CM60">
        <v>0.09</v>
      </c>
      <c r="CN60">
        <v>7.0000000000000007E-2</v>
      </c>
      <c r="CO60">
        <v>-144.353243902439</v>
      </c>
      <c r="CP60">
        <v>-23.35317073170755</v>
      </c>
      <c r="CQ60">
        <v>2.302700427234242</v>
      </c>
      <c r="CR60">
        <v>-1</v>
      </c>
      <c r="CS60">
        <v>8.2859400000000001</v>
      </c>
      <c r="CT60">
        <v>1.1454999303135971</v>
      </c>
      <c r="CU60">
        <v>0.1129901926458502</v>
      </c>
      <c r="CV60">
        <v>-1</v>
      </c>
      <c r="CW60">
        <v>0</v>
      </c>
      <c r="CX60">
        <v>0</v>
      </c>
      <c r="CY60" t="s">
        <v>333</v>
      </c>
      <c r="CZ60">
        <v>2.3654999999999999</v>
      </c>
      <c r="DA60">
        <v>2.7138200000000001</v>
      </c>
      <c r="DB60">
        <v>0.127584</v>
      </c>
      <c r="DC60">
        <v>0.146033</v>
      </c>
      <c r="DD60">
        <v>0.112681</v>
      </c>
      <c r="DE60">
        <v>8.0866900000000005E-2</v>
      </c>
      <c r="DF60">
        <v>31854.7</v>
      </c>
      <c r="DG60">
        <v>27484.3</v>
      </c>
      <c r="DH60">
        <v>31168.400000000001</v>
      </c>
      <c r="DI60">
        <v>28041.1</v>
      </c>
      <c r="DJ60">
        <v>37538.9</v>
      </c>
      <c r="DK60">
        <v>36625.300000000003</v>
      </c>
      <c r="DL60">
        <v>44349.1</v>
      </c>
      <c r="DM60">
        <v>42473.4</v>
      </c>
      <c r="DN60">
        <v>1.4733000000000001</v>
      </c>
      <c r="DO60">
        <v>2.0914199999999998</v>
      </c>
      <c r="DP60">
        <v>0.116937</v>
      </c>
      <c r="DQ60">
        <v>0.186838</v>
      </c>
      <c r="DR60">
        <v>25.078399999999998</v>
      </c>
      <c r="DS60">
        <v>24.981400000000001</v>
      </c>
      <c r="DT60">
        <v>68.5</v>
      </c>
      <c r="DU60">
        <v>24.1</v>
      </c>
      <c r="DV60">
        <v>20.9055</v>
      </c>
      <c r="DW60">
        <v>61.970100000000002</v>
      </c>
      <c r="DX60">
        <v>35.793300000000002</v>
      </c>
      <c r="DY60">
        <v>1</v>
      </c>
      <c r="DZ60">
        <v>-0.15672</v>
      </c>
      <c r="EA60">
        <v>-0.32412600000000003</v>
      </c>
      <c r="EB60">
        <v>20.191500000000001</v>
      </c>
      <c r="EC60">
        <v>5.2438000000000002</v>
      </c>
      <c r="ED60">
        <v>12.039899999999999</v>
      </c>
      <c r="EE60">
        <v>5.0171999999999999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1.86873</v>
      </c>
      <c r="EL60">
        <v>1.8643400000000001</v>
      </c>
      <c r="EM60">
        <v>1.8690500000000001</v>
      </c>
      <c r="EN60">
        <v>1.8670599999999999</v>
      </c>
      <c r="EO60">
        <v>1.8632</v>
      </c>
      <c r="EP60">
        <v>1.8641700000000001</v>
      </c>
      <c r="EQ60">
        <v>1.8699600000000001</v>
      </c>
      <c r="ER60">
        <v>1.8692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-1.268</v>
      </c>
      <c r="FG60">
        <v>0.18279999999999999</v>
      </c>
      <c r="FH60">
        <v>-0.81947142863283695</v>
      </c>
      <c r="FI60">
        <v>-6.1462078757559423E-4</v>
      </c>
      <c r="FJ60">
        <v>-1.8861989874597051E-7</v>
      </c>
      <c r="FK60">
        <v>1.1980462299894961E-10</v>
      </c>
      <c r="FL60">
        <v>0.18283500000000069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15</v>
      </c>
      <c r="FU60">
        <v>15</v>
      </c>
      <c r="FV60">
        <v>1.77979</v>
      </c>
      <c r="FW60">
        <v>2.5476100000000002</v>
      </c>
      <c r="FX60">
        <v>1.5490699999999999</v>
      </c>
      <c r="FY60">
        <v>2.34497</v>
      </c>
      <c r="FZ60">
        <v>1.50146</v>
      </c>
      <c r="GA60">
        <v>2.31934</v>
      </c>
      <c r="GB60">
        <v>29.879200000000001</v>
      </c>
      <c r="GC60">
        <v>23.991199999999999</v>
      </c>
      <c r="GD60">
        <v>19</v>
      </c>
      <c r="GE60">
        <v>278.07799999999997</v>
      </c>
      <c r="GF60">
        <v>619.58900000000006</v>
      </c>
      <c r="GG60">
        <v>24.8447</v>
      </c>
      <c r="GH60">
        <v>25.488099999999999</v>
      </c>
      <c r="GI60">
        <v>29.9999</v>
      </c>
      <c r="GJ60">
        <v>25.539000000000001</v>
      </c>
      <c r="GK60">
        <v>25.483000000000001</v>
      </c>
      <c r="GL60">
        <v>35.588200000000001</v>
      </c>
      <c r="GM60">
        <v>36.5565</v>
      </c>
      <c r="GN60">
        <v>98.491100000000003</v>
      </c>
      <c r="GO60">
        <v>24.859000000000002</v>
      </c>
      <c r="GP60">
        <v>800</v>
      </c>
      <c r="GQ60">
        <v>15.034000000000001</v>
      </c>
      <c r="GR60">
        <v>99.716999999999999</v>
      </c>
      <c r="GS60">
        <v>99.385300000000001</v>
      </c>
    </row>
    <row r="61" spans="1:201" x14ac:dyDescent="0.25">
      <c r="A61">
        <v>45</v>
      </c>
      <c r="B61">
        <v>1690374326</v>
      </c>
      <c r="C61">
        <v>506.5</v>
      </c>
      <c r="D61" t="s">
        <v>423</v>
      </c>
      <c r="E61" t="s">
        <v>424</v>
      </c>
      <c r="F61" t="s">
        <v>330</v>
      </c>
      <c r="H61">
        <v>1690374326</v>
      </c>
      <c r="I61">
        <f t="shared" si="0"/>
        <v>8.9088011634899439E-4</v>
      </c>
      <c r="J61">
        <f t="shared" si="1"/>
        <v>0.89088011634899433</v>
      </c>
      <c r="K61">
        <f t="shared" si="2"/>
        <v>14.658960907517951</v>
      </c>
      <c r="L61">
        <f t="shared" si="3"/>
        <v>647.72400000000005</v>
      </c>
      <c r="M61">
        <f t="shared" si="4"/>
        <v>230.59338341167947</v>
      </c>
      <c r="N61">
        <f t="shared" si="5"/>
        <v>22.784868340540839</v>
      </c>
      <c r="O61">
        <f t="shared" si="6"/>
        <v>64.001429020451994</v>
      </c>
      <c r="P61">
        <f t="shared" si="7"/>
        <v>5.8440896241978839E-2</v>
      </c>
      <c r="Q61">
        <f t="shared" si="8"/>
        <v>2.2504953642647738</v>
      </c>
      <c r="R61">
        <f t="shared" si="9"/>
        <v>5.7610713509786866E-2</v>
      </c>
      <c r="S61">
        <f t="shared" si="10"/>
        <v>3.6080302081335933E-2</v>
      </c>
      <c r="T61">
        <f t="shared" si="11"/>
        <v>276.11458662555219</v>
      </c>
      <c r="U61">
        <f t="shared" si="12"/>
        <v>28.121069319301416</v>
      </c>
      <c r="V61">
        <f t="shared" si="13"/>
        <v>28.121069319301416</v>
      </c>
      <c r="W61">
        <f t="shared" si="14"/>
        <v>3.8217059809854956</v>
      </c>
      <c r="X61">
        <f t="shared" si="15"/>
        <v>68.013687574272936</v>
      </c>
      <c r="Y61">
        <f t="shared" si="16"/>
        <v>2.3413853152357</v>
      </c>
      <c r="Z61">
        <f t="shared" si="17"/>
        <v>3.442520761249475</v>
      </c>
      <c r="AA61">
        <f t="shared" si="18"/>
        <v>1.4803206657497956</v>
      </c>
      <c r="AB61">
        <f t="shared" si="19"/>
        <v>-39.287813130990649</v>
      </c>
      <c r="AC61">
        <f t="shared" si="20"/>
        <v>-216.2282975231831</v>
      </c>
      <c r="AD61">
        <f t="shared" si="21"/>
        <v>-20.783162434594445</v>
      </c>
      <c r="AE61">
        <f t="shared" si="22"/>
        <v>-0.18468646321599635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52357.32676121925</v>
      </c>
      <c r="AK61">
        <f t="shared" si="26"/>
        <v>1799.99</v>
      </c>
      <c r="AL61">
        <f t="shared" si="27"/>
        <v>1499.1030290035701</v>
      </c>
      <c r="AM61">
        <f t="shared" si="28"/>
        <v>0.83283964300000002</v>
      </c>
      <c r="AN61">
        <f t="shared" si="29"/>
        <v>0.15339784477999999</v>
      </c>
      <c r="AO61">
        <v>30</v>
      </c>
      <c r="AP61">
        <v>0.5</v>
      </c>
      <c r="AQ61" t="s">
        <v>331</v>
      </c>
      <c r="AR61">
        <v>2</v>
      </c>
      <c r="AS61">
        <v>1690374326</v>
      </c>
      <c r="AT61">
        <v>647.72400000000005</v>
      </c>
      <c r="AU61">
        <v>800.01400000000001</v>
      </c>
      <c r="AV61">
        <v>23.695900000000002</v>
      </c>
      <c r="AW61">
        <v>15.0022</v>
      </c>
      <c r="AX61">
        <v>648.98900000000003</v>
      </c>
      <c r="AY61">
        <v>23.513000000000002</v>
      </c>
      <c r="AZ61">
        <v>300.13799999999998</v>
      </c>
      <c r="BA61">
        <v>98.709699999999998</v>
      </c>
      <c r="BB61">
        <v>0.100023</v>
      </c>
      <c r="BC61">
        <v>26.338899999999999</v>
      </c>
      <c r="BD61">
        <v>26.9984</v>
      </c>
      <c r="BE61">
        <v>28.059799999999999</v>
      </c>
      <c r="BF61">
        <v>0</v>
      </c>
      <c r="BG61">
        <v>0</v>
      </c>
      <c r="BH61">
        <v>10009.4</v>
      </c>
      <c r="BI61">
        <v>1084.1400000000001</v>
      </c>
      <c r="BJ61">
        <v>1.4577199999999999</v>
      </c>
      <c r="BK61">
        <v>-152.291</v>
      </c>
      <c r="BL61">
        <v>663.44500000000005</v>
      </c>
      <c r="BM61">
        <v>812.19899999999996</v>
      </c>
      <c r="BN61">
        <v>8.6936199999999992</v>
      </c>
      <c r="BO61">
        <v>800.01400000000001</v>
      </c>
      <c r="BP61">
        <v>15.0022</v>
      </c>
      <c r="BQ61">
        <v>2.33901</v>
      </c>
      <c r="BR61">
        <v>1.4808699999999999</v>
      </c>
      <c r="BS61">
        <v>19.947600000000001</v>
      </c>
      <c r="BT61">
        <v>12.772</v>
      </c>
      <c r="BU61">
        <v>1799.99</v>
      </c>
      <c r="BV61">
        <v>0.90998800000000002</v>
      </c>
      <c r="BW61">
        <v>3.4000299999999997E-2</v>
      </c>
      <c r="BX61">
        <v>2.2004900000000001E-2</v>
      </c>
      <c r="BY61">
        <v>3.4007000000000003E-2</v>
      </c>
      <c r="BZ61">
        <v>24</v>
      </c>
      <c r="CA61">
        <v>33528.1</v>
      </c>
      <c r="CB61">
        <v>1690373417</v>
      </c>
      <c r="CC61" t="s">
        <v>332</v>
      </c>
      <c r="CD61">
        <v>1690373417</v>
      </c>
      <c r="CE61">
        <v>1690373415</v>
      </c>
      <c r="CF61">
        <v>1</v>
      </c>
      <c r="CG61">
        <v>-1.319</v>
      </c>
      <c r="CH61">
        <v>0.01</v>
      </c>
      <c r="CI61">
        <v>-1.371</v>
      </c>
      <c r="CJ61">
        <v>0.183</v>
      </c>
      <c r="CK61">
        <v>800</v>
      </c>
      <c r="CL61">
        <v>21</v>
      </c>
      <c r="CM61">
        <v>0.09</v>
      </c>
      <c r="CN61">
        <v>7.0000000000000007E-2</v>
      </c>
      <c r="CO61">
        <v>-147.85509756097571</v>
      </c>
      <c r="CP61">
        <v>-23.326390243902441</v>
      </c>
      <c r="CQ61">
        <v>2.3002530168877882</v>
      </c>
      <c r="CR61">
        <v>-1</v>
      </c>
      <c r="CS61">
        <v>8.4610151219512186</v>
      </c>
      <c r="CT61">
        <v>1.171020000000015</v>
      </c>
      <c r="CU61">
        <v>0.1155270167140086</v>
      </c>
      <c r="CV61">
        <v>-1</v>
      </c>
      <c r="CW61">
        <v>0</v>
      </c>
      <c r="CX61">
        <v>0</v>
      </c>
      <c r="CY61" t="s">
        <v>333</v>
      </c>
      <c r="CZ61">
        <v>2.3651499999999999</v>
      </c>
      <c r="DA61">
        <v>2.7138200000000001</v>
      </c>
      <c r="DB61">
        <v>0.127054</v>
      </c>
      <c r="DC61">
        <v>0.14601800000000001</v>
      </c>
      <c r="DD61">
        <v>0.112703</v>
      </c>
      <c r="DE61">
        <v>8.0088500000000007E-2</v>
      </c>
      <c r="DF61">
        <v>31874</v>
      </c>
      <c r="DG61">
        <v>27484.6</v>
      </c>
      <c r="DH61">
        <v>31168.400000000001</v>
      </c>
      <c r="DI61">
        <v>28041</v>
      </c>
      <c r="DJ61">
        <v>37537.9</v>
      </c>
      <c r="DK61">
        <v>36656.400000000001</v>
      </c>
      <c r="DL61">
        <v>44349.1</v>
      </c>
      <c r="DM61">
        <v>42473.4</v>
      </c>
      <c r="DN61">
        <v>1.4737800000000001</v>
      </c>
      <c r="DO61">
        <v>2.0914000000000001</v>
      </c>
      <c r="DP61">
        <v>0.117354</v>
      </c>
      <c r="DQ61">
        <v>0.18818699999999999</v>
      </c>
      <c r="DR61">
        <v>25.0762</v>
      </c>
      <c r="DS61">
        <v>24.979700000000001</v>
      </c>
      <c r="DT61">
        <v>68.5</v>
      </c>
      <c r="DU61">
        <v>24.1</v>
      </c>
      <c r="DV61">
        <v>20.908999999999999</v>
      </c>
      <c r="DW61">
        <v>61.900100000000002</v>
      </c>
      <c r="DX61">
        <v>36.458300000000001</v>
      </c>
      <c r="DY61">
        <v>1</v>
      </c>
      <c r="DZ61">
        <v>-0.156753</v>
      </c>
      <c r="EA61">
        <v>-0.34123399999999998</v>
      </c>
      <c r="EB61">
        <v>20.191500000000001</v>
      </c>
      <c r="EC61">
        <v>5.2421499999999996</v>
      </c>
      <c r="ED61">
        <v>12.039899999999999</v>
      </c>
      <c r="EE61">
        <v>5.0172499999999998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1.8687400000000001</v>
      </c>
      <c r="EL61">
        <v>1.8643400000000001</v>
      </c>
      <c r="EM61">
        <v>1.8690500000000001</v>
      </c>
      <c r="EN61">
        <v>1.8670500000000001</v>
      </c>
      <c r="EO61">
        <v>1.86321</v>
      </c>
      <c r="EP61">
        <v>1.8641700000000001</v>
      </c>
      <c r="EQ61">
        <v>1.86998</v>
      </c>
      <c r="ER61">
        <v>1.8692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-1.2649999999999999</v>
      </c>
      <c r="FG61">
        <v>0.18290000000000001</v>
      </c>
      <c r="FH61">
        <v>-0.81947142863283695</v>
      </c>
      <c r="FI61">
        <v>-6.1462078757559423E-4</v>
      </c>
      <c r="FJ61">
        <v>-1.8861989874597051E-7</v>
      </c>
      <c r="FK61">
        <v>1.1980462299894961E-10</v>
      </c>
      <c r="FL61">
        <v>0.18283500000000069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15.2</v>
      </c>
      <c r="FU61">
        <v>15.2</v>
      </c>
      <c r="FV61">
        <v>1.77979</v>
      </c>
      <c r="FW61">
        <v>2.5500500000000001</v>
      </c>
      <c r="FX61">
        <v>1.5490699999999999</v>
      </c>
      <c r="FY61">
        <v>2.34497</v>
      </c>
      <c r="FZ61">
        <v>1.50146</v>
      </c>
      <c r="GA61">
        <v>2.34131</v>
      </c>
      <c r="GB61">
        <v>29.900600000000001</v>
      </c>
      <c r="GC61">
        <v>23.991199999999999</v>
      </c>
      <c r="GD61">
        <v>19</v>
      </c>
      <c r="GE61">
        <v>278.27699999999999</v>
      </c>
      <c r="GF61">
        <v>619.59299999999996</v>
      </c>
      <c r="GG61">
        <v>24.8752</v>
      </c>
      <c r="GH61">
        <v>25.4847</v>
      </c>
      <c r="GI61">
        <v>29.9999</v>
      </c>
      <c r="GJ61">
        <v>25.539000000000001</v>
      </c>
      <c r="GK61">
        <v>25.484999999999999</v>
      </c>
      <c r="GL61">
        <v>35.586199999999998</v>
      </c>
      <c r="GM61">
        <v>37.406999999999996</v>
      </c>
      <c r="GN61">
        <v>98.119699999999995</v>
      </c>
      <c r="GO61">
        <v>24.891100000000002</v>
      </c>
      <c r="GP61">
        <v>800</v>
      </c>
      <c r="GQ61">
        <v>14.8367</v>
      </c>
      <c r="GR61">
        <v>99.716999999999999</v>
      </c>
      <c r="GS61">
        <v>99.385099999999994</v>
      </c>
    </row>
    <row r="62" spans="1:201" x14ac:dyDescent="0.25">
      <c r="A62">
        <v>46</v>
      </c>
      <c r="B62">
        <v>1690374336</v>
      </c>
      <c r="C62">
        <v>516.5</v>
      </c>
      <c r="D62" t="s">
        <v>425</v>
      </c>
      <c r="E62" t="s">
        <v>426</v>
      </c>
      <c r="F62" t="s">
        <v>330</v>
      </c>
      <c r="H62">
        <v>1690374336</v>
      </c>
      <c r="I62">
        <f t="shared" si="0"/>
        <v>9.1106639057700627E-4</v>
      </c>
      <c r="J62">
        <f t="shared" si="1"/>
        <v>0.91106639057700622</v>
      </c>
      <c r="K62">
        <f t="shared" si="2"/>
        <v>15.034148331104703</v>
      </c>
      <c r="L62">
        <f t="shared" si="3"/>
        <v>643.89</v>
      </c>
      <c r="M62">
        <f t="shared" si="4"/>
        <v>226.0622252887128</v>
      </c>
      <c r="N62">
        <f t="shared" si="5"/>
        <v>22.337075556189244</v>
      </c>
      <c r="O62">
        <f t="shared" si="6"/>
        <v>63.622392292680004</v>
      </c>
      <c r="P62">
        <f t="shared" si="7"/>
        <v>5.9836102631466798E-2</v>
      </c>
      <c r="Q62">
        <f t="shared" si="8"/>
        <v>2.2466231461220869</v>
      </c>
      <c r="R62">
        <f t="shared" si="9"/>
        <v>5.8964649731971554E-2</v>
      </c>
      <c r="S62">
        <f t="shared" si="10"/>
        <v>3.6930145342063528E-2</v>
      </c>
      <c r="T62">
        <f t="shared" si="11"/>
        <v>276.11255975858109</v>
      </c>
      <c r="U62">
        <f t="shared" si="12"/>
        <v>28.116849033457001</v>
      </c>
      <c r="V62">
        <f t="shared" si="13"/>
        <v>28.116849033457001</v>
      </c>
      <c r="W62">
        <f t="shared" si="14"/>
        <v>3.8207666802494886</v>
      </c>
      <c r="X62">
        <f t="shared" si="15"/>
        <v>68.023001741630807</v>
      </c>
      <c r="Y62">
        <f t="shared" si="16"/>
        <v>2.3416644931056001</v>
      </c>
      <c r="Z62">
        <f t="shared" si="17"/>
        <v>3.4424598049933985</v>
      </c>
      <c r="AA62">
        <f t="shared" si="18"/>
        <v>1.4791021871438885</v>
      </c>
      <c r="AB62">
        <f t="shared" si="19"/>
        <v>-40.178027824445977</v>
      </c>
      <c r="AC62">
        <f t="shared" si="20"/>
        <v>-215.3814287806656</v>
      </c>
      <c r="AD62">
        <f t="shared" si="21"/>
        <v>-20.736976019136829</v>
      </c>
      <c r="AE62">
        <f t="shared" si="22"/>
        <v>-0.18387286566729699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52206.579058283307</v>
      </c>
      <c r="AK62">
        <f t="shared" si="26"/>
        <v>1799.98</v>
      </c>
      <c r="AL62">
        <f t="shared" si="27"/>
        <v>1499.0955411978</v>
      </c>
      <c r="AM62">
        <f t="shared" si="28"/>
        <v>0.83284011000000002</v>
      </c>
      <c r="AN62">
        <f t="shared" si="29"/>
        <v>0.15339757095000003</v>
      </c>
      <c r="AO62">
        <v>30</v>
      </c>
      <c r="AP62">
        <v>0.5</v>
      </c>
      <c r="AQ62" t="s">
        <v>331</v>
      </c>
      <c r="AR62">
        <v>2</v>
      </c>
      <c r="AS62">
        <v>1690374336</v>
      </c>
      <c r="AT62">
        <v>643.89</v>
      </c>
      <c r="AU62">
        <v>800.00199999999995</v>
      </c>
      <c r="AV62">
        <v>23.698799999999999</v>
      </c>
      <c r="AW62">
        <v>14.8095</v>
      </c>
      <c r="AX62">
        <v>645.15200000000004</v>
      </c>
      <c r="AY62">
        <v>23.515999999999998</v>
      </c>
      <c r="AZ62">
        <v>300.18400000000003</v>
      </c>
      <c r="BA62">
        <v>98.709400000000002</v>
      </c>
      <c r="BB62">
        <v>0.100012</v>
      </c>
      <c r="BC62">
        <v>26.3386</v>
      </c>
      <c r="BD62">
        <v>26.971800000000002</v>
      </c>
      <c r="BE62">
        <v>28.0486</v>
      </c>
      <c r="BF62">
        <v>0</v>
      </c>
      <c r="BG62">
        <v>0</v>
      </c>
      <c r="BH62">
        <v>9979.3799999999992</v>
      </c>
      <c r="BI62">
        <v>1083.97</v>
      </c>
      <c r="BJ62">
        <v>1.4577199999999999</v>
      </c>
      <c r="BK62">
        <v>-156.11199999999999</v>
      </c>
      <c r="BL62">
        <v>659.52</v>
      </c>
      <c r="BM62">
        <v>812.02800000000002</v>
      </c>
      <c r="BN62">
        <v>8.8894000000000002</v>
      </c>
      <c r="BO62">
        <v>800.00199999999995</v>
      </c>
      <c r="BP62">
        <v>14.8095</v>
      </c>
      <c r="BQ62">
        <v>2.3393000000000002</v>
      </c>
      <c r="BR62">
        <v>1.46183</v>
      </c>
      <c r="BS62">
        <v>19.9496</v>
      </c>
      <c r="BT62">
        <v>12.5747</v>
      </c>
      <c r="BU62">
        <v>1799.98</v>
      </c>
      <c r="BV62">
        <v>0.90999399999999997</v>
      </c>
      <c r="BW62">
        <v>3.39951E-2</v>
      </c>
      <c r="BX62">
        <v>2.20015E-2</v>
      </c>
      <c r="BY62">
        <v>3.4009699999999997E-2</v>
      </c>
      <c r="BZ62">
        <v>24</v>
      </c>
      <c r="CA62">
        <v>33528</v>
      </c>
      <c r="CB62">
        <v>1690373417</v>
      </c>
      <c r="CC62" t="s">
        <v>332</v>
      </c>
      <c r="CD62">
        <v>1690373417</v>
      </c>
      <c r="CE62">
        <v>1690373415</v>
      </c>
      <c r="CF62">
        <v>1</v>
      </c>
      <c r="CG62">
        <v>-1.319</v>
      </c>
      <c r="CH62">
        <v>0.01</v>
      </c>
      <c r="CI62">
        <v>-1.371</v>
      </c>
      <c r="CJ62">
        <v>0.183</v>
      </c>
      <c r="CK62">
        <v>800</v>
      </c>
      <c r="CL62">
        <v>21</v>
      </c>
      <c r="CM62">
        <v>0.09</v>
      </c>
      <c r="CN62">
        <v>7.0000000000000007E-2</v>
      </c>
      <c r="CO62">
        <v>-152.12495121951221</v>
      </c>
      <c r="CP62">
        <v>-23.180989547038681</v>
      </c>
      <c r="CQ62">
        <v>2.2859288121474468</v>
      </c>
      <c r="CR62">
        <v>-1</v>
      </c>
      <c r="CS62">
        <v>8.6774560975609756</v>
      </c>
      <c r="CT62">
        <v>1.174760905923351</v>
      </c>
      <c r="CU62">
        <v>0.1159043635803506</v>
      </c>
      <c r="CV62">
        <v>-1</v>
      </c>
      <c r="CW62">
        <v>0</v>
      </c>
      <c r="CX62">
        <v>0</v>
      </c>
      <c r="CY62" t="s">
        <v>333</v>
      </c>
      <c r="CZ62">
        <v>2.36531</v>
      </c>
      <c r="DA62">
        <v>2.7137799999999999</v>
      </c>
      <c r="DB62">
        <v>0.12653200000000001</v>
      </c>
      <c r="DC62">
        <v>0.146011</v>
      </c>
      <c r="DD62">
        <v>0.11271200000000001</v>
      </c>
      <c r="DE62">
        <v>7.9331700000000005E-2</v>
      </c>
      <c r="DF62">
        <v>31893.3</v>
      </c>
      <c r="DG62">
        <v>27485.200000000001</v>
      </c>
      <c r="DH62">
        <v>31168.5</v>
      </c>
      <c r="DI62">
        <v>28041.4</v>
      </c>
      <c r="DJ62">
        <v>37537.599999999999</v>
      </c>
      <c r="DK62">
        <v>36687</v>
      </c>
      <c r="DL62">
        <v>44349.2</v>
      </c>
      <c r="DM62">
        <v>42473.8</v>
      </c>
      <c r="DN62">
        <v>1.47397</v>
      </c>
      <c r="DO62">
        <v>2.0915300000000001</v>
      </c>
      <c r="DP62">
        <v>0.115983</v>
      </c>
      <c r="DQ62">
        <v>0.187725</v>
      </c>
      <c r="DR62">
        <v>25.071999999999999</v>
      </c>
      <c r="DS62">
        <v>24.975999999999999</v>
      </c>
      <c r="DT62">
        <v>68.400000000000006</v>
      </c>
      <c r="DU62">
        <v>24.1</v>
      </c>
      <c r="DV62">
        <v>20.877300000000002</v>
      </c>
      <c r="DW62">
        <v>62.370100000000001</v>
      </c>
      <c r="DX62">
        <v>36.762799999999999</v>
      </c>
      <c r="DY62">
        <v>1</v>
      </c>
      <c r="DZ62">
        <v>-0.15678400000000001</v>
      </c>
      <c r="EA62">
        <v>-0.36426999999999998</v>
      </c>
      <c r="EB62">
        <v>20.191099999999999</v>
      </c>
      <c r="EC62">
        <v>5.2416999999999998</v>
      </c>
      <c r="ED62">
        <v>12.039899999999999</v>
      </c>
      <c r="EE62">
        <v>5.0174000000000003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1.8687400000000001</v>
      </c>
      <c r="EL62">
        <v>1.86435</v>
      </c>
      <c r="EM62">
        <v>1.8690500000000001</v>
      </c>
      <c r="EN62">
        <v>1.8670599999999999</v>
      </c>
      <c r="EO62">
        <v>1.8631899999999999</v>
      </c>
      <c r="EP62">
        <v>1.8641700000000001</v>
      </c>
      <c r="EQ62">
        <v>1.86998</v>
      </c>
      <c r="ER62">
        <v>1.86921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-1.262</v>
      </c>
      <c r="FG62">
        <v>0.18279999999999999</v>
      </c>
      <c r="FH62">
        <v>-0.81947142863283695</v>
      </c>
      <c r="FI62">
        <v>-6.1462078757559423E-4</v>
      </c>
      <c r="FJ62">
        <v>-1.8861989874597051E-7</v>
      </c>
      <c r="FK62">
        <v>1.1980462299894961E-10</v>
      </c>
      <c r="FL62">
        <v>0.18283500000000069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15.3</v>
      </c>
      <c r="FU62">
        <v>15.3</v>
      </c>
      <c r="FV62">
        <v>1.77979</v>
      </c>
      <c r="FW62">
        <v>2.5463900000000002</v>
      </c>
      <c r="FX62">
        <v>1.5490699999999999</v>
      </c>
      <c r="FY62">
        <v>2.34619</v>
      </c>
      <c r="FZ62">
        <v>1.50146</v>
      </c>
      <c r="GA62">
        <v>2.3950200000000001</v>
      </c>
      <c r="GB62">
        <v>29.900600000000001</v>
      </c>
      <c r="GC62">
        <v>23.991199999999999</v>
      </c>
      <c r="GD62">
        <v>19</v>
      </c>
      <c r="GE62">
        <v>278.36099999999999</v>
      </c>
      <c r="GF62">
        <v>619.72799999999995</v>
      </c>
      <c r="GG62">
        <v>24.9024</v>
      </c>
      <c r="GH62">
        <v>25.480899999999998</v>
      </c>
      <c r="GI62">
        <v>30</v>
      </c>
      <c r="GJ62">
        <v>25.539000000000001</v>
      </c>
      <c r="GK62">
        <v>25.487100000000002</v>
      </c>
      <c r="GL62">
        <v>35.584299999999999</v>
      </c>
      <c r="GM62">
        <v>38.5383</v>
      </c>
      <c r="GN62">
        <v>97.749600000000001</v>
      </c>
      <c r="GO62">
        <v>24.9329</v>
      </c>
      <c r="GP62">
        <v>800</v>
      </c>
      <c r="GQ62">
        <v>14.643800000000001</v>
      </c>
      <c r="GR62">
        <v>99.717399999999998</v>
      </c>
      <c r="GS62">
        <v>99.386300000000006</v>
      </c>
    </row>
    <row r="63" spans="1:201" x14ac:dyDescent="0.25">
      <c r="A63">
        <v>47</v>
      </c>
      <c r="B63">
        <v>1690374346</v>
      </c>
      <c r="C63">
        <v>526.5</v>
      </c>
      <c r="D63" t="s">
        <v>427</v>
      </c>
      <c r="E63" t="s">
        <v>428</v>
      </c>
      <c r="F63" t="s">
        <v>330</v>
      </c>
      <c r="H63">
        <v>1690374346</v>
      </c>
      <c r="I63">
        <f t="shared" si="0"/>
        <v>9.3154284034961926E-4</v>
      </c>
      <c r="J63">
        <f t="shared" si="1"/>
        <v>0.93154284034961921</v>
      </c>
      <c r="K63">
        <f t="shared" si="2"/>
        <v>15.424261473089976</v>
      </c>
      <c r="L63">
        <f t="shared" si="3"/>
        <v>639.96699999999998</v>
      </c>
      <c r="M63">
        <f t="shared" si="4"/>
        <v>220.83168841275904</v>
      </c>
      <c r="N63">
        <f t="shared" si="5"/>
        <v>21.821010048198517</v>
      </c>
      <c r="O63">
        <f t="shared" si="6"/>
        <v>63.236967655719006</v>
      </c>
      <c r="P63">
        <f t="shared" si="7"/>
        <v>6.1193774560380491E-2</v>
      </c>
      <c r="Q63">
        <f t="shared" si="8"/>
        <v>2.2437619023747164</v>
      </c>
      <c r="R63">
        <f t="shared" si="9"/>
        <v>6.0281508222405016E-2</v>
      </c>
      <c r="S63">
        <f t="shared" si="10"/>
        <v>3.7756773202304292E-2</v>
      </c>
      <c r="T63">
        <f t="shared" si="11"/>
        <v>276.11195435330779</v>
      </c>
      <c r="U63">
        <f t="shared" si="12"/>
        <v>28.118889815865899</v>
      </c>
      <c r="V63">
        <f t="shared" si="13"/>
        <v>28.118889815865899</v>
      </c>
      <c r="W63">
        <f t="shared" si="14"/>
        <v>3.8212208680330635</v>
      </c>
      <c r="X63">
        <f t="shared" si="15"/>
        <v>68.001520017996754</v>
      </c>
      <c r="Y63">
        <f t="shared" si="16"/>
        <v>2.3418647109000004</v>
      </c>
      <c r="Z63">
        <f t="shared" si="17"/>
        <v>3.4438417115973596</v>
      </c>
      <c r="AA63">
        <f t="shared" si="18"/>
        <v>1.4793561571330631</v>
      </c>
      <c r="AB63">
        <f t="shared" si="19"/>
        <v>-41.081039259418212</v>
      </c>
      <c r="AC63">
        <f t="shared" si="20"/>
        <v>-214.53142226511849</v>
      </c>
      <c r="AD63">
        <f t="shared" si="21"/>
        <v>-20.682389151389625</v>
      </c>
      <c r="AE63">
        <f t="shared" si="22"/>
        <v>-0.18289632261854649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52094.197866003327</v>
      </c>
      <c r="AK63">
        <f t="shared" si="26"/>
        <v>1799.98</v>
      </c>
      <c r="AL63">
        <f t="shared" si="27"/>
        <v>1499.0955969971801</v>
      </c>
      <c r="AM63">
        <f t="shared" si="28"/>
        <v>0.83284014100000003</v>
      </c>
      <c r="AN63">
        <f t="shared" si="29"/>
        <v>0.15339723460999999</v>
      </c>
      <c r="AO63">
        <v>30</v>
      </c>
      <c r="AP63">
        <v>0.5</v>
      </c>
      <c r="AQ63" t="s">
        <v>331</v>
      </c>
      <c r="AR63">
        <v>2</v>
      </c>
      <c r="AS63">
        <v>1690374346</v>
      </c>
      <c r="AT63">
        <v>639.96699999999998</v>
      </c>
      <c r="AU63">
        <v>800.01700000000005</v>
      </c>
      <c r="AV63">
        <v>23.7</v>
      </c>
      <c r="AW63">
        <v>14.614100000000001</v>
      </c>
      <c r="AX63">
        <v>641.22699999999998</v>
      </c>
      <c r="AY63">
        <v>23.517099999999999</v>
      </c>
      <c r="AZ63">
        <v>300.28899999999999</v>
      </c>
      <c r="BA63">
        <v>98.712800000000001</v>
      </c>
      <c r="BB63">
        <v>0.10005699999999999</v>
      </c>
      <c r="BC63">
        <v>26.345400000000001</v>
      </c>
      <c r="BD63">
        <v>26.972999999999999</v>
      </c>
      <c r="BE63">
        <v>28.0381</v>
      </c>
      <c r="BF63">
        <v>0</v>
      </c>
      <c r="BG63">
        <v>0</v>
      </c>
      <c r="BH63">
        <v>9956.8799999999992</v>
      </c>
      <c r="BI63">
        <v>1083.81</v>
      </c>
      <c r="BJ63">
        <v>1.4577199999999999</v>
      </c>
      <c r="BK63">
        <v>-160.04900000000001</v>
      </c>
      <c r="BL63">
        <v>655.50300000000004</v>
      </c>
      <c r="BM63">
        <v>811.88199999999995</v>
      </c>
      <c r="BN63">
        <v>9.0858600000000003</v>
      </c>
      <c r="BO63">
        <v>800.01700000000005</v>
      </c>
      <c r="BP63">
        <v>14.614100000000001</v>
      </c>
      <c r="BQ63">
        <v>2.3394900000000001</v>
      </c>
      <c r="BR63">
        <v>1.4426000000000001</v>
      </c>
      <c r="BS63">
        <v>19.950900000000001</v>
      </c>
      <c r="BT63">
        <v>12.372999999999999</v>
      </c>
      <c r="BU63">
        <v>1799.98</v>
      </c>
      <c r="BV63">
        <v>0.91000199999999998</v>
      </c>
      <c r="BW63">
        <v>3.39934E-2</v>
      </c>
      <c r="BX63">
        <v>2.1998799999999999E-2</v>
      </c>
      <c r="BY63">
        <v>3.4005500000000001E-2</v>
      </c>
      <c r="BZ63">
        <v>24</v>
      </c>
      <c r="CA63">
        <v>33528.1</v>
      </c>
      <c r="CB63">
        <v>1690373417</v>
      </c>
      <c r="CC63" t="s">
        <v>332</v>
      </c>
      <c r="CD63">
        <v>1690373417</v>
      </c>
      <c r="CE63">
        <v>1690373415</v>
      </c>
      <c r="CF63">
        <v>1</v>
      </c>
      <c r="CG63">
        <v>-1.319</v>
      </c>
      <c r="CH63">
        <v>0.01</v>
      </c>
      <c r="CI63">
        <v>-1.371</v>
      </c>
      <c r="CJ63">
        <v>0.183</v>
      </c>
      <c r="CK63">
        <v>800</v>
      </c>
      <c r="CL63">
        <v>21</v>
      </c>
      <c r="CM63">
        <v>0.09</v>
      </c>
      <c r="CN63">
        <v>7.0000000000000007E-2</v>
      </c>
      <c r="CO63">
        <v>-155.5756829268293</v>
      </c>
      <c r="CP63">
        <v>-23.08007665505227</v>
      </c>
      <c r="CQ63">
        <v>2.276270199562394</v>
      </c>
      <c r="CR63">
        <v>-1</v>
      </c>
      <c r="CS63">
        <v>8.8577160975609761</v>
      </c>
      <c r="CT63">
        <v>1.2130233449477339</v>
      </c>
      <c r="CU63">
        <v>0.1197141786104752</v>
      </c>
      <c r="CV63">
        <v>-1</v>
      </c>
      <c r="CW63">
        <v>0</v>
      </c>
      <c r="CX63">
        <v>0</v>
      </c>
      <c r="CY63" t="s">
        <v>333</v>
      </c>
      <c r="CZ63">
        <v>2.3656299999999999</v>
      </c>
      <c r="DA63">
        <v>2.7138100000000001</v>
      </c>
      <c r="DB63">
        <v>0.126001</v>
      </c>
      <c r="DC63">
        <v>0.146014</v>
      </c>
      <c r="DD63">
        <v>0.11272</v>
      </c>
      <c r="DE63">
        <v>7.8564400000000006E-2</v>
      </c>
      <c r="DF63">
        <v>31913</v>
      </c>
      <c r="DG63">
        <v>27485.4</v>
      </c>
      <c r="DH63">
        <v>31168.9</v>
      </c>
      <c r="DI63">
        <v>28041.599999999999</v>
      </c>
      <c r="DJ63">
        <v>37537.599999999999</v>
      </c>
      <c r="DK63">
        <v>36718.300000000003</v>
      </c>
      <c r="DL63">
        <v>44349.8</v>
      </c>
      <c r="DM63">
        <v>42474.5</v>
      </c>
      <c r="DN63">
        <v>1.47427</v>
      </c>
      <c r="DO63">
        <v>2.0908500000000001</v>
      </c>
      <c r="DP63">
        <v>0.11625099999999999</v>
      </c>
      <c r="DQ63">
        <v>0.18743399999999999</v>
      </c>
      <c r="DR63">
        <v>25.0688</v>
      </c>
      <c r="DS63">
        <v>24.970300000000002</v>
      </c>
      <c r="DT63">
        <v>68.400000000000006</v>
      </c>
      <c r="DU63">
        <v>24.1</v>
      </c>
      <c r="DV63">
        <v>20.877800000000001</v>
      </c>
      <c r="DW63">
        <v>62.150100000000002</v>
      </c>
      <c r="DX63">
        <v>35.7532</v>
      </c>
      <c r="DY63">
        <v>1</v>
      </c>
      <c r="DZ63">
        <v>-0.15706300000000001</v>
      </c>
      <c r="EA63">
        <v>-0.43308799999999997</v>
      </c>
      <c r="EB63">
        <v>20.190899999999999</v>
      </c>
      <c r="EC63">
        <v>5.2413999999999996</v>
      </c>
      <c r="ED63">
        <v>12.039899999999999</v>
      </c>
      <c r="EE63">
        <v>5.0173500000000004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1.8687400000000001</v>
      </c>
      <c r="EL63">
        <v>1.86436</v>
      </c>
      <c r="EM63">
        <v>1.8690500000000001</v>
      </c>
      <c r="EN63">
        <v>1.86707</v>
      </c>
      <c r="EO63">
        <v>1.86321</v>
      </c>
      <c r="EP63">
        <v>1.8641700000000001</v>
      </c>
      <c r="EQ63">
        <v>1.86999</v>
      </c>
      <c r="ER63">
        <v>1.8692200000000001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-1.26</v>
      </c>
      <c r="FG63">
        <v>0.18290000000000001</v>
      </c>
      <c r="FH63">
        <v>-0.81947142863283695</v>
      </c>
      <c r="FI63">
        <v>-6.1462078757559423E-4</v>
      </c>
      <c r="FJ63">
        <v>-1.8861989874597051E-7</v>
      </c>
      <c r="FK63">
        <v>1.1980462299894961E-10</v>
      </c>
      <c r="FL63">
        <v>0.18283500000000069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15.5</v>
      </c>
      <c r="FU63">
        <v>15.5</v>
      </c>
      <c r="FV63">
        <v>1.77979</v>
      </c>
      <c r="FW63">
        <v>2.5476100000000002</v>
      </c>
      <c r="FX63">
        <v>1.5490699999999999</v>
      </c>
      <c r="FY63">
        <v>2.34619</v>
      </c>
      <c r="FZ63">
        <v>1.50146</v>
      </c>
      <c r="GA63">
        <v>2.2973599999999998</v>
      </c>
      <c r="GB63">
        <v>29.922000000000001</v>
      </c>
      <c r="GC63">
        <v>23.982399999999998</v>
      </c>
      <c r="GD63">
        <v>19</v>
      </c>
      <c r="GE63">
        <v>278.48599999999999</v>
      </c>
      <c r="GF63">
        <v>619.14499999999998</v>
      </c>
      <c r="GG63">
        <v>24.953600000000002</v>
      </c>
      <c r="GH63">
        <v>25.4771</v>
      </c>
      <c r="GI63">
        <v>30.0001</v>
      </c>
      <c r="GJ63">
        <v>25.539000000000001</v>
      </c>
      <c r="GK63">
        <v>25.487100000000002</v>
      </c>
      <c r="GL63">
        <v>35.579099999999997</v>
      </c>
      <c r="GM63">
        <v>39.117899999999999</v>
      </c>
      <c r="GN63">
        <v>97.374499999999998</v>
      </c>
      <c r="GO63">
        <v>24.977</v>
      </c>
      <c r="GP63">
        <v>800</v>
      </c>
      <c r="GQ63">
        <v>14.448399999999999</v>
      </c>
      <c r="GR63">
        <v>99.718500000000006</v>
      </c>
      <c r="GS63">
        <v>99.387699999999995</v>
      </c>
    </row>
    <row r="64" spans="1:201" x14ac:dyDescent="0.25">
      <c r="A64">
        <v>48</v>
      </c>
      <c r="B64">
        <v>1690374356</v>
      </c>
      <c r="C64">
        <v>536.5</v>
      </c>
      <c r="D64" t="s">
        <v>429</v>
      </c>
      <c r="E64" t="s">
        <v>430</v>
      </c>
      <c r="F64" t="s">
        <v>330</v>
      </c>
      <c r="H64">
        <v>1690374356</v>
      </c>
      <c r="I64">
        <f t="shared" si="0"/>
        <v>9.5272543048859743E-4</v>
      </c>
      <c r="J64">
        <f t="shared" si="1"/>
        <v>0.95272543048859748</v>
      </c>
      <c r="K64">
        <f t="shared" si="2"/>
        <v>15.800062341042096</v>
      </c>
      <c r="L64">
        <f t="shared" si="3"/>
        <v>636.15599999999995</v>
      </c>
      <c r="M64">
        <f t="shared" si="4"/>
        <v>217.15564016889556</v>
      </c>
      <c r="N64">
        <f t="shared" si="5"/>
        <v>21.457396015069339</v>
      </c>
      <c r="O64">
        <f t="shared" si="6"/>
        <v>62.8592985599904</v>
      </c>
      <c r="P64">
        <f t="shared" si="7"/>
        <v>6.270634291479589E-2</v>
      </c>
      <c r="Q64">
        <f t="shared" si="8"/>
        <v>2.24938198185475</v>
      </c>
      <c r="R64">
        <f t="shared" si="9"/>
        <v>6.1751154571667057E-2</v>
      </c>
      <c r="S64">
        <f t="shared" si="10"/>
        <v>3.8679079410421605E-2</v>
      </c>
      <c r="T64">
        <f t="shared" si="11"/>
        <v>276.11169024224239</v>
      </c>
      <c r="U64">
        <f t="shared" si="12"/>
        <v>28.109906312983384</v>
      </c>
      <c r="V64">
        <f t="shared" si="13"/>
        <v>28.109906312983384</v>
      </c>
      <c r="W64">
        <f t="shared" si="14"/>
        <v>3.8192218907681563</v>
      </c>
      <c r="X64">
        <f t="shared" si="15"/>
        <v>68.004245811125458</v>
      </c>
      <c r="Y64">
        <f t="shared" si="16"/>
        <v>2.3422488679751199</v>
      </c>
      <c r="Z64">
        <f t="shared" si="17"/>
        <v>3.4442685747599739</v>
      </c>
      <c r="AA64">
        <f t="shared" si="18"/>
        <v>1.4769730227930364</v>
      </c>
      <c r="AB64">
        <f t="shared" si="19"/>
        <v>-42.015191484547145</v>
      </c>
      <c r="AC64">
        <f t="shared" si="20"/>
        <v>-213.72468967667027</v>
      </c>
      <c r="AD64">
        <f t="shared" si="21"/>
        <v>-20.552424584974389</v>
      </c>
      <c r="AE64">
        <f t="shared" si="22"/>
        <v>-0.1806155039494115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52312.47376429398</v>
      </c>
      <c r="AK64">
        <f t="shared" si="26"/>
        <v>1799.98</v>
      </c>
      <c r="AL64">
        <f t="shared" si="27"/>
        <v>1499.0925406311399</v>
      </c>
      <c r="AM64">
        <f t="shared" si="28"/>
        <v>0.83283844299999987</v>
      </c>
      <c r="AN64">
        <f t="shared" si="29"/>
        <v>0.15339708788</v>
      </c>
      <c r="AO64">
        <v>30</v>
      </c>
      <c r="AP64">
        <v>0.5</v>
      </c>
      <c r="AQ64" t="s">
        <v>331</v>
      </c>
      <c r="AR64">
        <v>2</v>
      </c>
      <c r="AS64">
        <v>1690374356</v>
      </c>
      <c r="AT64">
        <v>636.15599999999995</v>
      </c>
      <c r="AU64">
        <v>800.13599999999997</v>
      </c>
      <c r="AV64">
        <v>23.7043</v>
      </c>
      <c r="AW64">
        <v>14.407500000000001</v>
      </c>
      <c r="AX64">
        <v>637.41300000000001</v>
      </c>
      <c r="AY64">
        <v>23.5215</v>
      </c>
      <c r="AZ64">
        <v>300.149</v>
      </c>
      <c r="BA64">
        <v>98.711200000000005</v>
      </c>
      <c r="BB64">
        <v>9.9938399999999997E-2</v>
      </c>
      <c r="BC64">
        <v>26.3475</v>
      </c>
      <c r="BD64">
        <v>26.982500000000002</v>
      </c>
      <c r="BE64">
        <v>28.050699999999999</v>
      </c>
      <c r="BF64">
        <v>0</v>
      </c>
      <c r="BG64">
        <v>0</v>
      </c>
      <c r="BH64">
        <v>10000.6</v>
      </c>
      <c r="BI64">
        <v>1083.8699999999999</v>
      </c>
      <c r="BJ64">
        <v>1.4577199999999999</v>
      </c>
      <c r="BK64">
        <v>-163.98</v>
      </c>
      <c r="BL64">
        <v>651.60199999999998</v>
      </c>
      <c r="BM64">
        <v>811.83199999999999</v>
      </c>
      <c r="BN64">
        <v>9.2968100000000007</v>
      </c>
      <c r="BO64">
        <v>800.13599999999997</v>
      </c>
      <c r="BP64">
        <v>14.407500000000001</v>
      </c>
      <c r="BQ64">
        <v>2.33988</v>
      </c>
      <c r="BR64">
        <v>1.42218</v>
      </c>
      <c r="BS64">
        <v>19.953600000000002</v>
      </c>
      <c r="BT64">
        <v>12.1562</v>
      </c>
      <c r="BU64">
        <v>1799.98</v>
      </c>
      <c r="BV64">
        <v>0.90999600000000003</v>
      </c>
      <c r="BW64">
        <v>3.4006599999999998E-2</v>
      </c>
      <c r="BX64">
        <v>2.1995899999999999E-2</v>
      </c>
      <c r="BY64">
        <v>3.4001000000000003E-2</v>
      </c>
      <c r="BZ64">
        <v>24</v>
      </c>
      <c r="CA64">
        <v>33528.1</v>
      </c>
      <c r="CB64">
        <v>1690373417</v>
      </c>
      <c r="CC64" t="s">
        <v>332</v>
      </c>
      <c r="CD64">
        <v>1690373417</v>
      </c>
      <c r="CE64">
        <v>1690373415</v>
      </c>
      <c r="CF64">
        <v>1</v>
      </c>
      <c r="CG64">
        <v>-1.319</v>
      </c>
      <c r="CH64">
        <v>0.01</v>
      </c>
      <c r="CI64">
        <v>-1.371</v>
      </c>
      <c r="CJ64">
        <v>0.183</v>
      </c>
      <c r="CK64">
        <v>800</v>
      </c>
      <c r="CL64">
        <v>21</v>
      </c>
      <c r="CM64">
        <v>0.09</v>
      </c>
      <c r="CN64">
        <v>7.0000000000000007E-2</v>
      </c>
      <c r="CO64">
        <v>-159.4253902439024</v>
      </c>
      <c r="CP64">
        <v>-23.33491986062764</v>
      </c>
      <c r="CQ64">
        <v>2.3013495391548502</v>
      </c>
      <c r="CR64">
        <v>-1</v>
      </c>
      <c r="CS64">
        <v>9.0600302439024389</v>
      </c>
      <c r="CT64">
        <v>1.211715679442537</v>
      </c>
      <c r="CU64">
        <v>0.1195309674435427</v>
      </c>
      <c r="CV64">
        <v>-1</v>
      </c>
      <c r="CW64">
        <v>0</v>
      </c>
      <c r="CX64">
        <v>0</v>
      </c>
      <c r="CY64" t="s">
        <v>333</v>
      </c>
      <c r="CZ64">
        <v>2.3651900000000001</v>
      </c>
      <c r="DA64">
        <v>2.71373</v>
      </c>
      <c r="DB64">
        <v>0.12547700000000001</v>
      </c>
      <c r="DC64">
        <v>0.14602100000000001</v>
      </c>
      <c r="DD64">
        <v>0.112733</v>
      </c>
      <c r="DE64">
        <v>7.7744199999999999E-2</v>
      </c>
      <c r="DF64">
        <v>31932.5</v>
      </c>
      <c r="DG64">
        <v>27485</v>
      </c>
      <c r="DH64">
        <v>31169.200000000001</v>
      </c>
      <c r="DI64">
        <v>28041.5</v>
      </c>
      <c r="DJ64">
        <v>37537.5</v>
      </c>
      <c r="DK64">
        <v>36750.800000000003</v>
      </c>
      <c r="DL64">
        <v>44350.3</v>
      </c>
      <c r="DM64">
        <v>42474.3</v>
      </c>
      <c r="DN64">
        <v>1.474</v>
      </c>
      <c r="DO64">
        <v>2.0905300000000002</v>
      </c>
      <c r="DP64">
        <v>0.11715299999999999</v>
      </c>
      <c r="DQ64">
        <v>0.18865599999999999</v>
      </c>
      <c r="DR64">
        <v>25.063600000000001</v>
      </c>
      <c r="DS64">
        <v>24.962900000000001</v>
      </c>
      <c r="DT64">
        <v>68.400000000000006</v>
      </c>
      <c r="DU64">
        <v>24.2</v>
      </c>
      <c r="DV64">
        <v>21.001999999999999</v>
      </c>
      <c r="DW64">
        <v>62.110100000000003</v>
      </c>
      <c r="DX64">
        <v>36.410299999999999</v>
      </c>
      <c r="DY64">
        <v>1</v>
      </c>
      <c r="DZ64">
        <v>-0.15720300000000001</v>
      </c>
      <c r="EA64">
        <v>-0.45417999999999997</v>
      </c>
      <c r="EB64">
        <v>20.190799999999999</v>
      </c>
      <c r="EC64">
        <v>5.2413999999999996</v>
      </c>
      <c r="ED64">
        <v>12.039899999999999</v>
      </c>
      <c r="EE64">
        <v>5.0174000000000003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1.8687400000000001</v>
      </c>
      <c r="EL64">
        <v>1.86432</v>
      </c>
      <c r="EM64">
        <v>1.8690500000000001</v>
      </c>
      <c r="EN64">
        <v>1.8670599999999999</v>
      </c>
      <c r="EO64">
        <v>1.8631899999999999</v>
      </c>
      <c r="EP64">
        <v>1.8641700000000001</v>
      </c>
      <c r="EQ64">
        <v>1.8699699999999999</v>
      </c>
      <c r="ER64">
        <v>1.86921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-1.2569999999999999</v>
      </c>
      <c r="FG64">
        <v>0.18279999999999999</v>
      </c>
      <c r="FH64">
        <v>-0.81947142863283695</v>
      </c>
      <c r="FI64">
        <v>-6.1462078757559423E-4</v>
      </c>
      <c r="FJ64">
        <v>-1.8861989874597051E-7</v>
      </c>
      <c r="FK64">
        <v>1.1980462299894961E-10</v>
      </c>
      <c r="FL64">
        <v>0.18283500000000069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15.7</v>
      </c>
      <c r="FU64">
        <v>15.7</v>
      </c>
      <c r="FV64">
        <v>1.77979</v>
      </c>
      <c r="FW64">
        <v>2.5512700000000001</v>
      </c>
      <c r="FX64">
        <v>1.5490699999999999</v>
      </c>
      <c r="FY64">
        <v>2.34619</v>
      </c>
      <c r="FZ64">
        <v>1.50146</v>
      </c>
      <c r="GA64">
        <v>2.32422</v>
      </c>
      <c r="GB64">
        <v>29.922000000000001</v>
      </c>
      <c r="GC64">
        <v>23.982399999999998</v>
      </c>
      <c r="GD64">
        <v>19</v>
      </c>
      <c r="GE64">
        <v>278.37</v>
      </c>
      <c r="GF64">
        <v>618.89099999999996</v>
      </c>
      <c r="GG64">
        <v>24.9984</v>
      </c>
      <c r="GH64">
        <v>25.473099999999999</v>
      </c>
      <c r="GI64">
        <v>30</v>
      </c>
      <c r="GJ64">
        <v>25.538799999999998</v>
      </c>
      <c r="GK64">
        <v>25.4893</v>
      </c>
      <c r="GL64">
        <v>35.578000000000003</v>
      </c>
      <c r="GM64">
        <v>40.004100000000001</v>
      </c>
      <c r="GN64">
        <v>97.374499999999998</v>
      </c>
      <c r="GO64">
        <v>25.025600000000001</v>
      </c>
      <c r="GP64">
        <v>800</v>
      </c>
      <c r="GQ64">
        <v>14.253500000000001</v>
      </c>
      <c r="GR64">
        <v>99.719700000000003</v>
      </c>
      <c r="GS64">
        <v>99.387100000000004</v>
      </c>
    </row>
    <row r="65" spans="1:201" x14ac:dyDescent="0.25">
      <c r="A65">
        <v>49</v>
      </c>
      <c r="B65">
        <v>1690374366</v>
      </c>
      <c r="C65">
        <v>546.5</v>
      </c>
      <c r="D65" t="s">
        <v>431</v>
      </c>
      <c r="E65" t="s">
        <v>432</v>
      </c>
      <c r="F65" t="s">
        <v>330</v>
      </c>
      <c r="H65">
        <v>1690374366</v>
      </c>
      <c r="I65">
        <f t="shared" si="0"/>
        <v>9.7437771252834797E-4</v>
      </c>
      <c r="J65">
        <f t="shared" si="1"/>
        <v>0.97437771252834793</v>
      </c>
      <c r="K65">
        <f t="shared" si="2"/>
        <v>16.168482923038908</v>
      </c>
      <c r="L65">
        <f t="shared" si="3"/>
        <v>632.36</v>
      </c>
      <c r="M65">
        <f t="shared" si="4"/>
        <v>213.36025925072309</v>
      </c>
      <c r="N65">
        <f t="shared" si="5"/>
        <v>21.081979357904288</v>
      </c>
      <c r="O65">
        <f t="shared" si="6"/>
        <v>62.483053374520004</v>
      </c>
      <c r="P65">
        <f t="shared" si="7"/>
        <v>6.4174277446889486E-2</v>
      </c>
      <c r="Q65">
        <f t="shared" si="8"/>
        <v>2.2459766239347809</v>
      </c>
      <c r="R65">
        <f t="shared" si="9"/>
        <v>6.3172738112166366E-2</v>
      </c>
      <c r="S65">
        <f t="shared" si="10"/>
        <v>3.957164359866331E-2</v>
      </c>
      <c r="T65">
        <f t="shared" si="11"/>
        <v>276.11288489700632</v>
      </c>
      <c r="U65">
        <f t="shared" si="12"/>
        <v>28.111146713986606</v>
      </c>
      <c r="V65">
        <f t="shared" si="13"/>
        <v>28.111146713986606</v>
      </c>
      <c r="W65">
        <f t="shared" si="14"/>
        <v>3.8194978461120779</v>
      </c>
      <c r="X65">
        <f t="shared" si="15"/>
        <v>68.001564693672805</v>
      </c>
      <c r="Y65">
        <f t="shared" si="16"/>
        <v>2.3429860494454</v>
      </c>
      <c r="Z65">
        <f t="shared" si="17"/>
        <v>3.445488438390893</v>
      </c>
      <c r="AA65">
        <f t="shared" si="18"/>
        <v>1.4765117966666779</v>
      </c>
      <c r="AB65">
        <f t="shared" si="19"/>
        <v>-42.970057122500144</v>
      </c>
      <c r="AC65">
        <f t="shared" si="20"/>
        <v>-212.82481362640178</v>
      </c>
      <c r="AD65">
        <f t="shared" si="21"/>
        <v>-20.497660704690002</v>
      </c>
      <c r="AE65">
        <f t="shared" si="22"/>
        <v>-0.17964655658559536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52178.825975725144</v>
      </c>
      <c r="AK65">
        <f t="shared" si="26"/>
        <v>1799.99</v>
      </c>
      <c r="AL65">
        <f t="shared" si="27"/>
        <v>1499.10340520148</v>
      </c>
      <c r="AM65">
        <f t="shared" si="28"/>
        <v>0.83283985199999999</v>
      </c>
      <c r="AN65">
        <f t="shared" si="29"/>
        <v>0.15339689937000001</v>
      </c>
      <c r="AO65">
        <v>30</v>
      </c>
      <c r="AP65">
        <v>0.5</v>
      </c>
      <c r="AQ65" t="s">
        <v>331</v>
      </c>
      <c r="AR65">
        <v>2</v>
      </c>
      <c r="AS65">
        <v>1690374366</v>
      </c>
      <c r="AT65">
        <v>632.36</v>
      </c>
      <c r="AU65">
        <v>800.07</v>
      </c>
      <c r="AV65">
        <v>23.712199999999999</v>
      </c>
      <c r="AW65">
        <v>14.2072</v>
      </c>
      <c r="AX65">
        <v>633.61400000000003</v>
      </c>
      <c r="AY65">
        <v>23.529399999999999</v>
      </c>
      <c r="AZ65">
        <v>300.24400000000003</v>
      </c>
      <c r="BA65">
        <v>98.709299999999999</v>
      </c>
      <c r="BB65">
        <v>0.100007</v>
      </c>
      <c r="BC65">
        <v>26.3535</v>
      </c>
      <c r="BD65">
        <v>26.953600000000002</v>
      </c>
      <c r="BE65">
        <v>28.0641</v>
      </c>
      <c r="BF65">
        <v>0</v>
      </c>
      <c r="BG65">
        <v>0</v>
      </c>
      <c r="BH65">
        <v>9974.3799999999992</v>
      </c>
      <c r="BI65">
        <v>1083.81</v>
      </c>
      <c r="BJ65">
        <v>1.4577199999999999</v>
      </c>
      <c r="BK65">
        <v>-167.71100000000001</v>
      </c>
      <c r="BL65">
        <v>647.71900000000005</v>
      </c>
      <c r="BM65">
        <v>811.601</v>
      </c>
      <c r="BN65">
        <v>9.50502</v>
      </c>
      <c r="BO65">
        <v>800.07</v>
      </c>
      <c r="BP65">
        <v>14.2072</v>
      </c>
      <c r="BQ65">
        <v>2.3406099999999999</v>
      </c>
      <c r="BR65">
        <v>1.40238</v>
      </c>
      <c r="BS65">
        <v>19.9587</v>
      </c>
      <c r="BT65">
        <v>11.9434</v>
      </c>
      <c r="BU65">
        <v>1799.99</v>
      </c>
      <c r="BV65">
        <v>0.91000800000000004</v>
      </c>
      <c r="BW65">
        <v>3.4002299999999999E-2</v>
      </c>
      <c r="BX65">
        <v>2.1993100000000002E-2</v>
      </c>
      <c r="BY65">
        <v>3.3996699999999998E-2</v>
      </c>
      <c r="BZ65">
        <v>24</v>
      </c>
      <c r="CA65">
        <v>33528.199999999997</v>
      </c>
      <c r="CB65">
        <v>1690373417</v>
      </c>
      <c r="CC65" t="s">
        <v>332</v>
      </c>
      <c r="CD65">
        <v>1690373417</v>
      </c>
      <c r="CE65">
        <v>1690373415</v>
      </c>
      <c r="CF65">
        <v>1</v>
      </c>
      <c r="CG65">
        <v>-1.319</v>
      </c>
      <c r="CH65">
        <v>0.01</v>
      </c>
      <c r="CI65">
        <v>-1.371</v>
      </c>
      <c r="CJ65">
        <v>0.183</v>
      </c>
      <c r="CK65">
        <v>800</v>
      </c>
      <c r="CL65">
        <v>21</v>
      </c>
      <c r="CM65">
        <v>0.09</v>
      </c>
      <c r="CN65">
        <v>7.0000000000000007E-2</v>
      </c>
      <c r="CO65">
        <v>-163.70756097560979</v>
      </c>
      <c r="CP65">
        <v>-23.31972125435551</v>
      </c>
      <c r="CQ65">
        <v>2.2997584395819302</v>
      </c>
      <c r="CR65">
        <v>-1</v>
      </c>
      <c r="CS65">
        <v>9.2846675609756097</v>
      </c>
      <c r="CT65">
        <v>1.2417907317073209</v>
      </c>
      <c r="CU65">
        <v>0.1225010816035972</v>
      </c>
      <c r="CV65">
        <v>-1</v>
      </c>
      <c r="CW65">
        <v>0</v>
      </c>
      <c r="CX65">
        <v>0</v>
      </c>
      <c r="CY65" t="s">
        <v>333</v>
      </c>
      <c r="CZ65">
        <v>2.3654899999999999</v>
      </c>
      <c r="DA65">
        <v>2.7137799999999999</v>
      </c>
      <c r="DB65">
        <v>0.124954</v>
      </c>
      <c r="DC65">
        <v>0.146007</v>
      </c>
      <c r="DD65">
        <v>0.112758</v>
      </c>
      <c r="DE65">
        <v>7.6944700000000005E-2</v>
      </c>
      <c r="DF65">
        <v>31951.5</v>
      </c>
      <c r="DG65">
        <v>27486.3</v>
      </c>
      <c r="DH65">
        <v>31169.1</v>
      </c>
      <c r="DI65">
        <v>28042.3</v>
      </c>
      <c r="DJ65">
        <v>37536.199999999997</v>
      </c>
      <c r="DK65">
        <v>36784</v>
      </c>
      <c r="DL65">
        <v>44350.2</v>
      </c>
      <c r="DM65">
        <v>42475.7</v>
      </c>
      <c r="DN65">
        <v>1.47455</v>
      </c>
      <c r="DO65">
        <v>2.0901800000000001</v>
      </c>
      <c r="DP65">
        <v>0.115581</v>
      </c>
      <c r="DQ65">
        <v>0.18975900000000001</v>
      </c>
      <c r="DR65">
        <v>25.060300000000002</v>
      </c>
      <c r="DS65">
        <v>24.958300000000001</v>
      </c>
      <c r="DT65">
        <v>68.3</v>
      </c>
      <c r="DU65">
        <v>24.2</v>
      </c>
      <c r="DV65">
        <v>20.972799999999999</v>
      </c>
      <c r="DW65">
        <v>61.680100000000003</v>
      </c>
      <c r="DX65">
        <v>36.895000000000003</v>
      </c>
      <c r="DY65">
        <v>1</v>
      </c>
      <c r="DZ65">
        <v>-0.15779699999999999</v>
      </c>
      <c r="EA65">
        <v>-0.438693</v>
      </c>
      <c r="EB65">
        <v>20.190999999999999</v>
      </c>
      <c r="EC65">
        <v>5.2415500000000002</v>
      </c>
      <c r="ED65">
        <v>12.039899999999999</v>
      </c>
      <c r="EE65">
        <v>5.0175000000000001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1.8687100000000001</v>
      </c>
      <c r="EL65">
        <v>1.86433</v>
      </c>
      <c r="EM65">
        <v>1.8690500000000001</v>
      </c>
      <c r="EN65">
        <v>1.8670599999999999</v>
      </c>
      <c r="EO65">
        <v>1.8632</v>
      </c>
      <c r="EP65">
        <v>1.86416</v>
      </c>
      <c r="EQ65">
        <v>1.87</v>
      </c>
      <c r="ER65">
        <v>1.86921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-1.254</v>
      </c>
      <c r="FG65">
        <v>0.18279999999999999</v>
      </c>
      <c r="FH65">
        <v>-0.81947142863283695</v>
      </c>
      <c r="FI65">
        <v>-6.1462078757559423E-4</v>
      </c>
      <c r="FJ65">
        <v>-1.8861989874597051E-7</v>
      </c>
      <c r="FK65">
        <v>1.1980462299894961E-10</v>
      </c>
      <c r="FL65">
        <v>0.18283500000000069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15.8</v>
      </c>
      <c r="FU65">
        <v>15.8</v>
      </c>
      <c r="FV65">
        <v>1.77979</v>
      </c>
      <c r="FW65">
        <v>2.5415000000000001</v>
      </c>
      <c r="FX65">
        <v>1.5490699999999999</v>
      </c>
      <c r="FY65">
        <v>2.34619</v>
      </c>
      <c r="FZ65">
        <v>1.50146</v>
      </c>
      <c r="GA65">
        <v>2.4011200000000001</v>
      </c>
      <c r="GB65">
        <v>29.943300000000001</v>
      </c>
      <c r="GC65">
        <v>23.991199999999999</v>
      </c>
      <c r="GD65">
        <v>19</v>
      </c>
      <c r="GE65">
        <v>278.59199999999998</v>
      </c>
      <c r="GF65">
        <v>618.58900000000006</v>
      </c>
      <c r="GG65">
        <v>25.037099999999999</v>
      </c>
      <c r="GH65">
        <v>25.468800000000002</v>
      </c>
      <c r="GI65">
        <v>30</v>
      </c>
      <c r="GJ65">
        <v>25.536899999999999</v>
      </c>
      <c r="GK65">
        <v>25.4893</v>
      </c>
      <c r="GL65">
        <v>35.570799999999998</v>
      </c>
      <c r="GM65">
        <v>40.559800000000003</v>
      </c>
      <c r="GN65">
        <v>96.998699999999999</v>
      </c>
      <c r="GO65">
        <v>25.0486</v>
      </c>
      <c r="GP65">
        <v>800</v>
      </c>
      <c r="GQ65">
        <v>14.053800000000001</v>
      </c>
      <c r="GR65">
        <v>99.719399999999993</v>
      </c>
      <c r="GS65">
        <v>99.390299999999996</v>
      </c>
    </row>
    <row r="66" spans="1:201" x14ac:dyDescent="0.25">
      <c r="A66">
        <v>50</v>
      </c>
      <c r="B66">
        <v>1690374376</v>
      </c>
      <c r="C66">
        <v>556.5</v>
      </c>
      <c r="D66" t="s">
        <v>433</v>
      </c>
      <c r="E66" t="s">
        <v>434</v>
      </c>
      <c r="F66" t="s">
        <v>330</v>
      </c>
      <c r="H66">
        <v>1690374376</v>
      </c>
      <c r="I66">
        <f t="shared" si="0"/>
        <v>9.947349180949945E-4</v>
      </c>
      <c r="J66">
        <f t="shared" si="1"/>
        <v>0.99473491809499459</v>
      </c>
      <c r="K66">
        <f t="shared" si="2"/>
        <v>16.543288166843858</v>
      </c>
      <c r="L66">
        <f t="shared" si="3"/>
        <v>628.45799999999997</v>
      </c>
      <c r="M66">
        <f t="shared" si="4"/>
        <v>209.33054173914462</v>
      </c>
      <c r="N66">
        <f t="shared" si="5"/>
        <v>20.684292875350081</v>
      </c>
      <c r="O66">
        <f t="shared" si="6"/>
        <v>62.098961880371995</v>
      </c>
      <c r="P66">
        <f t="shared" si="7"/>
        <v>6.5641807579745567E-2</v>
      </c>
      <c r="Q66">
        <f t="shared" si="8"/>
        <v>2.2491489176325707</v>
      </c>
      <c r="R66">
        <f t="shared" si="9"/>
        <v>6.459579338615852E-2</v>
      </c>
      <c r="S66">
        <f t="shared" si="10"/>
        <v>4.0464962604555163E-2</v>
      </c>
      <c r="T66">
        <f t="shared" si="11"/>
        <v>276.11333520050459</v>
      </c>
      <c r="U66">
        <f t="shared" si="12"/>
        <v>28.103824843526372</v>
      </c>
      <c r="V66">
        <f t="shared" si="13"/>
        <v>28.103824843526372</v>
      </c>
      <c r="W66">
        <f t="shared" si="14"/>
        <v>3.817869181590817</v>
      </c>
      <c r="X66">
        <f t="shared" si="15"/>
        <v>68.014696307800605</v>
      </c>
      <c r="Y66">
        <f t="shared" si="16"/>
        <v>2.3436736221923997</v>
      </c>
      <c r="Z66">
        <f t="shared" si="17"/>
        <v>3.4458341350023844</v>
      </c>
      <c r="AA66">
        <f t="shared" si="18"/>
        <v>1.4741955593984173</v>
      </c>
      <c r="AB66">
        <f t="shared" si="19"/>
        <v>-43.86780988798926</v>
      </c>
      <c r="AC66">
        <f t="shared" si="20"/>
        <v>-212.03145764946285</v>
      </c>
      <c r="AD66">
        <f t="shared" si="21"/>
        <v>-20.391873174405656</v>
      </c>
      <c r="AE66">
        <f t="shared" si="22"/>
        <v>-0.17780551135317069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52302.058559709061</v>
      </c>
      <c r="AK66">
        <f t="shared" si="26"/>
        <v>1799.99</v>
      </c>
      <c r="AL66">
        <f t="shared" si="27"/>
        <v>1499.1056407890599</v>
      </c>
      <c r="AM66">
        <f t="shared" si="28"/>
        <v>0.83284109399999995</v>
      </c>
      <c r="AN66">
        <f t="shared" si="29"/>
        <v>0.15339714954</v>
      </c>
      <c r="AO66">
        <v>30</v>
      </c>
      <c r="AP66">
        <v>0.5</v>
      </c>
      <c r="AQ66" t="s">
        <v>331</v>
      </c>
      <c r="AR66">
        <v>2</v>
      </c>
      <c r="AS66">
        <v>1690374376</v>
      </c>
      <c r="AT66">
        <v>628.45799999999997</v>
      </c>
      <c r="AU66">
        <v>800.05200000000002</v>
      </c>
      <c r="AV66">
        <v>23.718599999999999</v>
      </c>
      <c r="AW66">
        <v>14.0123</v>
      </c>
      <c r="AX66">
        <v>629.70899999999995</v>
      </c>
      <c r="AY66">
        <v>23.535699999999999</v>
      </c>
      <c r="AZ66">
        <v>300.15800000000002</v>
      </c>
      <c r="BA66">
        <v>98.711600000000004</v>
      </c>
      <c r="BB66">
        <v>0.100034</v>
      </c>
      <c r="BC66">
        <v>26.3552</v>
      </c>
      <c r="BD66">
        <v>27.021000000000001</v>
      </c>
      <c r="BE66">
        <v>28.061900000000001</v>
      </c>
      <c r="BF66">
        <v>0</v>
      </c>
      <c r="BG66">
        <v>0</v>
      </c>
      <c r="BH66">
        <v>9998.75</v>
      </c>
      <c r="BI66">
        <v>1083.8</v>
      </c>
      <c r="BJ66">
        <v>1.4577199999999999</v>
      </c>
      <c r="BK66">
        <v>-171.59399999999999</v>
      </c>
      <c r="BL66">
        <v>643.726</v>
      </c>
      <c r="BM66">
        <v>811.42200000000003</v>
      </c>
      <c r="BN66">
        <v>9.7062500000000007</v>
      </c>
      <c r="BO66">
        <v>800.05200000000002</v>
      </c>
      <c r="BP66">
        <v>14.0123</v>
      </c>
      <c r="BQ66">
        <v>2.3412999999999999</v>
      </c>
      <c r="BR66">
        <v>1.3831800000000001</v>
      </c>
      <c r="BS66">
        <v>19.9634</v>
      </c>
      <c r="BT66">
        <v>11.734500000000001</v>
      </c>
      <c r="BU66">
        <v>1799.99</v>
      </c>
      <c r="BV66">
        <v>0.91001299999999996</v>
      </c>
      <c r="BW66">
        <v>3.3997800000000002E-2</v>
      </c>
      <c r="BX66">
        <v>2.1997200000000001E-2</v>
      </c>
      <c r="BY66">
        <v>3.39922E-2</v>
      </c>
      <c r="BZ66">
        <v>24</v>
      </c>
      <c r="CA66">
        <v>33528.300000000003</v>
      </c>
      <c r="CB66">
        <v>1690373417</v>
      </c>
      <c r="CC66" t="s">
        <v>332</v>
      </c>
      <c r="CD66">
        <v>1690373417</v>
      </c>
      <c r="CE66">
        <v>1690373415</v>
      </c>
      <c r="CF66">
        <v>1</v>
      </c>
      <c r="CG66">
        <v>-1.319</v>
      </c>
      <c r="CH66">
        <v>0.01</v>
      </c>
      <c r="CI66">
        <v>-1.371</v>
      </c>
      <c r="CJ66">
        <v>0.183</v>
      </c>
      <c r="CK66">
        <v>800</v>
      </c>
      <c r="CL66">
        <v>21</v>
      </c>
      <c r="CM66">
        <v>0.09</v>
      </c>
      <c r="CN66">
        <v>7.0000000000000007E-2</v>
      </c>
      <c r="CO66">
        <v>-167.16556097560971</v>
      </c>
      <c r="CP66">
        <v>-22.626209059233219</v>
      </c>
      <c r="CQ66">
        <v>2.2312451740608412</v>
      </c>
      <c r="CR66">
        <v>-1</v>
      </c>
      <c r="CS66">
        <v>9.4727595121951218</v>
      </c>
      <c r="CT66">
        <v>1.268962160278758</v>
      </c>
      <c r="CU66">
        <v>0.12519708577905039</v>
      </c>
      <c r="CV66">
        <v>-1</v>
      </c>
      <c r="CW66">
        <v>0</v>
      </c>
      <c r="CX66">
        <v>0</v>
      </c>
      <c r="CY66" t="s">
        <v>333</v>
      </c>
      <c r="CZ66">
        <v>2.3652099999999998</v>
      </c>
      <c r="DA66">
        <v>2.7138300000000002</v>
      </c>
      <c r="DB66">
        <v>0.12442</v>
      </c>
      <c r="DC66">
        <v>0.14600399999999999</v>
      </c>
      <c r="DD66">
        <v>0.11278199999999999</v>
      </c>
      <c r="DE66">
        <v>7.61661E-2</v>
      </c>
      <c r="DF66">
        <v>31971.5</v>
      </c>
      <c r="DG66">
        <v>27486.5</v>
      </c>
      <c r="DH66">
        <v>31169.599999999999</v>
      </c>
      <c r="DI66">
        <v>28042.400000000001</v>
      </c>
      <c r="DJ66">
        <v>37535.800000000003</v>
      </c>
      <c r="DK66">
        <v>36815.1</v>
      </c>
      <c r="DL66">
        <v>44351</v>
      </c>
      <c r="DM66">
        <v>42475.7</v>
      </c>
      <c r="DN66">
        <v>1.47458</v>
      </c>
      <c r="DO66">
        <v>2.0898300000000001</v>
      </c>
      <c r="DP66">
        <v>0.11988699999999999</v>
      </c>
      <c r="DQ66">
        <v>0.189751</v>
      </c>
      <c r="DR66">
        <v>25.057300000000001</v>
      </c>
      <c r="DS66">
        <v>24.956199999999999</v>
      </c>
      <c r="DT66">
        <v>68.3</v>
      </c>
      <c r="DU66">
        <v>24.2</v>
      </c>
      <c r="DV66">
        <v>20.9739</v>
      </c>
      <c r="DW66">
        <v>61.970100000000002</v>
      </c>
      <c r="DX66">
        <v>35.813299999999998</v>
      </c>
      <c r="DY66">
        <v>1</v>
      </c>
      <c r="DZ66">
        <v>-0.1578</v>
      </c>
      <c r="EA66">
        <v>0.52924000000000004</v>
      </c>
      <c r="EB66">
        <v>20.178100000000001</v>
      </c>
      <c r="EC66">
        <v>5.2416999999999998</v>
      </c>
      <c r="ED66">
        <v>12.039899999999999</v>
      </c>
      <c r="EE66">
        <v>5.0175000000000001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1.86873</v>
      </c>
      <c r="EL66">
        <v>1.86433</v>
      </c>
      <c r="EM66">
        <v>1.8690500000000001</v>
      </c>
      <c r="EN66">
        <v>1.86707</v>
      </c>
      <c r="EO66">
        <v>1.8632200000000001</v>
      </c>
      <c r="EP66">
        <v>1.8641700000000001</v>
      </c>
      <c r="EQ66">
        <v>1.87001</v>
      </c>
      <c r="ER66">
        <v>1.86921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-1.2509999999999999</v>
      </c>
      <c r="FG66">
        <v>0.18290000000000001</v>
      </c>
      <c r="FH66">
        <v>-0.81947142863283695</v>
      </c>
      <c r="FI66">
        <v>-6.1462078757559423E-4</v>
      </c>
      <c r="FJ66">
        <v>-1.8861989874597051E-7</v>
      </c>
      <c r="FK66">
        <v>1.1980462299894961E-10</v>
      </c>
      <c r="FL66">
        <v>0.18283500000000069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16</v>
      </c>
      <c r="FU66">
        <v>16</v>
      </c>
      <c r="FV66">
        <v>1.7785599999999999</v>
      </c>
      <c r="FW66">
        <v>2.5476100000000002</v>
      </c>
      <c r="FX66">
        <v>1.5490699999999999</v>
      </c>
      <c r="FY66">
        <v>2.34619</v>
      </c>
      <c r="FZ66">
        <v>1.50146</v>
      </c>
      <c r="GA66">
        <v>2.31934</v>
      </c>
      <c r="GB66">
        <v>29.943300000000001</v>
      </c>
      <c r="GC66">
        <v>23.9649</v>
      </c>
      <c r="GD66">
        <v>19</v>
      </c>
      <c r="GE66">
        <v>278.60199999999998</v>
      </c>
      <c r="GF66">
        <v>618.28700000000003</v>
      </c>
      <c r="GG66">
        <v>25.066199999999998</v>
      </c>
      <c r="GH66">
        <v>25.4649</v>
      </c>
      <c r="GI66">
        <v>30</v>
      </c>
      <c r="GJ66">
        <v>25.536899999999999</v>
      </c>
      <c r="GK66">
        <v>25.4893</v>
      </c>
      <c r="GL66">
        <v>35.5702</v>
      </c>
      <c r="GM66">
        <v>41.415399999999998</v>
      </c>
      <c r="GN66">
        <v>96.6203</v>
      </c>
      <c r="GO66">
        <v>24.273599999999998</v>
      </c>
      <c r="GP66">
        <v>800</v>
      </c>
      <c r="GQ66">
        <v>13.8508</v>
      </c>
      <c r="GR66">
        <v>99.721199999999996</v>
      </c>
      <c r="GS66">
        <v>99.390500000000003</v>
      </c>
    </row>
    <row r="67" spans="1:201" x14ac:dyDescent="0.25">
      <c r="A67">
        <v>51</v>
      </c>
      <c r="B67">
        <v>1690374386</v>
      </c>
      <c r="C67">
        <v>566.5</v>
      </c>
      <c r="D67" t="s">
        <v>435</v>
      </c>
      <c r="E67" t="s">
        <v>436</v>
      </c>
      <c r="F67" t="s">
        <v>330</v>
      </c>
      <c r="H67">
        <v>1690374386</v>
      </c>
      <c r="I67">
        <f t="shared" si="0"/>
        <v>1.005915808523468E-3</v>
      </c>
      <c r="J67">
        <f t="shared" si="1"/>
        <v>1.0059158085234681</v>
      </c>
      <c r="K67">
        <f t="shared" si="2"/>
        <v>16.917248324449716</v>
      </c>
      <c r="L67">
        <f t="shared" si="3"/>
        <v>624.74</v>
      </c>
      <c r="M67">
        <f t="shared" si="4"/>
        <v>202.10687601037247</v>
      </c>
      <c r="N67">
        <f t="shared" si="5"/>
        <v>19.970189311287445</v>
      </c>
      <c r="O67">
        <f t="shared" si="6"/>
        <v>61.730586888559991</v>
      </c>
      <c r="P67">
        <f t="shared" si="7"/>
        <v>6.6541549349908816E-2</v>
      </c>
      <c r="Q67">
        <f t="shared" si="8"/>
        <v>2.2502547336475076</v>
      </c>
      <c r="R67">
        <f t="shared" si="9"/>
        <v>6.546743550474135E-2</v>
      </c>
      <c r="S67">
        <f t="shared" si="10"/>
        <v>4.1012207781372698E-2</v>
      </c>
      <c r="T67">
        <f t="shared" si="11"/>
        <v>276.11310871648135</v>
      </c>
      <c r="U67">
        <f t="shared" si="12"/>
        <v>28.057890875520162</v>
      </c>
      <c r="V67">
        <f t="shared" si="13"/>
        <v>28.057890875520162</v>
      </c>
      <c r="W67">
        <f t="shared" si="14"/>
        <v>3.8076655232388079</v>
      </c>
      <c r="X67">
        <f t="shared" si="15"/>
        <v>67.976890371194713</v>
      </c>
      <c r="Y67">
        <f t="shared" si="16"/>
        <v>2.3366401585031999</v>
      </c>
      <c r="Z67">
        <f t="shared" si="17"/>
        <v>3.4374037202109995</v>
      </c>
      <c r="AA67">
        <f t="shared" si="18"/>
        <v>1.471025364735608</v>
      </c>
      <c r="AB67">
        <f t="shared" si="19"/>
        <v>-44.360887155884939</v>
      </c>
      <c r="AC67">
        <f t="shared" si="20"/>
        <v>-211.59779490518366</v>
      </c>
      <c r="AD67">
        <f t="shared" si="21"/>
        <v>-20.331280895986264</v>
      </c>
      <c r="AE67">
        <f t="shared" si="22"/>
        <v>-0.17685424057350474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52352.36281772158</v>
      </c>
      <c r="AK67">
        <f t="shared" si="26"/>
        <v>1799.98</v>
      </c>
      <c r="AL67">
        <f t="shared" si="27"/>
        <v>1499.0992185569401</v>
      </c>
      <c r="AM67">
        <f t="shared" si="28"/>
        <v>0.83284215299999997</v>
      </c>
      <c r="AN67">
        <f t="shared" si="29"/>
        <v>0.15339787592999998</v>
      </c>
      <c r="AO67">
        <v>30</v>
      </c>
      <c r="AP67">
        <v>0.5</v>
      </c>
      <c r="AQ67" t="s">
        <v>331</v>
      </c>
      <c r="AR67">
        <v>2</v>
      </c>
      <c r="AS67">
        <v>1690374386</v>
      </c>
      <c r="AT67">
        <v>624.74</v>
      </c>
      <c r="AU67">
        <v>800.11500000000001</v>
      </c>
      <c r="AV67">
        <v>23.6478</v>
      </c>
      <c r="AW67">
        <v>13.831099999999999</v>
      </c>
      <c r="AX67">
        <v>625.98900000000003</v>
      </c>
      <c r="AY67">
        <v>23.465</v>
      </c>
      <c r="AZ67">
        <v>300.14</v>
      </c>
      <c r="BA67">
        <v>98.71</v>
      </c>
      <c r="BB67">
        <v>0.10004399999999999</v>
      </c>
      <c r="BC67">
        <v>26.313700000000001</v>
      </c>
      <c r="BD67">
        <v>26.9483</v>
      </c>
      <c r="BE67">
        <v>28.041899999999998</v>
      </c>
      <c r="BF67">
        <v>0</v>
      </c>
      <c r="BG67">
        <v>0</v>
      </c>
      <c r="BH67">
        <v>10007.5</v>
      </c>
      <c r="BI67">
        <v>1083.5999999999999</v>
      </c>
      <c r="BJ67">
        <v>1.4577199999999999</v>
      </c>
      <c r="BK67">
        <v>-175.375</v>
      </c>
      <c r="BL67">
        <v>639.87099999999998</v>
      </c>
      <c r="BM67">
        <v>811.33699999999999</v>
      </c>
      <c r="BN67">
        <v>9.8166700000000002</v>
      </c>
      <c r="BO67">
        <v>800.11500000000001</v>
      </c>
      <c r="BP67">
        <v>13.831099999999999</v>
      </c>
      <c r="BQ67">
        <v>2.3342800000000001</v>
      </c>
      <c r="BR67">
        <v>1.36527</v>
      </c>
      <c r="BS67">
        <v>19.914899999999999</v>
      </c>
      <c r="BT67">
        <v>11.5373</v>
      </c>
      <c r="BU67">
        <v>1799.98</v>
      </c>
      <c r="BV67">
        <v>0.91000999999999999</v>
      </c>
      <c r="BW67">
        <v>3.3993599999999999E-2</v>
      </c>
      <c r="BX67">
        <v>2.2008400000000001E-2</v>
      </c>
      <c r="BY67">
        <v>3.3987900000000001E-2</v>
      </c>
      <c r="BZ67">
        <v>24</v>
      </c>
      <c r="CA67">
        <v>33528</v>
      </c>
      <c r="CB67">
        <v>1690373417</v>
      </c>
      <c r="CC67" t="s">
        <v>332</v>
      </c>
      <c r="CD67">
        <v>1690373417</v>
      </c>
      <c r="CE67">
        <v>1690373415</v>
      </c>
      <c r="CF67">
        <v>1</v>
      </c>
      <c r="CG67">
        <v>-1.319</v>
      </c>
      <c r="CH67">
        <v>0.01</v>
      </c>
      <c r="CI67">
        <v>-1.371</v>
      </c>
      <c r="CJ67">
        <v>0.183</v>
      </c>
      <c r="CK67">
        <v>800</v>
      </c>
      <c r="CL67">
        <v>21</v>
      </c>
      <c r="CM67">
        <v>0.09</v>
      </c>
      <c r="CN67">
        <v>7.0000000000000007E-2</v>
      </c>
      <c r="CO67">
        <v>-170.97078048780489</v>
      </c>
      <c r="CP67">
        <v>-22.917282229964769</v>
      </c>
      <c r="CQ67">
        <v>2.2600379827608452</v>
      </c>
      <c r="CR67">
        <v>-1</v>
      </c>
      <c r="CS67">
        <v>9.6746099999999995</v>
      </c>
      <c r="CT67">
        <v>1.142389128919862</v>
      </c>
      <c r="CU67">
        <v>0.1134029368140383</v>
      </c>
      <c r="CV67">
        <v>-1</v>
      </c>
      <c r="CW67">
        <v>0</v>
      </c>
      <c r="CX67">
        <v>0</v>
      </c>
      <c r="CY67" t="s">
        <v>333</v>
      </c>
      <c r="CZ67">
        <v>2.3651499999999999</v>
      </c>
      <c r="DA67">
        <v>2.7138399999999998</v>
      </c>
      <c r="DB67">
        <v>0.123904</v>
      </c>
      <c r="DC67">
        <v>0.146006</v>
      </c>
      <c r="DD67">
        <v>0.112542</v>
      </c>
      <c r="DE67">
        <v>7.5435600000000005E-2</v>
      </c>
      <c r="DF67">
        <v>31990.3</v>
      </c>
      <c r="DG67">
        <v>27486.6</v>
      </c>
      <c r="DH67">
        <v>31169.599999999999</v>
      </c>
      <c r="DI67">
        <v>28042.5</v>
      </c>
      <c r="DJ67">
        <v>37545.9</v>
      </c>
      <c r="DK67">
        <v>36844.800000000003</v>
      </c>
      <c r="DL67">
        <v>44350.8</v>
      </c>
      <c r="DM67">
        <v>42476.3</v>
      </c>
      <c r="DN67">
        <v>1.4738500000000001</v>
      </c>
      <c r="DO67">
        <v>2.0896499999999998</v>
      </c>
      <c r="DP67">
        <v>0.115581</v>
      </c>
      <c r="DQ67">
        <v>0.18844</v>
      </c>
      <c r="DR67">
        <v>25.055</v>
      </c>
      <c r="DS67">
        <v>24.957599999999999</v>
      </c>
      <c r="DT67">
        <v>68.2</v>
      </c>
      <c r="DU67">
        <v>24.2</v>
      </c>
      <c r="DV67">
        <v>20.942900000000002</v>
      </c>
      <c r="DW67">
        <v>61.450099999999999</v>
      </c>
      <c r="DX67">
        <v>36.470399999999998</v>
      </c>
      <c r="DY67">
        <v>1</v>
      </c>
      <c r="DZ67">
        <v>-0.15559500000000001</v>
      </c>
      <c r="EA67">
        <v>0.98099099999999995</v>
      </c>
      <c r="EB67">
        <v>20.186499999999999</v>
      </c>
      <c r="EC67">
        <v>5.2415500000000002</v>
      </c>
      <c r="ED67">
        <v>12.039899999999999</v>
      </c>
      <c r="EE67">
        <v>5.0173500000000004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1.8687199999999999</v>
      </c>
      <c r="EL67">
        <v>1.86432</v>
      </c>
      <c r="EM67">
        <v>1.8690500000000001</v>
      </c>
      <c r="EN67">
        <v>1.86707</v>
      </c>
      <c r="EO67">
        <v>1.86317</v>
      </c>
      <c r="EP67">
        <v>1.8641700000000001</v>
      </c>
      <c r="EQ67">
        <v>1.86998</v>
      </c>
      <c r="ER67">
        <v>1.8692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-1.2490000000000001</v>
      </c>
      <c r="FG67">
        <v>0.18279999999999999</v>
      </c>
      <c r="FH67">
        <v>-0.81947142863283695</v>
      </c>
      <c r="FI67">
        <v>-6.1462078757559423E-4</v>
      </c>
      <c r="FJ67">
        <v>-1.8861989874597051E-7</v>
      </c>
      <c r="FK67">
        <v>1.1980462299894961E-10</v>
      </c>
      <c r="FL67">
        <v>0.18283500000000069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16.100000000000001</v>
      </c>
      <c r="FU67">
        <v>16.2</v>
      </c>
      <c r="FV67">
        <v>1.7785599999999999</v>
      </c>
      <c r="FW67">
        <v>2.5561500000000001</v>
      </c>
      <c r="FX67">
        <v>1.5490699999999999</v>
      </c>
      <c r="FY67">
        <v>2.34619</v>
      </c>
      <c r="FZ67">
        <v>1.50146</v>
      </c>
      <c r="GA67">
        <v>2.3156699999999999</v>
      </c>
      <c r="GB67">
        <v>29.943300000000001</v>
      </c>
      <c r="GC67">
        <v>23.982399999999998</v>
      </c>
      <c r="GD67">
        <v>19</v>
      </c>
      <c r="GE67">
        <v>278.29000000000002</v>
      </c>
      <c r="GF67">
        <v>618.13599999999997</v>
      </c>
      <c r="GG67">
        <v>24.185099999999998</v>
      </c>
      <c r="GH67">
        <v>25.461099999999998</v>
      </c>
      <c r="GI67">
        <v>29.9998</v>
      </c>
      <c r="GJ67">
        <v>25.534800000000001</v>
      </c>
      <c r="GK67">
        <v>25.4893</v>
      </c>
      <c r="GL67">
        <v>35.564700000000002</v>
      </c>
      <c r="GM67">
        <v>41.989699999999999</v>
      </c>
      <c r="GN67">
        <v>96.234700000000004</v>
      </c>
      <c r="GO67">
        <v>24.240500000000001</v>
      </c>
      <c r="GP67">
        <v>800</v>
      </c>
      <c r="GQ67">
        <v>13.7209</v>
      </c>
      <c r="GR67">
        <v>99.720799999999997</v>
      </c>
      <c r="GS67">
        <v>99.391499999999994</v>
      </c>
    </row>
    <row r="68" spans="1:201" x14ac:dyDescent="0.25">
      <c r="A68">
        <v>52</v>
      </c>
      <c r="B68">
        <v>1690374396</v>
      </c>
      <c r="C68">
        <v>576.5</v>
      </c>
      <c r="D68" t="s">
        <v>437</v>
      </c>
      <c r="E68" t="s">
        <v>438</v>
      </c>
      <c r="F68" t="s">
        <v>330</v>
      </c>
      <c r="H68">
        <v>1690374396</v>
      </c>
      <c r="I68">
        <f t="shared" si="0"/>
        <v>1.0130058467266196E-3</v>
      </c>
      <c r="J68">
        <f t="shared" si="1"/>
        <v>1.0130058467266196</v>
      </c>
      <c r="K68">
        <f t="shared" si="2"/>
        <v>17.299483049556947</v>
      </c>
      <c r="L68">
        <f t="shared" si="3"/>
        <v>620.93600000000004</v>
      </c>
      <c r="M68">
        <f t="shared" si="4"/>
        <v>194.81256570815395</v>
      </c>
      <c r="N68">
        <f t="shared" si="5"/>
        <v>19.249267475124253</v>
      </c>
      <c r="O68">
        <f t="shared" si="6"/>
        <v>61.354169354967198</v>
      </c>
      <c r="P68">
        <f t="shared" si="7"/>
        <v>6.7456249312298225E-2</v>
      </c>
      <c r="Q68">
        <f t="shared" si="8"/>
        <v>2.2460553411320472</v>
      </c>
      <c r="R68">
        <f t="shared" si="9"/>
        <v>6.6350639451667234E-2</v>
      </c>
      <c r="S68">
        <f t="shared" si="10"/>
        <v>4.1566974865518413E-2</v>
      </c>
      <c r="T68">
        <f t="shared" si="11"/>
        <v>276.11454317379361</v>
      </c>
      <c r="U68">
        <f t="shared" si="12"/>
        <v>27.990625045239732</v>
      </c>
      <c r="V68">
        <f t="shared" si="13"/>
        <v>27.990625045239732</v>
      </c>
      <c r="W68">
        <f t="shared" si="14"/>
        <v>3.7927661890468878</v>
      </c>
      <c r="X68">
        <f t="shared" si="15"/>
        <v>68.084124086772505</v>
      </c>
      <c r="Y68">
        <f t="shared" si="16"/>
        <v>2.3309477897100797</v>
      </c>
      <c r="Z68">
        <f t="shared" si="17"/>
        <v>3.4236289604597268</v>
      </c>
      <c r="AA68">
        <f t="shared" si="18"/>
        <v>1.4618183993368081</v>
      </c>
      <c r="AB68">
        <f t="shared" si="19"/>
        <v>-44.673557840643923</v>
      </c>
      <c r="AC68">
        <f t="shared" si="20"/>
        <v>-211.29181431457138</v>
      </c>
      <c r="AD68">
        <f t="shared" si="21"/>
        <v>-20.326094203298268</v>
      </c>
      <c r="AE68">
        <f t="shared" si="22"/>
        <v>-0.17692318471998192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52200.683872867703</v>
      </c>
      <c r="AK68">
        <f t="shared" si="26"/>
        <v>1799.99</v>
      </c>
      <c r="AL68">
        <f t="shared" si="27"/>
        <v>1499.1030758033098</v>
      </c>
      <c r="AM68">
        <f t="shared" si="28"/>
        <v>0.83283966899999995</v>
      </c>
      <c r="AN68">
        <f t="shared" si="29"/>
        <v>0.15339782064000002</v>
      </c>
      <c r="AO68">
        <v>30</v>
      </c>
      <c r="AP68">
        <v>0.5</v>
      </c>
      <c r="AQ68" t="s">
        <v>331</v>
      </c>
      <c r="AR68">
        <v>2</v>
      </c>
      <c r="AS68">
        <v>1690374396</v>
      </c>
      <c r="AT68">
        <v>620.93600000000004</v>
      </c>
      <c r="AU68">
        <v>800.04899999999998</v>
      </c>
      <c r="AV68">
        <v>23.590399999999999</v>
      </c>
      <c r="AW68">
        <v>13.7088</v>
      </c>
      <c r="AX68">
        <v>622.18200000000002</v>
      </c>
      <c r="AY68">
        <v>23.407599999999999</v>
      </c>
      <c r="AZ68">
        <v>300.28800000000001</v>
      </c>
      <c r="BA68">
        <v>98.709199999999996</v>
      </c>
      <c r="BB68">
        <v>9.9967700000000007E-2</v>
      </c>
      <c r="BC68">
        <v>26.245699999999999</v>
      </c>
      <c r="BD68">
        <v>26.891999999999999</v>
      </c>
      <c r="BE68">
        <v>27.961099999999998</v>
      </c>
      <c r="BF68">
        <v>0</v>
      </c>
      <c r="BG68">
        <v>0</v>
      </c>
      <c r="BH68">
        <v>9975</v>
      </c>
      <c r="BI68">
        <v>1083.24</v>
      </c>
      <c r="BJ68">
        <v>1.4577199999999999</v>
      </c>
      <c r="BK68">
        <v>-179.113</v>
      </c>
      <c r="BL68">
        <v>635.93799999999999</v>
      </c>
      <c r="BM68">
        <v>811.17</v>
      </c>
      <c r="BN68">
        <v>9.88157</v>
      </c>
      <c r="BO68">
        <v>800.04899999999998</v>
      </c>
      <c r="BP68">
        <v>13.7088</v>
      </c>
      <c r="BQ68">
        <v>2.3285900000000002</v>
      </c>
      <c r="BR68">
        <v>1.3531899999999999</v>
      </c>
      <c r="BS68">
        <v>19.875599999999999</v>
      </c>
      <c r="BT68">
        <v>11.403</v>
      </c>
      <c r="BU68">
        <v>1799.99</v>
      </c>
      <c r="BV68">
        <v>0.90999099999999999</v>
      </c>
      <c r="BW68">
        <v>3.4001099999999999E-2</v>
      </c>
      <c r="BX68">
        <v>2.20057E-2</v>
      </c>
      <c r="BY68">
        <v>3.4001999999999998E-2</v>
      </c>
      <c r="BZ68">
        <v>24</v>
      </c>
      <c r="CA68">
        <v>33528.1</v>
      </c>
      <c r="CB68">
        <v>1690373417</v>
      </c>
      <c r="CC68" t="s">
        <v>332</v>
      </c>
      <c r="CD68">
        <v>1690373417</v>
      </c>
      <c r="CE68">
        <v>1690373415</v>
      </c>
      <c r="CF68">
        <v>1</v>
      </c>
      <c r="CG68">
        <v>-1.319</v>
      </c>
      <c r="CH68">
        <v>0.01</v>
      </c>
      <c r="CI68">
        <v>-1.371</v>
      </c>
      <c r="CJ68">
        <v>0.183</v>
      </c>
      <c r="CK68">
        <v>800</v>
      </c>
      <c r="CL68">
        <v>21</v>
      </c>
      <c r="CM68">
        <v>0.09</v>
      </c>
      <c r="CN68">
        <v>7.0000000000000007E-2</v>
      </c>
      <c r="CO68">
        <v>-175.04660000000001</v>
      </c>
      <c r="CP68">
        <v>-22.36385741088149</v>
      </c>
      <c r="CQ68">
        <v>2.1514567832052789</v>
      </c>
      <c r="CR68">
        <v>-1</v>
      </c>
      <c r="CS68">
        <v>9.8144245000000012</v>
      </c>
      <c r="CT68">
        <v>0.4547984240150168</v>
      </c>
      <c r="CU68">
        <v>4.7172617531254193E-2</v>
      </c>
      <c r="CV68">
        <v>-1</v>
      </c>
      <c r="CW68">
        <v>0</v>
      </c>
      <c r="CX68">
        <v>0</v>
      </c>
      <c r="CY68" t="s">
        <v>333</v>
      </c>
      <c r="CZ68">
        <v>2.3656299999999999</v>
      </c>
      <c r="DA68">
        <v>2.71374</v>
      </c>
      <c r="DB68">
        <v>0.123375</v>
      </c>
      <c r="DC68">
        <v>0.14599400000000001</v>
      </c>
      <c r="DD68">
        <v>0.112349</v>
      </c>
      <c r="DE68">
        <v>7.4940699999999999E-2</v>
      </c>
      <c r="DF68">
        <v>32010.3</v>
      </c>
      <c r="DG68">
        <v>27488</v>
      </c>
      <c r="DH68">
        <v>31170.3</v>
      </c>
      <c r="DI68">
        <v>28043.599999999999</v>
      </c>
      <c r="DJ68">
        <v>37555.300000000003</v>
      </c>
      <c r="DK68">
        <v>36866.199999999997</v>
      </c>
      <c r="DL68">
        <v>44352.2</v>
      </c>
      <c r="DM68">
        <v>42478.2</v>
      </c>
      <c r="DN68">
        <v>1.4746699999999999</v>
      </c>
      <c r="DO68">
        <v>2.0893999999999999</v>
      </c>
      <c r="DP68">
        <v>0.112593</v>
      </c>
      <c r="DQ68">
        <v>0.18390999999999999</v>
      </c>
      <c r="DR68">
        <v>25.047599999999999</v>
      </c>
      <c r="DS68">
        <v>24.950700000000001</v>
      </c>
      <c r="DT68">
        <v>68.2</v>
      </c>
      <c r="DU68">
        <v>24.2</v>
      </c>
      <c r="DV68">
        <v>20.942699999999999</v>
      </c>
      <c r="DW68">
        <v>61.830100000000002</v>
      </c>
      <c r="DX68">
        <v>36.766800000000003</v>
      </c>
      <c r="DY68">
        <v>1</v>
      </c>
      <c r="DZ68">
        <v>-0.15851599999999999</v>
      </c>
      <c r="EA68">
        <v>-0.13156599999999999</v>
      </c>
      <c r="EB68">
        <v>20.191299999999998</v>
      </c>
      <c r="EC68">
        <v>5.2415500000000002</v>
      </c>
      <c r="ED68">
        <v>12.039899999999999</v>
      </c>
      <c r="EE68">
        <v>5.01755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1.8687199999999999</v>
      </c>
      <c r="EL68">
        <v>1.8643799999999999</v>
      </c>
      <c r="EM68">
        <v>1.8690500000000001</v>
      </c>
      <c r="EN68">
        <v>1.86707</v>
      </c>
      <c r="EO68">
        <v>1.8632</v>
      </c>
      <c r="EP68">
        <v>1.8641700000000001</v>
      </c>
      <c r="EQ68">
        <v>1.87</v>
      </c>
      <c r="ER68">
        <v>1.8692200000000001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-1.246</v>
      </c>
      <c r="FG68">
        <v>0.18279999999999999</v>
      </c>
      <c r="FH68">
        <v>-0.81947142863283695</v>
      </c>
      <c r="FI68">
        <v>-6.1462078757559423E-4</v>
      </c>
      <c r="FJ68">
        <v>-1.8861989874597051E-7</v>
      </c>
      <c r="FK68">
        <v>1.1980462299894961E-10</v>
      </c>
      <c r="FL68">
        <v>0.18283500000000069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16.3</v>
      </c>
      <c r="FU68">
        <v>16.399999999999999</v>
      </c>
      <c r="FV68">
        <v>1.7785599999999999</v>
      </c>
      <c r="FW68">
        <v>2.5476100000000002</v>
      </c>
      <c r="FX68">
        <v>1.5490699999999999</v>
      </c>
      <c r="FY68">
        <v>2.34619</v>
      </c>
      <c r="FZ68">
        <v>1.50146</v>
      </c>
      <c r="GA68">
        <v>2.4060100000000002</v>
      </c>
      <c r="GB68">
        <v>29.964700000000001</v>
      </c>
      <c r="GC68">
        <v>23.991199999999999</v>
      </c>
      <c r="GD68">
        <v>19</v>
      </c>
      <c r="GE68">
        <v>278.625</v>
      </c>
      <c r="GF68">
        <v>617.92700000000002</v>
      </c>
      <c r="GG68">
        <v>24.201899999999998</v>
      </c>
      <c r="GH68">
        <v>25.4573</v>
      </c>
      <c r="GI68">
        <v>29.998799999999999</v>
      </c>
      <c r="GJ68">
        <v>25.532599999999999</v>
      </c>
      <c r="GK68">
        <v>25.489799999999999</v>
      </c>
      <c r="GL68">
        <v>35.561100000000003</v>
      </c>
      <c r="GM68">
        <v>42.271900000000002</v>
      </c>
      <c r="GN68">
        <v>95.861800000000002</v>
      </c>
      <c r="GO68">
        <v>24.363199999999999</v>
      </c>
      <c r="GP68">
        <v>800</v>
      </c>
      <c r="GQ68">
        <v>13.574999999999999</v>
      </c>
      <c r="GR68">
        <v>99.723699999999994</v>
      </c>
      <c r="GS68">
        <v>99.395600000000002</v>
      </c>
    </row>
    <row r="69" spans="1:201" x14ac:dyDescent="0.25">
      <c r="A69">
        <v>53</v>
      </c>
      <c r="B69">
        <v>1690374406</v>
      </c>
      <c r="C69">
        <v>586.5</v>
      </c>
      <c r="D69" t="s">
        <v>439</v>
      </c>
      <c r="E69" t="s">
        <v>440</v>
      </c>
      <c r="F69" t="s">
        <v>330</v>
      </c>
      <c r="H69">
        <v>1690374406</v>
      </c>
      <c r="I69">
        <f t="shared" si="0"/>
        <v>1.0349679052924314E-3</v>
      </c>
      <c r="J69">
        <f t="shared" si="1"/>
        <v>1.0349679052924314</v>
      </c>
      <c r="K69">
        <f t="shared" si="2"/>
        <v>17.662891370641233</v>
      </c>
      <c r="L69">
        <f t="shared" si="3"/>
        <v>617.18299999999999</v>
      </c>
      <c r="M69">
        <f t="shared" si="4"/>
        <v>194.37717594411671</v>
      </c>
      <c r="N69">
        <f t="shared" si="5"/>
        <v>19.206255974577882</v>
      </c>
      <c r="O69">
        <f t="shared" si="6"/>
        <v>60.983367124161994</v>
      </c>
      <c r="P69">
        <f t="shared" si="7"/>
        <v>6.9431555983039184E-2</v>
      </c>
      <c r="Q69">
        <f t="shared" si="8"/>
        <v>2.2538570793291264</v>
      </c>
      <c r="R69">
        <f t="shared" si="9"/>
        <v>6.8264832146295501E-2</v>
      </c>
      <c r="S69">
        <f t="shared" si="10"/>
        <v>4.2768712514019203E-2</v>
      </c>
      <c r="T69">
        <f t="shared" si="11"/>
        <v>276.11439285662868</v>
      </c>
      <c r="U69">
        <f t="shared" si="12"/>
        <v>27.962452215722539</v>
      </c>
      <c r="V69">
        <f t="shared" si="13"/>
        <v>27.962452215722539</v>
      </c>
      <c r="W69">
        <f t="shared" si="14"/>
        <v>3.7865410561646708</v>
      </c>
      <c r="X69">
        <f t="shared" si="15"/>
        <v>68.26137667731625</v>
      </c>
      <c r="Y69">
        <f t="shared" si="16"/>
        <v>2.3348913695842</v>
      </c>
      <c r="Z69">
        <f t="shared" si="17"/>
        <v>3.4205160857239219</v>
      </c>
      <c r="AA69">
        <f t="shared" si="18"/>
        <v>1.4516496865804709</v>
      </c>
      <c r="AB69">
        <f t="shared" si="19"/>
        <v>-45.642084623396229</v>
      </c>
      <c r="AC69">
        <f t="shared" si="20"/>
        <v>-210.4737167586398</v>
      </c>
      <c r="AD69">
        <f t="shared" si="21"/>
        <v>-20.172911123384491</v>
      </c>
      <c r="AE69">
        <f t="shared" si="22"/>
        <v>-0.1743196487918226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52507.475217213236</v>
      </c>
      <c r="AK69">
        <f t="shared" si="26"/>
        <v>1799.99</v>
      </c>
      <c r="AL69">
        <f t="shared" si="27"/>
        <v>1499.10075201622</v>
      </c>
      <c r="AM69">
        <f t="shared" si="28"/>
        <v>0.83283837800000005</v>
      </c>
      <c r="AN69">
        <f t="shared" si="29"/>
        <v>0.15339773712999999</v>
      </c>
      <c r="AO69">
        <v>30</v>
      </c>
      <c r="AP69">
        <v>0.5</v>
      </c>
      <c r="AQ69" t="s">
        <v>331</v>
      </c>
      <c r="AR69">
        <v>2</v>
      </c>
      <c r="AS69">
        <v>1690374406</v>
      </c>
      <c r="AT69">
        <v>617.18299999999999</v>
      </c>
      <c r="AU69">
        <v>800.04899999999998</v>
      </c>
      <c r="AV69">
        <v>23.630299999999998</v>
      </c>
      <c r="AW69">
        <v>13.5335</v>
      </c>
      <c r="AX69">
        <v>618.42600000000004</v>
      </c>
      <c r="AY69">
        <v>23.447500000000002</v>
      </c>
      <c r="AZ69">
        <v>300.24700000000001</v>
      </c>
      <c r="BA69">
        <v>98.709199999999996</v>
      </c>
      <c r="BB69">
        <v>0.10001400000000001</v>
      </c>
      <c r="BC69">
        <v>26.2303</v>
      </c>
      <c r="BD69">
        <v>26.853400000000001</v>
      </c>
      <c r="BE69">
        <v>27.898700000000002</v>
      </c>
      <c r="BF69">
        <v>0</v>
      </c>
      <c r="BG69">
        <v>0</v>
      </c>
      <c r="BH69">
        <v>10035.6</v>
      </c>
      <c r="BI69">
        <v>1083.01</v>
      </c>
      <c r="BJ69">
        <v>1.4577199999999999</v>
      </c>
      <c r="BK69">
        <v>-182.86600000000001</v>
      </c>
      <c r="BL69">
        <v>632.12</v>
      </c>
      <c r="BM69">
        <v>811.02499999999998</v>
      </c>
      <c r="BN69">
        <v>10.0968</v>
      </c>
      <c r="BO69">
        <v>800.04899999999998</v>
      </c>
      <c r="BP69">
        <v>13.5335</v>
      </c>
      <c r="BQ69">
        <v>2.3325300000000002</v>
      </c>
      <c r="BR69">
        <v>1.33588</v>
      </c>
      <c r="BS69">
        <v>19.902799999999999</v>
      </c>
      <c r="BT69">
        <v>11.2087</v>
      </c>
      <c r="BU69">
        <v>1799.99</v>
      </c>
      <c r="BV69">
        <v>0.90998100000000004</v>
      </c>
      <c r="BW69">
        <v>3.4005199999999999E-2</v>
      </c>
      <c r="BX69">
        <v>2.2002899999999999E-2</v>
      </c>
      <c r="BY69">
        <v>3.4010899999999997E-2</v>
      </c>
      <c r="BZ69">
        <v>24</v>
      </c>
      <c r="CA69">
        <v>33528</v>
      </c>
      <c r="CB69">
        <v>1690373417</v>
      </c>
      <c r="CC69" t="s">
        <v>332</v>
      </c>
      <c r="CD69">
        <v>1690373417</v>
      </c>
      <c r="CE69">
        <v>1690373415</v>
      </c>
      <c r="CF69">
        <v>1</v>
      </c>
      <c r="CG69">
        <v>-1.319</v>
      </c>
      <c r="CH69">
        <v>0.01</v>
      </c>
      <c r="CI69">
        <v>-1.371</v>
      </c>
      <c r="CJ69">
        <v>0.183</v>
      </c>
      <c r="CK69">
        <v>800</v>
      </c>
      <c r="CL69">
        <v>21</v>
      </c>
      <c r="CM69">
        <v>0.09</v>
      </c>
      <c r="CN69">
        <v>7.0000000000000007E-2</v>
      </c>
      <c r="CO69">
        <v>-178.52965853658529</v>
      </c>
      <c r="CP69">
        <v>-22.598822299652099</v>
      </c>
      <c r="CQ69">
        <v>2.2285152183740382</v>
      </c>
      <c r="CR69">
        <v>-1</v>
      </c>
      <c r="CS69">
        <v>9.8973160975609762</v>
      </c>
      <c r="CT69">
        <v>0.69157087108014015</v>
      </c>
      <c r="CU69">
        <v>7.2294784647372753E-2</v>
      </c>
      <c r="CV69">
        <v>-1</v>
      </c>
      <c r="CW69">
        <v>0</v>
      </c>
      <c r="CX69">
        <v>0</v>
      </c>
      <c r="CY69" t="s">
        <v>333</v>
      </c>
      <c r="CZ69">
        <v>2.3655200000000001</v>
      </c>
      <c r="DA69">
        <v>2.7138399999999998</v>
      </c>
      <c r="DB69">
        <v>0.122854</v>
      </c>
      <c r="DC69">
        <v>0.14599000000000001</v>
      </c>
      <c r="DD69">
        <v>0.112483</v>
      </c>
      <c r="DE69">
        <v>7.4228799999999998E-2</v>
      </c>
      <c r="DF69">
        <v>32030.1</v>
      </c>
      <c r="DG69">
        <v>27489.1</v>
      </c>
      <c r="DH69">
        <v>31171</v>
      </c>
      <c r="DI69">
        <v>28044.6</v>
      </c>
      <c r="DJ69">
        <v>37550.400000000001</v>
      </c>
      <c r="DK69">
        <v>36895.699999999997</v>
      </c>
      <c r="DL69">
        <v>44353.3</v>
      </c>
      <c r="DM69">
        <v>42479.4</v>
      </c>
      <c r="DN69">
        <v>1.47532</v>
      </c>
      <c r="DO69">
        <v>2.0888499999999999</v>
      </c>
      <c r="DP69">
        <v>0.110947</v>
      </c>
      <c r="DQ69">
        <v>0.18085499999999999</v>
      </c>
      <c r="DR69">
        <v>25.035900000000002</v>
      </c>
      <c r="DS69">
        <v>24.938099999999999</v>
      </c>
      <c r="DT69">
        <v>68.099999999999994</v>
      </c>
      <c r="DU69">
        <v>24.2</v>
      </c>
      <c r="DV69">
        <v>20.913900000000002</v>
      </c>
      <c r="DW69">
        <v>62.000100000000003</v>
      </c>
      <c r="DX69">
        <v>35.757199999999997</v>
      </c>
      <c r="DY69">
        <v>1</v>
      </c>
      <c r="DZ69">
        <v>-0.158636</v>
      </c>
      <c r="EA69">
        <v>-0.45600200000000002</v>
      </c>
      <c r="EB69">
        <v>20.1904</v>
      </c>
      <c r="EC69">
        <v>5.24125</v>
      </c>
      <c r="ED69">
        <v>12.039899999999999</v>
      </c>
      <c r="EE69">
        <v>5.01755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1.8687400000000001</v>
      </c>
      <c r="EL69">
        <v>1.8643799999999999</v>
      </c>
      <c r="EM69">
        <v>1.8690500000000001</v>
      </c>
      <c r="EN69">
        <v>1.86707</v>
      </c>
      <c r="EO69">
        <v>1.8632</v>
      </c>
      <c r="EP69">
        <v>1.8641799999999999</v>
      </c>
      <c r="EQ69">
        <v>1.8700399999999999</v>
      </c>
      <c r="ER69">
        <v>1.86921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-1.2430000000000001</v>
      </c>
      <c r="FG69">
        <v>0.18279999999999999</v>
      </c>
      <c r="FH69">
        <v>-0.81947142863283695</v>
      </c>
      <c r="FI69">
        <v>-6.1462078757559423E-4</v>
      </c>
      <c r="FJ69">
        <v>-1.8861989874597051E-7</v>
      </c>
      <c r="FK69">
        <v>1.1980462299894961E-10</v>
      </c>
      <c r="FL69">
        <v>0.18283500000000069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16.5</v>
      </c>
      <c r="FU69">
        <v>16.5</v>
      </c>
      <c r="FV69">
        <v>1.7785599999999999</v>
      </c>
      <c r="FW69">
        <v>2.5512700000000001</v>
      </c>
      <c r="FX69">
        <v>1.5490699999999999</v>
      </c>
      <c r="FY69">
        <v>2.34619</v>
      </c>
      <c r="FZ69">
        <v>1.50146</v>
      </c>
      <c r="GA69">
        <v>2.2912599999999999</v>
      </c>
      <c r="GB69">
        <v>29.964700000000001</v>
      </c>
      <c r="GC69">
        <v>23.982399999999998</v>
      </c>
      <c r="GD69">
        <v>19</v>
      </c>
      <c r="GE69">
        <v>278.89800000000002</v>
      </c>
      <c r="GF69">
        <v>617.46</v>
      </c>
      <c r="GG69">
        <v>24.424700000000001</v>
      </c>
      <c r="GH69">
        <v>25.453800000000001</v>
      </c>
      <c r="GI69">
        <v>29.9998</v>
      </c>
      <c r="GJ69">
        <v>25.532599999999999</v>
      </c>
      <c r="GK69">
        <v>25.490300000000001</v>
      </c>
      <c r="GL69">
        <v>35.558500000000002</v>
      </c>
      <c r="GM69">
        <v>43.145899999999997</v>
      </c>
      <c r="GN69">
        <v>95.472499999999997</v>
      </c>
      <c r="GO69">
        <v>24.5305</v>
      </c>
      <c r="GP69">
        <v>800</v>
      </c>
      <c r="GQ69">
        <v>13.3607</v>
      </c>
      <c r="GR69">
        <v>99.725999999999999</v>
      </c>
      <c r="GS69">
        <v>99.398700000000005</v>
      </c>
    </row>
    <row r="70" spans="1:201" x14ac:dyDescent="0.25">
      <c r="A70">
        <v>54</v>
      </c>
      <c r="B70">
        <v>1690374416</v>
      </c>
      <c r="C70">
        <v>596.5</v>
      </c>
      <c r="D70" t="s">
        <v>441</v>
      </c>
      <c r="E70" t="s">
        <v>442</v>
      </c>
      <c r="F70" t="s">
        <v>330</v>
      </c>
      <c r="H70">
        <v>1690374416</v>
      </c>
      <c r="I70">
        <f t="shared" si="0"/>
        <v>1.0610815073184843E-3</v>
      </c>
      <c r="J70">
        <f t="shared" si="1"/>
        <v>1.0610815073184843</v>
      </c>
      <c r="K70">
        <f t="shared" si="2"/>
        <v>18.008642173097094</v>
      </c>
      <c r="L70">
        <f t="shared" si="3"/>
        <v>613.50199999999995</v>
      </c>
      <c r="M70">
        <f t="shared" si="4"/>
        <v>193.95441886180379</v>
      </c>
      <c r="N70">
        <f t="shared" si="5"/>
        <v>19.164587057266861</v>
      </c>
      <c r="O70">
        <f t="shared" si="6"/>
        <v>60.619977403993992</v>
      </c>
      <c r="P70">
        <f t="shared" si="7"/>
        <v>7.137475419990183E-2</v>
      </c>
      <c r="Q70">
        <f t="shared" si="8"/>
        <v>2.2437214847410774</v>
      </c>
      <c r="R70">
        <f t="shared" si="9"/>
        <v>7.0136971781500843E-2</v>
      </c>
      <c r="S70">
        <f t="shared" si="10"/>
        <v>4.3945029214776943E-2</v>
      </c>
      <c r="T70">
        <f t="shared" si="11"/>
        <v>276.11258013435463</v>
      </c>
      <c r="U70">
        <f t="shared" si="12"/>
        <v>27.970476131075575</v>
      </c>
      <c r="V70">
        <f t="shared" si="13"/>
        <v>27.970476131075575</v>
      </c>
      <c r="W70">
        <f t="shared" si="14"/>
        <v>3.7883131303048674</v>
      </c>
      <c r="X70">
        <f t="shared" si="15"/>
        <v>68.366247237630503</v>
      </c>
      <c r="Y70">
        <f t="shared" si="16"/>
        <v>2.3398049279852997</v>
      </c>
      <c r="Z70">
        <f t="shared" si="17"/>
        <v>3.4224562887772669</v>
      </c>
      <c r="AA70">
        <f t="shared" si="18"/>
        <v>1.4485082023195677</v>
      </c>
      <c r="AB70">
        <f t="shared" si="19"/>
        <v>-46.793694472745159</v>
      </c>
      <c r="AC70">
        <f t="shared" si="20"/>
        <v>-209.33656778434337</v>
      </c>
      <c r="AD70">
        <f t="shared" si="21"/>
        <v>-20.156330976656982</v>
      </c>
      <c r="AE70">
        <f t="shared" si="22"/>
        <v>-0.1740130993908906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52110.927637841312</v>
      </c>
      <c r="AK70">
        <f t="shared" si="26"/>
        <v>1799.98</v>
      </c>
      <c r="AL70">
        <f t="shared" si="27"/>
        <v>1499.0945458088599</v>
      </c>
      <c r="AM70">
        <f t="shared" si="28"/>
        <v>0.83283955700000001</v>
      </c>
      <c r="AN70">
        <f t="shared" si="29"/>
        <v>0.15339758227000003</v>
      </c>
      <c r="AO70">
        <v>30</v>
      </c>
      <c r="AP70">
        <v>0.5</v>
      </c>
      <c r="AQ70" t="s">
        <v>331</v>
      </c>
      <c r="AR70">
        <v>2</v>
      </c>
      <c r="AS70">
        <v>1690374416</v>
      </c>
      <c r="AT70">
        <v>613.50199999999995</v>
      </c>
      <c r="AU70">
        <v>800.03599999999994</v>
      </c>
      <c r="AV70">
        <v>23.6799</v>
      </c>
      <c r="AW70">
        <v>13.3238</v>
      </c>
      <c r="AX70">
        <v>614.74300000000005</v>
      </c>
      <c r="AY70">
        <v>23.4971</v>
      </c>
      <c r="AZ70">
        <v>300.10000000000002</v>
      </c>
      <c r="BA70">
        <v>98.709699999999998</v>
      </c>
      <c r="BB70">
        <v>0.100047</v>
      </c>
      <c r="BC70">
        <v>26.239899999999999</v>
      </c>
      <c r="BD70">
        <v>26.8565</v>
      </c>
      <c r="BE70">
        <v>27.902699999999999</v>
      </c>
      <c r="BF70">
        <v>0</v>
      </c>
      <c r="BG70">
        <v>0</v>
      </c>
      <c r="BH70">
        <v>9956.8799999999992</v>
      </c>
      <c r="BI70">
        <v>1082.82</v>
      </c>
      <c r="BJ70">
        <v>1.4577199999999999</v>
      </c>
      <c r="BK70">
        <v>-186.53299999999999</v>
      </c>
      <c r="BL70">
        <v>628.38199999999995</v>
      </c>
      <c r="BM70">
        <v>810.83900000000006</v>
      </c>
      <c r="BN70">
        <v>10.356199999999999</v>
      </c>
      <c r="BO70">
        <v>800.03599999999994</v>
      </c>
      <c r="BP70">
        <v>13.3238</v>
      </c>
      <c r="BQ70">
        <v>2.33744</v>
      </c>
      <c r="BR70">
        <v>1.31518</v>
      </c>
      <c r="BS70">
        <v>19.936699999999998</v>
      </c>
      <c r="BT70">
        <v>10.9735</v>
      </c>
      <c r="BU70">
        <v>1799.98</v>
      </c>
      <c r="BV70">
        <v>0.90999099999999999</v>
      </c>
      <c r="BW70">
        <v>3.40016E-2</v>
      </c>
      <c r="BX70">
        <v>2.2000599999999999E-2</v>
      </c>
      <c r="BY70">
        <v>3.4007299999999997E-2</v>
      </c>
      <c r="BZ70">
        <v>24</v>
      </c>
      <c r="CA70">
        <v>33528</v>
      </c>
      <c r="CB70">
        <v>1690373417</v>
      </c>
      <c r="CC70" t="s">
        <v>332</v>
      </c>
      <c r="CD70">
        <v>1690373417</v>
      </c>
      <c r="CE70">
        <v>1690373415</v>
      </c>
      <c r="CF70">
        <v>1</v>
      </c>
      <c r="CG70">
        <v>-1.319</v>
      </c>
      <c r="CH70">
        <v>0.01</v>
      </c>
      <c r="CI70">
        <v>-1.371</v>
      </c>
      <c r="CJ70">
        <v>0.183</v>
      </c>
      <c r="CK70">
        <v>800</v>
      </c>
      <c r="CL70">
        <v>21</v>
      </c>
      <c r="CM70">
        <v>0.09</v>
      </c>
      <c r="CN70">
        <v>7.0000000000000007E-2</v>
      </c>
      <c r="CO70">
        <v>-182.65509756097561</v>
      </c>
      <c r="CP70">
        <v>-22.186369337979539</v>
      </c>
      <c r="CQ70">
        <v>2.187837888105101</v>
      </c>
      <c r="CR70">
        <v>-1</v>
      </c>
      <c r="CS70">
        <v>10.09586024390244</v>
      </c>
      <c r="CT70">
        <v>1.496699163763092</v>
      </c>
      <c r="CU70">
        <v>0.14789007752938599</v>
      </c>
      <c r="CV70">
        <v>-1</v>
      </c>
      <c r="CW70">
        <v>0</v>
      </c>
      <c r="CX70">
        <v>0</v>
      </c>
      <c r="CY70" t="s">
        <v>333</v>
      </c>
      <c r="CZ70">
        <v>2.36503</v>
      </c>
      <c r="DA70">
        <v>2.7138</v>
      </c>
      <c r="DB70">
        <v>0.12234299999999999</v>
      </c>
      <c r="DC70">
        <v>0.145985</v>
      </c>
      <c r="DD70">
        <v>0.112651</v>
      </c>
      <c r="DE70">
        <v>7.33737E-2</v>
      </c>
      <c r="DF70">
        <v>32049.1</v>
      </c>
      <c r="DG70">
        <v>27489.4</v>
      </c>
      <c r="DH70">
        <v>31171.3</v>
      </c>
      <c r="DI70">
        <v>28044.7</v>
      </c>
      <c r="DJ70">
        <v>37543.4</v>
      </c>
      <c r="DK70">
        <v>36930.1</v>
      </c>
      <c r="DL70">
        <v>44353.599999999999</v>
      </c>
      <c r="DM70">
        <v>42479.7</v>
      </c>
      <c r="DN70">
        <v>1.47525</v>
      </c>
      <c r="DO70">
        <v>2.0885500000000001</v>
      </c>
      <c r="DP70">
        <v>0.111841</v>
      </c>
      <c r="DQ70">
        <v>0.181973</v>
      </c>
      <c r="DR70">
        <v>25.0244</v>
      </c>
      <c r="DS70">
        <v>24.9238</v>
      </c>
      <c r="DT70">
        <v>68.099999999999994</v>
      </c>
      <c r="DU70">
        <v>24.2</v>
      </c>
      <c r="DV70">
        <v>20.908000000000001</v>
      </c>
      <c r="DW70">
        <v>62.0501</v>
      </c>
      <c r="DX70">
        <v>36.790900000000001</v>
      </c>
      <c r="DY70">
        <v>1</v>
      </c>
      <c r="DZ70">
        <v>-0.15904499999999999</v>
      </c>
      <c r="EA70">
        <v>-0.64389399999999997</v>
      </c>
      <c r="EB70">
        <v>20.189699999999998</v>
      </c>
      <c r="EC70">
        <v>5.2411000000000003</v>
      </c>
      <c r="ED70">
        <v>12.039899999999999</v>
      </c>
      <c r="EE70">
        <v>5.0174000000000003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1.8687400000000001</v>
      </c>
      <c r="EL70">
        <v>1.8643400000000001</v>
      </c>
      <c r="EM70">
        <v>1.8690500000000001</v>
      </c>
      <c r="EN70">
        <v>1.86707</v>
      </c>
      <c r="EO70">
        <v>1.8631899999999999</v>
      </c>
      <c r="EP70">
        <v>1.8641700000000001</v>
      </c>
      <c r="EQ70">
        <v>1.87001</v>
      </c>
      <c r="ER70">
        <v>1.8692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-1.2410000000000001</v>
      </c>
      <c r="FG70">
        <v>0.18279999999999999</v>
      </c>
      <c r="FH70">
        <v>-0.81947142863283695</v>
      </c>
      <c r="FI70">
        <v>-6.1462078757559423E-4</v>
      </c>
      <c r="FJ70">
        <v>-1.8861989874597051E-7</v>
      </c>
      <c r="FK70">
        <v>1.1980462299894961E-10</v>
      </c>
      <c r="FL70">
        <v>0.18283500000000069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16.600000000000001</v>
      </c>
      <c r="FU70">
        <v>16.7</v>
      </c>
      <c r="FV70">
        <v>1.7785599999999999</v>
      </c>
      <c r="FW70">
        <v>2.5549300000000001</v>
      </c>
      <c r="FX70">
        <v>1.5490699999999999</v>
      </c>
      <c r="FY70">
        <v>2.34497</v>
      </c>
      <c r="FZ70">
        <v>1.50146</v>
      </c>
      <c r="GA70">
        <v>2.3303199999999999</v>
      </c>
      <c r="GB70">
        <v>29.9861</v>
      </c>
      <c r="GC70">
        <v>23.982399999999998</v>
      </c>
      <c r="GD70">
        <v>19</v>
      </c>
      <c r="GE70">
        <v>278.86599999999999</v>
      </c>
      <c r="GF70">
        <v>617.18799999999999</v>
      </c>
      <c r="GG70">
        <v>24.647500000000001</v>
      </c>
      <c r="GH70">
        <v>25.450299999999999</v>
      </c>
      <c r="GI70">
        <v>30</v>
      </c>
      <c r="GJ70">
        <v>25.532599999999999</v>
      </c>
      <c r="GK70">
        <v>25.4893</v>
      </c>
      <c r="GL70">
        <v>35.555799999999998</v>
      </c>
      <c r="GM70">
        <v>44.0154</v>
      </c>
      <c r="GN70">
        <v>95.085300000000004</v>
      </c>
      <c r="GO70">
        <v>24.744900000000001</v>
      </c>
      <c r="GP70">
        <v>800</v>
      </c>
      <c r="GQ70">
        <v>13.139699999999999</v>
      </c>
      <c r="GR70">
        <v>99.726799999999997</v>
      </c>
      <c r="GS70">
        <v>99.3994</v>
      </c>
    </row>
    <row r="71" spans="1:201" x14ac:dyDescent="0.25">
      <c r="A71">
        <v>55</v>
      </c>
      <c r="B71">
        <v>1690374426</v>
      </c>
      <c r="C71">
        <v>606.5</v>
      </c>
      <c r="D71" t="s">
        <v>443</v>
      </c>
      <c r="E71" t="s">
        <v>444</v>
      </c>
      <c r="F71" t="s">
        <v>330</v>
      </c>
      <c r="H71">
        <v>1690374426</v>
      </c>
      <c r="I71">
        <f t="shared" si="0"/>
        <v>1.0901829116072477E-3</v>
      </c>
      <c r="J71">
        <f t="shared" si="1"/>
        <v>1.0901829116072477</v>
      </c>
      <c r="K71">
        <f t="shared" si="2"/>
        <v>18.368752778771505</v>
      </c>
      <c r="L71">
        <f t="shared" si="3"/>
        <v>609.88599999999997</v>
      </c>
      <c r="M71">
        <f t="shared" si="4"/>
        <v>193.36090072533716</v>
      </c>
      <c r="N71">
        <f t="shared" si="5"/>
        <v>19.105865476831706</v>
      </c>
      <c r="O71">
        <f t="shared" si="6"/>
        <v>60.2624410027694</v>
      </c>
      <c r="P71">
        <f t="shared" si="7"/>
        <v>7.336173737550189E-2</v>
      </c>
      <c r="Q71">
        <f t="shared" si="8"/>
        <v>2.2484760236752659</v>
      </c>
      <c r="R71">
        <f t="shared" si="9"/>
        <v>7.2057469981143485E-2</v>
      </c>
      <c r="S71">
        <f t="shared" si="10"/>
        <v>4.5151170563328479E-2</v>
      </c>
      <c r="T71">
        <f t="shared" si="11"/>
        <v>276.11354122736003</v>
      </c>
      <c r="U71">
        <f t="shared" si="12"/>
        <v>27.987730453013356</v>
      </c>
      <c r="V71">
        <f t="shared" si="13"/>
        <v>27.987730453013356</v>
      </c>
      <c r="W71">
        <f t="shared" si="14"/>
        <v>3.7921261820267604</v>
      </c>
      <c r="X71">
        <f t="shared" si="15"/>
        <v>68.355271581081141</v>
      </c>
      <c r="Y71">
        <f t="shared" si="16"/>
        <v>2.3436195176939401</v>
      </c>
      <c r="Z71">
        <f t="shared" si="17"/>
        <v>3.4285863598888691</v>
      </c>
      <c r="AA71">
        <f t="shared" si="18"/>
        <v>1.4485066643328204</v>
      </c>
      <c r="AB71">
        <f t="shared" si="19"/>
        <v>-48.07706640187962</v>
      </c>
      <c r="AC71">
        <f t="shared" si="20"/>
        <v>-208.19876565893225</v>
      </c>
      <c r="AD71">
        <f t="shared" si="21"/>
        <v>-20.009138281674044</v>
      </c>
      <c r="AE71">
        <f t="shared" si="22"/>
        <v>-0.17142911512587489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52290.653133220338</v>
      </c>
      <c r="AK71">
        <f t="shared" si="26"/>
        <v>1799.99</v>
      </c>
      <c r="AL71">
        <f t="shared" si="27"/>
        <v>1499.1037435995997</v>
      </c>
      <c r="AM71">
        <f t="shared" si="28"/>
        <v>0.83284003999999989</v>
      </c>
      <c r="AN71">
        <f t="shared" si="29"/>
        <v>0.15339726400000001</v>
      </c>
      <c r="AO71">
        <v>30</v>
      </c>
      <c r="AP71">
        <v>0.5</v>
      </c>
      <c r="AQ71" t="s">
        <v>331</v>
      </c>
      <c r="AR71">
        <v>2</v>
      </c>
      <c r="AS71">
        <v>1690374426</v>
      </c>
      <c r="AT71">
        <v>609.88599999999997</v>
      </c>
      <c r="AU71">
        <v>800.10699999999997</v>
      </c>
      <c r="AV71">
        <v>23.718599999999999</v>
      </c>
      <c r="AW71">
        <v>13.081799999999999</v>
      </c>
      <c r="AX71">
        <v>611.12400000000002</v>
      </c>
      <c r="AY71">
        <v>23.535799999999998</v>
      </c>
      <c r="AZ71">
        <v>300.18200000000002</v>
      </c>
      <c r="BA71">
        <v>98.709400000000002</v>
      </c>
      <c r="BB71">
        <v>9.9952899999999997E-2</v>
      </c>
      <c r="BC71">
        <v>26.270199999999999</v>
      </c>
      <c r="BD71">
        <v>26.867999999999999</v>
      </c>
      <c r="BE71">
        <v>27.928799999999999</v>
      </c>
      <c r="BF71">
        <v>0</v>
      </c>
      <c r="BG71">
        <v>0</v>
      </c>
      <c r="BH71">
        <v>9993.75</v>
      </c>
      <c r="BI71">
        <v>1082.6600000000001</v>
      </c>
      <c r="BJ71">
        <v>1.4409000000000001</v>
      </c>
      <c r="BK71">
        <v>-190.22200000000001</v>
      </c>
      <c r="BL71">
        <v>624.70299999999997</v>
      </c>
      <c r="BM71">
        <v>810.71299999999997</v>
      </c>
      <c r="BN71">
        <v>10.636799999999999</v>
      </c>
      <c r="BO71">
        <v>800.10699999999997</v>
      </c>
      <c r="BP71">
        <v>13.081799999999999</v>
      </c>
      <c r="BQ71">
        <v>2.3412500000000001</v>
      </c>
      <c r="BR71">
        <v>1.2912999999999999</v>
      </c>
      <c r="BS71">
        <v>19.963000000000001</v>
      </c>
      <c r="BT71">
        <v>10.697900000000001</v>
      </c>
      <c r="BU71">
        <v>1799.99</v>
      </c>
      <c r="BV71">
        <v>0.91000099999999995</v>
      </c>
      <c r="BW71">
        <v>3.3997699999999999E-2</v>
      </c>
      <c r="BX71">
        <v>2.1998E-2</v>
      </c>
      <c r="BY71">
        <v>3.4003400000000003E-2</v>
      </c>
      <c r="BZ71">
        <v>24</v>
      </c>
      <c r="CA71">
        <v>33528.199999999997</v>
      </c>
      <c r="CB71">
        <v>1690373417</v>
      </c>
      <c r="CC71" t="s">
        <v>332</v>
      </c>
      <c r="CD71">
        <v>1690373417</v>
      </c>
      <c r="CE71">
        <v>1690373415</v>
      </c>
      <c r="CF71">
        <v>1</v>
      </c>
      <c r="CG71">
        <v>-1.319</v>
      </c>
      <c r="CH71">
        <v>0.01</v>
      </c>
      <c r="CI71">
        <v>-1.371</v>
      </c>
      <c r="CJ71">
        <v>0.183</v>
      </c>
      <c r="CK71">
        <v>800</v>
      </c>
      <c r="CL71">
        <v>21</v>
      </c>
      <c r="CM71">
        <v>0.09</v>
      </c>
      <c r="CN71">
        <v>7.0000000000000007E-2</v>
      </c>
      <c r="CO71">
        <v>-186.25405000000001</v>
      </c>
      <c r="CP71">
        <v>-21.977380863038679</v>
      </c>
      <c r="CQ71">
        <v>2.1143039037706961</v>
      </c>
      <c r="CR71">
        <v>-1</v>
      </c>
      <c r="CS71">
        <v>10.348675</v>
      </c>
      <c r="CT71">
        <v>1.624311444652881</v>
      </c>
      <c r="CU71">
        <v>0.15643593377162429</v>
      </c>
      <c r="CV71">
        <v>-1</v>
      </c>
      <c r="CW71">
        <v>0</v>
      </c>
      <c r="CX71">
        <v>0</v>
      </c>
      <c r="CY71" t="s">
        <v>333</v>
      </c>
      <c r="CZ71">
        <v>2.3653400000000002</v>
      </c>
      <c r="DA71">
        <v>2.71374</v>
      </c>
      <c r="DB71">
        <v>0.121838</v>
      </c>
      <c r="DC71">
        <v>0.14598900000000001</v>
      </c>
      <c r="DD71">
        <v>0.11278000000000001</v>
      </c>
      <c r="DE71">
        <v>7.238E-2</v>
      </c>
      <c r="DF71">
        <v>32067.599999999999</v>
      </c>
      <c r="DG71">
        <v>27489.3</v>
      </c>
      <c r="DH71">
        <v>31171.3</v>
      </c>
      <c r="DI71">
        <v>28044.799999999999</v>
      </c>
      <c r="DJ71">
        <v>37538</v>
      </c>
      <c r="DK71">
        <v>36970.1</v>
      </c>
      <c r="DL71">
        <v>44353.9</v>
      </c>
      <c r="DM71">
        <v>42480</v>
      </c>
      <c r="DN71">
        <v>1.4749300000000001</v>
      </c>
      <c r="DO71">
        <v>2.0886800000000001</v>
      </c>
      <c r="DP71">
        <v>0.113182</v>
      </c>
      <c r="DQ71">
        <v>0.18429799999999999</v>
      </c>
      <c r="DR71">
        <v>25.0138</v>
      </c>
      <c r="DS71">
        <v>24.911899999999999</v>
      </c>
      <c r="DT71">
        <v>68</v>
      </c>
      <c r="DU71">
        <v>24.2</v>
      </c>
      <c r="DV71">
        <v>20.8811</v>
      </c>
      <c r="DW71">
        <v>61.2301</v>
      </c>
      <c r="DX71">
        <v>36.5625</v>
      </c>
      <c r="DY71">
        <v>1</v>
      </c>
      <c r="DZ71">
        <v>-0.159057</v>
      </c>
      <c r="EA71">
        <v>-0.77561599999999997</v>
      </c>
      <c r="EB71">
        <v>20.189</v>
      </c>
      <c r="EC71">
        <v>5.24125</v>
      </c>
      <c r="ED71">
        <v>12.039899999999999</v>
      </c>
      <c r="EE71">
        <v>5.0174500000000002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1.8687400000000001</v>
      </c>
      <c r="EL71">
        <v>1.86435</v>
      </c>
      <c r="EM71">
        <v>1.8690500000000001</v>
      </c>
      <c r="EN71">
        <v>1.86707</v>
      </c>
      <c r="EO71">
        <v>1.8631500000000001</v>
      </c>
      <c r="EP71">
        <v>1.8641700000000001</v>
      </c>
      <c r="EQ71">
        <v>1.87</v>
      </c>
      <c r="ER71">
        <v>1.8692200000000001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-1.238</v>
      </c>
      <c r="FG71">
        <v>0.18279999999999999</v>
      </c>
      <c r="FH71">
        <v>-0.81947142863283695</v>
      </c>
      <c r="FI71">
        <v>-6.1462078757559423E-4</v>
      </c>
      <c r="FJ71">
        <v>-1.8861989874597051E-7</v>
      </c>
      <c r="FK71">
        <v>1.1980462299894961E-10</v>
      </c>
      <c r="FL71">
        <v>0.18283500000000069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16.8</v>
      </c>
      <c r="FU71">
        <v>16.899999999999999</v>
      </c>
      <c r="FV71">
        <v>1.7773399999999999</v>
      </c>
      <c r="FW71">
        <v>2.5512700000000001</v>
      </c>
      <c r="FX71">
        <v>1.5490699999999999</v>
      </c>
      <c r="FY71">
        <v>2.34497</v>
      </c>
      <c r="FZ71">
        <v>1.50146</v>
      </c>
      <c r="GA71">
        <v>2.3767100000000001</v>
      </c>
      <c r="GB71">
        <v>29.9861</v>
      </c>
      <c r="GC71">
        <v>23.991199999999999</v>
      </c>
      <c r="GD71">
        <v>19</v>
      </c>
      <c r="GE71">
        <v>278.73</v>
      </c>
      <c r="GF71">
        <v>617.29600000000005</v>
      </c>
      <c r="GG71">
        <v>24.869900000000001</v>
      </c>
      <c r="GH71">
        <v>25.447099999999999</v>
      </c>
      <c r="GI71">
        <v>30</v>
      </c>
      <c r="GJ71">
        <v>25.532599999999999</v>
      </c>
      <c r="GK71">
        <v>25.4893</v>
      </c>
      <c r="GL71">
        <v>35.549399999999999</v>
      </c>
      <c r="GM71">
        <v>44.614100000000001</v>
      </c>
      <c r="GN71">
        <v>94.695499999999996</v>
      </c>
      <c r="GO71">
        <v>24.954599999999999</v>
      </c>
      <c r="GP71">
        <v>800</v>
      </c>
      <c r="GQ71">
        <v>12.920999999999999</v>
      </c>
      <c r="GR71">
        <v>99.727199999999996</v>
      </c>
      <c r="GS71">
        <v>99.399799999999999</v>
      </c>
    </row>
    <row r="72" spans="1:201" x14ac:dyDescent="0.25">
      <c r="A72">
        <v>56</v>
      </c>
      <c r="B72">
        <v>1690374436</v>
      </c>
      <c r="C72">
        <v>616.5</v>
      </c>
      <c r="D72" t="s">
        <v>445</v>
      </c>
      <c r="E72" t="s">
        <v>446</v>
      </c>
      <c r="F72" t="s">
        <v>330</v>
      </c>
      <c r="H72">
        <v>1690374436</v>
      </c>
      <c r="I72">
        <f t="shared" si="0"/>
        <v>1.1143525420342169E-3</v>
      </c>
      <c r="J72">
        <f t="shared" si="1"/>
        <v>1.1143525420342169</v>
      </c>
      <c r="K72">
        <f t="shared" si="2"/>
        <v>18.718071307852771</v>
      </c>
      <c r="L72">
        <f t="shared" si="3"/>
        <v>606.226</v>
      </c>
      <c r="M72">
        <f t="shared" si="4"/>
        <v>191.40131973375225</v>
      </c>
      <c r="N72">
        <f t="shared" si="5"/>
        <v>18.912482133843831</v>
      </c>
      <c r="O72">
        <f t="shared" si="6"/>
        <v>59.901563949612601</v>
      </c>
      <c r="P72">
        <f t="shared" si="7"/>
        <v>7.5080779770628603E-2</v>
      </c>
      <c r="Q72">
        <f t="shared" si="8"/>
        <v>2.2532344310966477</v>
      </c>
      <c r="R72">
        <f t="shared" si="9"/>
        <v>7.3718112414312781E-2</v>
      </c>
      <c r="S72">
        <f t="shared" si="10"/>
        <v>4.6194190546291258E-2</v>
      </c>
      <c r="T72">
        <f t="shared" si="11"/>
        <v>276.1129201408105</v>
      </c>
      <c r="U72">
        <f t="shared" si="12"/>
        <v>27.996071808647965</v>
      </c>
      <c r="V72">
        <f t="shared" si="13"/>
        <v>27.996071808647965</v>
      </c>
      <c r="W72">
        <f t="shared" si="14"/>
        <v>3.7939707478031681</v>
      </c>
      <c r="X72">
        <f t="shared" si="15"/>
        <v>68.36619906639487</v>
      </c>
      <c r="Y72">
        <f t="shared" si="16"/>
        <v>2.3467224654404704</v>
      </c>
      <c r="Z72">
        <f t="shared" si="17"/>
        <v>3.4325770592590867</v>
      </c>
      <c r="AA72">
        <f t="shared" si="18"/>
        <v>1.4472482823626978</v>
      </c>
      <c r="AB72">
        <f t="shared" si="19"/>
        <v>-49.142947103708963</v>
      </c>
      <c r="AC72">
        <f t="shared" si="20"/>
        <v>-207.25956584336421</v>
      </c>
      <c r="AD72">
        <f t="shared" si="21"/>
        <v>-19.879594315506324</v>
      </c>
      <c r="AE72">
        <f t="shared" si="22"/>
        <v>-0.1691871217689993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52472.750542857044</v>
      </c>
      <c r="AK72">
        <f t="shared" si="26"/>
        <v>1799.99</v>
      </c>
      <c r="AL72">
        <f t="shared" si="27"/>
        <v>1499.1050485923499</v>
      </c>
      <c r="AM72">
        <f t="shared" si="28"/>
        <v>0.83284076499999993</v>
      </c>
      <c r="AN72">
        <f t="shared" si="29"/>
        <v>0.15339691894999999</v>
      </c>
      <c r="AO72">
        <v>30</v>
      </c>
      <c r="AP72">
        <v>0.5</v>
      </c>
      <c r="AQ72" t="s">
        <v>331</v>
      </c>
      <c r="AR72">
        <v>2</v>
      </c>
      <c r="AS72">
        <v>1690374436</v>
      </c>
      <c r="AT72">
        <v>606.226</v>
      </c>
      <c r="AU72">
        <v>800.09500000000003</v>
      </c>
      <c r="AV72">
        <v>23.749700000000001</v>
      </c>
      <c r="AW72">
        <v>12.874599999999999</v>
      </c>
      <c r="AX72">
        <v>607.46100000000001</v>
      </c>
      <c r="AY72">
        <v>23.566800000000001</v>
      </c>
      <c r="AZ72">
        <v>300.10399999999998</v>
      </c>
      <c r="BA72">
        <v>98.710700000000003</v>
      </c>
      <c r="BB72">
        <v>9.9915100000000007E-2</v>
      </c>
      <c r="BC72">
        <v>26.289899999999999</v>
      </c>
      <c r="BD72">
        <v>26.900400000000001</v>
      </c>
      <c r="BE72">
        <v>27.957799999999999</v>
      </c>
      <c r="BF72">
        <v>0</v>
      </c>
      <c r="BG72">
        <v>0</v>
      </c>
      <c r="BH72">
        <v>10030.6</v>
      </c>
      <c r="BI72">
        <v>1082.56</v>
      </c>
      <c r="BJ72">
        <v>1.4128700000000001</v>
      </c>
      <c r="BK72">
        <v>-193.869</v>
      </c>
      <c r="BL72">
        <v>620.97400000000005</v>
      </c>
      <c r="BM72">
        <v>810.53</v>
      </c>
      <c r="BN72">
        <v>10.8751</v>
      </c>
      <c r="BO72">
        <v>800.09500000000003</v>
      </c>
      <c r="BP72">
        <v>12.874599999999999</v>
      </c>
      <c r="BQ72">
        <v>2.3443499999999999</v>
      </c>
      <c r="BR72">
        <v>1.2708600000000001</v>
      </c>
      <c r="BS72">
        <v>19.984400000000001</v>
      </c>
      <c r="BT72">
        <v>10.458600000000001</v>
      </c>
      <c r="BU72">
        <v>1799.99</v>
      </c>
      <c r="BV72">
        <v>0.91001299999999996</v>
      </c>
      <c r="BW72">
        <v>3.3993099999999998E-2</v>
      </c>
      <c r="BX72">
        <v>2.1995000000000001E-2</v>
      </c>
      <c r="BY72">
        <v>3.39987E-2</v>
      </c>
      <c r="BZ72">
        <v>24</v>
      </c>
      <c r="CA72">
        <v>33528.400000000001</v>
      </c>
      <c r="CB72">
        <v>1690373417</v>
      </c>
      <c r="CC72" t="s">
        <v>332</v>
      </c>
      <c r="CD72">
        <v>1690373417</v>
      </c>
      <c r="CE72">
        <v>1690373415</v>
      </c>
      <c r="CF72">
        <v>1</v>
      </c>
      <c r="CG72">
        <v>-1.319</v>
      </c>
      <c r="CH72">
        <v>0.01</v>
      </c>
      <c r="CI72">
        <v>-1.371</v>
      </c>
      <c r="CJ72">
        <v>0.183</v>
      </c>
      <c r="CK72">
        <v>800</v>
      </c>
      <c r="CL72">
        <v>21</v>
      </c>
      <c r="CM72">
        <v>0.09</v>
      </c>
      <c r="CN72">
        <v>7.0000000000000007E-2</v>
      </c>
      <c r="CO72">
        <v>-189.6307317073171</v>
      </c>
      <c r="CP72">
        <v>-21.82873170731726</v>
      </c>
      <c r="CQ72">
        <v>2.1525054037992288</v>
      </c>
      <c r="CR72">
        <v>-1</v>
      </c>
      <c r="CS72">
        <v>10.58781951219512</v>
      </c>
      <c r="CT72">
        <v>1.546588850174206</v>
      </c>
      <c r="CU72">
        <v>0.15284118685669151</v>
      </c>
      <c r="CV72">
        <v>-1</v>
      </c>
      <c r="CW72">
        <v>0</v>
      </c>
      <c r="CX72">
        <v>0</v>
      </c>
      <c r="CY72" t="s">
        <v>333</v>
      </c>
      <c r="CZ72">
        <v>2.36511</v>
      </c>
      <c r="DA72">
        <v>2.71373</v>
      </c>
      <c r="DB72">
        <v>0.121327</v>
      </c>
      <c r="DC72">
        <v>0.145985</v>
      </c>
      <c r="DD72">
        <v>0.112887</v>
      </c>
      <c r="DE72">
        <v>7.1524599999999994E-2</v>
      </c>
      <c r="DF72">
        <v>32086.2</v>
      </c>
      <c r="DG72">
        <v>27490.400000000001</v>
      </c>
      <c r="DH72">
        <v>31171.3</v>
      </c>
      <c r="DI72">
        <v>28045.7</v>
      </c>
      <c r="DJ72">
        <v>37533.4</v>
      </c>
      <c r="DK72">
        <v>37005.4</v>
      </c>
      <c r="DL72">
        <v>44353.9</v>
      </c>
      <c r="DM72">
        <v>42481.3</v>
      </c>
      <c r="DN72">
        <v>1.4753000000000001</v>
      </c>
      <c r="DO72">
        <v>2.0881799999999999</v>
      </c>
      <c r="DP72">
        <v>0.11567</v>
      </c>
      <c r="DQ72">
        <v>0.186421</v>
      </c>
      <c r="DR72">
        <v>25.005500000000001</v>
      </c>
      <c r="DS72">
        <v>24.906199999999998</v>
      </c>
      <c r="DT72">
        <v>68</v>
      </c>
      <c r="DU72">
        <v>24.3</v>
      </c>
      <c r="DV72">
        <v>21.008199999999999</v>
      </c>
      <c r="DW72">
        <v>61.5501</v>
      </c>
      <c r="DX72">
        <v>35.897399999999998</v>
      </c>
      <c r="DY72">
        <v>1</v>
      </c>
      <c r="DZ72">
        <v>-0.15919700000000001</v>
      </c>
      <c r="EA72">
        <v>-0.80033500000000002</v>
      </c>
      <c r="EB72">
        <v>20.1889</v>
      </c>
      <c r="EC72">
        <v>5.24125</v>
      </c>
      <c r="ED72">
        <v>12.039899999999999</v>
      </c>
      <c r="EE72">
        <v>5.01755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1.86873</v>
      </c>
      <c r="EL72">
        <v>1.8643799999999999</v>
      </c>
      <c r="EM72">
        <v>1.8690500000000001</v>
      </c>
      <c r="EN72">
        <v>1.86707</v>
      </c>
      <c r="EO72">
        <v>1.8631899999999999</v>
      </c>
      <c r="EP72">
        <v>1.8641700000000001</v>
      </c>
      <c r="EQ72">
        <v>1.87</v>
      </c>
      <c r="ER72">
        <v>1.8692200000000001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-1.2350000000000001</v>
      </c>
      <c r="FG72">
        <v>0.18290000000000001</v>
      </c>
      <c r="FH72">
        <v>-0.81947142863283695</v>
      </c>
      <c r="FI72">
        <v>-6.1462078757559423E-4</v>
      </c>
      <c r="FJ72">
        <v>-1.8861989874597051E-7</v>
      </c>
      <c r="FK72">
        <v>1.1980462299894961E-10</v>
      </c>
      <c r="FL72">
        <v>0.18283500000000069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17</v>
      </c>
      <c r="FU72">
        <v>17</v>
      </c>
      <c r="FV72">
        <v>1.7773399999999999</v>
      </c>
      <c r="FW72">
        <v>2.5549300000000001</v>
      </c>
      <c r="FX72">
        <v>1.5490699999999999</v>
      </c>
      <c r="FY72">
        <v>2.34497</v>
      </c>
      <c r="FZ72">
        <v>1.50146</v>
      </c>
      <c r="GA72">
        <v>2.2692899999999998</v>
      </c>
      <c r="GB72">
        <v>30.0076</v>
      </c>
      <c r="GC72">
        <v>23.982399999999998</v>
      </c>
      <c r="GD72">
        <v>19</v>
      </c>
      <c r="GE72">
        <v>278.87799999999999</v>
      </c>
      <c r="GF72">
        <v>616.86599999999999</v>
      </c>
      <c r="GG72">
        <v>25.0672</v>
      </c>
      <c r="GH72">
        <v>25.443100000000001</v>
      </c>
      <c r="GI72">
        <v>30</v>
      </c>
      <c r="GJ72">
        <v>25.5305</v>
      </c>
      <c r="GK72">
        <v>25.4893</v>
      </c>
      <c r="GL72">
        <v>35.543199999999999</v>
      </c>
      <c r="GM72">
        <v>45.539700000000003</v>
      </c>
      <c r="GN72">
        <v>94.319599999999994</v>
      </c>
      <c r="GO72">
        <v>25.113600000000002</v>
      </c>
      <c r="GP72">
        <v>800</v>
      </c>
      <c r="GQ72">
        <v>12.698</v>
      </c>
      <c r="GR72">
        <v>99.727099999999993</v>
      </c>
      <c r="GS72">
        <v>99.403000000000006</v>
      </c>
    </row>
    <row r="73" spans="1:201" x14ac:dyDescent="0.25">
      <c r="A73">
        <v>57</v>
      </c>
      <c r="B73">
        <v>1690374446</v>
      </c>
      <c r="C73">
        <v>626.5</v>
      </c>
      <c r="D73" t="s">
        <v>447</v>
      </c>
      <c r="E73" t="s">
        <v>448</v>
      </c>
      <c r="F73" t="s">
        <v>330</v>
      </c>
      <c r="H73">
        <v>1690374446</v>
      </c>
      <c r="I73">
        <f t="shared" si="0"/>
        <v>1.1399638595573269E-3</v>
      </c>
      <c r="J73">
        <f t="shared" si="1"/>
        <v>1.1399638595573269</v>
      </c>
      <c r="K73">
        <f t="shared" si="2"/>
        <v>19.075870972471819</v>
      </c>
      <c r="L73">
        <f t="shared" si="3"/>
        <v>602.57899999999995</v>
      </c>
      <c r="M73">
        <f t="shared" si="4"/>
        <v>187.79762894895254</v>
      </c>
      <c r="N73">
        <f t="shared" si="5"/>
        <v>18.556266814659395</v>
      </c>
      <c r="O73">
        <f t="shared" si="6"/>
        <v>59.540776757889994</v>
      </c>
      <c r="P73">
        <f t="shared" si="7"/>
        <v>7.6538664875770518E-2</v>
      </c>
      <c r="Q73">
        <f t="shared" si="8"/>
        <v>2.2512956985937338</v>
      </c>
      <c r="R73">
        <f t="shared" si="9"/>
        <v>7.5121907418071579E-2</v>
      </c>
      <c r="S73">
        <f t="shared" si="10"/>
        <v>4.7076297855934743E-2</v>
      </c>
      <c r="T73">
        <f t="shared" si="11"/>
        <v>276.11285890515069</v>
      </c>
      <c r="U73">
        <f t="shared" si="12"/>
        <v>28.028557165968959</v>
      </c>
      <c r="V73">
        <f t="shared" si="13"/>
        <v>28.028557165968959</v>
      </c>
      <c r="W73">
        <f t="shared" si="14"/>
        <v>3.8011618604170732</v>
      </c>
      <c r="X73">
        <f t="shared" si="15"/>
        <v>68.254776225992075</v>
      </c>
      <c r="Y73">
        <f t="shared" si="16"/>
        <v>2.3483953689880002</v>
      </c>
      <c r="Z73">
        <f t="shared" si="17"/>
        <v>3.4406315555301883</v>
      </c>
      <c r="AA73">
        <f t="shared" si="18"/>
        <v>1.452766491429073</v>
      </c>
      <c r="AB73">
        <f t="shared" si="19"/>
        <v>-50.272406206478117</v>
      </c>
      <c r="AC73">
        <f t="shared" si="20"/>
        <v>-206.20558059494363</v>
      </c>
      <c r="AD73">
        <f t="shared" si="21"/>
        <v>-19.802673146641737</v>
      </c>
      <c r="AE73">
        <f t="shared" si="22"/>
        <v>-0.16780104291277098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52390.155951775312</v>
      </c>
      <c r="AK73">
        <f t="shared" si="26"/>
        <v>1799.99</v>
      </c>
      <c r="AL73">
        <f t="shared" si="27"/>
        <v>1499.10284000462</v>
      </c>
      <c r="AM73">
        <f t="shared" si="28"/>
        <v>0.83283953799999999</v>
      </c>
      <c r="AN73">
        <f t="shared" si="29"/>
        <v>0.15339688493</v>
      </c>
      <c r="AO73">
        <v>30</v>
      </c>
      <c r="AP73">
        <v>0.5</v>
      </c>
      <c r="AQ73" t="s">
        <v>331</v>
      </c>
      <c r="AR73">
        <v>2</v>
      </c>
      <c r="AS73">
        <v>1690374446</v>
      </c>
      <c r="AT73">
        <v>602.57899999999995</v>
      </c>
      <c r="AU73">
        <v>800.11800000000005</v>
      </c>
      <c r="AV73">
        <v>23.7668</v>
      </c>
      <c r="AW73">
        <v>12.6431</v>
      </c>
      <c r="AX73">
        <v>603.81200000000001</v>
      </c>
      <c r="AY73">
        <v>23.584</v>
      </c>
      <c r="AZ73">
        <v>300.13499999999999</v>
      </c>
      <c r="BA73">
        <v>98.709900000000005</v>
      </c>
      <c r="BB73">
        <v>0.10001</v>
      </c>
      <c r="BC73">
        <v>26.329599999999999</v>
      </c>
      <c r="BD73">
        <v>26.9421</v>
      </c>
      <c r="BE73">
        <v>27.970700000000001</v>
      </c>
      <c r="BF73">
        <v>0</v>
      </c>
      <c r="BG73">
        <v>0</v>
      </c>
      <c r="BH73">
        <v>10015.6</v>
      </c>
      <c r="BI73">
        <v>1082.55</v>
      </c>
      <c r="BJ73">
        <v>1.41567</v>
      </c>
      <c r="BK73">
        <v>-197.53899999999999</v>
      </c>
      <c r="BL73">
        <v>617.24900000000002</v>
      </c>
      <c r="BM73">
        <v>810.36400000000003</v>
      </c>
      <c r="BN73">
        <v>11.123799999999999</v>
      </c>
      <c r="BO73">
        <v>800.11800000000005</v>
      </c>
      <c r="BP73">
        <v>12.6431</v>
      </c>
      <c r="BQ73">
        <v>2.3460200000000002</v>
      </c>
      <c r="BR73">
        <v>1.248</v>
      </c>
      <c r="BS73">
        <v>19.995899999999999</v>
      </c>
      <c r="BT73">
        <v>10.1868</v>
      </c>
      <c r="BU73">
        <v>1799.99</v>
      </c>
      <c r="BV73">
        <v>0.91000700000000001</v>
      </c>
      <c r="BW73">
        <v>3.4004800000000002E-2</v>
      </c>
      <c r="BX73">
        <v>2.1992899999999999E-2</v>
      </c>
      <c r="BY73">
        <v>3.3995299999999999E-2</v>
      </c>
      <c r="BZ73">
        <v>24</v>
      </c>
      <c r="CA73">
        <v>33528.199999999997</v>
      </c>
      <c r="CB73">
        <v>1690373417</v>
      </c>
      <c r="CC73" t="s">
        <v>332</v>
      </c>
      <c r="CD73">
        <v>1690373417</v>
      </c>
      <c r="CE73">
        <v>1690373415</v>
      </c>
      <c r="CF73">
        <v>1</v>
      </c>
      <c r="CG73">
        <v>-1.319</v>
      </c>
      <c r="CH73">
        <v>0.01</v>
      </c>
      <c r="CI73">
        <v>-1.371</v>
      </c>
      <c r="CJ73">
        <v>0.183</v>
      </c>
      <c r="CK73">
        <v>800</v>
      </c>
      <c r="CL73">
        <v>21</v>
      </c>
      <c r="CM73">
        <v>0.09</v>
      </c>
      <c r="CN73">
        <v>7.0000000000000007E-2</v>
      </c>
      <c r="CO73">
        <v>-193.55132499999999</v>
      </c>
      <c r="CP73">
        <v>-21.82762851782304</v>
      </c>
      <c r="CQ73">
        <v>2.100024671134844</v>
      </c>
      <c r="CR73">
        <v>-1</v>
      </c>
      <c r="CS73">
        <v>10.8571975</v>
      </c>
      <c r="CT73">
        <v>1.486420637898674</v>
      </c>
      <c r="CU73">
        <v>0.14304938917643101</v>
      </c>
      <c r="CV73">
        <v>-1</v>
      </c>
      <c r="CW73">
        <v>0</v>
      </c>
      <c r="CX73">
        <v>0</v>
      </c>
      <c r="CY73" t="s">
        <v>333</v>
      </c>
      <c r="CZ73">
        <v>2.3652199999999999</v>
      </c>
      <c r="DA73">
        <v>2.7138200000000001</v>
      </c>
      <c r="DB73">
        <v>0.120814</v>
      </c>
      <c r="DC73">
        <v>0.145982</v>
      </c>
      <c r="DD73">
        <v>0.112944</v>
      </c>
      <c r="DE73">
        <v>7.0561100000000002E-2</v>
      </c>
      <c r="DF73">
        <v>32105</v>
      </c>
      <c r="DG73">
        <v>27491.200000000001</v>
      </c>
      <c r="DH73">
        <v>31171.4</v>
      </c>
      <c r="DI73">
        <v>28046.5</v>
      </c>
      <c r="DJ73">
        <v>37531.1</v>
      </c>
      <c r="DK73">
        <v>37044.800000000003</v>
      </c>
      <c r="DL73">
        <v>44354.1</v>
      </c>
      <c r="DM73">
        <v>42482.400000000001</v>
      </c>
      <c r="DN73">
        <v>1.4758800000000001</v>
      </c>
      <c r="DO73">
        <v>2.0875699999999999</v>
      </c>
      <c r="DP73">
        <v>0.11853900000000001</v>
      </c>
      <c r="DQ73">
        <v>0.18736700000000001</v>
      </c>
      <c r="DR73">
        <v>25.000299999999999</v>
      </c>
      <c r="DS73">
        <v>24.903700000000001</v>
      </c>
      <c r="DT73">
        <v>67.900000000000006</v>
      </c>
      <c r="DU73">
        <v>24.3</v>
      </c>
      <c r="DV73">
        <v>20.9771</v>
      </c>
      <c r="DW73">
        <v>61.66</v>
      </c>
      <c r="DX73">
        <v>36.987200000000001</v>
      </c>
      <c r="DY73">
        <v>1</v>
      </c>
      <c r="DZ73">
        <v>-0.15923499999999999</v>
      </c>
      <c r="EA73">
        <v>-0.79057500000000003</v>
      </c>
      <c r="EB73">
        <v>20.1891</v>
      </c>
      <c r="EC73">
        <v>5.24125</v>
      </c>
      <c r="ED73">
        <v>12.039899999999999</v>
      </c>
      <c r="EE73">
        <v>5.0175000000000001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1.8687400000000001</v>
      </c>
      <c r="EL73">
        <v>1.8643700000000001</v>
      </c>
      <c r="EM73">
        <v>1.8690599999999999</v>
      </c>
      <c r="EN73">
        <v>1.86707</v>
      </c>
      <c r="EO73">
        <v>1.8631899999999999</v>
      </c>
      <c r="EP73">
        <v>1.8641700000000001</v>
      </c>
      <c r="EQ73">
        <v>1.87002</v>
      </c>
      <c r="ER73">
        <v>1.86921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-1.2330000000000001</v>
      </c>
      <c r="FG73">
        <v>0.18279999999999999</v>
      </c>
      <c r="FH73">
        <v>-0.81947142863283695</v>
      </c>
      <c r="FI73">
        <v>-6.1462078757559423E-4</v>
      </c>
      <c r="FJ73">
        <v>-1.8861989874597051E-7</v>
      </c>
      <c r="FK73">
        <v>1.1980462299894961E-10</v>
      </c>
      <c r="FL73">
        <v>0.18283500000000069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17.100000000000001</v>
      </c>
      <c r="FU73">
        <v>17.2</v>
      </c>
      <c r="FV73">
        <v>1.7773399999999999</v>
      </c>
      <c r="FW73">
        <v>2.5512700000000001</v>
      </c>
      <c r="FX73">
        <v>1.5490699999999999</v>
      </c>
      <c r="FY73">
        <v>2.34497</v>
      </c>
      <c r="FZ73">
        <v>1.50146</v>
      </c>
      <c r="GA73">
        <v>2.36206</v>
      </c>
      <c r="GB73">
        <v>30.0076</v>
      </c>
      <c r="GC73">
        <v>23.982399999999998</v>
      </c>
      <c r="GD73">
        <v>19</v>
      </c>
      <c r="GE73">
        <v>279.11799999999999</v>
      </c>
      <c r="GF73">
        <v>616.35</v>
      </c>
      <c r="GG73">
        <v>25.201799999999999</v>
      </c>
      <c r="GH73">
        <v>25.439699999999998</v>
      </c>
      <c r="GI73">
        <v>30</v>
      </c>
      <c r="GJ73">
        <v>25.5305</v>
      </c>
      <c r="GK73">
        <v>25.4893</v>
      </c>
      <c r="GL73">
        <v>35.536700000000003</v>
      </c>
      <c r="GM73">
        <v>46.369399999999999</v>
      </c>
      <c r="GN73">
        <v>93.575500000000005</v>
      </c>
      <c r="GO73">
        <v>25.241299999999999</v>
      </c>
      <c r="GP73">
        <v>800</v>
      </c>
      <c r="GQ73">
        <v>12.4809</v>
      </c>
      <c r="GR73">
        <v>99.727599999999995</v>
      </c>
      <c r="GS73">
        <v>99.405600000000007</v>
      </c>
    </row>
    <row r="74" spans="1:201" x14ac:dyDescent="0.25">
      <c r="A74">
        <v>58</v>
      </c>
      <c r="B74">
        <v>1690374456</v>
      </c>
      <c r="C74">
        <v>636.5</v>
      </c>
      <c r="D74" t="s">
        <v>449</v>
      </c>
      <c r="E74" t="s">
        <v>450</v>
      </c>
      <c r="F74" t="s">
        <v>330</v>
      </c>
      <c r="H74">
        <v>1690374456</v>
      </c>
      <c r="I74">
        <f t="shared" si="0"/>
        <v>1.1624746803564727E-3</v>
      </c>
      <c r="J74">
        <f t="shared" si="1"/>
        <v>1.1624746803564727</v>
      </c>
      <c r="K74">
        <f t="shared" si="2"/>
        <v>19.42693326513486</v>
      </c>
      <c r="L74">
        <f t="shared" si="3"/>
        <v>598.875</v>
      </c>
      <c r="M74">
        <f t="shared" si="4"/>
        <v>184.74668427695036</v>
      </c>
      <c r="N74">
        <f t="shared" si="5"/>
        <v>18.255381688072351</v>
      </c>
      <c r="O74">
        <f t="shared" si="6"/>
        <v>59.176659928874997</v>
      </c>
      <c r="P74">
        <f t="shared" si="7"/>
        <v>7.8083510146989416E-2</v>
      </c>
      <c r="Q74">
        <f t="shared" si="8"/>
        <v>2.2488451209917657</v>
      </c>
      <c r="R74">
        <f t="shared" si="9"/>
        <v>7.6608004372530236E-2</v>
      </c>
      <c r="S74">
        <f t="shared" si="10"/>
        <v>4.8010248741132786E-2</v>
      </c>
      <c r="T74">
        <f t="shared" si="11"/>
        <v>276.11096839626293</v>
      </c>
      <c r="U74">
        <f t="shared" si="12"/>
        <v>28.034540206636557</v>
      </c>
      <c r="V74">
        <f t="shared" si="13"/>
        <v>28.034540206636557</v>
      </c>
      <c r="W74">
        <f t="shared" si="14"/>
        <v>3.8024875905812068</v>
      </c>
      <c r="X74">
        <f t="shared" si="15"/>
        <v>68.246437374848185</v>
      </c>
      <c r="Y74">
        <f t="shared" si="16"/>
        <v>2.3497444710676998</v>
      </c>
      <c r="Z74">
        <f t="shared" si="17"/>
        <v>3.4430287667055337</v>
      </c>
      <c r="AA74">
        <f t="shared" si="18"/>
        <v>1.452743119513507</v>
      </c>
      <c r="AB74">
        <f t="shared" si="19"/>
        <v>-51.265133403720448</v>
      </c>
      <c r="AC74">
        <f t="shared" si="20"/>
        <v>-205.27587532570817</v>
      </c>
      <c r="AD74">
        <f t="shared" si="21"/>
        <v>-19.736624586397895</v>
      </c>
      <c r="AE74">
        <f t="shared" si="22"/>
        <v>-0.16666491956360119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52292.667309805052</v>
      </c>
      <c r="AK74">
        <f t="shared" si="26"/>
        <v>1799.98</v>
      </c>
      <c r="AL74">
        <f t="shared" si="27"/>
        <v>1499.0936782184999</v>
      </c>
      <c r="AM74">
        <f t="shared" si="28"/>
        <v>0.83283907499999998</v>
      </c>
      <c r="AN74">
        <f t="shared" si="29"/>
        <v>0.15339668684999996</v>
      </c>
      <c r="AO74">
        <v>30</v>
      </c>
      <c r="AP74">
        <v>0.5</v>
      </c>
      <c r="AQ74" t="s">
        <v>331</v>
      </c>
      <c r="AR74">
        <v>2</v>
      </c>
      <c r="AS74">
        <v>1690374456</v>
      </c>
      <c r="AT74">
        <v>598.875</v>
      </c>
      <c r="AU74">
        <v>799.96400000000006</v>
      </c>
      <c r="AV74">
        <v>23.779699999999998</v>
      </c>
      <c r="AW74">
        <v>12.439399999999999</v>
      </c>
      <c r="AX74">
        <v>600.10500000000002</v>
      </c>
      <c r="AY74">
        <v>23.596800000000002</v>
      </c>
      <c r="AZ74">
        <v>300.21199999999999</v>
      </c>
      <c r="BA74">
        <v>98.712999999999994</v>
      </c>
      <c r="BB74">
        <v>0.100041</v>
      </c>
      <c r="BC74">
        <v>26.3414</v>
      </c>
      <c r="BD74">
        <v>26.955300000000001</v>
      </c>
      <c r="BE74">
        <v>28.0032</v>
      </c>
      <c r="BF74">
        <v>0</v>
      </c>
      <c r="BG74">
        <v>0</v>
      </c>
      <c r="BH74">
        <v>9996.25</v>
      </c>
      <c r="BI74">
        <v>1082.5999999999999</v>
      </c>
      <c r="BJ74">
        <v>1.4016500000000001</v>
      </c>
      <c r="BK74">
        <v>-201.089</v>
      </c>
      <c r="BL74">
        <v>613.46299999999997</v>
      </c>
      <c r="BM74">
        <v>810.04</v>
      </c>
      <c r="BN74">
        <v>11.340299999999999</v>
      </c>
      <c r="BO74">
        <v>799.96400000000006</v>
      </c>
      <c r="BP74">
        <v>12.439399999999999</v>
      </c>
      <c r="BQ74">
        <v>2.3473600000000001</v>
      </c>
      <c r="BR74">
        <v>1.22793</v>
      </c>
      <c r="BS74">
        <v>20.005199999999999</v>
      </c>
      <c r="BT74">
        <v>9.9445700000000006</v>
      </c>
      <c r="BU74">
        <v>1799.98</v>
      </c>
      <c r="BV74">
        <v>0.91000899999999996</v>
      </c>
      <c r="BW74">
        <v>3.4007099999999998E-2</v>
      </c>
      <c r="BX74">
        <v>2.1991E-2</v>
      </c>
      <c r="BY74">
        <v>3.3992500000000002E-2</v>
      </c>
      <c r="BZ74">
        <v>24</v>
      </c>
      <c r="CA74">
        <v>33528.199999999997</v>
      </c>
      <c r="CB74">
        <v>1690373417</v>
      </c>
      <c r="CC74" t="s">
        <v>332</v>
      </c>
      <c r="CD74">
        <v>1690373417</v>
      </c>
      <c r="CE74">
        <v>1690373415</v>
      </c>
      <c r="CF74">
        <v>1</v>
      </c>
      <c r="CG74">
        <v>-1.319</v>
      </c>
      <c r="CH74">
        <v>0.01</v>
      </c>
      <c r="CI74">
        <v>-1.371</v>
      </c>
      <c r="CJ74">
        <v>0.183</v>
      </c>
      <c r="CK74">
        <v>800</v>
      </c>
      <c r="CL74">
        <v>21</v>
      </c>
      <c r="CM74">
        <v>0.09</v>
      </c>
      <c r="CN74">
        <v>7.0000000000000007E-2</v>
      </c>
      <c r="CO74">
        <v>-197.21575000000001</v>
      </c>
      <c r="CP74">
        <v>-21.925013133207472</v>
      </c>
      <c r="CQ74">
        <v>2.109496133558912</v>
      </c>
      <c r="CR74">
        <v>-1</v>
      </c>
      <c r="CS74">
        <v>11.100692499999999</v>
      </c>
      <c r="CT74">
        <v>1.4267493433395719</v>
      </c>
      <c r="CU74">
        <v>0.13730358769438619</v>
      </c>
      <c r="CV74">
        <v>-1</v>
      </c>
      <c r="CW74">
        <v>0</v>
      </c>
      <c r="CX74">
        <v>0</v>
      </c>
      <c r="CY74" t="s">
        <v>333</v>
      </c>
      <c r="CZ74">
        <v>2.3654999999999999</v>
      </c>
      <c r="DA74">
        <v>2.7138300000000002</v>
      </c>
      <c r="DB74">
        <v>0.120296</v>
      </c>
      <c r="DC74">
        <v>0.14596400000000001</v>
      </c>
      <c r="DD74">
        <v>0.11299099999999999</v>
      </c>
      <c r="DE74">
        <v>6.9710800000000003E-2</v>
      </c>
      <c r="DF74">
        <v>32124.2</v>
      </c>
      <c r="DG74">
        <v>27492</v>
      </c>
      <c r="DH74">
        <v>31171.599999999999</v>
      </c>
      <c r="DI74">
        <v>28046.7</v>
      </c>
      <c r="DJ74">
        <v>37529.300000000003</v>
      </c>
      <c r="DK74">
        <v>37079</v>
      </c>
      <c r="DL74">
        <v>44354.400000000001</v>
      </c>
      <c r="DM74">
        <v>42482.6</v>
      </c>
      <c r="DN74">
        <v>1.4759</v>
      </c>
      <c r="DO74">
        <v>2.0872799999999998</v>
      </c>
      <c r="DP74">
        <v>0.11959699999999999</v>
      </c>
      <c r="DQ74">
        <v>0.189357</v>
      </c>
      <c r="DR74">
        <v>24.996200000000002</v>
      </c>
      <c r="DS74">
        <v>24.903700000000001</v>
      </c>
      <c r="DT74">
        <v>67.900000000000006</v>
      </c>
      <c r="DU74">
        <v>24.3</v>
      </c>
      <c r="DV74">
        <v>20.9725</v>
      </c>
      <c r="DW74">
        <v>61.71</v>
      </c>
      <c r="DX74">
        <v>36.338099999999997</v>
      </c>
      <c r="DY74">
        <v>1</v>
      </c>
      <c r="DZ74">
        <v>-0.15955800000000001</v>
      </c>
      <c r="EA74">
        <v>-0.72830300000000003</v>
      </c>
      <c r="EB74">
        <v>20.189499999999999</v>
      </c>
      <c r="EC74">
        <v>5.24125</v>
      </c>
      <c r="ED74">
        <v>12.039899999999999</v>
      </c>
      <c r="EE74">
        <v>5.0173500000000004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1.8687400000000001</v>
      </c>
      <c r="EL74">
        <v>1.86435</v>
      </c>
      <c r="EM74">
        <v>1.8690500000000001</v>
      </c>
      <c r="EN74">
        <v>1.86707</v>
      </c>
      <c r="EO74">
        <v>1.86321</v>
      </c>
      <c r="EP74">
        <v>1.8641700000000001</v>
      </c>
      <c r="EQ74">
        <v>1.87002</v>
      </c>
      <c r="ER74">
        <v>1.8692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-1.23</v>
      </c>
      <c r="FG74">
        <v>0.18290000000000001</v>
      </c>
      <c r="FH74">
        <v>-0.81947142863283695</v>
      </c>
      <c r="FI74">
        <v>-6.1462078757559423E-4</v>
      </c>
      <c r="FJ74">
        <v>-1.8861989874597051E-7</v>
      </c>
      <c r="FK74">
        <v>1.1980462299894961E-10</v>
      </c>
      <c r="FL74">
        <v>0.18283500000000069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17.3</v>
      </c>
      <c r="FU74">
        <v>17.399999999999999</v>
      </c>
      <c r="FV74">
        <v>1.7773399999999999</v>
      </c>
      <c r="FW74">
        <v>2.5463900000000002</v>
      </c>
      <c r="FX74">
        <v>1.5490699999999999</v>
      </c>
      <c r="FY74">
        <v>2.34497</v>
      </c>
      <c r="FZ74">
        <v>1.50146</v>
      </c>
      <c r="GA74">
        <v>2.3803700000000001</v>
      </c>
      <c r="GB74">
        <v>30.0076</v>
      </c>
      <c r="GC74">
        <v>23.991199999999999</v>
      </c>
      <c r="GD74">
        <v>19</v>
      </c>
      <c r="GE74">
        <v>279.12</v>
      </c>
      <c r="GF74">
        <v>616.09100000000001</v>
      </c>
      <c r="GG74">
        <v>25.293700000000001</v>
      </c>
      <c r="GH74">
        <v>25.436399999999999</v>
      </c>
      <c r="GI74">
        <v>30.0001</v>
      </c>
      <c r="GJ74">
        <v>25.528300000000002</v>
      </c>
      <c r="GK74">
        <v>25.4893</v>
      </c>
      <c r="GL74">
        <v>35.533900000000003</v>
      </c>
      <c r="GM74">
        <v>47.230899999999998</v>
      </c>
      <c r="GN74">
        <v>93.196899999999999</v>
      </c>
      <c r="GO74">
        <v>25.313300000000002</v>
      </c>
      <c r="GP74">
        <v>800</v>
      </c>
      <c r="GQ74">
        <v>12.2659</v>
      </c>
      <c r="GR74">
        <v>99.728300000000004</v>
      </c>
      <c r="GS74">
        <v>99.406199999999998</v>
      </c>
    </row>
    <row r="75" spans="1:201" x14ac:dyDescent="0.25">
      <c r="A75">
        <v>59</v>
      </c>
      <c r="B75">
        <v>1690374466</v>
      </c>
      <c r="C75">
        <v>646.5</v>
      </c>
      <c r="D75" t="s">
        <v>451</v>
      </c>
      <c r="E75" t="s">
        <v>452</v>
      </c>
      <c r="F75" t="s">
        <v>330</v>
      </c>
      <c r="H75">
        <v>1690374466</v>
      </c>
      <c r="I75">
        <f t="shared" si="0"/>
        <v>1.1853915774806851E-3</v>
      </c>
      <c r="J75">
        <f t="shared" si="1"/>
        <v>1.1853915774806851</v>
      </c>
      <c r="K75">
        <f t="shared" si="2"/>
        <v>19.789979006199978</v>
      </c>
      <c r="L75">
        <f t="shared" si="3"/>
        <v>595.19799999999998</v>
      </c>
      <c r="M75">
        <f t="shared" si="4"/>
        <v>180.74997915926915</v>
      </c>
      <c r="N75">
        <f t="shared" si="5"/>
        <v>17.860130293701459</v>
      </c>
      <c r="O75">
        <f t="shared" si="6"/>
        <v>58.812254806311998</v>
      </c>
      <c r="P75">
        <f t="shared" si="7"/>
        <v>7.9490635085256847E-2</v>
      </c>
      <c r="Q75">
        <f t="shared" si="8"/>
        <v>2.2452745683093913</v>
      </c>
      <c r="R75">
        <f t="shared" si="9"/>
        <v>7.7959651273731279E-2</v>
      </c>
      <c r="S75">
        <f t="shared" si="10"/>
        <v>4.8859878893018356E-2</v>
      </c>
      <c r="T75">
        <f t="shared" si="11"/>
        <v>276.11498890531732</v>
      </c>
      <c r="U75">
        <f t="shared" si="12"/>
        <v>28.052373079427582</v>
      </c>
      <c r="V75">
        <f t="shared" si="13"/>
        <v>28.052373079427582</v>
      </c>
      <c r="W75">
        <f t="shared" si="14"/>
        <v>3.8064414157045618</v>
      </c>
      <c r="X75">
        <f t="shared" si="15"/>
        <v>68.18472262809199</v>
      </c>
      <c r="Y75">
        <f t="shared" si="16"/>
        <v>2.3508084248795997</v>
      </c>
      <c r="Z75">
        <f t="shared" si="17"/>
        <v>3.4477054892514452</v>
      </c>
      <c r="AA75">
        <f t="shared" si="18"/>
        <v>1.4556329908249621</v>
      </c>
      <c r="AB75">
        <f t="shared" si="19"/>
        <v>-52.275768566898215</v>
      </c>
      <c r="AC75">
        <f t="shared" si="20"/>
        <v>-204.32448672400429</v>
      </c>
      <c r="AD75">
        <f t="shared" si="21"/>
        <v>-19.680406333693334</v>
      </c>
      <c r="AE75">
        <f t="shared" si="22"/>
        <v>-0.16567271927851834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52149.662062407777</v>
      </c>
      <c r="AK75">
        <f t="shared" si="26"/>
        <v>1799.99</v>
      </c>
      <c r="AL75">
        <f t="shared" si="27"/>
        <v>1499.10498019273</v>
      </c>
      <c r="AM75">
        <f t="shared" si="28"/>
        <v>0.832840727</v>
      </c>
      <c r="AN75">
        <f t="shared" si="29"/>
        <v>0.15339806827000002</v>
      </c>
      <c r="AO75">
        <v>30</v>
      </c>
      <c r="AP75">
        <v>0.5</v>
      </c>
      <c r="AQ75" t="s">
        <v>331</v>
      </c>
      <c r="AR75">
        <v>2</v>
      </c>
      <c r="AS75">
        <v>1690374466</v>
      </c>
      <c r="AT75">
        <v>595.19799999999998</v>
      </c>
      <c r="AU75">
        <v>800.03099999999995</v>
      </c>
      <c r="AV75">
        <v>23.790900000000001</v>
      </c>
      <c r="AW75">
        <v>12.225899999999999</v>
      </c>
      <c r="AX75">
        <v>596.42600000000004</v>
      </c>
      <c r="AY75">
        <v>23.608000000000001</v>
      </c>
      <c r="AZ75">
        <v>300.17899999999997</v>
      </c>
      <c r="BA75">
        <v>98.711200000000005</v>
      </c>
      <c r="BB75">
        <v>0.10004399999999999</v>
      </c>
      <c r="BC75">
        <v>26.3644</v>
      </c>
      <c r="BD75">
        <v>26.952000000000002</v>
      </c>
      <c r="BE75">
        <v>28.0047</v>
      </c>
      <c r="BF75">
        <v>0</v>
      </c>
      <c r="BG75">
        <v>0</v>
      </c>
      <c r="BH75">
        <v>9968.75</v>
      </c>
      <c r="BI75">
        <v>1082.6099999999999</v>
      </c>
      <c r="BJ75">
        <v>1.4016500000000001</v>
      </c>
      <c r="BK75">
        <v>-204.833</v>
      </c>
      <c r="BL75">
        <v>609.70299999999997</v>
      </c>
      <c r="BM75">
        <v>809.93299999999999</v>
      </c>
      <c r="BN75">
        <v>11.565</v>
      </c>
      <c r="BO75">
        <v>800.03099999999995</v>
      </c>
      <c r="BP75">
        <v>12.225899999999999</v>
      </c>
      <c r="BQ75">
        <v>2.34843</v>
      </c>
      <c r="BR75">
        <v>1.2068300000000001</v>
      </c>
      <c r="BS75">
        <v>20.012499999999999</v>
      </c>
      <c r="BT75">
        <v>9.6860599999999994</v>
      </c>
      <c r="BU75">
        <v>1799.99</v>
      </c>
      <c r="BV75">
        <v>0.90999799999999997</v>
      </c>
      <c r="BW75">
        <v>3.4003400000000003E-2</v>
      </c>
      <c r="BX75">
        <v>2.2009600000000001E-2</v>
      </c>
      <c r="BY75">
        <v>3.3988900000000002E-2</v>
      </c>
      <c r="BZ75">
        <v>24</v>
      </c>
      <c r="CA75">
        <v>33528</v>
      </c>
      <c r="CB75">
        <v>1690373417</v>
      </c>
      <c r="CC75" t="s">
        <v>332</v>
      </c>
      <c r="CD75">
        <v>1690373417</v>
      </c>
      <c r="CE75">
        <v>1690373415</v>
      </c>
      <c r="CF75">
        <v>1</v>
      </c>
      <c r="CG75">
        <v>-1.319</v>
      </c>
      <c r="CH75">
        <v>0.01</v>
      </c>
      <c r="CI75">
        <v>-1.371</v>
      </c>
      <c r="CJ75">
        <v>0.183</v>
      </c>
      <c r="CK75">
        <v>800</v>
      </c>
      <c r="CL75">
        <v>21</v>
      </c>
      <c r="CM75">
        <v>0.09</v>
      </c>
      <c r="CN75">
        <v>7.0000000000000007E-2</v>
      </c>
      <c r="CO75">
        <v>-200.6061951219512</v>
      </c>
      <c r="CP75">
        <v>-21.955735191638091</v>
      </c>
      <c r="CQ75">
        <v>2.1654102210302</v>
      </c>
      <c r="CR75">
        <v>-1</v>
      </c>
      <c r="CS75">
        <v>11.315192682926829</v>
      </c>
      <c r="CT75">
        <v>1.3607874564459961</v>
      </c>
      <c r="CU75">
        <v>0.13426984186430449</v>
      </c>
      <c r="CV75">
        <v>-1</v>
      </c>
      <c r="CW75">
        <v>0</v>
      </c>
      <c r="CX75">
        <v>0</v>
      </c>
      <c r="CY75" t="s">
        <v>333</v>
      </c>
      <c r="CZ75">
        <v>2.3654000000000002</v>
      </c>
      <c r="DA75">
        <v>2.7138100000000001</v>
      </c>
      <c r="DB75">
        <v>0.11977400000000001</v>
      </c>
      <c r="DC75">
        <v>0.14596600000000001</v>
      </c>
      <c r="DD75">
        <v>0.113027</v>
      </c>
      <c r="DE75">
        <v>6.8810499999999997E-2</v>
      </c>
      <c r="DF75">
        <v>32143.200000000001</v>
      </c>
      <c r="DG75">
        <v>27492.3</v>
      </c>
      <c r="DH75">
        <v>31171.599999999999</v>
      </c>
      <c r="DI75">
        <v>28047.1</v>
      </c>
      <c r="DJ75">
        <v>37527.699999999997</v>
      </c>
      <c r="DK75">
        <v>37115.800000000003</v>
      </c>
      <c r="DL75">
        <v>44354.5</v>
      </c>
      <c r="DM75">
        <v>42483.5</v>
      </c>
      <c r="DN75">
        <v>1.4758800000000001</v>
      </c>
      <c r="DO75">
        <v>2.0868699999999998</v>
      </c>
      <c r="DP75">
        <v>0.119403</v>
      </c>
      <c r="DQ75">
        <v>0.18931899999999999</v>
      </c>
      <c r="DR75">
        <v>24.995999999999999</v>
      </c>
      <c r="DS75">
        <v>24.905799999999999</v>
      </c>
      <c r="DT75">
        <v>67.8</v>
      </c>
      <c r="DU75">
        <v>24.3</v>
      </c>
      <c r="DV75">
        <v>20.944600000000001</v>
      </c>
      <c r="DW75">
        <v>62.03</v>
      </c>
      <c r="DX75">
        <v>36.1098</v>
      </c>
      <c r="DY75">
        <v>1</v>
      </c>
      <c r="DZ75">
        <v>-0.15968199999999999</v>
      </c>
      <c r="EA75">
        <v>-0.71887299999999998</v>
      </c>
      <c r="EB75">
        <v>20.189599999999999</v>
      </c>
      <c r="EC75">
        <v>5.2413999999999996</v>
      </c>
      <c r="ED75">
        <v>12.039899999999999</v>
      </c>
      <c r="EE75">
        <v>5.0175999999999998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1.8687400000000001</v>
      </c>
      <c r="EL75">
        <v>1.86436</v>
      </c>
      <c r="EM75">
        <v>1.8690500000000001</v>
      </c>
      <c r="EN75">
        <v>1.8670599999999999</v>
      </c>
      <c r="EO75">
        <v>1.8632</v>
      </c>
      <c r="EP75">
        <v>1.8641700000000001</v>
      </c>
      <c r="EQ75">
        <v>1.8700300000000001</v>
      </c>
      <c r="ER75">
        <v>1.86921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-1.228</v>
      </c>
      <c r="FG75">
        <v>0.18290000000000001</v>
      </c>
      <c r="FH75">
        <v>-0.81947142863283695</v>
      </c>
      <c r="FI75">
        <v>-6.1462078757559423E-4</v>
      </c>
      <c r="FJ75">
        <v>-1.8861989874597051E-7</v>
      </c>
      <c r="FK75">
        <v>1.1980462299894961E-10</v>
      </c>
      <c r="FL75">
        <v>0.18283500000000069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17.5</v>
      </c>
      <c r="FU75">
        <v>17.5</v>
      </c>
      <c r="FV75">
        <v>1.7773399999999999</v>
      </c>
      <c r="FW75">
        <v>2.5524900000000001</v>
      </c>
      <c r="FX75">
        <v>1.5490699999999999</v>
      </c>
      <c r="FY75">
        <v>2.34497</v>
      </c>
      <c r="FZ75">
        <v>1.50146</v>
      </c>
      <c r="GA75">
        <v>2.2900399999999999</v>
      </c>
      <c r="GB75">
        <v>30.029</v>
      </c>
      <c r="GC75">
        <v>23.982399999999998</v>
      </c>
      <c r="GD75">
        <v>19</v>
      </c>
      <c r="GE75">
        <v>279.10000000000002</v>
      </c>
      <c r="GF75">
        <v>615.72199999999998</v>
      </c>
      <c r="GG75">
        <v>25.351199999999999</v>
      </c>
      <c r="GH75">
        <v>25.432200000000002</v>
      </c>
      <c r="GI75">
        <v>29.9999</v>
      </c>
      <c r="GJ75">
        <v>25.526199999999999</v>
      </c>
      <c r="GK75">
        <v>25.487100000000002</v>
      </c>
      <c r="GL75">
        <v>35.531599999999997</v>
      </c>
      <c r="GM75">
        <v>48.0792</v>
      </c>
      <c r="GN75">
        <v>92.813599999999994</v>
      </c>
      <c r="GO75">
        <v>25.370899999999999</v>
      </c>
      <c r="GP75">
        <v>800</v>
      </c>
      <c r="GQ75">
        <v>12.047499999999999</v>
      </c>
      <c r="GR75">
        <v>99.728399999999993</v>
      </c>
      <c r="GS75">
        <v>99.408000000000001</v>
      </c>
    </row>
    <row r="76" spans="1:201" x14ac:dyDescent="0.25">
      <c r="A76">
        <v>60</v>
      </c>
      <c r="B76">
        <v>1690374476</v>
      </c>
      <c r="C76">
        <v>656.5</v>
      </c>
      <c r="D76" t="s">
        <v>453</v>
      </c>
      <c r="E76" t="s">
        <v>454</v>
      </c>
      <c r="F76" t="s">
        <v>330</v>
      </c>
      <c r="H76">
        <v>1690374476</v>
      </c>
      <c r="I76">
        <f t="shared" si="0"/>
        <v>1.210245646405533E-3</v>
      </c>
      <c r="J76">
        <f t="shared" si="1"/>
        <v>1.2102456464055331</v>
      </c>
      <c r="K76">
        <f t="shared" si="2"/>
        <v>20.14378965636195</v>
      </c>
      <c r="L76">
        <f t="shared" si="3"/>
        <v>591.49099999999999</v>
      </c>
      <c r="M76">
        <f t="shared" si="4"/>
        <v>178.3422352354537</v>
      </c>
      <c r="N76">
        <f t="shared" si="5"/>
        <v>17.622554474811466</v>
      </c>
      <c r="O76">
        <f t="shared" si="6"/>
        <v>58.447077076829999</v>
      </c>
      <c r="P76">
        <f t="shared" si="7"/>
        <v>8.1184286981840062E-2</v>
      </c>
      <c r="Q76">
        <f t="shared" si="8"/>
        <v>2.2477999210656554</v>
      </c>
      <c r="R76">
        <f t="shared" si="9"/>
        <v>7.9589830245182625E-2</v>
      </c>
      <c r="S76">
        <f t="shared" si="10"/>
        <v>4.9884291264451416E-2</v>
      </c>
      <c r="T76">
        <f t="shared" si="11"/>
        <v>276.11295001224482</v>
      </c>
      <c r="U76">
        <f t="shared" si="12"/>
        <v>28.057447415546822</v>
      </c>
      <c r="V76">
        <f t="shared" si="13"/>
        <v>28.057447415546822</v>
      </c>
      <c r="W76">
        <f t="shared" si="14"/>
        <v>3.807567130201694</v>
      </c>
      <c r="X76">
        <f t="shared" si="15"/>
        <v>68.153930204189308</v>
      </c>
      <c r="Y76">
        <f t="shared" si="16"/>
        <v>2.3518414258170002</v>
      </c>
      <c r="Z76">
        <f t="shared" si="17"/>
        <v>3.4507788747778427</v>
      </c>
      <c r="AA76">
        <f t="shared" si="18"/>
        <v>1.4557257043846938</v>
      </c>
      <c r="AB76">
        <f t="shared" si="19"/>
        <v>-53.37183300648401</v>
      </c>
      <c r="AC76">
        <f t="shared" si="20"/>
        <v>-203.33935495779394</v>
      </c>
      <c r="AD76">
        <f t="shared" si="21"/>
        <v>-19.565485428534565</v>
      </c>
      <c r="AE76">
        <f t="shared" si="22"/>
        <v>-0.16372338056766012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52245.323163743997</v>
      </c>
      <c r="AK76">
        <f t="shared" si="26"/>
        <v>1799.98</v>
      </c>
      <c r="AL76">
        <f t="shared" si="27"/>
        <v>1499.0966049859799</v>
      </c>
      <c r="AM76">
        <f t="shared" si="28"/>
        <v>0.83284070099999996</v>
      </c>
      <c r="AN76">
        <f t="shared" si="29"/>
        <v>0.15339778776000002</v>
      </c>
      <c r="AO76">
        <v>30</v>
      </c>
      <c r="AP76">
        <v>0.5</v>
      </c>
      <c r="AQ76" t="s">
        <v>331</v>
      </c>
      <c r="AR76">
        <v>2</v>
      </c>
      <c r="AS76">
        <v>1690374476</v>
      </c>
      <c r="AT76">
        <v>591.49099999999999</v>
      </c>
      <c r="AU76">
        <v>800.029</v>
      </c>
      <c r="AV76">
        <v>23.800899999999999</v>
      </c>
      <c r="AW76">
        <v>11.989800000000001</v>
      </c>
      <c r="AX76">
        <v>592.71600000000001</v>
      </c>
      <c r="AY76">
        <v>23.617999999999999</v>
      </c>
      <c r="AZ76">
        <v>300.084</v>
      </c>
      <c r="BA76">
        <v>98.713200000000001</v>
      </c>
      <c r="BB76">
        <v>9.9930000000000005E-2</v>
      </c>
      <c r="BC76">
        <v>26.3795</v>
      </c>
      <c r="BD76">
        <v>26.988299999999999</v>
      </c>
      <c r="BE76">
        <v>28.043800000000001</v>
      </c>
      <c r="BF76">
        <v>0</v>
      </c>
      <c r="BG76">
        <v>0</v>
      </c>
      <c r="BH76">
        <v>9988.1200000000008</v>
      </c>
      <c r="BI76">
        <v>1082.76</v>
      </c>
      <c r="BJ76">
        <v>1.4016500000000001</v>
      </c>
      <c r="BK76">
        <v>-208.53800000000001</v>
      </c>
      <c r="BL76">
        <v>605.91200000000003</v>
      </c>
      <c r="BM76">
        <v>809.73800000000006</v>
      </c>
      <c r="BN76">
        <v>11.811</v>
      </c>
      <c r="BO76">
        <v>800.029</v>
      </c>
      <c r="BP76">
        <v>11.989800000000001</v>
      </c>
      <c r="BQ76">
        <v>2.3494600000000001</v>
      </c>
      <c r="BR76">
        <v>1.1835599999999999</v>
      </c>
      <c r="BS76">
        <v>20.019600000000001</v>
      </c>
      <c r="BT76">
        <v>9.3963099999999997</v>
      </c>
      <c r="BU76">
        <v>1799.98</v>
      </c>
      <c r="BV76">
        <v>0.91000300000000001</v>
      </c>
      <c r="BW76">
        <v>3.39999E-2</v>
      </c>
      <c r="BX76">
        <v>2.20073E-2</v>
      </c>
      <c r="BY76">
        <v>3.3989199999999997E-2</v>
      </c>
      <c r="BZ76">
        <v>24</v>
      </c>
      <c r="CA76">
        <v>33528</v>
      </c>
      <c r="CB76">
        <v>1690373417</v>
      </c>
      <c r="CC76" t="s">
        <v>332</v>
      </c>
      <c r="CD76">
        <v>1690373417</v>
      </c>
      <c r="CE76">
        <v>1690373415</v>
      </c>
      <c r="CF76">
        <v>1</v>
      </c>
      <c r="CG76">
        <v>-1.319</v>
      </c>
      <c r="CH76">
        <v>0.01</v>
      </c>
      <c r="CI76">
        <v>-1.371</v>
      </c>
      <c r="CJ76">
        <v>0.183</v>
      </c>
      <c r="CK76">
        <v>800</v>
      </c>
      <c r="CL76">
        <v>21</v>
      </c>
      <c r="CM76">
        <v>0.09</v>
      </c>
      <c r="CN76">
        <v>7.0000000000000007E-2</v>
      </c>
      <c r="CO76">
        <v>-204.571325</v>
      </c>
      <c r="CP76">
        <v>-22.256318949343679</v>
      </c>
      <c r="CQ76">
        <v>2.1416679993348651</v>
      </c>
      <c r="CR76">
        <v>-1</v>
      </c>
      <c r="CS76">
        <v>11.56115</v>
      </c>
      <c r="CT76">
        <v>1.4109928705440911</v>
      </c>
      <c r="CU76">
        <v>0.135906421849742</v>
      </c>
      <c r="CV76">
        <v>-1</v>
      </c>
      <c r="CW76">
        <v>0</v>
      </c>
      <c r="CX76">
        <v>0</v>
      </c>
      <c r="CY76" t="s">
        <v>333</v>
      </c>
      <c r="CZ76">
        <v>2.3650899999999999</v>
      </c>
      <c r="DA76">
        <v>2.7137099999999998</v>
      </c>
      <c r="DB76">
        <v>0.119251</v>
      </c>
      <c r="DC76">
        <v>0.14596400000000001</v>
      </c>
      <c r="DD76">
        <v>0.113063</v>
      </c>
      <c r="DE76">
        <v>6.7811300000000005E-2</v>
      </c>
      <c r="DF76">
        <v>32162.799999999999</v>
      </c>
      <c r="DG76">
        <v>27492.799999999999</v>
      </c>
      <c r="DH76">
        <v>31172</v>
      </c>
      <c r="DI76">
        <v>28047.5</v>
      </c>
      <c r="DJ76">
        <v>37526.6</v>
      </c>
      <c r="DK76">
        <v>37156.300000000003</v>
      </c>
      <c r="DL76">
        <v>44355.1</v>
      </c>
      <c r="DM76">
        <v>42484.2</v>
      </c>
      <c r="DN76">
        <v>1.4759199999999999</v>
      </c>
      <c r="DO76">
        <v>2.0867</v>
      </c>
      <c r="DP76">
        <v>0.121742</v>
      </c>
      <c r="DQ76">
        <v>0.19167400000000001</v>
      </c>
      <c r="DR76">
        <v>24.994</v>
      </c>
      <c r="DS76">
        <v>24.906400000000001</v>
      </c>
      <c r="DT76">
        <v>67.7</v>
      </c>
      <c r="DU76">
        <v>24.3</v>
      </c>
      <c r="DV76">
        <v>20.914100000000001</v>
      </c>
      <c r="DW76">
        <v>61.21</v>
      </c>
      <c r="DX76">
        <v>37.031199999999998</v>
      </c>
      <c r="DY76">
        <v>1</v>
      </c>
      <c r="DZ76">
        <v>-0.15971299999999999</v>
      </c>
      <c r="EA76">
        <v>-0.77328200000000002</v>
      </c>
      <c r="EB76">
        <v>20.1891</v>
      </c>
      <c r="EC76">
        <v>5.2411000000000003</v>
      </c>
      <c r="ED76">
        <v>12.039899999999999</v>
      </c>
      <c r="EE76">
        <v>5.0172999999999996</v>
      </c>
      <c r="EF76">
        <v>3.2879299999999998</v>
      </c>
      <c r="EG76">
        <v>9999</v>
      </c>
      <c r="EH76">
        <v>9999</v>
      </c>
      <c r="EI76">
        <v>9999</v>
      </c>
      <c r="EJ76">
        <v>999.9</v>
      </c>
      <c r="EK76">
        <v>1.86873</v>
      </c>
      <c r="EL76">
        <v>1.8643799999999999</v>
      </c>
      <c r="EM76">
        <v>1.8690500000000001</v>
      </c>
      <c r="EN76">
        <v>1.86707</v>
      </c>
      <c r="EO76">
        <v>1.8631899999999999</v>
      </c>
      <c r="EP76">
        <v>1.8641700000000001</v>
      </c>
      <c r="EQ76">
        <v>1.8700300000000001</v>
      </c>
      <c r="ER76">
        <v>1.8692200000000001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-1.2250000000000001</v>
      </c>
      <c r="FG76">
        <v>0.18290000000000001</v>
      </c>
      <c r="FH76">
        <v>-0.81947142863283695</v>
      </c>
      <c r="FI76">
        <v>-6.1462078757559423E-4</v>
      </c>
      <c r="FJ76">
        <v>-1.8861989874597051E-7</v>
      </c>
      <c r="FK76">
        <v>1.1980462299894961E-10</v>
      </c>
      <c r="FL76">
        <v>0.18283500000000069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17.600000000000001</v>
      </c>
      <c r="FU76">
        <v>17.7</v>
      </c>
      <c r="FV76">
        <v>1.7773399999999999</v>
      </c>
      <c r="FW76">
        <v>2.5500500000000001</v>
      </c>
      <c r="FX76">
        <v>1.5490699999999999</v>
      </c>
      <c r="FY76">
        <v>2.34497</v>
      </c>
      <c r="FZ76">
        <v>1.50146</v>
      </c>
      <c r="GA76">
        <v>2.36328</v>
      </c>
      <c r="GB76">
        <v>30.0504</v>
      </c>
      <c r="GC76">
        <v>23.991199999999999</v>
      </c>
      <c r="GD76">
        <v>19</v>
      </c>
      <c r="GE76">
        <v>279.11799999999999</v>
      </c>
      <c r="GF76">
        <v>615.572</v>
      </c>
      <c r="GG76">
        <v>25.41</v>
      </c>
      <c r="GH76">
        <v>25.428100000000001</v>
      </c>
      <c r="GI76">
        <v>30</v>
      </c>
      <c r="GJ76">
        <v>25.525400000000001</v>
      </c>
      <c r="GK76">
        <v>25.487100000000002</v>
      </c>
      <c r="GL76">
        <v>35.523600000000002</v>
      </c>
      <c r="GM76">
        <v>48.698900000000002</v>
      </c>
      <c r="GN76">
        <v>92.439899999999994</v>
      </c>
      <c r="GO76">
        <v>25.436399999999999</v>
      </c>
      <c r="GP76">
        <v>800</v>
      </c>
      <c r="GQ76">
        <v>11.9139</v>
      </c>
      <c r="GR76">
        <v>99.729699999999994</v>
      </c>
      <c r="GS76">
        <v>99.409599999999998</v>
      </c>
    </row>
    <row r="77" spans="1:201" x14ac:dyDescent="0.25">
      <c r="A77">
        <v>61</v>
      </c>
      <c r="B77">
        <v>1690374486</v>
      </c>
      <c r="C77">
        <v>666.5</v>
      </c>
      <c r="D77" t="s">
        <v>455</v>
      </c>
      <c r="E77" t="s">
        <v>456</v>
      </c>
      <c r="F77" t="s">
        <v>330</v>
      </c>
      <c r="H77">
        <v>1690374486</v>
      </c>
      <c r="I77">
        <f t="shared" si="0"/>
        <v>1.2272551728244956E-3</v>
      </c>
      <c r="J77">
        <f t="shared" si="1"/>
        <v>1.2272551728244956</v>
      </c>
      <c r="K77">
        <f t="shared" si="2"/>
        <v>20.506698285298825</v>
      </c>
      <c r="L77">
        <f t="shared" si="3"/>
        <v>587.79</v>
      </c>
      <c r="M77">
        <f t="shared" si="4"/>
        <v>173.67021912243402</v>
      </c>
      <c r="N77">
        <f t="shared" si="5"/>
        <v>17.161110997898376</v>
      </c>
      <c r="O77">
        <f t="shared" si="6"/>
        <v>58.082090783471997</v>
      </c>
      <c r="P77">
        <f t="shared" si="7"/>
        <v>8.2443414807269438E-2</v>
      </c>
      <c r="Q77">
        <f t="shared" si="8"/>
        <v>2.253847915759799</v>
      </c>
      <c r="R77">
        <f t="shared" si="9"/>
        <v>8.0803972035822666E-2</v>
      </c>
      <c r="S77">
        <f t="shared" si="10"/>
        <v>5.0647064569728423E-2</v>
      </c>
      <c r="T77">
        <f t="shared" si="11"/>
        <v>276.11455449573066</v>
      </c>
      <c r="U77">
        <f t="shared" si="12"/>
        <v>28.058295755717477</v>
      </c>
      <c r="V77">
        <f t="shared" si="13"/>
        <v>28.058295755717477</v>
      </c>
      <c r="W77">
        <f t="shared" si="14"/>
        <v>3.8077553582943389</v>
      </c>
      <c r="X77">
        <f t="shared" si="15"/>
        <v>68.166536664348882</v>
      </c>
      <c r="Y77">
        <f t="shared" si="16"/>
        <v>2.3537480975403202</v>
      </c>
      <c r="Z77">
        <f t="shared" si="17"/>
        <v>3.4529377796177974</v>
      </c>
      <c r="AA77">
        <f t="shared" si="18"/>
        <v>1.4540072607540186</v>
      </c>
      <c r="AB77">
        <f t="shared" si="19"/>
        <v>-54.12195312156026</v>
      </c>
      <c r="AC77">
        <f t="shared" si="20"/>
        <v>-202.70154682518654</v>
      </c>
      <c r="AD77">
        <f t="shared" si="21"/>
        <v>-19.452888377450549</v>
      </c>
      <c r="AE77">
        <f t="shared" si="22"/>
        <v>-0.16183382846671179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52479.207019638787</v>
      </c>
      <c r="AK77">
        <f t="shared" si="26"/>
        <v>1799.99</v>
      </c>
      <c r="AL77">
        <f t="shared" si="27"/>
        <v>1499.1029480040199</v>
      </c>
      <c r="AM77">
        <f t="shared" si="28"/>
        <v>0.83283959799999996</v>
      </c>
      <c r="AN77">
        <f t="shared" si="29"/>
        <v>0.15339782692999998</v>
      </c>
      <c r="AO77">
        <v>30</v>
      </c>
      <c r="AP77">
        <v>0.5</v>
      </c>
      <c r="AQ77" t="s">
        <v>331</v>
      </c>
      <c r="AR77">
        <v>2</v>
      </c>
      <c r="AS77">
        <v>1690374486</v>
      </c>
      <c r="AT77">
        <v>587.79</v>
      </c>
      <c r="AU77">
        <v>799.92499999999995</v>
      </c>
      <c r="AV77">
        <v>23.819900000000001</v>
      </c>
      <c r="AW77">
        <v>11.847899999999999</v>
      </c>
      <c r="AX77">
        <v>589.01300000000003</v>
      </c>
      <c r="AY77">
        <v>23.6371</v>
      </c>
      <c r="AZ77">
        <v>300.20600000000002</v>
      </c>
      <c r="BA77">
        <v>98.714399999999998</v>
      </c>
      <c r="BB77">
        <v>9.9956799999999998E-2</v>
      </c>
      <c r="BC77">
        <v>26.3901</v>
      </c>
      <c r="BD77">
        <v>27.002500000000001</v>
      </c>
      <c r="BE77">
        <v>28.022600000000001</v>
      </c>
      <c r="BF77">
        <v>0</v>
      </c>
      <c r="BG77">
        <v>0</v>
      </c>
      <c r="BH77">
        <v>10035</v>
      </c>
      <c r="BI77">
        <v>1082.8699999999999</v>
      </c>
      <c r="BJ77">
        <v>1.4016500000000001</v>
      </c>
      <c r="BK77">
        <v>-212.13499999999999</v>
      </c>
      <c r="BL77">
        <v>602.13300000000004</v>
      </c>
      <c r="BM77">
        <v>809.51599999999996</v>
      </c>
      <c r="BN77">
        <v>11.972</v>
      </c>
      <c r="BO77">
        <v>799.92499999999995</v>
      </c>
      <c r="BP77">
        <v>11.847899999999999</v>
      </c>
      <c r="BQ77">
        <v>2.3513700000000002</v>
      </c>
      <c r="BR77">
        <v>1.1695599999999999</v>
      </c>
      <c r="BS77">
        <v>20.032699999999998</v>
      </c>
      <c r="BT77">
        <v>9.2196499999999997</v>
      </c>
      <c r="BU77">
        <v>1799.99</v>
      </c>
      <c r="BV77">
        <v>0.90998599999999996</v>
      </c>
      <c r="BW77">
        <v>3.3996100000000001E-2</v>
      </c>
      <c r="BX77">
        <v>2.2004900000000001E-2</v>
      </c>
      <c r="BY77">
        <v>3.4013099999999998E-2</v>
      </c>
      <c r="BZ77">
        <v>24</v>
      </c>
      <c r="CA77">
        <v>33528</v>
      </c>
      <c r="CB77">
        <v>1690373417</v>
      </c>
      <c r="CC77" t="s">
        <v>332</v>
      </c>
      <c r="CD77">
        <v>1690373417</v>
      </c>
      <c r="CE77">
        <v>1690373415</v>
      </c>
      <c r="CF77">
        <v>1</v>
      </c>
      <c r="CG77">
        <v>-1.319</v>
      </c>
      <c r="CH77">
        <v>0.01</v>
      </c>
      <c r="CI77">
        <v>-1.371</v>
      </c>
      <c r="CJ77">
        <v>0.183</v>
      </c>
      <c r="CK77">
        <v>800</v>
      </c>
      <c r="CL77">
        <v>21</v>
      </c>
      <c r="CM77">
        <v>0.09</v>
      </c>
      <c r="CN77">
        <v>7.0000000000000007E-2</v>
      </c>
      <c r="CO77">
        <v>-208.27764999999999</v>
      </c>
      <c r="CP77">
        <v>-22.133020637898181</v>
      </c>
      <c r="CQ77">
        <v>2.1297546754262582</v>
      </c>
      <c r="CR77">
        <v>-1</v>
      </c>
      <c r="CS77">
        <v>11.773014999999999</v>
      </c>
      <c r="CT77">
        <v>1.1484810506566561</v>
      </c>
      <c r="CU77">
        <v>0.1121146122278449</v>
      </c>
      <c r="CV77">
        <v>-1</v>
      </c>
      <c r="CW77">
        <v>0</v>
      </c>
      <c r="CX77">
        <v>0</v>
      </c>
      <c r="CY77" t="s">
        <v>333</v>
      </c>
      <c r="CZ77">
        <v>2.3655300000000001</v>
      </c>
      <c r="DA77">
        <v>2.7137799999999999</v>
      </c>
      <c r="DB77">
        <v>0.118726</v>
      </c>
      <c r="DC77">
        <v>0.14595</v>
      </c>
      <c r="DD77">
        <v>0.11312899999999999</v>
      </c>
      <c r="DE77">
        <v>6.7206600000000005E-2</v>
      </c>
      <c r="DF77">
        <v>32182.7</v>
      </c>
      <c r="DG77">
        <v>27493.4</v>
      </c>
      <c r="DH77">
        <v>31172.7</v>
      </c>
      <c r="DI77">
        <v>28047.7</v>
      </c>
      <c r="DJ77">
        <v>37524.699999999997</v>
      </c>
      <c r="DK77">
        <v>37180.9</v>
      </c>
      <c r="DL77">
        <v>44356.2</v>
      </c>
      <c r="DM77">
        <v>42484.7</v>
      </c>
      <c r="DN77">
        <v>1.47648</v>
      </c>
      <c r="DO77">
        <v>2.0864500000000001</v>
      </c>
      <c r="DP77">
        <v>0.12238300000000001</v>
      </c>
      <c r="DQ77">
        <v>0.190161</v>
      </c>
      <c r="DR77">
        <v>24.997800000000002</v>
      </c>
      <c r="DS77">
        <v>24.91</v>
      </c>
      <c r="DT77">
        <v>67.599999999999994</v>
      </c>
      <c r="DU77">
        <v>24.3</v>
      </c>
      <c r="DV77">
        <v>20.883600000000001</v>
      </c>
      <c r="DW77">
        <v>61.41</v>
      </c>
      <c r="DX77">
        <v>35.877400000000002</v>
      </c>
      <c r="DY77">
        <v>1</v>
      </c>
      <c r="DZ77">
        <v>-0.16041900000000001</v>
      </c>
      <c r="EA77">
        <v>-0.71114900000000003</v>
      </c>
      <c r="EB77">
        <v>20.189599999999999</v>
      </c>
      <c r="EC77">
        <v>5.2415500000000002</v>
      </c>
      <c r="ED77">
        <v>12.039899999999999</v>
      </c>
      <c r="EE77">
        <v>5.0174000000000003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1.8687400000000001</v>
      </c>
      <c r="EL77">
        <v>1.8644099999999999</v>
      </c>
      <c r="EM77">
        <v>1.8690500000000001</v>
      </c>
      <c r="EN77">
        <v>1.86707</v>
      </c>
      <c r="EO77">
        <v>1.8632299999999999</v>
      </c>
      <c r="EP77">
        <v>1.8641700000000001</v>
      </c>
      <c r="EQ77">
        <v>1.87002</v>
      </c>
      <c r="ER77">
        <v>1.86921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-1.2230000000000001</v>
      </c>
      <c r="FG77">
        <v>0.18279999999999999</v>
      </c>
      <c r="FH77">
        <v>-0.81947142863283695</v>
      </c>
      <c r="FI77">
        <v>-6.1462078757559423E-4</v>
      </c>
      <c r="FJ77">
        <v>-1.8861989874597051E-7</v>
      </c>
      <c r="FK77">
        <v>1.1980462299894961E-10</v>
      </c>
      <c r="FL77">
        <v>0.18283500000000069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17.8</v>
      </c>
      <c r="FU77">
        <v>17.899999999999999</v>
      </c>
      <c r="FV77">
        <v>1.7761199999999999</v>
      </c>
      <c r="FW77">
        <v>2.5488300000000002</v>
      </c>
      <c r="FX77">
        <v>1.5490699999999999</v>
      </c>
      <c r="FY77">
        <v>2.34497</v>
      </c>
      <c r="FZ77">
        <v>1.50146</v>
      </c>
      <c r="GA77">
        <v>2.3315399999999999</v>
      </c>
      <c r="GB77">
        <v>30.0504</v>
      </c>
      <c r="GC77">
        <v>23.991199999999999</v>
      </c>
      <c r="GD77">
        <v>19</v>
      </c>
      <c r="GE77">
        <v>279.34199999999998</v>
      </c>
      <c r="GF77">
        <v>615.35699999999997</v>
      </c>
      <c r="GG77">
        <v>25.4529</v>
      </c>
      <c r="GH77">
        <v>25.4238</v>
      </c>
      <c r="GI77">
        <v>29.9999</v>
      </c>
      <c r="GJ77">
        <v>25.524000000000001</v>
      </c>
      <c r="GK77">
        <v>25.487100000000002</v>
      </c>
      <c r="GL77">
        <v>35.525599999999997</v>
      </c>
      <c r="GM77">
        <v>49.299100000000003</v>
      </c>
      <c r="GN77">
        <v>91.679000000000002</v>
      </c>
      <c r="GO77">
        <v>25.454599999999999</v>
      </c>
      <c r="GP77">
        <v>800</v>
      </c>
      <c r="GQ77">
        <v>11.704599999999999</v>
      </c>
      <c r="GR77">
        <v>99.732100000000003</v>
      </c>
      <c r="GS77">
        <v>99.410600000000002</v>
      </c>
    </row>
    <row r="78" spans="1:201" x14ac:dyDescent="0.25">
      <c r="A78">
        <v>62</v>
      </c>
      <c r="B78">
        <v>1690374496</v>
      </c>
      <c r="C78">
        <v>676.5</v>
      </c>
      <c r="D78" t="s">
        <v>457</v>
      </c>
      <c r="E78" t="s">
        <v>458</v>
      </c>
      <c r="F78" t="s">
        <v>330</v>
      </c>
      <c r="H78">
        <v>1690374496</v>
      </c>
      <c r="I78">
        <f t="shared" si="0"/>
        <v>1.2500770457749056E-3</v>
      </c>
      <c r="J78">
        <f t="shared" si="1"/>
        <v>1.2500770457749055</v>
      </c>
      <c r="K78">
        <f t="shared" si="2"/>
        <v>20.872210749306578</v>
      </c>
      <c r="L78">
        <f t="shared" si="3"/>
        <v>584.09900000000005</v>
      </c>
      <c r="M78">
        <f t="shared" si="4"/>
        <v>170.46824827030474</v>
      </c>
      <c r="N78">
        <f t="shared" si="5"/>
        <v>16.844622175568517</v>
      </c>
      <c r="O78">
        <f t="shared" si="6"/>
        <v>57.717065013340203</v>
      </c>
      <c r="P78">
        <f t="shared" si="7"/>
        <v>8.4025944215203152E-2</v>
      </c>
      <c r="Q78">
        <f t="shared" si="8"/>
        <v>2.2509490905388776</v>
      </c>
      <c r="R78">
        <f t="shared" si="9"/>
        <v>8.2321513991067602E-2</v>
      </c>
      <c r="S78">
        <f t="shared" si="10"/>
        <v>5.1601202904596286E-2</v>
      </c>
      <c r="T78">
        <f t="shared" si="11"/>
        <v>276.11399397884463</v>
      </c>
      <c r="U78">
        <f t="shared" si="12"/>
        <v>28.06965636272205</v>
      </c>
      <c r="V78">
        <f t="shared" si="13"/>
        <v>28.06965636272205</v>
      </c>
      <c r="W78">
        <f t="shared" si="14"/>
        <v>3.8102768104068212</v>
      </c>
      <c r="X78">
        <f t="shared" si="15"/>
        <v>68.180182371518512</v>
      </c>
      <c r="Y78">
        <f t="shared" si="16"/>
        <v>2.3565816212382602</v>
      </c>
      <c r="Z78">
        <f t="shared" si="17"/>
        <v>3.4564026367619323</v>
      </c>
      <c r="AA78">
        <f t="shared" si="18"/>
        <v>1.453695189168561</v>
      </c>
      <c r="AB78">
        <f t="shared" si="19"/>
        <v>-55.128397718673341</v>
      </c>
      <c r="AC78">
        <f t="shared" si="20"/>
        <v>-201.75648054602425</v>
      </c>
      <c r="AD78">
        <f t="shared" si="21"/>
        <v>-19.389873426816823</v>
      </c>
      <c r="AE78">
        <f t="shared" si="22"/>
        <v>-0.1607577126698061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52363.173374851991</v>
      </c>
      <c r="AK78">
        <f t="shared" si="26"/>
        <v>1799.99</v>
      </c>
      <c r="AL78">
        <f t="shared" si="27"/>
        <v>1499.1038389990699</v>
      </c>
      <c r="AM78">
        <f t="shared" si="28"/>
        <v>0.83284009299999995</v>
      </c>
      <c r="AN78">
        <f t="shared" si="29"/>
        <v>0.15339751552999997</v>
      </c>
      <c r="AO78">
        <v>30</v>
      </c>
      <c r="AP78">
        <v>0.5</v>
      </c>
      <c r="AQ78" t="s">
        <v>331</v>
      </c>
      <c r="AR78">
        <v>2</v>
      </c>
      <c r="AS78">
        <v>1690374496</v>
      </c>
      <c r="AT78">
        <v>584.09900000000005</v>
      </c>
      <c r="AU78">
        <v>800.07600000000002</v>
      </c>
      <c r="AV78">
        <v>23.848700000000001</v>
      </c>
      <c r="AW78">
        <v>11.6487</v>
      </c>
      <c r="AX78">
        <v>585.31899999999996</v>
      </c>
      <c r="AY78">
        <v>23.665800000000001</v>
      </c>
      <c r="AZ78">
        <v>300.065</v>
      </c>
      <c r="BA78">
        <v>98.713899999999995</v>
      </c>
      <c r="BB78">
        <v>9.9939799999999995E-2</v>
      </c>
      <c r="BC78">
        <v>26.4071</v>
      </c>
      <c r="BD78">
        <v>26.9895</v>
      </c>
      <c r="BE78">
        <v>28.030799999999999</v>
      </c>
      <c r="BF78">
        <v>0</v>
      </c>
      <c r="BG78">
        <v>0</v>
      </c>
      <c r="BH78">
        <v>10012.5</v>
      </c>
      <c r="BI78">
        <v>1082.8499999999999</v>
      </c>
      <c r="BJ78">
        <v>1.4016500000000001</v>
      </c>
      <c r="BK78">
        <v>-215.977</v>
      </c>
      <c r="BL78">
        <v>598.37</v>
      </c>
      <c r="BM78">
        <v>809.505</v>
      </c>
      <c r="BN78">
        <v>12.2</v>
      </c>
      <c r="BO78">
        <v>800.07600000000002</v>
      </c>
      <c r="BP78">
        <v>11.6487</v>
      </c>
      <c r="BQ78">
        <v>2.3542000000000001</v>
      </c>
      <c r="BR78">
        <v>1.1498900000000001</v>
      </c>
      <c r="BS78">
        <v>20.052099999999999</v>
      </c>
      <c r="BT78">
        <v>8.9681200000000008</v>
      </c>
      <c r="BU78">
        <v>1799.99</v>
      </c>
      <c r="BV78">
        <v>0.90999600000000003</v>
      </c>
      <c r="BW78">
        <v>3.39922E-2</v>
      </c>
      <c r="BX78">
        <v>2.2002399999999998E-2</v>
      </c>
      <c r="BY78">
        <v>3.40091E-2</v>
      </c>
      <c r="BZ78">
        <v>24</v>
      </c>
      <c r="CA78">
        <v>33528.199999999997</v>
      </c>
      <c r="CB78">
        <v>1690373417</v>
      </c>
      <c r="CC78" t="s">
        <v>332</v>
      </c>
      <c r="CD78">
        <v>1690373417</v>
      </c>
      <c r="CE78">
        <v>1690373415</v>
      </c>
      <c r="CF78">
        <v>1</v>
      </c>
      <c r="CG78">
        <v>-1.319</v>
      </c>
      <c r="CH78">
        <v>0.01</v>
      </c>
      <c r="CI78">
        <v>-1.371</v>
      </c>
      <c r="CJ78">
        <v>0.183</v>
      </c>
      <c r="CK78">
        <v>800</v>
      </c>
      <c r="CL78">
        <v>21</v>
      </c>
      <c r="CM78">
        <v>0.09</v>
      </c>
      <c r="CN78">
        <v>7.0000000000000007E-2</v>
      </c>
      <c r="CO78">
        <v>-211.69934146341461</v>
      </c>
      <c r="CP78">
        <v>-22.41503832752635</v>
      </c>
      <c r="CQ78">
        <v>2.2113592399881101</v>
      </c>
      <c r="CR78">
        <v>-1</v>
      </c>
      <c r="CS78">
        <v>11.949612195121951</v>
      </c>
      <c r="CT78">
        <v>1.0916195121951069</v>
      </c>
      <c r="CU78">
        <v>0.10866070305250369</v>
      </c>
      <c r="CV78">
        <v>-1</v>
      </c>
      <c r="CW78">
        <v>0</v>
      </c>
      <c r="CX78">
        <v>0</v>
      </c>
      <c r="CY78" t="s">
        <v>333</v>
      </c>
      <c r="CZ78">
        <v>2.3650799999999998</v>
      </c>
      <c r="DA78">
        <v>2.71374</v>
      </c>
      <c r="DB78">
        <v>0.1182</v>
      </c>
      <c r="DC78">
        <v>0.14596400000000001</v>
      </c>
      <c r="DD78">
        <v>0.11322500000000001</v>
      </c>
      <c r="DE78">
        <v>6.6352400000000006E-2</v>
      </c>
      <c r="DF78">
        <v>32202.400000000001</v>
      </c>
      <c r="DG78">
        <v>27493.8</v>
      </c>
      <c r="DH78">
        <v>31173.200000000001</v>
      </c>
      <c r="DI78">
        <v>28048.6</v>
      </c>
      <c r="DJ78">
        <v>37521.1</v>
      </c>
      <c r="DK78">
        <v>37215.9</v>
      </c>
      <c r="DL78">
        <v>44356.9</v>
      </c>
      <c r="DM78">
        <v>42485.7</v>
      </c>
      <c r="DN78">
        <v>1.4760500000000001</v>
      </c>
      <c r="DO78">
        <v>2.0860500000000002</v>
      </c>
      <c r="DP78">
        <v>0.12130299999999999</v>
      </c>
      <c r="DQ78">
        <v>0.19040699999999999</v>
      </c>
      <c r="DR78">
        <v>25.002400000000002</v>
      </c>
      <c r="DS78">
        <v>24.914200000000001</v>
      </c>
      <c r="DT78">
        <v>67.5</v>
      </c>
      <c r="DU78">
        <v>24.3</v>
      </c>
      <c r="DV78">
        <v>20.852900000000002</v>
      </c>
      <c r="DW78">
        <v>61.34</v>
      </c>
      <c r="DX78">
        <v>36.6907</v>
      </c>
      <c r="DY78">
        <v>1</v>
      </c>
      <c r="DZ78">
        <v>-0.160389</v>
      </c>
      <c r="EA78">
        <v>-0.67659899999999995</v>
      </c>
      <c r="EB78">
        <v>20.190100000000001</v>
      </c>
      <c r="EC78">
        <v>5.2416999999999998</v>
      </c>
      <c r="ED78">
        <v>12.039899999999999</v>
      </c>
      <c r="EE78">
        <v>5.0172999999999996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1.8687400000000001</v>
      </c>
      <c r="EL78">
        <v>1.8644099999999999</v>
      </c>
      <c r="EM78">
        <v>1.8690500000000001</v>
      </c>
      <c r="EN78">
        <v>1.86707</v>
      </c>
      <c r="EO78">
        <v>1.8632299999999999</v>
      </c>
      <c r="EP78">
        <v>1.8641700000000001</v>
      </c>
      <c r="EQ78">
        <v>1.87002</v>
      </c>
      <c r="ER78">
        <v>1.8692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-1.22</v>
      </c>
      <c r="FG78">
        <v>0.18290000000000001</v>
      </c>
      <c r="FH78">
        <v>-0.81947142863283695</v>
      </c>
      <c r="FI78">
        <v>-6.1462078757559423E-4</v>
      </c>
      <c r="FJ78">
        <v>-1.8861989874597051E-7</v>
      </c>
      <c r="FK78">
        <v>1.1980462299894961E-10</v>
      </c>
      <c r="FL78">
        <v>0.18283500000000069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18</v>
      </c>
      <c r="FU78">
        <v>18</v>
      </c>
      <c r="FV78">
        <v>1.7761199999999999</v>
      </c>
      <c r="FW78">
        <v>2.5549300000000001</v>
      </c>
      <c r="FX78">
        <v>1.5490699999999999</v>
      </c>
      <c r="FY78">
        <v>2.34497</v>
      </c>
      <c r="FZ78">
        <v>1.50146</v>
      </c>
      <c r="GA78">
        <v>2.3278799999999999</v>
      </c>
      <c r="GB78">
        <v>30.0504</v>
      </c>
      <c r="GC78">
        <v>23.991199999999999</v>
      </c>
      <c r="GD78">
        <v>19</v>
      </c>
      <c r="GE78">
        <v>279.154</v>
      </c>
      <c r="GF78">
        <v>614.98800000000006</v>
      </c>
      <c r="GG78">
        <v>25.461500000000001</v>
      </c>
      <c r="GH78">
        <v>25.419899999999998</v>
      </c>
      <c r="GI78">
        <v>29.9999</v>
      </c>
      <c r="GJ78">
        <v>25.521899999999999</v>
      </c>
      <c r="GK78">
        <v>25.484999999999999</v>
      </c>
      <c r="GL78">
        <v>35.5152</v>
      </c>
      <c r="GM78">
        <v>49.897399999999998</v>
      </c>
      <c r="GN78">
        <v>91.284999999999997</v>
      </c>
      <c r="GO78">
        <v>25.462700000000002</v>
      </c>
      <c r="GP78">
        <v>800</v>
      </c>
      <c r="GQ78">
        <v>11.491300000000001</v>
      </c>
      <c r="GR78">
        <v>99.733699999999999</v>
      </c>
      <c r="GS78">
        <v>99.413200000000003</v>
      </c>
    </row>
    <row r="79" spans="1:201" x14ac:dyDescent="0.25">
      <c r="A79">
        <v>63</v>
      </c>
      <c r="B79">
        <v>1690374506</v>
      </c>
      <c r="C79">
        <v>686.5</v>
      </c>
      <c r="D79" t="s">
        <v>459</v>
      </c>
      <c r="E79" t="s">
        <v>460</v>
      </c>
      <c r="F79" t="s">
        <v>330</v>
      </c>
      <c r="H79">
        <v>1690374506</v>
      </c>
      <c r="I79">
        <f t="shared" si="0"/>
        <v>1.2750330044931622E-3</v>
      </c>
      <c r="J79">
        <f t="shared" si="1"/>
        <v>1.2750330044931621</v>
      </c>
      <c r="K79">
        <f t="shared" si="2"/>
        <v>21.231926994294472</v>
      </c>
      <c r="L79">
        <f t="shared" si="3"/>
        <v>580.40700000000004</v>
      </c>
      <c r="M79">
        <f t="shared" si="4"/>
        <v>168.79899730974103</v>
      </c>
      <c r="N79">
        <f t="shared" si="5"/>
        <v>16.680195831643911</v>
      </c>
      <c r="O79">
        <f t="shared" si="6"/>
        <v>57.354028023591006</v>
      </c>
      <c r="P79">
        <f t="shared" si="7"/>
        <v>8.5921830837805677E-2</v>
      </c>
      <c r="Q79">
        <f t="shared" si="8"/>
        <v>2.2473659298662509</v>
      </c>
      <c r="R79">
        <f t="shared" si="9"/>
        <v>8.4137720411391573E-2</v>
      </c>
      <c r="S79">
        <f t="shared" si="10"/>
        <v>5.2743284968388468E-2</v>
      </c>
      <c r="T79">
        <f t="shared" si="11"/>
        <v>276.11554523400002</v>
      </c>
      <c r="U79">
        <f t="shared" si="12"/>
        <v>28.06719093717885</v>
      </c>
      <c r="V79">
        <f t="shared" si="13"/>
        <v>28.06719093717885</v>
      </c>
      <c r="W79">
        <f t="shared" si="14"/>
        <v>3.8097294929967815</v>
      </c>
      <c r="X79">
        <f t="shared" si="15"/>
        <v>68.236086329402283</v>
      </c>
      <c r="Y79">
        <f t="shared" si="16"/>
        <v>2.3589869922099003</v>
      </c>
      <c r="Z79">
        <f t="shared" si="17"/>
        <v>3.4570959723893706</v>
      </c>
      <c r="AA79">
        <f t="shared" si="18"/>
        <v>1.4507425007868813</v>
      </c>
      <c r="AB79">
        <f t="shared" si="19"/>
        <v>-56.228955498148451</v>
      </c>
      <c r="AC79">
        <f t="shared" si="20"/>
        <v>-200.72466071320176</v>
      </c>
      <c r="AD79">
        <f t="shared" si="21"/>
        <v>-19.321555979795733</v>
      </c>
      <c r="AE79">
        <f t="shared" si="22"/>
        <v>-0.15962695714591746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52223.103140485364</v>
      </c>
      <c r="AK79">
        <f t="shared" si="26"/>
        <v>1800</v>
      </c>
      <c r="AL79">
        <f t="shared" si="27"/>
        <v>1499.1106553999998</v>
      </c>
      <c r="AM79">
        <f t="shared" si="28"/>
        <v>0.83283925299999995</v>
      </c>
      <c r="AN79">
        <f t="shared" si="29"/>
        <v>0.15339752513000002</v>
      </c>
      <c r="AO79">
        <v>30</v>
      </c>
      <c r="AP79">
        <v>0.5</v>
      </c>
      <c r="AQ79" t="s">
        <v>331</v>
      </c>
      <c r="AR79">
        <v>2</v>
      </c>
      <c r="AS79">
        <v>1690374506</v>
      </c>
      <c r="AT79">
        <v>580.40700000000004</v>
      </c>
      <c r="AU79">
        <v>799.98099999999999</v>
      </c>
      <c r="AV79">
        <v>23.872299999999999</v>
      </c>
      <c r="AW79">
        <v>11.4346</v>
      </c>
      <c r="AX79">
        <v>581.62400000000002</v>
      </c>
      <c r="AY79">
        <v>23.689399999999999</v>
      </c>
      <c r="AZ79">
        <v>300.19900000000001</v>
      </c>
      <c r="BA79">
        <v>98.716899999999995</v>
      </c>
      <c r="BB79">
        <v>0.100013</v>
      </c>
      <c r="BC79">
        <v>26.410499999999999</v>
      </c>
      <c r="BD79">
        <v>26.988800000000001</v>
      </c>
      <c r="BE79">
        <v>28.065899999999999</v>
      </c>
      <c r="BF79">
        <v>0</v>
      </c>
      <c r="BG79">
        <v>0</v>
      </c>
      <c r="BH79">
        <v>9984.3799999999992</v>
      </c>
      <c r="BI79">
        <v>1082.98</v>
      </c>
      <c r="BJ79">
        <v>1.4016500000000001</v>
      </c>
      <c r="BK79">
        <v>-219.57400000000001</v>
      </c>
      <c r="BL79">
        <v>594.601</v>
      </c>
      <c r="BM79">
        <v>809.23400000000004</v>
      </c>
      <c r="BN79">
        <v>12.4377</v>
      </c>
      <c r="BO79">
        <v>799.98099999999999</v>
      </c>
      <c r="BP79">
        <v>11.4346</v>
      </c>
      <c r="BQ79">
        <v>2.3565999999999998</v>
      </c>
      <c r="BR79">
        <v>1.12879</v>
      </c>
      <c r="BS79">
        <v>20.0686</v>
      </c>
      <c r="BT79">
        <v>8.69407</v>
      </c>
      <c r="BU79">
        <v>1800</v>
      </c>
      <c r="BV79">
        <v>0.90999099999999999</v>
      </c>
      <c r="BW79">
        <v>3.4002699999999997E-2</v>
      </c>
      <c r="BX79">
        <v>2.20004E-2</v>
      </c>
      <c r="BY79">
        <v>3.4006099999999997E-2</v>
      </c>
      <c r="BZ79">
        <v>24</v>
      </c>
      <c r="CA79">
        <v>33528.300000000003</v>
      </c>
      <c r="CB79">
        <v>1690373417</v>
      </c>
      <c r="CC79" t="s">
        <v>332</v>
      </c>
      <c r="CD79">
        <v>1690373417</v>
      </c>
      <c r="CE79">
        <v>1690373415</v>
      </c>
      <c r="CF79">
        <v>1</v>
      </c>
      <c r="CG79">
        <v>-1.319</v>
      </c>
      <c r="CH79">
        <v>0.01</v>
      </c>
      <c r="CI79">
        <v>-1.371</v>
      </c>
      <c r="CJ79">
        <v>0.183</v>
      </c>
      <c r="CK79">
        <v>800</v>
      </c>
      <c r="CL79">
        <v>21</v>
      </c>
      <c r="CM79">
        <v>0.09</v>
      </c>
      <c r="CN79">
        <v>7.0000000000000007E-2</v>
      </c>
      <c r="CO79">
        <v>-215.67862500000001</v>
      </c>
      <c r="CP79">
        <v>-22.177001876172351</v>
      </c>
      <c r="CQ79">
        <v>2.1344754588364339</v>
      </c>
      <c r="CR79">
        <v>-1</v>
      </c>
      <c r="CS79">
        <v>12.182745000000001</v>
      </c>
      <c r="CT79">
        <v>1.4779519699811881</v>
      </c>
      <c r="CU79">
        <v>0.1423600030731946</v>
      </c>
      <c r="CV79">
        <v>-1</v>
      </c>
      <c r="CW79">
        <v>0</v>
      </c>
      <c r="CX79">
        <v>0</v>
      </c>
      <c r="CY79" t="s">
        <v>333</v>
      </c>
      <c r="CZ79">
        <v>2.3655499999999998</v>
      </c>
      <c r="DA79">
        <v>2.7137899999999999</v>
      </c>
      <c r="DB79">
        <v>0.117675</v>
      </c>
      <c r="DC79">
        <v>0.145953</v>
      </c>
      <c r="DD79">
        <v>0.11330800000000001</v>
      </c>
      <c r="DE79">
        <v>6.5430600000000005E-2</v>
      </c>
      <c r="DF79">
        <v>32221.5</v>
      </c>
      <c r="DG79">
        <v>27494.400000000001</v>
      </c>
      <c r="DH79">
        <v>31173.1</v>
      </c>
      <c r="DI79">
        <v>28048.799999999999</v>
      </c>
      <c r="DJ79">
        <v>37517.5</v>
      </c>
      <c r="DK79">
        <v>37253.4</v>
      </c>
      <c r="DL79">
        <v>44357</v>
      </c>
      <c r="DM79">
        <v>42486.400000000001</v>
      </c>
      <c r="DN79">
        <v>1.4765299999999999</v>
      </c>
      <c r="DO79">
        <v>2.0859000000000001</v>
      </c>
      <c r="DP79">
        <v>0.121132</v>
      </c>
      <c r="DQ79">
        <v>0.19232199999999999</v>
      </c>
      <c r="DR79">
        <v>25.0046</v>
      </c>
      <c r="DS79">
        <v>24.917999999999999</v>
      </c>
      <c r="DT79">
        <v>67.5</v>
      </c>
      <c r="DU79">
        <v>24.3</v>
      </c>
      <c r="DV79">
        <v>20.851600000000001</v>
      </c>
      <c r="DW79">
        <v>62.05</v>
      </c>
      <c r="DX79">
        <v>36.370199999999997</v>
      </c>
      <c r="DY79">
        <v>1</v>
      </c>
      <c r="DZ79">
        <v>-0.160742</v>
      </c>
      <c r="EA79">
        <v>8.5441199999999995E-2</v>
      </c>
      <c r="EB79">
        <v>20.184100000000001</v>
      </c>
      <c r="EC79">
        <v>5.242</v>
      </c>
      <c r="ED79">
        <v>12.039899999999999</v>
      </c>
      <c r="EE79">
        <v>5.0174000000000003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1.8687400000000001</v>
      </c>
      <c r="EL79">
        <v>1.8644099999999999</v>
      </c>
      <c r="EM79">
        <v>1.8690500000000001</v>
      </c>
      <c r="EN79">
        <v>1.86707</v>
      </c>
      <c r="EO79">
        <v>1.8632200000000001</v>
      </c>
      <c r="EP79">
        <v>1.8641700000000001</v>
      </c>
      <c r="EQ79">
        <v>1.87005</v>
      </c>
      <c r="ER79">
        <v>1.8692200000000001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-1.2170000000000001</v>
      </c>
      <c r="FG79">
        <v>0.18290000000000001</v>
      </c>
      <c r="FH79">
        <v>-0.81947142863283695</v>
      </c>
      <c r="FI79">
        <v>-6.1462078757559423E-4</v>
      </c>
      <c r="FJ79">
        <v>-1.8861989874597051E-7</v>
      </c>
      <c r="FK79">
        <v>1.1980462299894961E-10</v>
      </c>
      <c r="FL79">
        <v>0.18283500000000069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18.100000000000001</v>
      </c>
      <c r="FU79">
        <v>18.2</v>
      </c>
      <c r="FV79">
        <v>1.7761199999999999</v>
      </c>
      <c r="FW79">
        <v>2.5512700000000001</v>
      </c>
      <c r="FX79">
        <v>1.5490699999999999</v>
      </c>
      <c r="FY79">
        <v>2.34497</v>
      </c>
      <c r="FZ79">
        <v>1.50146</v>
      </c>
      <c r="GA79">
        <v>2.36328</v>
      </c>
      <c r="GB79">
        <v>30.0504</v>
      </c>
      <c r="GC79">
        <v>23.982399999999998</v>
      </c>
      <c r="GD79">
        <v>19</v>
      </c>
      <c r="GE79">
        <v>279.34399999999999</v>
      </c>
      <c r="GF79">
        <v>614.84500000000003</v>
      </c>
      <c r="GG79">
        <v>25.466899999999999</v>
      </c>
      <c r="GH79">
        <v>25.4161</v>
      </c>
      <c r="GI79">
        <v>30.0001</v>
      </c>
      <c r="GJ79">
        <v>25.5198</v>
      </c>
      <c r="GK79">
        <v>25.483799999999999</v>
      </c>
      <c r="GL79">
        <v>35.515500000000003</v>
      </c>
      <c r="GM79">
        <v>50.764800000000001</v>
      </c>
      <c r="GN79">
        <v>90.5304</v>
      </c>
      <c r="GO79">
        <v>24.854900000000001</v>
      </c>
      <c r="GP79">
        <v>800</v>
      </c>
      <c r="GQ79">
        <v>11.272399999999999</v>
      </c>
      <c r="GR79">
        <v>99.733699999999999</v>
      </c>
      <c r="GS79">
        <v>99.414500000000004</v>
      </c>
    </row>
    <row r="80" spans="1:201" x14ac:dyDescent="0.25">
      <c r="A80">
        <v>64</v>
      </c>
      <c r="B80">
        <v>1690374516</v>
      </c>
      <c r="C80">
        <v>696.5</v>
      </c>
      <c r="D80" t="s">
        <v>461</v>
      </c>
      <c r="E80" t="s">
        <v>462</v>
      </c>
      <c r="F80" t="s">
        <v>330</v>
      </c>
      <c r="H80">
        <v>1690374516</v>
      </c>
      <c r="I80">
        <f t="shared" si="0"/>
        <v>1.291344908645958E-3</v>
      </c>
      <c r="J80">
        <f t="shared" si="1"/>
        <v>1.2913449086459581</v>
      </c>
      <c r="K80">
        <f t="shared" si="2"/>
        <v>21.587761681616495</v>
      </c>
      <c r="L80">
        <f t="shared" si="3"/>
        <v>576.89300000000003</v>
      </c>
      <c r="M80">
        <f t="shared" si="4"/>
        <v>164.84257383577423</v>
      </c>
      <c r="N80">
        <f t="shared" si="5"/>
        <v>16.290131729850511</v>
      </c>
      <c r="O80">
        <f t="shared" si="6"/>
        <v>57.009926169868898</v>
      </c>
      <c r="P80">
        <f t="shared" si="7"/>
        <v>8.7265493177807157E-2</v>
      </c>
      <c r="Q80">
        <f t="shared" si="8"/>
        <v>2.2477600530839483</v>
      </c>
      <c r="R80">
        <f t="shared" si="9"/>
        <v>8.5426104889637644E-2</v>
      </c>
      <c r="S80">
        <f t="shared" si="10"/>
        <v>5.3553348107056351E-2</v>
      </c>
      <c r="T80">
        <f t="shared" si="11"/>
        <v>276.11371283840663</v>
      </c>
      <c r="U80">
        <f t="shared" si="12"/>
        <v>28.036229456060767</v>
      </c>
      <c r="V80">
        <f t="shared" si="13"/>
        <v>28.036229456060767</v>
      </c>
      <c r="W80">
        <f t="shared" si="14"/>
        <v>3.8028619697481547</v>
      </c>
      <c r="X80">
        <f t="shared" si="15"/>
        <v>68.238717793204955</v>
      </c>
      <c r="Y80">
        <f t="shared" si="16"/>
        <v>2.3555593553099898</v>
      </c>
      <c r="Z80">
        <f t="shared" si="17"/>
        <v>3.4519396487613236</v>
      </c>
      <c r="AA80">
        <f t="shared" si="18"/>
        <v>1.4473026144381649</v>
      </c>
      <c r="AB80">
        <f t="shared" si="19"/>
        <v>-56.948310471286746</v>
      </c>
      <c r="AC80">
        <f t="shared" si="20"/>
        <v>-200.07379673202243</v>
      </c>
      <c r="AD80">
        <f t="shared" si="21"/>
        <v>-19.250114717613592</v>
      </c>
      <c r="AE80">
        <f t="shared" si="22"/>
        <v>-0.15850908251613305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52242.97414756487</v>
      </c>
      <c r="AK80">
        <f t="shared" si="26"/>
        <v>1799.99</v>
      </c>
      <c r="AL80">
        <f t="shared" si="27"/>
        <v>1499.1010598145099</v>
      </c>
      <c r="AM80">
        <f t="shared" si="28"/>
        <v>0.83283854899999987</v>
      </c>
      <c r="AN80">
        <f t="shared" si="29"/>
        <v>0.15339735934000001</v>
      </c>
      <c r="AO80">
        <v>30</v>
      </c>
      <c r="AP80">
        <v>0.5</v>
      </c>
      <c r="AQ80" t="s">
        <v>331</v>
      </c>
      <c r="AR80">
        <v>2</v>
      </c>
      <c r="AS80">
        <v>1690374516</v>
      </c>
      <c r="AT80">
        <v>576.89300000000003</v>
      </c>
      <c r="AU80">
        <v>800.13099999999997</v>
      </c>
      <c r="AV80">
        <v>23.836300000000001</v>
      </c>
      <c r="AW80">
        <v>11.2357</v>
      </c>
      <c r="AX80">
        <v>578.10799999999995</v>
      </c>
      <c r="AY80">
        <v>23.653500000000001</v>
      </c>
      <c r="AZ80">
        <v>300.12</v>
      </c>
      <c r="BA80">
        <v>98.722399999999993</v>
      </c>
      <c r="BB80">
        <v>9.9957299999999999E-2</v>
      </c>
      <c r="BC80">
        <v>26.385200000000001</v>
      </c>
      <c r="BD80">
        <v>26.9483</v>
      </c>
      <c r="BE80">
        <v>28.033999999999999</v>
      </c>
      <c r="BF80">
        <v>0</v>
      </c>
      <c r="BG80">
        <v>0</v>
      </c>
      <c r="BH80">
        <v>9986.8799999999992</v>
      </c>
      <c r="BI80">
        <v>1083.1300000000001</v>
      </c>
      <c r="BJ80">
        <v>1.4016500000000001</v>
      </c>
      <c r="BK80">
        <v>-223.238</v>
      </c>
      <c r="BL80">
        <v>590.98</v>
      </c>
      <c r="BM80">
        <v>809.22299999999996</v>
      </c>
      <c r="BN80">
        <v>12.6006</v>
      </c>
      <c r="BO80">
        <v>800.13099999999997</v>
      </c>
      <c r="BP80">
        <v>11.2357</v>
      </c>
      <c r="BQ80">
        <v>2.35318</v>
      </c>
      <c r="BR80">
        <v>1.10921</v>
      </c>
      <c r="BS80">
        <v>20.045100000000001</v>
      </c>
      <c r="BT80">
        <v>8.4358000000000004</v>
      </c>
      <c r="BU80">
        <v>1799.99</v>
      </c>
      <c r="BV80">
        <v>0.90999099999999999</v>
      </c>
      <c r="BW80">
        <v>3.4006700000000001E-2</v>
      </c>
      <c r="BX80">
        <v>2.19987E-2</v>
      </c>
      <c r="BY80">
        <v>3.4003400000000003E-2</v>
      </c>
      <c r="BZ80">
        <v>24</v>
      </c>
      <c r="CA80">
        <v>33528.199999999997</v>
      </c>
      <c r="CB80">
        <v>1690373417</v>
      </c>
      <c r="CC80" t="s">
        <v>332</v>
      </c>
      <c r="CD80">
        <v>1690373417</v>
      </c>
      <c r="CE80">
        <v>1690373415</v>
      </c>
      <c r="CF80">
        <v>1</v>
      </c>
      <c r="CG80">
        <v>-1.319</v>
      </c>
      <c r="CH80">
        <v>0.01</v>
      </c>
      <c r="CI80">
        <v>-1.371</v>
      </c>
      <c r="CJ80">
        <v>0.183</v>
      </c>
      <c r="CK80">
        <v>800</v>
      </c>
      <c r="CL80">
        <v>21</v>
      </c>
      <c r="CM80">
        <v>0.09</v>
      </c>
      <c r="CN80">
        <v>7.0000000000000007E-2</v>
      </c>
      <c r="CO80">
        <v>-219.34594999999999</v>
      </c>
      <c r="CP80">
        <v>-21.837298311443639</v>
      </c>
      <c r="CQ80">
        <v>2.1008448651673461</v>
      </c>
      <c r="CR80">
        <v>-1</v>
      </c>
      <c r="CS80">
        <v>12.415957499999999</v>
      </c>
      <c r="CT80">
        <v>1.308642776735442</v>
      </c>
      <c r="CU80">
        <v>0.12657608756692559</v>
      </c>
      <c r="CV80">
        <v>-1</v>
      </c>
      <c r="CW80">
        <v>0</v>
      </c>
      <c r="CX80">
        <v>0</v>
      </c>
      <c r="CY80" t="s">
        <v>333</v>
      </c>
      <c r="CZ80">
        <v>2.3652700000000002</v>
      </c>
      <c r="DA80">
        <v>2.71374</v>
      </c>
      <c r="DB80">
        <v>0.117177</v>
      </c>
      <c r="DC80">
        <v>0.14597599999999999</v>
      </c>
      <c r="DD80">
        <v>0.113194</v>
      </c>
      <c r="DE80">
        <v>6.4570199999999994E-2</v>
      </c>
      <c r="DF80">
        <v>32239.7</v>
      </c>
      <c r="DG80">
        <v>27493.5</v>
      </c>
      <c r="DH80">
        <v>31173.1</v>
      </c>
      <c r="DI80">
        <v>28048.6</v>
      </c>
      <c r="DJ80">
        <v>37522.1</v>
      </c>
      <c r="DK80">
        <v>37287.5</v>
      </c>
      <c r="DL80">
        <v>44356.7</v>
      </c>
      <c r="DM80">
        <v>42486.1</v>
      </c>
      <c r="DN80">
        <v>1.4761299999999999</v>
      </c>
      <c r="DO80">
        <v>2.0855000000000001</v>
      </c>
      <c r="DP80">
        <v>0.118531</v>
      </c>
      <c r="DQ80">
        <v>0.190221</v>
      </c>
      <c r="DR80">
        <v>25.006699999999999</v>
      </c>
      <c r="DS80">
        <v>24.920500000000001</v>
      </c>
      <c r="DT80">
        <v>67.400000000000006</v>
      </c>
      <c r="DU80">
        <v>24.4</v>
      </c>
      <c r="DV80">
        <v>20.942299999999999</v>
      </c>
      <c r="DW80">
        <v>61.95</v>
      </c>
      <c r="DX80">
        <v>36.1218</v>
      </c>
      <c r="DY80">
        <v>1</v>
      </c>
      <c r="DZ80">
        <v>-0.16062499999999999</v>
      </c>
      <c r="EA80">
        <v>-6.2565399999999993E-2</v>
      </c>
      <c r="EB80">
        <v>20.191400000000002</v>
      </c>
      <c r="EC80">
        <v>5.2421499999999996</v>
      </c>
      <c r="ED80">
        <v>12.039899999999999</v>
      </c>
      <c r="EE80">
        <v>5.0178500000000001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1.8687400000000001</v>
      </c>
      <c r="EL80">
        <v>1.8643799999999999</v>
      </c>
      <c r="EM80">
        <v>1.86907</v>
      </c>
      <c r="EN80">
        <v>1.86707</v>
      </c>
      <c r="EO80">
        <v>1.86321</v>
      </c>
      <c r="EP80">
        <v>1.8641700000000001</v>
      </c>
      <c r="EQ80">
        <v>1.8700399999999999</v>
      </c>
      <c r="ER80">
        <v>1.86924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-1.2150000000000001</v>
      </c>
      <c r="FG80">
        <v>0.18279999999999999</v>
      </c>
      <c r="FH80">
        <v>-0.81947142863283695</v>
      </c>
      <c r="FI80">
        <v>-6.1462078757559423E-4</v>
      </c>
      <c r="FJ80">
        <v>-1.8861989874597051E-7</v>
      </c>
      <c r="FK80">
        <v>1.1980462299894961E-10</v>
      </c>
      <c r="FL80">
        <v>0.18283500000000069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18.3</v>
      </c>
      <c r="FU80">
        <v>18.399999999999999</v>
      </c>
      <c r="FV80">
        <v>1.7761199999999999</v>
      </c>
      <c r="FW80">
        <v>2.5549300000000001</v>
      </c>
      <c r="FX80">
        <v>1.5490699999999999</v>
      </c>
      <c r="FY80">
        <v>2.34497</v>
      </c>
      <c r="FZ80">
        <v>1.50146</v>
      </c>
      <c r="GA80">
        <v>2.2802699999999998</v>
      </c>
      <c r="GB80">
        <v>30.0718</v>
      </c>
      <c r="GC80">
        <v>23.982399999999998</v>
      </c>
      <c r="GD80">
        <v>19</v>
      </c>
      <c r="GE80">
        <v>279.16699999999997</v>
      </c>
      <c r="GF80">
        <v>614.49</v>
      </c>
      <c r="GG80">
        <v>24.8827</v>
      </c>
      <c r="GH80">
        <v>25.4129</v>
      </c>
      <c r="GI80">
        <v>29.999199999999998</v>
      </c>
      <c r="GJ80">
        <v>25.517600000000002</v>
      </c>
      <c r="GK80">
        <v>25.482800000000001</v>
      </c>
      <c r="GL80">
        <v>35.504399999999997</v>
      </c>
      <c r="GM80">
        <v>51.345599999999997</v>
      </c>
      <c r="GN80">
        <v>90.152500000000003</v>
      </c>
      <c r="GO80">
        <v>24.988700000000001</v>
      </c>
      <c r="GP80">
        <v>800</v>
      </c>
      <c r="GQ80">
        <v>11.105399999999999</v>
      </c>
      <c r="GR80">
        <v>99.7333</v>
      </c>
      <c r="GS80">
        <v>99.413899999999998</v>
      </c>
    </row>
    <row r="81" spans="1:201" x14ac:dyDescent="0.25">
      <c r="A81">
        <v>65</v>
      </c>
      <c r="B81">
        <v>1690374526</v>
      </c>
      <c r="C81">
        <v>706.5</v>
      </c>
      <c r="D81" t="s">
        <v>463</v>
      </c>
      <c r="E81" t="s">
        <v>464</v>
      </c>
      <c r="F81" t="s">
        <v>330</v>
      </c>
      <c r="H81">
        <v>1690374526</v>
      </c>
      <c r="I81">
        <f t="shared" ref="I81:I144" si="30">(J81)/1000</f>
        <v>1.3080747104470775E-3</v>
      </c>
      <c r="J81">
        <f t="shared" ref="J81:J144" si="31">1000*AZ81*AH81*(AV81-AW81)/(100*AO81*(1000-AH81*AV81))</f>
        <v>1.3080747104470776</v>
      </c>
      <c r="K81">
        <f t="shared" ref="K81:K144" si="32">AZ81*AH81*(AU81-AT81*(1000-AH81*AW81)/(1000-AH81*AV81))/(100*AO81)</f>
        <v>21.941491978293751</v>
      </c>
      <c r="L81">
        <f t="shared" ref="L81:L144" si="33">AT81 - IF(AH81&gt;1, K81*AO81*100/(AJ81*BH81), 0)</f>
        <v>573.27599999999995</v>
      </c>
      <c r="M81">
        <f t="shared" ref="M81:M144" si="34">((S81-I81/2)*L81-K81)/(S81+I81/2)</f>
        <v>162.60423608583119</v>
      </c>
      <c r="N81">
        <f t="shared" ref="N81:N144" si="35">M81*(BA81+BB81)/1000</f>
        <v>16.067107757573357</v>
      </c>
      <c r="O81">
        <f t="shared" ref="O81:O144" si="36">(AT81 - IF(AH81&gt;1, K81*AO81*100/(AJ81*BH81), 0))*(BA81+BB81)/1000</f>
        <v>56.646047412741602</v>
      </c>
      <c r="P81">
        <f t="shared" ref="P81:P144" si="37">2/((1/R81-1/Q81)+SIGN(R81)*SQRT((1/R81-1/Q81)*(1/R81-1/Q81) + 4*AP81/((AP81+1)*(AP81+1))*(2*1/R81*1/Q81-1/Q81*1/Q81)))</f>
        <v>8.8997044511766613E-2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2.2564494667939772</v>
      </c>
      <c r="R81">
        <f t="shared" ref="R81:R144" si="39">I81*(1000-(1000*0.61365*EXP(17.502*V81/(240.97+V81))/(BA81+BB81)+AV81)/2)/(1000*0.61365*EXP(17.502*V81/(240.97+V81))/(BA81+BB81)-AV81)</f>
        <v>8.7091992355400993E-2</v>
      </c>
      <c r="S81">
        <f t="shared" ref="S81:S144" si="40">1/((AP81+1)/(P81/1.6)+1/(Q81/1.37)) + AP81/((AP81+1)/(P81/1.6) + AP81/(Q81/1.37))</f>
        <v>5.4600260139508916E-2</v>
      </c>
      <c r="T81">
        <f t="shared" ref="T81:T144" si="41">(AK81*AN81)</f>
        <v>276.11201801860039</v>
      </c>
      <c r="U81">
        <f t="shared" ref="U81:U144" si="42">(BC81+(T81+2*0.95*0.0000000567*(((BC81+$B$7)+273)^4-(BC81+273)^4)-44100*I81)/(1.84*29.3*Q81+8*0.95*0.0000000567*(BC81+273)^3))</f>
        <v>27.990421472371519</v>
      </c>
      <c r="V81">
        <f t="shared" ref="V81:V144" si="43">($C$7*BD81+$D$7*BE81+$E$7*U81)</f>
        <v>27.990421472371519</v>
      </c>
      <c r="W81">
        <f t="shared" ref="W81:W144" si="44">0.61365*EXP(17.502*V81/(240.97+V81))</f>
        <v>3.7927211751134582</v>
      </c>
      <c r="X81">
        <f t="shared" ref="X81:X144" si="45">(Y81/Z81*100)</f>
        <v>68.35567158809819</v>
      </c>
      <c r="Y81">
        <f t="shared" ref="Y81:Y144" si="46">AV81*(BA81+BB81)/1000</f>
        <v>2.3547976013425802</v>
      </c>
      <c r="Z81">
        <f t="shared" ref="Z81:Z144" si="47">0.61365*EXP(17.502*BC81/(240.97+BC81))</f>
        <v>3.4449191217551989</v>
      </c>
      <c r="AA81">
        <f t="shared" ref="AA81:AA144" si="48">(W81-AV81*(BA81+BB81)/1000)</f>
        <v>1.437923573770878</v>
      </c>
      <c r="AB81">
        <f t="shared" ref="AB81:AB144" si="49">(-I81*44100)</f>
        <v>-57.686094730716114</v>
      </c>
      <c r="AC81">
        <f t="shared" ref="AC81:AC144" si="50">2*29.3*Q81*0.92*(BC81-V81)</f>
        <v>-199.47163118876284</v>
      </c>
      <c r="AD81">
        <f t="shared" ref="AD81:AD144" si="51">2*0.95*0.0000000567*(((BC81+$B$7)+273)^4-(V81+273)^4)</f>
        <v>-19.110597446143043</v>
      </c>
      <c r="AE81">
        <f t="shared" ref="AE81:AE144" si="52">T81+AD81+AB81+AC81</f>
        <v>-0.1563053470216289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52587.62832625927</v>
      </c>
      <c r="AK81">
        <f t="shared" ref="AK81:AK144" si="56">$B$11*BI81+$C$11*BJ81+$D$11*BU81</f>
        <v>1799.98</v>
      </c>
      <c r="AL81">
        <f t="shared" ref="AL81:AL144" si="57">AK81*AM81</f>
        <v>1499.0947006071401</v>
      </c>
      <c r="AM81">
        <f t="shared" ref="AM81:AM144" si="58">($B$11*$D$9+$C$11*$D$9+$D$11*(BV81*$E$9+BW81*$F$9+BX81*$G$9+BY81*$H$9))/($B$11+$C$11+$D$11)</f>
        <v>0.83283964300000002</v>
      </c>
      <c r="AN81">
        <f t="shared" ref="AN81:AN144" si="59">($B$11*$K$9+$C$11*$K$9+$D$11*(BV81*$L$9+BW81*$M$9+BX81*$N$9+BY81*$O$9))/($B$11+$C$11+$D$11)</f>
        <v>0.15339726998</v>
      </c>
      <c r="AO81">
        <v>30</v>
      </c>
      <c r="AP81">
        <v>0.5</v>
      </c>
      <c r="AQ81" t="s">
        <v>331</v>
      </c>
      <c r="AR81">
        <v>2</v>
      </c>
      <c r="AS81">
        <v>1690374526</v>
      </c>
      <c r="AT81">
        <v>573.27599999999995</v>
      </c>
      <c r="AU81">
        <v>800.09</v>
      </c>
      <c r="AV81">
        <v>23.831299999999999</v>
      </c>
      <c r="AW81">
        <v>11.0679</v>
      </c>
      <c r="AX81">
        <v>574.48800000000006</v>
      </c>
      <c r="AY81">
        <v>23.648499999999999</v>
      </c>
      <c r="AZ81">
        <v>300.13200000000001</v>
      </c>
      <c r="BA81">
        <v>98.711200000000005</v>
      </c>
      <c r="BB81">
        <v>9.9926600000000004E-2</v>
      </c>
      <c r="BC81">
        <v>26.3507</v>
      </c>
      <c r="BD81">
        <v>26.9267</v>
      </c>
      <c r="BE81">
        <v>27.994</v>
      </c>
      <c r="BF81">
        <v>0</v>
      </c>
      <c r="BG81">
        <v>0</v>
      </c>
      <c r="BH81">
        <v>10055.6</v>
      </c>
      <c r="BI81">
        <v>1083.06</v>
      </c>
      <c r="BJ81">
        <v>1.4016500000000001</v>
      </c>
      <c r="BK81">
        <v>-226.81299999999999</v>
      </c>
      <c r="BL81">
        <v>587.27200000000005</v>
      </c>
      <c r="BM81">
        <v>809.04399999999998</v>
      </c>
      <c r="BN81">
        <v>12.763400000000001</v>
      </c>
      <c r="BO81">
        <v>800.09</v>
      </c>
      <c r="BP81">
        <v>11.0679</v>
      </c>
      <c r="BQ81">
        <v>2.35242</v>
      </c>
      <c r="BR81">
        <v>1.0925199999999999</v>
      </c>
      <c r="BS81">
        <v>20.039899999999999</v>
      </c>
      <c r="BT81">
        <v>8.2124199999999998</v>
      </c>
      <c r="BU81">
        <v>1799.98</v>
      </c>
      <c r="BV81">
        <v>0.909999</v>
      </c>
      <c r="BW81">
        <v>3.4003899999999997E-2</v>
      </c>
      <c r="BX81">
        <v>2.19969E-2</v>
      </c>
      <c r="BY81">
        <v>3.4000599999999999E-2</v>
      </c>
      <c r="BZ81">
        <v>24</v>
      </c>
      <c r="CA81">
        <v>33528.1</v>
      </c>
      <c r="CB81">
        <v>1690373417</v>
      </c>
      <c r="CC81" t="s">
        <v>332</v>
      </c>
      <c r="CD81">
        <v>1690373417</v>
      </c>
      <c r="CE81">
        <v>1690373415</v>
      </c>
      <c r="CF81">
        <v>1</v>
      </c>
      <c r="CG81">
        <v>-1.319</v>
      </c>
      <c r="CH81">
        <v>0.01</v>
      </c>
      <c r="CI81">
        <v>-1.371</v>
      </c>
      <c r="CJ81">
        <v>0.183</v>
      </c>
      <c r="CK81">
        <v>800</v>
      </c>
      <c r="CL81">
        <v>21</v>
      </c>
      <c r="CM81">
        <v>0.09</v>
      </c>
      <c r="CN81">
        <v>7.0000000000000007E-2</v>
      </c>
      <c r="CO81">
        <v>-223.03139024390251</v>
      </c>
      <c r="CP81">
        <v>-21.373756097561259</v>
      </c>
      <c r="CQ81">
        <v>2.1079212957729498</v>
      </c>
      <c r="CR81">
        <v>-1</v>
      </c>
      <c r="CS81">
        <v>12.60592926829268</v>
      </c>
      <c r="CT81">
        <v>0.94883205574912166</v>
      </c>
      <c r="CU81">
        <v>9.4250468702729198E-2</v>
      </c>
      <c r="CV81">
        <v>-1</v>
      </c>
      <c r="CW81">
        <v>0</v>
      </c>
      <c r="CX81">
        <v>0</v>
      </c>
      <c r="CY81" t="s">
        <v>333</v>
      </c>
      <c r="CZ81">
        <v>2.36531</v>
      </c>
      <c r="DA81">
        <v>2.7137699999999998</v>
      </c>
      <c r="DB81">
        <v>0.116643</v>
      </c>
      <c r="DC81">
        <v>0.145952</v>
      </c>
      <c r="DD81">
        <v>0.113165</v>
      </c>
      <c r="DE81">
        <v>6.3830300000000006E-2</v>
      </c>
      <c r="DF81">
        <v>32259.599999999999</v>
      </c>
      <c r="DG81">
        <v>27494.7</v>
      </c>
      <c r="DH81">
        <v>31173.5</v>
      </c>
      <c r="DI81">
        <v>28049.1</v>
      </c>
      <c r="DJ81">
        <v>37523.800000000003</v>
      </c>
      <c r="DK81">
        <v>37317.699999999997</v>
      </c>
      <c r="DL81">
        <v>44357.3</v>
      </c>
      <c r="DM81">
        <v>42486.9</v>
      </c>
      <c r="DN81">
        <v>1.4767999999999999</v>
      </c>
      <c r="DO81">
        <v>2.08507</v>
      </c>
      <c r="DP81">
        <v>0.11733200000000001</v>
      </c>
      <c r="DQ81">
        <v>0.18793299999999999</v>
      </c>
      <c r="DR81">
        <v>25.0046</v>
      </c>
      <c r="DS81">
        <v>24.9178</v>
      </c>
      <c r="DT81">
        <v>67.3</v>
      </c>
      <c r="DU81">
        <v>24.4</v>
      </c>
      <c r="DV81">
        <v>20.9131</v>
      </c>
      <c r="DW81">
        <v>61.52</v>
      </c>
      <c r="DX81">
        <v>37.011200000000002</v>
      </c>
      <c r="DY81">
        <v>1</v>
      </c>
      <c r="DZ81">
        <v>-0.16142999999999999</v>
      </c>
      <c r="EA81">
        <v>-0.58885600000000005</v>
      </c>
      <c r="EB81">
        <v>20.1904</v>
      </c>
      <c r="EC81">
        <v>5.2416999999999998</v>
      </c>
      <c r="ED81">
        <v>12.039899999999999</v>
      </c>
      <c r="EE81">
        <v>5.0174000000000003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1.8687400000000001</v>
      </c>
      <c r="EL81">
        <v>1.8643799999999999</v>
      </c>
      <c r="EM81">
        <v>1.86907</v>
      </c>
      <c r="EN81">
        <v>1.86707</v>
      </c>
      <c r="EO81">
        <v>1.86324</v>
      </c>
      <c r="EP81">
        <v>1.8641700000000001</v>
      </c>
      <c r="EQ81">
        <v>1.8700300000000001</v>
      </c>
      <c r="ER81">
        <v>1.86924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-1.212</v>
      </c>
      <c r="FG81">
        <v>0.18279999999999999</v>
      </c>
      <c r="FH81">
        <v>-0.81947142863283695</v>
      </c>
      <c r="FI81">
        <v>-6.1462078757559423E-4</v>
      </c>
      <c r="FJ81">
        <v>-1.8861989874597051E-7</v>
      </c>
      <c r="FK81">
        <v>1.1980462299894961E-10</v>
      </c>
      <c r="FL81">
        <v>0.18283500000000069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18.5</v>
      </c>
      <c r="FU81">
        <v>18.5</v>
      </c>
      <c r="FV81">
        <v>1.7761199999999999</v>
      </c>
      <c r="FW81">
        <v>2.5512700000000001</v>
      </c>
      <c r="FX81">
        <v>1.5490699999999999</v>
      </c>
      <c r="FY81">
        <v>2.34497</v>
      </c>
      <c r="FZ81">
        <v>1.50146</v>
      </c>
      <c r="GA81">
        <v>2.3730500000000001</v>
      </c>
      <c r="GB81">
        <v>30.0932</v>
      </c>
      <c r="GC81">
        <v>23.991199999999999</v>
      </c>
      <c r="GD81">
        <v>19</v>
      </c>
      <c r="GE81">
        <v>279.44</v>
      </c>
      <c r="GF81">
        <v>614.09900000000005</v>
      </c>
      <c r="GG81">
        <v>24.9818</v>
      </c>
      <c r="GH81">
        <v>25.408799999999999</v>
      </c>
      <c r="GI81">
        <v>29.999700000000001</v>
      </c>
      <c r="GJ81">
        <v>25.515499999999999</v>
      </c>
      <c r="GK81">
        <v>25.480699999999999</v>
      </c>
      <c r="GL81">
        <v>35.503399999999999</v>
      </c>
      <c r="GM81">
        <v>51.944699999999997</v>
      </c>
      <c r="GN81">
        <v>89.390500000000003</v>
      </c>
      <c r="GO81">
        <v>25.071300000000001</v>
      </c>
      <c r="GP81">
        <v>800</v>
      </c>
      <c r="GQ81">
        <v>10.9049</v>
      </c>
      <c r="GR81">
        <v>99.7346</v>
      </c>
      <c r="GS81">
        <v>99.415599999999998</v>
      </c>
    </row>
    <row r="82" spans="1:201" x14ac:dyDescent="0.25">
      <c r="A82">
        <v>66</v>
      </c>
      <c r="B82">
        <v>1690374536</v>
      </c>
      <c r="C82">
        <v>716.5</v>
      </c>
      <c r="D82" t="s">
        <v>465</v>
      </c>
      <c r="E82" t="s">
        <v>466</v>
      </c>
      <c r="F82" t="s">
        <v>330</v>
      </c>
      <c r="H82">
        <v>1690374536</v>
      </c>
      <c r="I82">
        <f t="shared" si="30"/>
        <v>1.3343466115542013E-3</v>
      </c>
      <c r="J82">
        <f t="shared" si="31"/>
        <v>1.3343466115542013</v>
      </c>
      <c r="K82">
        <f t="shared" si="32"/>
        <v>22.275198954919553</v>
      </c>
      <c r="L82">
        <f t="shared" si="33"/>
        <v>569.73599999999999</v>
      </c>
      <c r="M82">
        <f t="shared" si="34"/>
        <v>162.02366078156069</v>
      </c>
      <c r="N82">
        <f t="shared" si="35"/>
        <v>16.010222137823387</v>
      </c>
      <c r="O82">
        <f t="shared" si="36"/>
        <v>56.297949792731998</v>
      </c>
      <c r="P82">
        <f t="shared" si="37"/>
        <v>9.1051113267118983E-2</v>
      </c>
      <c r="Q82">
        <f t="shared" si="38"/>
        <v>2.2462805703075923</v>
      </c>
      <c r="R82">
        <f t="shared" si="39"/>
        <v>8.9049360964255558E-2</v>
      </c>
      <c r="S82">
        <f t="shared" si="40"/>
        <v>5.5832034690128929E-2</v>
      </c>
      <c r="T82">
        <f t="shared" si="41"/>
        <v>276.11315646149762</v>
      </c>
      <c r="U82">
        <f t="shared" si="42"/>
        <v>27.989671064996912</v>
      </c>
      <c r="V82">
        <f t="shared" si="43"/>
        <v>27.989671064996912</v>
      </c>
      <c r="W82">
        <f t="shared" si="44"/>
        <v>3.7925552494261425</v>
      </c>
      <c r="X82">
        <f t="shared" si="45"/>
        <v>68.442948580043321</v>
      </c>
      <c r="Y82">
        <f t="shared" si="46"/>
        <v>2.3579712121386502</v>
      </c>
      <c r="Z82">
        <f t="shared" si="47"/>
        <v>3.4451631045395819</v>
      </c>
      <c r="AA82">
        <f t="shared" si="48"/>
        <v>1.4345840372874923</v>
      </c>
      <c r="AB82">
        <f t="shared" si="49"/>
        <v>-58.844685569540275</v>
      </c>
      <c r="AC82">
        <f t="shared" si="50"/>
        <v>-198.33649677105646</v>
      </c>
      <c r="AD82">
        <f t="shared" si="51"/>
        <v>-19.08790841772354</v>
      </c>
      <c r="AE82">
        <f t="shared" si="52"/>
        <v>-0.15593429682266446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52191.031171981987</v>
      </c>
      <c r="AK82">
        <f t="shared" si="56"/>
        <v>1799.99</v>
      </c>
      <c r="AL82">
        <f t="shared" si="57"/>
        <v>1499.10431779641</v>
      </c>
      <c r="AM82">
        <f t="shared" si="58"/>
        <v>0.83284035899999997</v>
      </c>
      <c r="AN82">
        <f t="shared" si="59"/>
        <v>0.15339705024000003</v>
      </c>
      <c r="AO82">
        <v>30</v>
      </c>
      <c r="AP82">
        <v>0.5</v>
      </c>
      <c r="AQ82" t="s">
        <v>331</v>
      </c>
      <c r="AR82">
        <v>2</v>
      </c>
      <c r="AS82">
        <v>1690374536</v>
      </c>
      <c r="AT82">
        <v>569.73599999999999</v>
      </c>
      <c r="AU82">
        <v>799.99199999999996</v>
      </c>
      <c r="AV82">
        <v>23.8627</v>
      </c>
      <c r="AW82">
        <v>10.8432</v>
      </c>
      <c r="AX82">
        <v>570.94600000000003</v>
      </c>
      <c r="AY82">
        <v>23.6799</v>
      </c>
      <c r="AZ82">
        <v>300.12799999999999</v>
      </c>
      <c r="BA82">
        <v>98.714100000000002</v>
      </c>
      <c r="BB82">
        <v>9.9999500000000005E-2</v>
      </c>
      <c r="BC82">
        <v>26.351900000000001</v>
      </c>
      <c r="BD82">
        <v>26.907900000000001</v>
      </c>
      <c r="BE82">
        <v>27.949300000000001</v>
      </c>
      <c r="BF82">
        <v>0</v>
      </c>
      <c r="BG82">
        <v>0</v>
      </c>
      <c r="BH82">
        <v>9976.25</v>
      </c>
      <c r="BI82">
        <v>1083.01</v>
      </c>
      <c r="BJ82">
        <v>1.4016500000000001</v>
      </c>
      <c r="BK82">
        <v>-230.256</v>
      </c>
      <c r="BL82">
        <v>583.66399999999999</v>
      </c>
      <c r="BM82">
        <v>808.76199999999994</v>
      </c>
      <c r="BN82">
        <v>13.019600000000001</v>
      </c>
      <c r="BO82">
        <v>799.99199999999996</v>
      </c>
      <c r="BP82">
        <v>10.8432</v>
      </c>
      <c r="BQ82">
        <v>2.3555899999999999</v>
      </c>
      <c r="BR82">
        <v>1.07037</v>
      </c>
      <c r="BS82">
        <v>20.061699999999998</v>
      </c>
      <c r="BT82">
        <v>7.9112200000000001</v>
      </c>
      <c r="BU82">
        <v>1799.99</v>
      </c>
      <c r="BV82">
        <v>0.91000800000000004</v>
      </c>
      <c r="BW82">
        <v>3.4000500000000003E-2</v>
      </c>
      <c r="BX82">
        <v>2.1994699999999999E-2</v>
      </c>
      <c r="BY82">
        <v>3.3997199999999998E-2</v>
      </c>
      <c r="BZ82">
        <v>24</v>
      </c>
      <c r="CA82">
        <v>33528.199999999997</v>
      </c>
      <c r="CB82">
        <v>1690373417</v>
      </c>
      <c r="CC82" t="s">
        <v>332</v>
      </c>
      <c r="CD82">
        <v>1690373417</v>
      </c>
      <c r="CE82">
        <v>1690373415</v>
      </c>
      <c r="CF82">
        <v>1</v>
      </c>
      <c r="CG82">
        <v>-1.319</v>
      </c>
      <c r="CH82">
        <v>0.01</v>
      </c>
      <c r="CI82">
        <v>-1.371</v>
      </c>
      <c r="CJ82">
        <v>0.183</v>
      </c>
      <c r="CK82">
        <v>800</v>
      </c>
      <c r="CL82">
        <v>21</v>
      </c>
      <c r="CM82">
        <v>0.09</v>
      </c>
      <c r="CN82">
        <v>7.0000000000000007E-2</v>
      </c>
      <c r="CO82">
        <v>-226.24</v>
      </c>
      <c r="CP82">
        <v>-21.30748432055784</v>
      </c>
      <c r="CQ82">
        <v>2.1017856519705491</v>
      </c>
      <c r="CR82">
        <v>-1</v>
      </c>
      <c r="CS82">
        <v>12.762987804878049</v>
      </c>
      <c r="CT82">
        <v>1.171220905923344</v>
      </c>
      <c r="CU82">
        <v>0.1167298741103389</v>
      </c>
      <c r="CV82">
        <v>-1</v>
      </c>
      <c r="CW82">
        <v>0</v>
      </c>
      <c r="CX82">
        <v>0</v>
      </c>
      <c r="CY82" t="s">
        <v>333</v>
      </c>
      <c r="CZ82">
        <v>2.3653200000000001</v>
      </c>
      <c r="DA82">
        <v>2.7137699999999998</v>
      </c>
      <c r="DB82">
        <v>0.116136</v>
      </c>
      <c r="DC82">
        <v>0.14593999999999999</v>
      </c>
      <c r="DD82">
        <v>0.113275</v>
      </c>
      <c r="DE82">
        <v>6.2843999999999997E-2</v>
      </c>
      <c r="DF82">
        <v>32278.6</v>
      </c>
      <c r="DG82">
        <v>27495.8</v>
      </c>
      <c r="DH82">
        <v>31174</v>
      </c>
      <c r="DI82">
        <v>28049.8</v>
      </c>
      <c r="DJ82">
        <v>37519.599999999999</v>
      </c>
      <c r="DK82">
        <v>37358.300000000003</v>
      </c>
      <c r="DL82">
        <v>44357.9</v>
      </c>
      <c r="DM82">
        <v>42488.1</v>
      </c>
      <c r="DN82">
        <v>1.4771700000000001</v>
      </c>
      <c r="DO82">
        <v>2.0849500000000001</v>
      </c>
      <c r="DP82">
        <v>0.116482</v>
      </c>
      <c r="DQ82">
        <v>0.18565400000000001</v>
      </c>
      <c r="DR82">
        <v>24.999700000000001</v>
      </c>
      <c r="DS82">
        <v>24.910299999999999</v>
      </c>
      <c r="DT82">
        <v>67.099999999999994</v>
      </c>
      <c r="DU82">
        <v>24.4</v>
      </c>
      <c r="DV82">
        <v>20.8523</v>
      </c>
      <c r="DW82">
        <v>61.81</v>
      </c>
      <c r="DX82">
        <v>36.057699999999997</v>
      </c>
      <c r="DY82">
        <v>1</v>
      </c>
      <c r="DZ82">
        <v>-0.161468</v>
      </c>
      <c r="EA82">
        <v>-0.75394899999999998</v>
      </c>
      <c r="EB82">
        <v>20.189399999999999</v>
      </c>
      <c r="EC82">
        <v>5.2416999999999998</v>
      </c>
      <c r="ED82">
        <v>12.039899999999999</v>
      </c>
      <c r="EE82">
        <v>5.01755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1.8687400000000001</v>
      </c>
      <c r="EL82">
        <v>1.8644099999999999</v>
      </c>
      <c r="EM82">
        <v>1.8690500000000001</v>
      </c>
      <c r="EN82">
        <v>1.86707</v>
      </c>
      <c r="EO82">
        <v>1.8632200000000001</v>
      </c>
      <c r="EP82">
        <v>1.8641700000000001</v>
      </c>
      <c r="EQ82">
        <v>1.86998</v>
      </c>
      <c r="ER82">
        <v>1.86924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-1.21</v>
      </c>
      <c r="FG82">
        <v>0.18279999999999999</v>
      </c>
      <c r="FH82">
        <v>-0.81947142863283695</v>
      </c>
      <c r="FI82">
        <v>-6.1462078757559423E-4</v>
      </c>
      <c r="FJ82">
        <v>-1.8861989874597051E-7</v>
      </c>
      <c r="FK82">
        <v>1.1980462299894961E-10</v>
      </c>
      <c r="FL82">
        <v>0.18283500000000069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18.600000000000001</v>
      </c>
      <c r="FU82">
        <v>18.7</v>
      </c>
      <c r="FV82">
        <v>1.7748999999999999</v>
      </c>
      <c r="FW82">
        <v>2.5537100000000001</v>
      </c>
      <c r="FX82">
        <v>1.5490699999999999</v>
      </c>
      <c r="FY82">
        <v>2.34497</v>
      </c>
      <c r="FZ82">
        <v>1.50146</v>
      </c>
      <c r="GA82">
        <v>2.2997999999999998</v>
      </c>
      <c r="GB82">
        <v>30.0932</v>
      </c>
      <c r="GC82">
        <v>23.982399999999998</v>
      </c>
      <c r="GD82">
        <v>19</v>
      </c>
      <c r="GE82">
        <v>279.589</v>
      </c>
      <c r="GF82">
        <v>613.99199999999996</v>
      </c>
      <c r="GG82">
        <v>25.1267</v>
      </c>
      <c r="GH82">
        <v>25.4054</v>
      </c>
      <c r="GI82">
        <v>30</v>
      </c>
      <c r="GJ82">
        <v>25.513400000000001</v>
      </c>
      <c r="GK82">
        <v>25.480599999999999</v>
      </c>
      <c r="GL82">
        <v>35.497999999999998</v>
      </c>
      <c r="GM82">
        <v>52.541899999999998</v>
      </c>
      <c r="GN82">
        <v>89.009500000000003</v>
      </c>
      <c r="GO82">
        <v>25.1966</v>
      </c>
      <c r="GP82">
        <v>800</v>
      </c>
      <c r="GQ82">
        <v>10.679500000000001</v>
      </c>
      <c r="GR82">
        <v>99.736000000000004</v>
      </c>
      <c r="GS82">
        <v>99.418400000000005</v>
      </c>
    </row>
    <row r="83" spans="1:201" x14ac:dyDescent="0.25">
      <c r="A83">
        <v>67</v>
      </c>
      <c r="B83">
        <v>1690374546</v>
      </c>
      <c r="C83">
        <v>726.5</v>
      </c>
      <c r="D83" t="s">
        <v>467</v>
      </c>
      <c r="E83" t="s">
        <v>468</v>
      </c>
      <c r="F83" t="s">
        <v>330</v>
      </c>
      <c r="H83">
        <v>1690374546</v>
      </c>
      <c r="I83">
        <f t="shared" si="30"/>
        <v>1.3631216480130856E-3</v>
      </c>
      <c r="J83">
        <f t="shared" si="31"/>
        <v>1.3631216480130857</v>
      </c>
      <c r="K83">
        <f t="shared" si="32"/>
        <v>22.620945992961055</v>
      </c>
      <c r="L83">
        <f t="shared" si="33"/>
        <v>566.25699999999995</v>
      </c>
      <c r="M83">
        <f t="shared" si="34"/>
        <v>162.12155662179603</v>
      </c>
      <c r="N83">
        <f t="shared" si="35"/>
        <v>16.019557360493145</v>
      </c>
      <c r="O83">
        <f t="shared" si="36"/>
        <v>55.952994045341001</v>
      </c>
      <c r="P83">
        <f t="shared" si="37"/>
        <v>9.3322772811349694E-2</v>
      </c>
      <c r="Q83">
        <f t="shared" si="38"/>
        <v>2.2543815563269138</v>
      </c>
      <c r="R83">
        <f t="shared" si="39"/>
        <v>9.1228501492262248E-2</v>
      </c>
      <c r="S83">
        <f t="shared" si="40"/>
        <v>5.7202060994602878E-2</v>
      </c>
      <c r="T83">
        <f t="shared" si="41"/>
        <v>276.11278078558468</v>
      </c>
      <c r="U83">
        <f t="shared" si="42"/>
        <v>27.985744421960558</v>
      </c>
      <c r="V83">
        <f t="shared" si="43"/>
        <v>27.985744421960558</v>
      </c>
      <c r="W83">
        <f t="shared" si="44"/>
        <v>3.7916871163657362</v>
      </c>
      <c r="X83">
        <f t="shared" si="45"/>
        <v>68.49282145951446</v>
      </c>
      <c r="Y83">
        <f t="shared" si="46"/>
        <v>2.3612217438493004</v>
      </c>
      <c r="Z83">
        <f t="shared" si="47"/>
        <v>3.44740031660836</v>
      </c>
      <c r="AA83">
        <f t="shared" si="48"/>
        <v>1.4304653725164358</v>
      </c>
      <c r="AB83">
        <f t="shared" si="49"/>
        <v>-60.113664677377074</v>
      </c>
      <c r="AC83">
        <f t="shared" si="50"/>
        <v>-197.23761989045653</v>
      </c>
      <c r="AD83">
        <f t="shared" si="51"/>
        <v>-18.914607244051854</v>
      </c>
      <c r="AE83">
        <f t="shared" si="52"/>
        <v>-0.15311102630079176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52504.749763242165</v>
      </c>
      <c r="AK83">
        <f t="shared" si="56"/>
        <v>1799.99</v>
      </c>
      <c r="AL83">
        <f t="shared" si="57"/>
        <v>1499.1050359924197</v>
      </c>
      <c r="AM83">
        <f t="shared" si="58"/>
        <v>0.8328407579999999</v>
      </c>
      <c r="AN83">
        <f t="shared" si="59"/>
        <v>0.15339684152999999</v>
      </c>
      <c r="AO83">
        <v>30</v>
      </c>
      <c r="AP83">
        <v>0.5</v>
      </c>
      <c r="AQ83" t="s">
        <v>331</v>
      </c>
      <c r="AR83">
        <v>2</v>
      </c>
      <c r="AS83">
        <v>1690374546</v>
      </c>
      <c r="AT83">
        <v>566.25699999999995</v>
      </c>
      <c r="AU83">
        <v>800.07299999999998</v>
      </c>
      <c r="AV83">
        <v>23.896100000000001</v>
      </c>
      <c r="AW83">
        <v>10.597</v>
      </c>
      <c r="AX83">
        <v>567.46400000000006</v>
      </c>
      <c r="AY83">
        <v>23.7133</v>
      </c>
      <c r="AZ83">
        <v>300.14400000000001</v>
      </c>
      <c r="BA83">
        <v>98.712000000000003</v>
      </c>
      <c r="BB83">
        <v>0.100013</v>
      </c>
      <c r="BC83">
        <v>26.3629</v>
      </c>
      <c r="BD83">
        <v>26.928799999999999</v>
      </c>
      <c r="BE83">
        <v>27.976900000000001</v>
      </c>
      <c r="BF83">
        <v>0</v>
      </c>
      <c r="BG83">
        <v>0</v>
      </c>
      <c r="BH83">
        <v>10039.4</v>
      </c>
      <c r="BI83">
        <v>1083.01</v>
      </c>
      <c r="BJ83">
        <v>1.4016500000000001</v>
      </c>
      <c r="BK83">
        <v>-233.815</v>
      </c>
      <c r="BL83">
        <v>580.12</v>
      </c>
      <c r="BM83">
        <v>808.64200000000005</v>
      </c>
      <c r="BN83">
        <v>13.299099999999999</v>
      </c>
      <c r="BO83">
        <v>800.07299999999998</v>
      </c>
      <c r="BP83">
        <v>10.597</v>
      </c>
      <c r="BQ83">
        <v>2.3588300000000002</v>
      </c>
      <c r="BR83">
        <v>1.0460499999999999</v>
      </c>
      <c r="BS83">
        <v>20.0839</v>
      </c>
      <c r="BT83">
        <v>7.57402</v>
      </c>
      <c r="BU83">
        <v>1799.99</v>
      </c>
      <c r="BV83">
        <v>0.91001500000000002</v>
      </c>
      <c r="BW83">
        <v>3.3997800000000002E-2</v>
      </c>
      <c r="BX83">
        <v>2.1992899999999999E-2</v>
      </c>
      <c r="BY83">
        <v>3.3994499999999997E-2</v>
      </c>
      <c r="BZ83">
        <v>24</v>
      </c>
      <c r="CA83">
        <v>33528.199999999997</v>
      </c>
      <c r="CB83">
        <v>1690373417</v>
      </c>
      <c r="CC83" t="s">
        <v>332</v>
      </c>
      <c r="CD83">
        <v>1690373417</v>
      </c>
      <c r="CE83">
        <v>1690373415</v>
      </c>
      <c r="CF83">
        <v>1</v>
      </c>
      <c r="CG83">
        <v>-1.319</v>
      </c>
      <c r="CH83">
        <v>0.01</v>
      </c>
      <c r="CI83">
        <v>-1.371</v>
      </c>
      <c r="CJ83">
        <v>0.183</v>
      </c>
      <c r="CK83">
        <v>800</v>
      </c>
      <c r="CL83">
        <v>21</v>
      </c>
      <c r="CM83">
        <v>0.09</v>
      </c>
      <c r="CN83">
        <v>7.0000000000000007E-2</v>
      </c>
      <c r="CO83">
        <v>-230.05975000000001</v>
      </c>
      <c r="CP83">
        <v>-20.999054409004721</v>
      </c>
      <c r="CQ83">
        <v>2.0208253233518221</v>
      </c>
      <c r="CR83">
        <v>-1</v>
      </c>
      <c r="CS83">
        <v>13.00619</v>
      </c>
      <c r="CT83">
        <v>1.574625140712947</v>
      </c>
      <c r="CU83">
        <v>0.15156980207152079</v>
      </c>
      <c r="CV83">
        <v>-1</v>
      </c>
      <c r="CW83">
        <v>0</v>
      </c>
      <c r="CX83">
        <v>0</v>
      </c>
      <c r="CY83" t="s">
        <v>333</v>
      </c>
      <c r="CZ83">
        <v>2.36538</v>
      </c>
      <c r="DA83">
        <v>2.7138399999999998</v>
      </c>
      <c r="DB83">
        <v>0.11563</v>
      </c>
      <c r="DC83">
        <v>0.14594199999999999</v>
      </c>
      <c r="DD83">
        <v>0.113384</v>
      </c>
      <c r="DE83">
        <v>6.1751899999999998E-2</v>
      </c>
      <c r="DF83">
        <v>32296.9</v>
      </c>
      <c r="DG83">
        <v>27496.2</v>
      </c>
      <c r="DH83">
        <v>31173.8</v>
      </c>
      <c r="DI83">
        <v>28050.2</v>
      </c>
      <c r="DJ83">
        <v>37514.699999999997</v>
      </c>
      <c r="DK83">
        <v>37402.5</v>
      </c>
      <c r="DL83">
        <v>44357.8</v>
      </c>
      <c r="DM83">
        <v>42488.800000000003</v>
      </c>
      <c r="DN83">
        <v>1.47732</v>
      </c>
      <c r="DO83">
        <v>2.0847000000000002</v>
      </c>
      <c r="DP83">
        <v>0.11798</v>
      </c>
      <c r="DQ83">
        <v>0.18778400000000001</v>
      </c>
      <c r="DR83">
        <v>24.995999999999999</v>
      </c>
      <c r="DS83">
        <v>24.903099999999998</v>
      </c>
      <c r="DT83">
        <v>67</v>
      </c>
      <c r="DU83">
        <v>24.4</v>
      </c>
      <c r="DV83">
        <v>20.8247</v>
      </c>
      <c r="DW83">
        <v>62.1</v>
      </c>
      <c r="DX83">
        <v>37.183500000000002</v>
      </c>
      <c r="DY83">
        <v>1</v>
      </c>
      <c r="DZ83">
        <v>-0.16203000000000001</v>
      </c>
      <c r="EA83">
        <v>-0.79946399999999995</v>
      </c>
      <c r="EB83">
        <v>20.189399999999999</v>
      </c>
      <c r="EC83">
        <v>5.2421499999999996</v>
      </c>
      <c r="ED83">
        <v>12.039899999999999</v>
      </c>
      <c r="EE83">
        <v>5.0175000000000001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1.8687400000000001</v>
      </c>
      <c r="EL83">
        <v>1.8643700000000001</v>
      </c>
      <c r="EM83">
        <v>1.8690500000000001</v>
      </c>
      <c r="EN83">
        <v>1.86707</v>
      </c>
      <c r="EO83">
        <v>1.8632200000000001</v>
      </c>
      <c r="EP83">
        <v>1.8641700000000001</v>
      </c>
      <c r="EQ83">
        <v>1.87001</v>
      </c>
      <c r="ER83">
        <v>1.8692299999999999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-1.2070000000000001</v>
      </c>
      <c r="FG83">
        <v>0.18279999999999999</v>
      </c>
      <c r="FH83">
        <v>-0.81947142863283695</v>
      </c>
      <c r="FI83">
        <v>-6.1462078757559423E-4</v>
      </c>
      <c r="FJ83">
        <v>-1.8861989874597051E-7</v>
      </c>
      <c r="FK83">
        <v>1.1980462299894961E-10</v>
      </c>
      <c r="FL83">
        <v>0.18283500000000069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18.8</v>
      </c>
      <c r="FU83">
        <v>18.899999999999999</v>
      </c>
      <c r="FV83">
        <v>1.7748999999999999</v>
      </c>
      <c r="FW83">
        <v>2.5512700000000001</v>
      </c>
      <c r="FX83">
        <v>1.5490699999999999</v>
      </c>
      <c r="FY83">
        <v>2.34497</v>
      </c>
      <c r="FZ83">
        <v>1.50146</v>
      </c>
      <c r="GA83">
        <v>2.3535200000000001</v>
      </c>
      <c r="GB83">
        <v>30.114699999999999</v>
      </c>
      <c r="GC83">
        <v>23.982399999999998</v>
      </c>
      <c r="GD83">
        <v>19</v>
      </c>
      <c r="GE83">
        <v>279.649</v>
      </c>
      <c r="GF83">
        <v>613.75300000000004</v>
      </c>
      <c r="GG83">
        <v>25.2651</v>
      </c>
      <c r="GH83">
        <v>25.4024</v>
      </c>
      <c r="GI83">
        <v>30</v>
      </c>
      <c r="GJ83">
        <v>25.512699999999999</v>
      </c>
      <c r="GK83">
        <v>25.4786</v>
      </c>
      <c r="GL83">
        <v>35.491300000000003</v>
      </c>
      <c r="GM83">
        <v>53.430599999999998</v>
      </c>
      <c r="GN83">
        <v>88.229399999999998</v>
      </c>
      <c r="GO83">
        <v>25.305199999999999</v>
      </c>
      <c r="GP83">
        <v>800</v>
      </c>
      <c r="GQ83">
        <v>10.450799999999999</v>
      </c>
      <c r="GR83">
        <v>99.735600000000005</v>
      </c>
      <c r="GS83">
        <v>99.419899999999998</v>
      </c>
    </row>
    <row r="84" spans="1:201" x14ac:dyDescent="0.25">
      <c r="A84">
        <v>68</v>
      </c>
      <c r="B84">
        <v>1690374556</v>
      </c>
      <c r="C84">
        <v>736.5</v>
      </c>
      <c r="D84" t="s">
        <v>469</v>
      </c>
      <c r="E84" t="s">
        <v>470</v>
      </c>
      <c r="F84" t="s">
        <v>330</v>
      </c>
      <c r="H84">
        <v>1690374556</v>
      </c>
      <c r="I84">
        <f t="shared" si="30"/>
        <v>1.3875149147149774E-3</v>
      </c>
      <c r="J84">
        <f t="shared" si="31"/>
        <v>1.3875149147149775</v>
      </c>
      <c r="K84">
        <f t="shared" si="32"/>
        <v>22.960219855244862</v>
      </c>
      <c r="L84">
        <f t="shared" si="33"/>
        <v>562.81700000000001</v>
      </c>
      <c r="M84">
        <f t="shared" si="34"/>
        <v>160.22223002697336</v>
      </c>
      <c r="N84">
        <f t="shared" si="35"/>
        <v>15.831972162652052</v>
      </c>
      <c r="O84">
        <f t="shared" si="36"/>
        <v>55.613400682085498</v>
      </c>
      <c r="P84">
        <f t="shared" si="37"/>
        <v>9.5113403564910812E-2</v>
      </c>
      <c r="Q84">
        <f t="shared" si="38"/>
        <v>2.2513309377111956</v>
      </c>
      <c r="R84">
        <f t="shared" si="39"/>
        <v>9.2936128576331697E-2</v>
      </c>
      <c r="S84">
        <f t="shared" si="40"/>
        <v>5.8276548685940462E-2</v>
      </c>
      <c r="T84">
        <f t="shared" si="41"/>
        <v>276.1123627559071</v>
      </c>
      <c r="U84">
        <f t="shared" si="42"/>
        <v>27.990341690483024</v>
      </c>
      <c r="V84">
        <f t="shared" si="43"/>
        <v>27.990341690483024</v>
      </c>
      <c r="W84">
        <f t="shared" si="44"/>
        <v>3.7927035339082775</v>
      </c>
      <c r="X84">
        <f t="shared" si="45"/>
        <v>68.513000429360403</v>
      </c>
      <c r="Y84">
        <f t="shared" si="46"/>
        <v>2.3634092055751497</v>
      </c>
      <c r="Z84">
        <f t="shared" si="47"/>
        <v>3.4495777308890703</v>
      </c>
      <c r="AA84">
        <f t="shared" si="48"/>
        <v>1.4292943283331279</v>
      </c>
      <c r="AB84">
        <f t="shared" si="49"/>
        <v>-61.189407738930505</v>
      </c>
      <c r="AC84">
        <f t="shared" si="50"/>
        <v>-196.23000743630996</v>
      </c>
      <c r="AD84">
        <f t="shared" si="51"/>
        <v>-18.844917999587267</v>
      </c>
      <c r="AE84">
        <f t="shared" si="52"/>
        <v>-0.15197041892062657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52383.88879571086</v>
      </c>
      <c r="AK84">
        <f t="shared" si="56"/>
        <v>1799.99</v>
      </c>
      <c r="AL84">
        <f t="shared" si="57"/>
        <v>1499.10538879046</v>
      </c>
      <c r="AM84">
        <f t="shared" si="58"/>
        <v>0.83284095400000002</v>
      </c>
      <c r="AN84">
        <f t="shared" si="59"/>
        <v>0.15339660928999999</v>
      </c>
      <c r="AO84">
        <v>30</v>
      </c>
      <c r="AP84">
        <v>0.5</v>
      </c>
      <c r="AQ84" t="s">
        <v>331</v>
      </c>
      <c r="AR84">
        <v>2</v>
      </c>
      <c r="AS84">
        <v>1690374556</v>
      </c>
      <c r="AT84">
        <v>562.81700000000001</v>
      </c>
      <c r="AU84">
        <v>800.12</v>
      </c>
      <c r="AV84">
        <v>23.918099999999999</v>
      </c>
      <c r="AW84">
        <v>10.381</v>
      </c>
      <c r="AX84">
        <v>564.02099999999996</v>
      </c>
      <c r="AY84">
        <v>23.735299999999999</v>
      </c>
      <c r="AZ84">
        <v>300.137</v>
      </c>
      <c r="BA84">
        <v>98.712599999999995</v>
      </c>
      <c r="BB84">
        <v>9.9981500000000001E-2</v>
      </c>
      <c r="BC84">
        <v>26.3736</v>
      </c>
      <c r="BD84">
        <v>26.940899999999999</v>
      </c>
      <c r="BE84">
        <v>27.967300000000002</v>
      </c>
      <c r="BF84">
        <v>0</v>
      </c>
      <c r="BG84">
        <v>0</v>
      </c>
      <c r="BH84">
        <v>10015.6</v>
      </c>
      <c r="BI84">
        <v>1082.98</v>
      </c>
      <c r="BJ84">
        <v>1.4016500000000001</v>
      </c>
      <c r="BK84">
        <v>-237.303</v>
      </c>
      <c r="BL84">
        <v>576.60799999999995</v>
      </c>
      <c r="BM84">
        <v>808.51300000000003</v>
      </c>
      <c r="BN84">
        <v>13.5372</v>
      </c>
      <c r="BO84">
        <v>800.12</v>
      </c>
      <c r="BP84">
        <v>10.381</v>
      </c>
      <c r="BQ84">
        <v>2.3610199999999999</v>
      </c>
      <c r="BR84">
        <v>1.0247299999999999</v>
      </c>
      <c r="BS84">
        <v>20.0989</v>
      </c>
      <c r="BT84">
        <v>7.2728700000000002</v>
      </c>
      <c r="BU84">
        <v>1799.99</v>
      </c>
      <c r="BV84">
        <v>0.910022</v>
      </c>
      <c r="BW84">
        <v>3.39946E-2</v>
      </c>
      <c r="BX84">
        <v>2.1991699999999999E-2</v>
      </c>
      <c r="BY84">
        <v>3.3991300000000002E-2</v>
      </c>
      <c r="BZ84">
        <v>24</v>
      </c>
      <c r="CA84">
        <v>33528.400000000001</v>
      </c>
      <c r="CB84">
        <v>1690373417</v>
      </c>
      <c r="CC84" t="s">
        <v>332</v>
      </c>
      <c r="CD84">
        <v>1690373417</v>
      </c>
      <c r="CE84">
        <v>1690373415</v>
      </c>
      <c r="CF84">
        <v>1</v>
      </c>
      <c r="CG84">
        <v>-1.319</v>
      </c>
      <c r="CH84">
        <v>0.01</v>
      </c>
      <c r="CI84">
        <v>-1.371</v>
      </c>
      <c r="CJ84">
        <v>0.183</v>
      </c>
      <c r="CK84">
        <v>800</v>
      </c>
      <c r="CL84">
        <v>21</v>
      </c>
      <c r="CM84">
        <v>0.09</v>
      </c>
      <c r="CN84">
        <v>7.0000000000000007E-2</v>
      </c>
      <c r="CO84">
        <v>-233.259756097561</v>
      </c>
      <c r="CP84">
        <v>-20.247993031359329</v>
      </c>
      <c r="CQ84">
        <v>2.0006755783434489</v>
      </c>
      <c r="CR84">
        <v>-1</v>
      </c>
      <c r="CS84">
        <v>13.244400000000001</v>
      </c>
      <c r="CT84">
        <v>1.530186062717763</v>
      </c>
      <c r="CU84">
        <v>0.1510725104532063</v>
      </c>
      <c r="CV84">
        <v>-1</v>
      </c>
      <c r="CW84">
        <v>0</v>
      </c>
      <c r="CX84">
        <v>0</v>
      </c>
      <c r="CY84" t="s">
        <v>333</v>
      </c>
      <c r="CZ84">
        <v>2.3653499999999998</v>
      </c>
      <c r="DA84">
        <v>2.7137899999999999</v>
      </c>
      <c r="DB84">
        <v>0.115131</v>
      </c>
      <c r="DC84">
        <v>0.14594499999999999</v>
      </c>
      <c r="DD84">
        <v>0.113459</v>
      </c>
      <c r="DE84">
        <v>6.0788000000000002E-2</v>
      </c>
      <c r="DF84">
        <v>32315.5</v>
      </c>
      <c r="DG84">
        <v>27495.8</v>
      </c>
      <c r="DH84">
        <v>31174.2</v>
      </c>
      <c r="DI84">
        <v>28050</v>
      </c>
      <c r="DJ84">
        <v>37512</v>
      </c>
      <c r="DK84">
        <v>37440.800000000003</v>
      </c>
      <c r="DL84">
        <v>44358.5</v>
      </c>
      <c r="DM84">
        <v>42488.5</v>
      </c>
      <c r="DN84">
        <v>1.4774</v>
      </c>
      <c r="DO84">
        <v>2.0839300000000001</v>
      </c>
      <c r="DP84">
        <v>0.11897099999999999</v>
      </c>
      <c r="DQ84">
        <v>0.18753900000000001</v>
      </c>
      <c r="DR84">
        <v>24.991900000000001</v>
      </c>
      <c r="DS84">
        <v>24.897400000000001</v>
      </c>
      <c r="DT84">
        <v>66.900000000000006</v>
      </c>
      <c r="DU84">
        <v>24.4</v>
      </c>
      <c r="DV84">
        <v>20.791399999999999</v>
      </c>
      <c r="DW84">
        <v>61.61</v>
      </c>
      <c r="DX84">
        <v>36.001600000000003</v>
      </c>
      <c r="DY84">
        <v>1</v>
      </c>
      <c r="DZ84">
        <v>-0.16206000000000001</v>
      </c>
      <c r="EA84">
        <v>-0.79167200000000004</v>
      </c>
      <c r="EB84">
        <v>20.1892</v>
      </c>
      <c r="EC84">
        <v>5.2423000000000002</v>
      </c>
      <c r="ED84">
        <v>12.039899999999999</v>
      </c>
      <c r="EE84">
        <v>5.0175000000000001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1.8687400000000001</v>
      </c>
      <c r="EL84">
        <v>1.8644000000000001</v>
      </c>
      <c r="EM84">
        <v>1.8690599999999999</v>
      </c>
      <c r="EN84">
        <v>1.86707</v>
      </c>
      <c r="EO84">
        <v>1.8632299999999999</v>
      </c>
      <c r="EP84">
        <v>1.8641700000000001</v>
      </c>
      <c r="EQ84">
        <v>1.8700300000000001</v>
      </c>
      <c r="ER84">
        <v>1.8692200000000001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-1.204</v>
      </c>
      <c r="FG84">
        <v>0.18279999999999999</v>
      </c>
      <c r="FH84">
        <v>-0.81947142863283695</v>
      </c>
      <c r="FI84">
        <v>-6.1462078757559423E-4</v>
      </c>
      <c r="FJ84">
        <v>-1.8861989874597051E-7</v>
      </c>
      <c r="FK84">
        <v>1.1980462299894961E-10</v>
      </c>
      <c r="FL84">
        <v>0.18283500000000069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19</v>
      </c>
      <c r="FU84">
        <v>19</v>
      </c>
      <c r="FV84">
        <v>1.7748999999999999</v>
      </c>
      <c r="FW84">
        <v>2.5500500000000001</v>
      </c>
      <c r="FX84">
        <v>1.5490699999999999</v>
      </c>
      <c r="FY84">
        <v>2.34497</v>
      </c>
      <c r="FZ84">
        <v>1.50146</v>
      </c>
      <c r="GA84">
        <v>2.3120099999999999</v>
      </c>
      <c r="GB84">
        <v>30.114699999999999</v>
      </c>
      <c r="GC84">
        <v>23.991199999999999</v>
      </c>
      <c r="GD84">
        <v>19</v>
      </c>
      <c r="GE84">
        <v>279.67399999999998</v>
      </c>
      <c r="GF84">
        <v>613.06299999999999</v>
      </c>
      <c r="GG84">
        <v>25.365600000000001</v>
      </c>
      <c r="GH84">
        <v>25.3996</v>
      </c>
      <c r="GI84">
        <v>30</v>
      </c>
      <c r="GJ84">
        <v>25.510999999999999</v>
      </c>
      <c r="GK84">
        <v>25.476500000000001</v>
      </c>
      <c r="GL84">
        <v>35.4863</v>
      </c>
      <c r="GM84">
        <v>54.0229</v>
      </c>
      <c r="GN84">
        <v>87.858000000000004</v>
      </c>
      <c r="GO84">
        <v>25.395099999999999</v>
      </c>
      <c r="GP84">
        <v>800</v>
      </c>
      <c r="GQ84">
        <v>10.224399999999999</v>
      </c>
      <c r="GR84">
        <v>99.736999999999995</v>
      </c>
      <c r="GS84">
        <v>99.419200000000004</v>
      </c>
    </row>
    <row r="85" spans="1:201" x14ac:dyDescent="0.25">
      <c r="A85">
        <v>69</v>
      </c>
      <c r="B85">
        <v>1690374566</v>
      </c>
      <c r="C85">
        <v>746.5</v>
      </c>
      <c r="D85" t="s">
        <v>471</v>
      </c>
      <c r="E85" t="s">
        <v>472</v>
      </c>
      <c r="F85" t="s">
        <v>330</v>
      </c>
      <c r="H85">
        <v>1690374566</v>
      </c>
      <c r="I85">
        <f t="shared" si="30"/>
        <v>1.4118210565427403E-3</v>
      </c>
      <c r="J85">
        <f t="shared" si="31"/>
        <v>1.4118210565427403</v>
      </c>
      <c r="K85">
        <f t="shared" si="32"/>
        <v>23.236867042569681</v>
      </c>
      <c r="L85">
        <f t="shared" si="33"/>
        <v>559.476</v>
      </c>
      <c r="M85">
        <f t="shared" si="34"/>
        <v>158.44456581572206</v>
      </c>
      <c r="N85">
        <f t="shared" si="35"/>
        <v>15.655927670711355</v>
      </c>
      <c r="O85">
        <f t="shared" si="36"/>
        <v>55.281894613451996</v>
      </c>
      <c r="P85">
        <f t="shared" si="37"/>
        <v>9.6667348877569365E-2</v>
      </c>
      <c r="Q85">
        <f t="shared" si="38"/>
        <v>2.2452602234116874</v>
      </c>
      <c r="R85">
        <f t="shared" si="39"/>
        <v>9.4413328999792726E-2</v>
      </c>
      <c r="S85">
        <f t="shared" si="40"/>
        <v>5.9206467883839486E-2</v>
      </c>
      <c r="T85">
        <f t="shared" si="41"/>
        <v>276.11496134747034</v>
      </c>
      <c r="U85">
        <f t="shared" si="42"/>
        <v>28.008037570463848</v>
      </c>
      <c r="V85">
        <f t="shared" si="43"/>
        <v>28.008037570463848</v>
      </c>
      <c r="W85">
        <f t="shared" si="44"/>
        <v>3.7966181635540619</v>
      </c>
      <c r="X85">
        <f t="shared" si="45"/>
        <v>68.474438260764103</v>
      </c>
      <c r="Y85">
        <f t="shared" si="46"/>
        <v>2.3651191998720003</v>
      </c>
      <c r="Z85">
        <f t="shared" si="47"/>
        <v>3.4540176742526341</v>
      </c>
      <c r="AA85">
        <f t="shared" si="48"/>
        <v>1.4314989636820616</v>
      </c>
      <c r="AB85">
        <f t="shared" si="49"/>
        <v>-62.261308593534849</v>
      </c>
      <c r="AC85">
        <f t="shared" si="50"/>
        <v>-195.20408394678091</v>
      </c>
      <c r="AD85">
        <f t="shared" si="51"/>
        <v>-18.800789248402758</v>
      </c>
      <c r="AE85">
        <f t="shared" si="52"/>
        <v>-0.1512204412481708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52143.681306047409</v>
      </c>
      <c r="AK85">
        <f t="shared" si="56"/>
        <v>1799.99</v>
      </c>
      <c r="AL85">
        <f t="shared" si="57"/>
        <v>1499.10901037034</v>
      </c>
      <c r="AM85">
        <f t="shared" si="58"/>
        <v>0.83284296599999996</v>
      </c>
      <c r="AN85">
        <f t="shared" si="59"/>
        <v>0.15339805295999998</v>
      </c>
      <c r="AO85">
        <v>30</v>
      </c>
      <c r="AP85">
        <v>0.5</v>
      </c>
      <c r="AQ85" t="s">
        <v>331</v>
      </c>
      <c r="AR85">
        <v>2</v>
      </c>
      <c r="AS85">
        <v>1690374566</v>
      </c>
      <c r="AT85">
        <v>559.476</v>
      </c>
      <c r="AU85">
        <v>799.64099999999996</v>
      </c>
      <c r="AV85">
        <v>23.936</v>
      </c>
      <c r="AW85">
        <v>10.1616</v>
      </c>
      <c r="AX85">
        <v>560.678</v>
      </c>
      <c r="AY85">
        <v>23.7532</v>
      </c>
      <c r="AZ85">
        <v>300.12799999999999</v>
      </c>
      <c r="BA85">
        <v>98.710099999999997</v>
      </c>
      <c r="BB85">
        <v>0.100027</v>
      </c>
      <c r="BC85">
        <v>26.395399999999999</v>
      </c>
      <c r="BD85">
        <v>26.943100000000001</v>
      </c>
      <c r="BE85">
        <v>27.992599999999999</v>
      </c>
      <c r="BF85">
        <v>0</v>
      </c>
      <c r="BG85">
        <v>0</v>
      </c>
      <c r="BH85">
        <v>9968.75</v>
      </c>
      <c r="BI85">
        <v>1083.01</v>
      </c>
      <c r="BJ85">
        <v>1.4016500000000001</v>
      </c>
      <c r="BK85">
        <v>-240.16499999999999</v>
      </c>
      <c r="BL85">
        <v>573.19600000000003</v>
      </c>
      <c r="BM85">
        <v>807.85</v>
      </c>
      <c r="BN85">
        <v>13.7744</v>
      </c>
      <c r="BO85">
        <v>799.64099999999996</v>
      </c>
      <c r="BP85">
        <v>10.1616</v>
      </c>
      <c r="BQ85">
        <v>2.3627199999999999</v>
      </c>
      <c r="BR85">
        <v>1.00305</v>
      </c>
      <c r="BS85">
        <v>20.110499999999998</v>
      </c>
      <c r="BT85">
        <v>6.9608299999999996</v>
      </c>
      <c r="BU85">
        <v>1799.99</v>
      </c>
      <c r="BV85">
        <v>0.91001100000000001</v>
      </c>
      <c r="BW85">
        <v>3.3991500000000001E-2</v>
      </c>
      <c r="BX85">
        <v>2.20098E-2</v>
      </c>
      <c r="BY85">
        <v>3.3988200000000003E-2</v>
      </c>
      <c r="BZ85">
        <v>24</v>
      </c>
      <c r="CA85">
        <v>33528.1</v>
      </c>
      <c r="CB85">
        <v>1690373417</v>
      </c>
      <c r="CC85" t="s">
        <v>332</v>
      </c>
      <c r="CD85">
        <v>1690373417</v>
      </c>
      <c r="CE85">
        <v>1690373415</v>
      </c>
      <c r="CF85">
        <v>1</v>
      </c>
      <c r="CG85">
        <v>-1.319</v>
      </c>
      <c r="CH85">
        <v>0.01</v>
      </c>
      <c r="CI85">
        <v>-1.371</v>
      </c>
      <c r="CJ85">
        <v>0.183</v>
      </c>
      <c r="CK85">
        <v>800</v>
      </c>
      <c r="CL85">
        <v>21</v>
      </c>
      <c r="CM85">
        <v>0.09</v>
      </c>
      <c r="CN85">
        <v>7.0000000000000007E-2</v>
      </c>
      <c r="CO85">
        <v>-236.76146341463411</v>
      </c>
      <c r="CP85">
        <v>-20.959254355401331</v>
      </c>
      <c r="CQ85">
        <v>2.0781966865948251</v>
      </c>
      <c r="CR85">
        <v>-1</v>
      </c>
      <c r="CS85">
        <v>13.497604878048779</v>
      </c>
      <c r="CT85">
        <v>1.4856648083623629</v>
      </c>
      <c r="CU85">
        <v>0.14661157401358599</v>
      </c>
      <c r="CV85">
        <v>-1</v>
      </c>
      <c r="CW85">
        <v>0</v>
      </c>
      <c r="CX85">
        <v>0</v>
      </c>
      <c r="CY85" t="s">
        <v>333</v>
      </c>
      <c r="CZ85">
        <v>2.3653300000000002</v>
      </c>
      <c r="DA85">
        <v>2.7137899999999999</v>
      </c>
      <c r="DB85">
        <v>0.11464199999999999</v>
      </c>
      <c r="DC85">
        <v>0.14587900000000001</v>
      </c>
      <c r="DD85">
        <v>0.11351700000000001</v>
      </c>
      <c r="DE85">
        <v>5.97998E-2</v>
      </c>
      <c r="DF85">
        <v>32333.599999999999</v>
      </c>
      <c r="DG85">
        <v>27498.5</v>
      </c>
      <c r="DH85">
        <v>31174.3</v>
      </c>
      <c r="DI85">
        <v>28050.6</v>
      </c>
      <c r="DJ85">
        <v>37509.699999999997</v>
      </c>
      <c r="DK85">
        <v>37480.9</v>
      </c>
      <c r="DL85">
        <v>44358.7</v>
      </c>
      <c r="DM85">
        <v>42489.2</v>
      </c>
      <c r="DN85">
        <v>1.47767</v>
      </c>
      <c r="DO85">
        <v>2.0831499999999998</v>
      </c>
      <c r="DP85">
        <v>0.119239</v>
      </c>
      <c r="DQ85">
        <v>0.18921499999999999</v>
      </c>
      <c r="DR85">
        <v>24.989799999999999</v>
      </c>
      <c r="DS85">
        <v>24.895299999999999</v>
      </c>
      <c r="DT85">
        <v>66.7</v>
      </c>
      <c r="DU85">
        <v>24.4</v>
      </c>
      <c r="DV85">
        <v>20.7271</v>
      </c>
      <c r="DW85">
        <v>61.66</v>
      </c>
      <c r="DX85">
        <v>37.0593</v>
      </c>
      <c r="DY85">
        <v>1</v>
      </c>
      <c r="DZ85">
        <v>-0.162027</v>
      </c>
      <c r="EA85">
        <v>-0.83065100000000003</v>
      </c>
      <c r="EB85">
        <v>20.189</v>
      </c>
      <c r="EC85">
        <v>5.2423000000000002</v>
      </c>
      <c r="ED85">
        <v>12.039899999999999</v>
      </c>
      <c r="EE85">
        <v>5.0174500000000002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1.8687400000000001</v>
      </c>
      <c r="EL85">
        <v>1.8643799999999999</v>
      </c>
      <c r="EM85">
        <v>1.8690500000000001</v>
      </c>
      <c r="EN85">
        <v>1.86707</v>
      </c>
      <c r="EO85">
        <v>1.8632200000000001</v>
      </c>
      <c r="EP85">
        <v>1.8641700000000001</v>
      </c>
      <c r="EQ85">
        <v>1.87001</v>
      </c>
      <c r="ER85">
        <v>1.8692200000000001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-1.202</v>
      </c>
      <c r="FG85">
        <v>0.18279999999999999</v>
      </c>
      <c r="FH85">
        <v>-0.81947142863283695</v>
      </c>
      <c r="FI85">
        <v>-6.1462078757559423E-4</v>
      </c>
      <c r="FJ85">
        <v>-1.8861989874597051E-7</v>
      </c>
      <c r="FK85">
        <v>1.1980462299894961E-10</v>
      </c>
      <c r="FL85">
        <v>0.18283500000000069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19.100000000000001</v>
      </c>
      <c r="FU85">
        <v>19.2</v>
      </c>
      <c r="FV85">
        <v>1.7748999999999999</v>
      </c>
      <c r="FW85">
        <v>2.5524900000000001</v>
      </c>
      <c r="FX85">
        <v>1.5490699999999999</v>
      </c>
      <c r="FY85">
        <v>2.34375</v>
      </c>
      <c r="FZ85">
        <v>1.50146</v>
      </c>
      <c r="GA85">
        <v>2.3767100000000001</v>
      </c>
      <c r="GB85">
        <v>30.136099999999999</v>
      </c>
      <c r="GC85">
        <v>23.982399999999998</v>
      </c>
      <c r="GD85">
        <v>19</v>
      </c>
      <c r="GE85">
        <v>279.779</v>
      </c>
      <c r="GF85">
        <v>612.38699999999994</v>
      </c>
      <c r="GG85">
        <v>25.449300000000001</v>
      </c>
      <c r="GH85">
        <v>25.396000000000001</v>
      </c>
      <c r="GI85">
        <v>30</v>
      </c>
      <c r="GJ85">
        <v>25.5091</v>
      </c>
      <c r="GK85">
        <v>25.475300000000001</v>
      </c>
      <c r="GL85">
        <v>35.482700000000001</v>
      </c>
      <c r="GM85">
        <v>54.897500000000001</v>
      </c>
      <c r="GN85">
        <v>87.1036</v>
      </c>
      <c r="GO85">
        <v>25.4801</v>
      </c>
      <c r="GP85">
        <v>800</v>
      </c>
      <c r="GQ85">
        <v>10.0008</v>
      </c>
      <c r="GR85">
        <v>99.7376</v>
      </c>
      <c r="GS85">
        <v>99.421000000000006</v>
      </c>
    </row>
    <row r="86" spans="1:201" x14ac:dyDescent="0.25">
      <c r="A86">
        <v>70</v>
      </c>
      <c r="B86">
        <v>1690374576</v>
      </c>
      <c r="C86">
        <v>756.5</v>
      </c>
      <c r="D86" t="s">
        <v>473</v>
      </c>
      <c r="E86" t="s">
        <v>474</v>
      </c>
      <c r="F86" t="s">
        <v>330</v>
      </c>
      <c r="H86">
        <v>1690374576</v>
      </c>
      <c r="I86">
        <f t="shared" si="30"/>
        <v>1.4382741349347847E-3</v>
      </c>
      <c r="J86">
        <f t="shared" si="31"/>
        <v>1.4382741349347847</v>
      </c>
      <c r="K86">
        <f t="shared" si="32"/>
        <v>23.616531042296852</v>
      </c>
      <c r="L86">
        <f t="shared" si="33"/>
        <v>555.96600000000001</v>
      </c>
      <c r="M86">
        <f t="shared" si="34"/>
        <v>156.41918988423373</v>
      </c>
      <c r="N86">
        <f t="shared" si="35"/>
        <v>15.456088970867723</v>
      </c>
      <c r="O86">
        <f t="shared" si="36"/>
        <v>54.9360981036738</v>
      </c>
      <c r="P86">
        <f t="shared" si="37"/>
        <v>9.8634474411538234E-2</v>
      </c>
      <c r="Q86">
        <f t="shared" si="38"/>
        <v>2.2522104197804302</v>
      </c>
      <c r="R86">
        <f t="shared" si="39"/>
        <v>9.6296037230624451E-2</v>
      </c>
      <c r="S86">
        <f t="shared" si="40"/>
        <v>6.0390505011581039E-2</v>
      </c>
      <c r="T86">
        <f t="shared" si="41"/>
        <v>276.11497202141106</v>
      </c>
      <c r="U86">
        <f t="shared" si="42"/>
        <v>28.007903288923487</v>
      </c>
      <c r="V86">
        <f t="shared" si="43"/>
        <v>28.007903288923487</v>
      </c>
      <c r="W86">
        <f t="shared" si="44"/>
        <v>3.7965884449251988</v>
      </c>
      <c r="X86">
        <f t="shared" si="45"/>
        <v>68.468722985950521</v>
      </c>
      <c r="Y86">
        <f t="shared" si="46"/>
        <v>2.3667641708284601</v>
      </c>
      <c r="Z86">
        <f t="shared" si="47"/>
        <v>3.4567085051580557</v>
      </c>
      <c r="AA86">
        <f t="shared" si="48"/>
        <v>1.4298242740967386</v>
      </c>
      <c r="AB86">
        <f t="shared" si="49"/>
        <v>-63.427889350624007</v>
      </c>
      <c r="AC86">
        <f t="shared" si="50"/>
        <v>-194.18927356915</v>
      </c>
      <c r="AD86">
        <f t="shared" si="51"/>
        <v>-18.646547793407301</v>
      </c>
      <c r="AE86">
        <f t="shared" si="52"/>
        <v>-0.14873869177026222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52412.039171306518</v>
      </c>
      <c r="AK86">
        <f t="shared" si="56"/>
        <v>1799.99</v>
      </c>
      <c r="AL86">
        <f t="shared" si="57"/>
        <v>1499.1051457918099</v>
      </c>
      <c r="AM86">
        <f t="shared" si="58"/>
        <v>0.83284081899999995</v>
      </c>
      <c r="AN86">
        <f t="shared" si="59"/>
        <v>0.15339805888999999</v>
      </c>
      <c r="AO86">
        <v>30</v>
      </c>
      <c r="AP86">
        <v>0.5</v>
      </c>
      <c r="AQ86" t="s">
        <v>331</v>
      </c>
      <c r="AR86">
        <v>2</v>
      </c>
      <c r="AS86">
        <v>1690374576</v>
      </c>
      <c r="AT86">
        <v>555.96600000000001</v>
      </c>
      <c r="AU86">
        <v>800.03</v>
      </c>
      <c r="AV86">
        <v>23.952200000000001</v>
      </c>
      <c r="AW86">
        <v>9.9195700000000002</v>
      </c>
      <c r="AX86">
        <v>557.16600000000005</v>
      </c>
      <c r="AY86">
        <v>23.769400000000001</v>
      </c>
      <c r="AZ86">
        <v>300.12</v>
      </c>
      <c r="BA86">
        <v>98.712000000000003</v>
      </c>
      <c r="BB86">
        <v>9.9974300000000002E-2</v>
      </c>
      <c r="BC86">
        <v>26.4086</v>
      </c>
      <c r="BD86">
        <v>26.948499999999999</v>
      </c>
      <c r="BE86">
        <v>27.9757</v>
      </c>
      <c r="BF86">
        <v>0</v>
      </c>
      <c r="BG86">
        <v>0</v>
      </c>
      <c r="BH86">
        <v>10022.5</v>
      </c>
      <c r="BI86">
        <v>1083.08</v>
      </c>
      <c r="BJ86">
        <v>1.4016500000000001</v>
      </c>
      <c r="BK86">
        <v>-244.06399999999999</v>
      </c>
      <c r="BL86">
        <v>569.61</v>
      </c>
      <c r="BM86">
        <v>808.04600000000005</v>
      </c>
      <c r="BN86">
        <v>14.0326</v>
      </c>
      <c r="BO86">
        <v>800.03</v>
      </c>
      <c r="BP86">
        <v>9.9195700000000002</v>
      </c>
      <c r="BQ86">
        <v>2.3643700000000001</v>
      </c>
      <c r="BR86">
        <v>0.97918099999999997</v>
      </c>
      <c r="BS86">
        <v>20.1218</v>
      </c>
      <c r="BT86">
        <v>6.61022</v>
      </c>
      <c r="BU86">
        <v>1799.99</v>
      </c>
      <c r="BV86">
        <v>0.909999</v>
      </c>
      <c r="BW86">
        <v>3.4007500000000003E-2</v>
      </c>
      <c r="BX86">
        <v>2.2008199999999999E-2</v>
      </c>
      <c r="BY86">
        <v>3.3985700000000001E-2</v>
      </c>
      <c r="BZ86">
        <v>24</v>
      </c>
      <c r="CA86">
        <v>33528</v>
      </c>
      <c r="CB86">
        <v>1690373417</v>
      </c>
      <c r="CC86" t="s">
        <v>332</v>
      </c>
      <c r="CD86">
        <v>1690373417</v>
      </c>
      <c r="CE86">
        <v>1690373415</v>
      </c>
      <c r="CF86">
        <v>1</v>
      </c>
      <c r="CG86">
        <v>-1.319</v>
      </c>
      <c r="CH86">
        <v>0.01</v>
      </c>
      <c r="CI86">
        <v>-1.371</v>
      </c>
      <c r="CJ86">
        <v>0.183</v>
      </c>
      <c r="CK86">
        <v>800</v>
      </c>
      <c r="CL86">
        <v>21</v>
      </c>
      <c r="CM86">
        <v>0.09</v>
      </c>
      <c r="CN86">
        <v>7.0000000000000007E-2</v>
      </c>
      <c r="CO86">
        <v>-240.47120000000001</v>
      </c>
      <c r="CP86">
        <v>-20.286101313320469</v>
      </c>
      <c r="CQ86">
        <v>1.9693386859552631</v>
      </c>
      <c r="CR86">
        <v>-1</v>
      </c>
      <c r="CS86">
        <v>13.7639025</v>
      </c>
      <c r="CT86">
        <v>1.498666041275784</v>
      </c>
      <c r="CU86">
        <v>0.14423474007239029</v>
      </c>
      <c r="CV86">
        <v>-1</v>
      </c>
      <c r="CW86">
        <v>0</v>
      </c>
      <c r="CX86">
        <v>0</v>
      </c>
      <c r="CY86" t="s">
        <v>333</v>
      </c>
      <c r="CZ86">
        <v>2.3653</v>
      </c>
      <c r="DA86">
        <v>2.7137899999999999</v>
      </c>
      <c r="DB86">
        <v>0.114132</v>
      </c>
      <c r="DC86">
        <v>0.145925</v>
      </c>
      <c r="DD86">
        <v>0.11357399999999999</v>
      </c>
      <c r="DE86">
        <v>5.8703199999999997E-2</v>
      </c>
      <c r="DF86">
        <v>32352.400000000001</v>
      </c>
      <c r="DG86">
        <v>27497.9</v>
      </c>
      <c r="DH86">
        <v>31174.5</v>
      </c>
      <c r="DI86">
        <v>28051.4</v>
      </c>
      <c r="DJ86">
        <v>37507.699999999997</v>
      </c>
      <c r="DK86">
        <v>37526.1</v>
      </c>
      <c r="DL86">
        <v>44359.3</v>
      </c>
      <c r="DM86">
        <v>42490.7</v>
      </c>
      <c r="DN86">
        <v>1.47767</v>
      </c>
      <c r="DO86">
        <v>2.0832799999999998</v>
      </c>
      <c r="DP86">
        <v>0.11969399999999999</v>
      </c>
      <c r="DQ86">
        <v>0.18817900000000001</v>
      </c>
      <c r="DR86">
        <v>24.9877</v>
      </c>
      <c r="DS86">
        <v>24.895299999999999</v>
      </c>
      <c r="DT86">
        <v>66.599999999999994</v>
      </c>
      <c r="DU86">
        <v>24.4</v>
      </c>
      <c r="DV86">
        <v>20.697700000000001</v>
      </c>
      <c r="DW86">
        <v>62.28</v>
      </c>
      <c r="DX86">
        <v>36.1218</v>
      </c>
      <c r="DY86">
        <v>1</v>
      </c>
      <c r="DZ86">
        <v>-0.16220000000000001</v>
      </c>
      <c r="EA86">
        <v>-0.86514999999999997</v>
      </c>
      <c r="EB86">
        <v>20.188800000000001</v>
      </c>
      <c r="EC86">
        <v>5.2416999999999998</v>
      </c>
      <c r="ED86">
        <v>12.039899999999999</v>
      </c>
      <c r="EE86">
        <v>5.0175000000000001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1.8687400000000001</v>
      </c>
      <c r="EL86">
        <v>1.8643799999999999</v>
      </c>
      <c r="EM86">
        <v>1.8690500000000001</v>
      </c>
      <c r="EN86">
        <v>1.86707</v>
      </c>
      <c r="EO86">
        <v>1.86324</v>
      </c>
      <c r="EP86">
        <v>1.8641700000000001</v>
      </c>
      <c r="EQ86">
        <v>1.8700399999999999</v>
      </c>
      <c r="ER86">
        <v>1.86924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-1.2</v>
      </c>
      <c r="FG86">
        <v>0.18279999999999999</v>
      </c>
      <c r="FH86">
        <v>-0.81947142863283695</v>
      </c>
      <c r="FI86">
        <v>-6.1462078757559423E-4</v>
      </c>
      <c r="FJ86">
        <v>-1.8861989874597051E-7</v>
      </c>
      <c r="FK86">
        <v>1.1980462299894961E-10</v>
      </c>
      <c r="FL86">
        <v>0.18283500000000069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19.3</v>
      </c>
      <c r="FU86">
        <v>19.399999999999999</v>
      </c>
      <c r="FV86">
        <v>1.7736799999999999</v>
      </c>
      <c r="FW86">
        <v>2.5512700000000001</v>
      </c>
      <c r="FX86">
        <v>1.5490699999999999</v>
      </c>
      <c r="FY86">
        <v>2.34375</v>
      </c>
      <c r="FZ86">
        <v>1.50146</v>
      </c>
      <c r="GA86">
        <v>2.2936999999999999</v>
      </c>
      <c r="GB86">
        <v>30.136099999999999</v>
      </c>
      <c r="GC86">
        <v>23.991199999999999</v>
      </c>
      <c r="GD86">
        <v>19</v>
      </c>
      <c r="GE86">
        <v>279.77</v>
      </c>
      <c r="GF86">
        <v>612.48099999999999</v>
      </c>
      <c r="GG86">
        <v>25.527000000000001</v>
      </c>
      <c r="GH86">
        <v>25.3932</v>
      </c>
      <c r="GI86">
        <v>29.9999</v>
      </c>
      <c r="GJ86">
        <v>25.506900000000002</v>
      </c>
      <c r="GK86">
        <v>25.474399999999999</v>
      </c>
      <c r="GL86">
        <v>35.471200000000003</v>
      </c>
      <c r="GM86">
        <v>55.481900000000003</v>
      </c>
      <c r="GN86">
        <v>86.329599999999999</v>
      </c>
      <c r="GO86">
        <v>25.564499999999999</v>
      </c>
      <c r="GP86">
        <v>800</v>
      </c>
      <c r="GQ86">
        <v>9.7694500000000009</v>
      </c>
      <c r="GR86">
        <v>99.738500000000002</v>
      </c>
      <c r="GS86">
        <v>99.424300000000002</v>
      </c>
    </row>
    <row r="87" spans="1:201" x14ac:dyDescent="0.25">
      <c r="A87">
        <v>71</v>
      </c>
      <c r="B87">
        <v>1690374586</v>
      </c>
      <c r="C87">
        <v>766.5</v>
      </c>
      <c r="D87" t="s">
        <v>475</v>
      </c>
      <c r="E87" t="s">
        <v>476</v>
      </c>
      <c r="F87" t="s">
        <v>330</v>
      </c>
      <c r="H87">
        <v>1690374586</v>
      </c>
      <c r="I87">
        <f t="shared" si="30"/>
        <v>1.4626870720852202E-3</v>
      </c>
      <c r="J87">
        <f t="shared" si="31"/>
        <v>1.4626870720852203</v>
      </c>
      <c r="K87">
        <f t="shared" si="32"/>
        <v>23.969472736992678</v>
      </c>
      <c r="L87">
        <f t="shared" si="33"/>
        <v>552.51700000000005</v>
      </c>
      <c r="M87">
        <f t="shared" si="34"/>
        <v>153.37200525686467</v>
      </c>
      <c r="N87">
        <f t="shared" si="35"/>
        <v>15.15481421796313</v>
      </c>
      <c r="O87">
        <f t="shared" si="36"/>
        <v>54.594660044008016</v>
      </c>
      <c r="P87">
        <f t="shared" si="37"/>
        <v>0.10023364893319549</v>
      </c>
      <c r="Q87">
        <f t="shared" si="38"/>
        <v>2.2451879977935985</v>
      </c>
      <c r="R87">
        <f t="shared" si="39"/>
        <v>9.7812416180739756E-2</v>
      </c>
      <c r="S87">
        <f t="shared" si="40"/>
        <v>6.1345426901590741E-2</v>
      </c>
      <c r="T87">
        <f t="shared" si="41"/>
        <v>276.11490133580378</v>
      </c>
      <c r="U87">
        <f t="shared" si="42"/>
        <v>28.024721554655663</v>
      </c>
      <c r="V87">
        <f t="shared" si="43"/>
        <v>28.024721554655663</v>
      </c>
      <c r="W87">
        <f t="shared" si="44"/>
        <v>3.800312172664563</v>
      </c>
      <c r="X87">
        <f t="shared" si="45"/>
        <v>68.445826441476441</v>
      </c>
      <c r="Y87">
        <f t="shared" si="46"/>
        <v>2.3688215269992003</v>
      </c>
      <c r="Z87">
        <f t="shared" si="47"/>
        <v>3.4608706624714727</v>
      </c>
      <c r="AA87">
        <f t="shared" si="48"/>
        <v>1.4314906456653627</v>
      </c>
      <c r="AB87">
        <f t="shared" si="49"/>
        <v>-64.504499878958214</v>
      </c>
      <c r="AC87">
        <f t="shared" si="50"/>
        <v>-193.15024649636044</v>
      </c>
      <c r="AD87">
        <f t="shared" si="51"/>
        <v>-18.608247142683418</v>
      </c>
      <c r="AE87">
        <f t="shared" si="52"/>
        <v>-0.14809218219826903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52135.03697008927</v>
      </c>
      <c r="AK87">
        <f t="shared" si="56"/>
        <v>1799.99</v>
      </c>
      <c r="AL87">
        <f t="shared" si="57"/>
        <v>1499.10037221833</v>
      </c>
      <c r="AM87">
        <f t="shared" si="58"/>
        <v>0.83283816700000002</v>
      </c>
      <c r="AN87">
        <f t="shared" si="59"/>
        <v>0.15339801961999999</v>
      </c>
      <c r="AO87">
        <v>30</v>
      </c>
      <c r="AP87">
        <v>0.5</v>
      </c>
      <c r="AQ87" t="s">
        <v>331</v>
      </c>
      <c r="AR87">
        <v>2</v>
      </c>
      <c r="AS87">
        <v>1690374586</v>
      </c>
      <c r="AT87">
        <v>552.51700000000005</v>
      </c>
      <c r="AU87">
        <v>800.12</v>
      </c>
      <c r="AV87">
        <v>23.973299999999998</v>
      </c>
      <c r="AW87">
        <v>9.7070699999999999</v>
      </c>
      <c r="AX87">
        <v>553.71400000000006</v>
      </c>
      <c r="AY87">
        <v>23.790500000000002</v>
      </c>
      <c r="AZ87">
        <v>300.20999999999998</v>
      </c>
      <c r="BA87">
        <v>98.710800000000006</v>
      </c>
      <c r="BB87">
        <v>0.100024</v>
      </c>
      <c r="BC87">
        <v>26.428999999999998</v>
      </c>
      <c r="BD87">
        <v>26.991599999999998</v>
      </c>
      <c r="BE87">
        <v>28.038900000000002</v>
      </c>
      <c r="BF87">
        <v>0</v>
      </c>
      <c r="BG87">
        <v>0</v>
      </c>
      <c r="BH87">
        <v>9968.1200000000008</v>
      </c>
      <c r="BI87">
        <v>1083.1500000000001</v>
      </c>
      <c r="BJ87">
        <v>1.4016500000000001</v>
      </c>
      <c r="BK87">
        <v>-247.60300000000001</v>
      </c>
      <c r="BL87">
        <v>566.08799999999997</v>
      </c>
      <c r="BM87">
        <v>807.96299999999997</v>
      </c>
      <c r="BN87">
        <v>14.2662</v>
      </c>
      <c r="BO87">
        <v>800.12</v>
      </c>
      <c r="BP87">
        <v>9.7070699999999999</v>
      </c>
      <c r="BQ87">
        <v>2.3664200000000002</v>
      </c>
      <c r="BR87">
        <v>0.95819299999999996</v>
      </c>
      <c r="BS87">
        <v>20.1358</v>
      </c>
      <c r="BT87">
        <v>6.2957099999999997</v>
      </c>
      <c r="BU87">
        <v>1799.99</v>
      </c>
      <c r="BV87">
        <v>0.90997399999999995</v>
      </c>
      <c r="BW87">
        <v>3.4006000000000002E-2</v>
      </c>
      <c r="BX87">
        <v>2.2006100000000001E-2</v>
      </c>
      <c r="BY87">
        <v>3.4014000000000003E-2</v>
      </c>
      <c r="BZ87">
        <v>24</v>
      </c>
      <c r="CA87">
        <v>33528</v>
      </c>
      <c r="CB87">
        <v>1690373417</v>
      </c>
      <c r="CC87" t="s">
        <v>332</v>
      </c>
      <c r="CD87">
        <v>1690373417</v>
      </c>
      <c r="CE87">
        <v>1690373415</v>
      </c>
      <c r="CF87">
        <v>1</v>
      </c>
      <c r="CG87">
        <v>-1.319</v>
      </c>
      <c r="CH87">
        <v>0.01</v>
      </c>
      <c r="CI87">
        <v>-1.371</v>
      </c>
      <c r="CJ87">
        <v>0.183</v>
      </c>
      <c r="CK87">
        <v>800</v>
      </c>
      <c r="CL87">
        <v>21</v>
      </c>
      <c r="CM87">
        <v>0.09</v>
      </c>
      <c r="CN87">
        <v>7.0000000000000007E-2</v>
      </c>
      <c r="CO87">
        <v>-243.83175</v>
      </c>
      <c r="CP87">
        <v>-20.920615384614891</v>
      </c>
      <c r="CQ87">
        <v>2.0221151147993521</v>
      </c>
      <c r="CR87">
        <v>-1</v>
      </c>
      <c r="CS87">
        <v>14.008330000000001</v>
      </c>
      <c r="CT87">
        <v>1.4683227016885281</v>
      </c>
      <c r="CU87">
        <v>0.14135283371761609</v>
      </c>
      <c r="CV87">
        <v>-1</v>
      </c>
      <c r="CW87">
        <v>0</v>
      </c>
      <c r="CX87">
        <v>0</v>
      </c>
      <c r="CY87" t="s">
        <v>333</v>
      </c>
      <c r="CZ87">
        <v>2.3656100000000002</v>
      </c>
      <c r="DA87">
        <v>2.7137899999999999</v>
      </c>
      <c r="DB87">
        <v>0.113625</v>
      </c>
      <c r="DC87">
        <v>0.14593</v>
      </c>
      <c r="DD87">
        <v>0.113644</v>
      </c>
      <c r="DE87">
        <v>5.7731299999999999E-2</v>
      </c>
      <c r="DF87">
        <v>32370.799999999999</v>
      </c>
      <c r="DG87">
        <v>27498.5</v>
      </c>
      <c r="DH87">
        <v>31174.400000000001</v>
      </c>
      <c r="DI87">
        <v>28052.2</v>
      </c>
      <c r="DJ87">
        <v>37504.5</v>
      </c>
      <c r="DK87">
        <v>37565.9</v>
      </c>
      <c r="DL87">
        <v>44359.1</v>
      </c>
      <c r="DM87">
        <v>42491.8</v>
      </c>
      <c r="DN87">
        <v>1.4782200000000001</v>
      </c>
      <c r="DO87">
        <v>2.0823999999999998</v>
      </c>
      <c r="DP87">
        <v>0.122271</v>
      </c>
      <c r="DQ87">
        <v>0.19192000000000001</v>
      </c>
      <c r="DR87">
        <v>24.988700000000001</v>
      </c>
      <c r="DS87">
        <v>24.897500000000001</v>
      </c>
      <c r="DT87">
        <v>66.400000000000006</v>
      </c>
      <c r="DU87">
        <v>24.4</v>
      </c>
      <c r="DV87">
        <v>20.634699999999999</v>
      </c>
      <c r="DW87">
        <v>61.700099999999999</v>
      </c>
      <c r="DX87">
        <v>37.075299999999999</v>
      </c>
      <c r="DY87">
        <v>1</v>
      </c>
      <c r="DZ87">
        <v>-0.162574</v>
      </c>
      <c r="EA87">
        <v>-0.84428899999999996</v>
      </c>
      <c r="EB87">
        <v>20.1889</v>
      </c>
      <c r="EC87">
        <v>5.2423000000000002</v>
      </c>
      <c r="ED87">
        <v>12.039899999999999</v>
      </c>
      <c r="EE87">
        <v>5.0174500000000002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1.8687400000000001</v>
      </c>
      <c r="EL87">
        <v>1.86439</v>
      </c>
      <c r="EM87">
        <v>1.8690500000000001</v>
      </c>
      <c r="EN87">
        <v>1.86707</v>
      </c>
      <c r="EO87">
        <v>1.8632200000000001</v>
      </c>
      <c r="EP87">
        <v>1.8641700000000001</v>
      </c>
      <c r="EQ87">
        <v>1.8700399999999999</v>
      </c>
      <c r="ER87">
        <v>1.8692200000000001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-1.1970000000000001</v>
      </c>
      <c r="FG87">
        <v>0.18279999999999999</v>
      </c>
      <c r="FH87">
        <v>-0.81947142863283695</v>
      </c>
      <c r="FI87">
        <v>-6.1462078757559423E-4</v>
      </c>
      <c r="FJ87">
        <v>-1.8861989874597051E-7</v>
      </c>
      <c r="FK87">
        <v>1.1980462299894961E-10</v>
      </c>
      <c r="FL87">
        <v>0.18283500000000069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19.5</v>
      </c>
      <c r="FU87">
        <v>19.5</v>
      </c>
      <c r="FV87">
        <v>1.7736799999999999</v>
      </c>
      <c r="FW87">
        <v>2.5512700000000001</v>
      </c>
      <c r="FX87">
        <v>1.5490699999999999</v>
      </c>
      <c r="FY87">
        <v>2.34375</v>
      </c>
      <c r="FZ87">
        <v>1.50146</v>
      </c>
      <c r="GA87">
        <v>2.3706100000000001</v>
      </c>
      <c r="GB87">
        <v>30.136099999999999</v>
      </c>
      <c r="GC87">
        <v>23.991199999999999</v>
      </c>
      <c r="GD87">
        <v>19</v>
      </c>
      <c r="GE87">
        <v>279.99200000000002</v>
      </c>
      <c r="GF87">
        <v>611.70699999999999</v>
      </c>
      <c r="GG87">
        <v>25.602</v>
      </c>
      <c r="GH87">
        <v>25.389600000000002</v>
      </c>
      <c r="GI87">
        <v>30.0001</v>
      </c>
      <c r="GJ87">
        <v>25.504799999999999</v>
      </c>
      <c r="GK87">
        <v>25.472200000000001</v>
      </c>
      <c r="GL87">
        <v>35.466999999999999</v>
      </c>
      <c r="GM87">
        <v>56.373699999999999</v>
      </c>
      <c r="GN87">
        <v>85.934600000000003</v>
      </c>
      <c r="GO87">
        <v>25.605699999999999</v>
      </c>
      <c r="GP87">
        <v>800</v>
      </c>
      <c r="GQ87">
        <v>9.5344899999999999</v>
      </c>
      <c r="GR87">
        <v>99.738200000000006</v>
      </c>
      <c r="GS87">
        <v>99.426900000000003</v>
      </c>
    </row>
    <row r="88" spans="1:201" x14ac:dyDescent="0.25">
      <c r="A88">
        <v>72</v>
      </c>
      <c r="B88">
        <v>1690374596</v>
      </c>
      <c r="C88">
        <v>776.5</v>
      </c>
      <c r="D88" t="s">
        <v>477</v>
      </c>
      <c r="E88" t="s">
        <v>478</v>
      </c>
      <c r="F88" t="s">
        <v>330</v>
      </c>
      <c r="H88">
        <v>1690374596</v>
      </c>
      <c r="I88">
        <f t="shared" si="30"/>
        <v>1.4873533320758335E-3</v>
      </c>
      <c r="J88">
        <f t="shared" si="31"/>
        <v>1.4873533320758334</v>
      </c>
      <c r="K88">
        <f t="shared" si="32"/>
        <v>24.293941595023771</v>
      </c>
      <c r="L88">
        <f t="shared" si="33"/>
        <v>549.04999999999995</v>
      </c>
      <c r="M88">
        <f t="shared" si="34"/>
        <v>152.04736982774801</v>
      </c>
      <c r="N88">
        <f t="shared" si="35"/>
        <v>15.024137093509211</v>
      </c>
      <c r="O88">
        <f t="shared" si="36"/>
        <v>54.252845547649997</v>
      </c>
      <c r="P88">
        <f t="shared" si="37"/>
        <v>0.10216493094591667</v>
      </c>
      <c r="Q88">
        <f t="shared" si="38"/>
        <v>2.252457274164509</v>
      </c>
      <c r="R88">
        <f t="shared" si="39"/>
        <v>9.9658655654983275E-2</v>
      </c>
      <c r="S88">
        <f t="shared" si="40"/>
        <v>6.2506717748490273E-2</v>
      </c>
      <c r="T88">
        <f t="shared" si="41"/>
        <v>276.11461409339955</v>
      </c>
      <c r="U88">
        <f t="shared" si="42"/>
        <v>28.019328534049237</v>
      </c>
      <c r="V88">
        <f t="shared" si="43"/>
        <v>28.019328534049237</v>
      </c>
      <c r="W88">
        <f t="shared" si="44"/>
        <v>3.7991177585032587</v>
      </c>
      <c r="X88">
        <f t="shared" si="45"/>
        <v>68.462178678312654</v>
      </c>
      <c r="Y88">
        <f t="shared" si="46"/>
        <v>2.3704358213208998</v>
      </c>
      <c r="Z88">
        <f t="shared" si="47"/>
        <v>3.4624019671635176</v>
      </c>
      <c r="AA88">
        <f t="shared" si="48"/>
        <v>1.4286819371823589</v>
      </c>
      <c r="AB88">
        <f t="shared" si="49"/>
        <v>-65.592281944544254</v>
      </c>
      <c r="AC88">
        <f t="shared" si="50"/>
        <v>-192.20995452403088</v>
      </c>
      <c r="AD88">
        <f t="shared" si="51"/>
        <v>-18.458089488610703</v>
      </c>
      <c r="AE88">
        <f t="shared" si="52"/>
        <v>-0.14571186378628909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52416.785176216174</v>
      </c>
      <c r="AK88">
        <f t="shared" si="56"/>
        <v>1799.99</v>
      </c>
      <c r="AL88">
        <f t="shared" si="57"/>
        <v>1499.1017888104598</v>
      </c>
      <c r="AM88">
        <f t="shared" si="58"/>
        <v>0.83283895399999985</v>
      </c>
      <c r="AN88">
        <f t="shared" si="59"/>
        <v>0.15339786003999997</v>
      </c>
      <c r="AO88">
        <v>30</v>
      </c>
      <c r="AP88">
        <v>0.5</v>
      </c>
      <c r="AQ88" t="s">
        <v>331</v>
      </c>
      <c r="AR88">
        <v>2</v>
      </c>
      <c r="AS88">
        <v>1690374596</v>
      </c>
      <c r="AT88">
        <v>549.04999999999995</v>
      </c>
      <c r="AU88">
        <v>800.05700000000002</v>
      </c>
      <c r="AV88">
        <v>23.9893</v>
      </c>
      <c r="AW88">
        <v>9.4782799999999998</v>
      </c>
      <c r="AX88">
        <v>550.245</v>
      </c>
      <c r="AY88">
        <v>23.8065</v>
      </c>
      <c r="AZ88">
        <v>300.11799999999999</v>
      </c>
      <c r="BA88">
        <v>98.712199999999996</v>
      </c>
      <c r="BB88">
        <v>0.100013</v>
      </c>
      <c r="BC88">
        <v>26.436499999999999</v>
      </c>
      <c r="BD88">
        <v>26.985299999999999</v>
      </c>
      <c r="BE88">
        <v>28.0243</v>
      </c>
      <c r="BF88">
        <v>0</v>
      </c>
      <c r="BG88">
        <v>0</v>
      </c>
      <c r="BH88">
        <v>10024.4</v>
      </c>
      <c r="BI88">
        <v>1083.24</v>
      </c>
      <c r="BJ88">
        <v>1.4016500000000001</v>
      </c>
      <c r="BK88">
        <v>-251.00700000000001</v>
      </c>
      <c r="BL88">
        <v>562.54499999999996</v>
      </c>
      <c r="BM88">
        <v>807.71299999999997</v>
      </c>
      <c r="BN88">
        <v>14.511100000000001</v>
      </c>
      <c r="BO88">
        <v>800.05700000000002</v>
      </c>
      <c r="BP88">
        <v>9.4782799999999998</v>
      </c>
      <c r="BQ88">
        <v>2.3680400000000001</v>
      </c>
      <c r="BR88">
        <v>0.93562199999999995</v>
      </c>
      <c r="BS88">
        <v>20.146899999999999</v>
      </c>
      <c r="BT88">
        <v>5.9506199999999998</v>
      </c>
      <c r="BU88">
        <v>1799.99</v>
      </c>
      <c r="BV88">
        <v>0.90998199999999996</v>
      </c>
      <c r="BW88">
        <v>3.4003100000000001E-2</v>
      </c>
      <c r="BX88">
        <v>2.2004200000000002E-2</v>
      </c>
      <c r="BY88">
        <v>3.4011E-2</v>
      </c>
      <c r="BZ88">
        <v>24</v>
      </c>
      <c r="CA88">
        <v>33528.1</v>
      </c>
      <c r="CB88">
        <v>1690373417</v>
      </c>
      <c r="CC88" t="s">
        <v>332</v>
      </c>
      <c r="CD88">
        <v>1690373417</v>
      </c>
      <c r="CE88">
        <v>1690373415</v>
      </c>
      <c r="CF88">
        <v>1</v>
      </c>
      <c r="CG88">
        <v>-1.319</v>
      </c>
      <c r="CH88">
        <v>0.01</v>
      </c>
      <c r="CI88">
        <v>-1.371</v>
      </c>
      <c r="CJ88">
        <v>0.183</v>
      </c>
      <c r="CK88">
        <v>800</v>
      </c>
      <c r="CL88">
        <v>21</v>
      </c>
      <c r="CM88">
        <v>0.09</v>
      </c>
      <c r="CN88">
        <v>7.0000000000000007E-2</v>
      </c>
      <c r="CO88">
        <v>-247.27379999999999</v>
      </c>
      <c r="CP88">
        <v>-21.09663039399576</v>
      </c>
      <c r="CQ88">
        <v>2.0313485323794138</v>
      </c>
      <c r="CR88">
        <v>-1</v>
      </c>
      <c r="CS88">
        <v>14.252969999999999</v>
      </c>
      <c r="CT88">
        <v>1.475099437148224</v>
      </c>
      <c r="CU88">
        <v>0.14197734185425501</v>
      </c>
      <c r="CV88">
        <v>-1</v>
      </c>
      <c r="CW88">
        <v>0</v>
      </c>
      <c r="CX88">
        <v>0</v>
      </c>
      <c r="CY88" t="s">
        <v>333</v>
      </c>
      <c r="CZ88">
        <v>2.3653400000000002</v>
      </c>
      <c r="DA88">
        <v>2.7138300000000002</v>
      </c>
      <c r="DB88">
        <v>0.113117</v>
      </c>
      <c r="DC88">
        <v>0.145921</v>
      </c>
      <c r="DD88">
        <v>0.11369899999999999</v>
      </c>
      <c r="DE88">
        <v>5.6678100000000002E-2</v>
      </c>
      <c r="DF88">
        <v>32389.7</v>
      </c>
      <c r="DG88">
        <v>27498.5</v>
      </c>
      <c r="DH88">
        <v>31174.7</v>
      </c>
      <c r="DI88">
        <v>28051.9</v>
      </c>
      <c r="DJ88">
        <v>37502.400000000001</v>
      </c>
      <c r="DK88">
        <v>37608</v>
      </c>
      <c r="DL88">
        <v>44359.5</v>
      </c>
      <c r="DM88">
        <v>42491.9</v>
      </c>
      <c r="DN88">
        <v>1.478</v>
      </c>
      <c r="DO88">
        <v>2.0822500000000002</v>
      </c>
      <c r="DP88">
        <v>0.12181699999999999</v>
      </c>
      <c r="DQ88">
        <v>0.190832</v>
      </c>
      <c r="DR88">
        <v>24.989799999999999</v>
      </c>
      <c r="DS88">
        <v>24.900700000000001</v>
      </c>
      <c r="DT88">
        <v>66.2</v>
      </c>
      <c r="DU88">
        <v>24.4</v>
      </c>
      <c r="DV88">
        <v>20.5718</v>
      </c>
      <c r="DW88">
        <v>61.75</v>
      </c>
      <c r="DX88">
        <v>36.290100000000002</v>
      </c>
      <c r="DY88">
        <v>1</v>
      </c>
      <c r="DZ88">
        <v>-0.162637</v>
      </c>
      <c r="EA88">
        <v>-0.38253799999999999</v>
      </c>
      <c r="EB88">
        <v>20.1891</v>
      </c>
      <c r="EC88">
        <v>5.24125</v>
      </c>
      <c r="ED88">
        <v>12.039899999999999</v>
      </c>
      <c r="EE88">
        <v>5.0176499999999997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1.8687400000000001</v>
      </c>
      <c r="EL88">
        <v>1.86442</v>
      </c>
      <c r="EM88">
        <v>1.8690500000000001</v>
      </c>
      <c r="EN88">
        <v>1.86707</v>
      </c>
      <c r="EO88">
        <v>1.86324</v>
      </c>
      <c r="EP88">
        <v>1.8641799999999999</v>
      </c>
      <c r="EQ88">
        <v>1.8700600000000001</v>
      </c>
      <c r="ER88">
        <v>1.8692599999999999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-1.1950000000000001</v>
      </c>
      <c r="FG88">
        <v>0.18279999999999999</v>
      </c>
      <c r="FH88">
        <v>-0.81947142863283695</v>
      </c>
      <c r="FI88">
        <v>-6.1462078757559423E-4</v>
      </c>
      <c r="FJ88">
        <v>-1.8861989874597051E-7</v>
      </c>
      <c r="FK88">
        <v>1.1980462299894961E-10</v>
      </c>
      <c r="FL88">
        <v>0.18283500000000069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19.600000000000001</v>
      </c>
      <c r="FU88">
        <v>19.7</v>
      </c>
      <c r="FV88">
        <v>1.7736799999999999</v>
      </c>
      <c r="FW88">
        <v>2.5561500000000001</v>
      </c>
      <c r="FX88">
        <v>1.5490699999999999</v>
      </c>
      <c r="FY88">
        <v>2.34375</v>
      </c>
      <c r="FZ88">
        <v>1.50146</v>
      </c>
      <c r="GA88">
        <v>2.2790499999999998</v>
      </c>
      <c r="GB88">
        <v>30.157599999999999</v>
      </c>
      <c r="GC88">
        <v>23.973700000000001</v>
      </c>
      <c r="GD88">
        <v>19</v>
      </c>
      <c r="GE88">
        <v>279.88799999999998</v>
      </c>
      <c r="GF88">
        <v>611.55399999999997</v>
      </c>
      <c r="GG88">
        <v>25.6235</v>
      </c>
      <c r="GH88">
        <v>25.3873</v>
      </c>
      <c r="GI88">
        <v>30</v>
      </c>
      <c r="GJ88">
        <v>25.502700000000001</v>
      </c>
      <c r="GK88">
        <v>25.470099999999999</v>
      </c>
      <c r="GL88">
        <v>35.462299999999999</v>
      </c>
      <c r="GM88">
        <v>57.218499999999999</v>
      </c>
      <c r="GN88">
        <v>85.162700000000001</v>
      </c>
      <c r="GO88">
        <v>25.299399999999999</v>
      </c>
      <c r="GP88">
        <v>800</v>
      </c>
      <c r="GQ88">
        <v>9.2985799999999994</v>
      </c>
      <c r="GR88">
        <v>99.739199999999997</v>
      </c>
      <c r="GS88">
        <v>99.426699999999997</v>
      </c>
    </row>
    <row r="89" spans="1:201" x14ac:dyDescent="0.25">
      <c r="A89">
        <v>73</v>
      </c>
      <c r="B89">
        <v>1690374606</v>
      </c>
      <c r="C89">
        <v>786.5</v>
      </c>
      <c r="D89" t="s">
        <v>479</v>
      </c>
      <c r="E89" t="s">
        <v>480</v>
      </c>
      <c r="F89" t="s">
        <v>330</v>
      </c>
      <c r="H89">
        <v>1690374606</v>
      </c>
      <c r="I89">
        <f t="shared" si="30"/>
        <v>1.5121048917377854E-3</v>
      </c>
      <c r="J89">
        <f t="shared" si="31"/>
        <v>1.5121048917377855</v>
      </c>
      <c r="K89">
        <f t="shared" si="32"/>
        <v>24.628930769163674</v>
      </c>
      <c r="L89">
        <f t="shared" si="33"/>
        <v>545.66899999999998</v>
      </c>
      <c r="M89">
        <f t="shared" si="34"/>
        <v>150.47640575627938</v>
      </c>
      <c r="N89">
        <f t="shared" si="35"/>
        <v>14.868931861861869</v>
      </c>
      <c r="O89">
        <f t="shared" si="36"/>
        <v>53.918852855054503</v>
      </c>
      <c r="P89">
        <f t="shared" si="37"/>
        <v>0.10408172866278198</v>
      </c>
      <c r="Q89">
        <f t="shared" si="38"/>
        <v>2.2505305996648581</v>
      </c>
      <c r="R89">
        <f t="shared" si="39"/>
        <v>0.10147964979850871</v>
      </c>
      <c r="S89">
        <f t="shared" si="40"/>
        <v>6.3653149305607976E-2</v>
      </c>
      <c r="T89">
        <f t="shared" si="41"/>
        <v>276.11417084586208</v>
      </c>
      <c r="U89">
        <f t="shared" si="42"/>
        <v>28.005358642368503</v>
      </c>
      <c r="V89">
        <f t="shared" si="43"/>
        <v>28.005358642368503</v>
      </c>
      <c r="W89">
        <f t="shared" si="44"/>
        <v>3.7960253127557411</v>
      </c>
      <c r="X89">
        <f t="shared" si="45"/>
        <v>68.466298882849046</v>
      </c>
      <c r="Y89">
        <f t="shared" si="46"/>
        <v>2.3695999342944001</v>
      </c>
      <c r="Z89">
        <f t="shared" si="47"/>
        <v>3.4609727310497136</v>
      </c>
      <c r="AA89">
        <f t="shared" si="48"/>
        <v>1.426425378461341</v>
      </c>
      <c r="AB89">
        <f t="shared" si="49"/>
        <v>-66.683825725636339</v>
      </c>
      <c r="AC89">
        <f t="shared" si="50"/>
        <v>-191.19988355902331</v>
      </c>
      <c r="AD89">
        <f t="shared" si="51"/>
        <v>-18.374884003199625</v>
      </c>
      <c r="AE89">
        <f t="shared" si="52"/>
        <v>-0.1444224419971647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52342.916415485146</v>
      </c>
      <c r="AK89">
        <f t="shared" si="56"/>
        <v>1799.99</v>
      </c>
      <c r="AL89">
        <f t="shared" si="57"/>
        <v>1499.10253580631</v>
      </c>
      <c r="AM89">
        <f t="shared" si="58"/>
        <v>0.832839369</v>
      </c>
      <c r="AN89">
        <f t="shared" si="59"/>
        <v>0.15339761379</v>
      </c>
      <c r="AO89">
        <v>30</v>
      </c>
      <c r="AP89">
        <v>0.5</v>
      </c>
      <c r="AQ89" t="s">
        <v>331</v>
      </c>
      <c r="AR89">
        <v>2</v>
      </c>
      <c r="AS89">
        <v>1690374606</v>
      </c>
      <c r="AT89">
        <v>545.66899999999998</v>
      </c>
      <c r="AU89">
        <v>800.06100000000004</v>
      </c>
      <c r="AV89">
        <v>23.980799999999999</v>
      </c>
      <c r="AW89">
        <v>9.2309699999999992</v>
      </c>
      <c r="AX89">
        <v>546.86199999999997</v>
      </c>
      <c r="AY89">
        <v>23.797999999999998</v>
      </c>
      <c r="AZ89">
        <v>300.17500000000001</v>
      </c>
      <c r="BA89">
        <v>98.712400000000002</v>
      </c>
      <c r="BB89">
        <v>9.99805E-2</v>
      </c>
      <c r="BC89">
        <v>26.429500000000001</v>
      </c>
      <c r="BD89">
        <v>26.961600000000001</v>
      </c>
      <c r="BE89">
        <v>28.014099999999999</v>
      </c>
      <c r="BF89">
        <v>0</v>
      </c>
      <c r="BG89">
        <v>0</v>
      </c>
      <c r="BH89">
        <v>10009.4</v>
      </c>
      <c r="BI89">
        <v>1083.26</v>
      </c>
      <c r="BJ89">
        <v>1.4016500000000001</v>
      </c>
      <c r="BK89">
        <v>-254.39099999999999</v>
      </c>
      <c r="BL89">
        <v>559.07600000000002</v>
      </c>
      <c r="BM89">
        <v>807.51499999999999</v>
      </c>
      <c r="BN89">
        <v>14.7499</v>
      </c>
      <c r="BO89">
        <v>800.06100000000004</v>
      </c>
      <c r="BP89">
        <v>9.2309699999999992</v>
      </c>
      <c r="BQ89">
        <v>2.36721</v>
      </c>
      <c r="BR89">
        <v>0.91121099999999999</v>
      </c>
      <c r="BS89">
        <v>20.141200000000001</v>
      </c>
      <c r="BT89">
        <v>5.5690299999999997</v>
      </c>
      <c r="BU89">
        <v>1799.99</v>
      </c>
      <c r="BV89">
        <v>0.90998999999999997</v>
      </c>
      <c r="BW89">
        <v>3.39999E-2</v>
      </c>
      <c r="BX89">
        <v>2.20022E-2</v>
      </c>
      <c r="BY89">
        <v>3.4007900000000001E-2</v>
      </c>
      <c r="BZ89">
        <v>24</v>
      </c>
      <c r="CA89">
        <v>33528.1</v>
      </c>
      <c r="CB89">
        <v>1690373417</v>
      </c>
      <c r="CC89" t="s">
        <v>332</v>
      </c>
      <c r="CD89">
        <v>1690373417</v>
      </c>
      <c r="CE89">
        <v>1690373415</v>
      </c>
      <c r="CF89">
        <v>1</v>
      </c>
      <c r="CG89">
        <v>-1.319</v>
      </c>
      <c r="CH89">
        <v>0.01</v>
      </c>
      <c r="CI89">
        <v>-1.371</v>
      </c>
      <c r="CJ89">
        <v>0.183</v>
      </c>
      <c r="CK89">
        <v>800</v>
      </c>
      <c r="CL89">
        <v>21</v>
      </c>
      <c r="CM89">
        <v>0.09</v>
      </c>
      <c r="CN89">
        <v>7.0000000000000007E-2</v>
      </c>
      <c r="CO89">
        <v>-250.79270731707319</v>
      </c>
      <c r="CP89">
        <v>-20.191526132404562</v>
      </c>
      <c r="CQ89">
        <v>1.992217042293585</v>
      </c>
      <c r="CR89">
        <v>-1</v>
      </c>
      <c r="CS89">
        <v>14.50440731707317</v>
      </c>
      <c r="CT89">
        <v>1.448370731707306</v>
      </c>
      <c r="CU89">
        <v>0.14296523778441081</v>
      </c>
      <c r="CV89">
        <v>-1</v>
      </c>
      <c r="CW89">
        <v>0</v>
      </c>
      <c r="CX89">
        <v>0</v>
      </c>
      <c r="CY89" t="s">
        <v>333</v>
      </c>
      <c r="CZ89">
        <v>2.3654999999999999</v>
      </c>
      <c r="DA89">
        <v>2.7137799999999999</v>
      </c>
      <c r="DB89">
        <v>0.112619</v>
      </c>
      <c r="DC89">
        <v>0.14591699999999999</v>
      </c>
      <c r="DD89">
        <v>0.113672</v>
      </c>
      <c r="DE89">
        <v>5.5528800000000003E-2</v>
      </c>
      <c r="DF89">
        <v>32408.2</v>
      </c>
      <c r="DG89">
        <v>27499.5</v>
      </c>
      <c r="DH89">
        <v>31175</v>
      </c>
      <c r="DI89">
        <v>28052.799999999999</v>
      </c>
      <c r="DJ89">
        <v>37503.9</v>
      </c>
      <c r="DK89">
        <v>37655.300000000003</v>
      </c>
      <c r="DL89">
        <v>44360</v>
      </c>
      <c r="DM89">
        <v>42493.3</v>
      </c>
      <c r="DN89">
        <v>1.47787</v>
      </c>
      <c r="DO89">
        <v>2.0817000000000001</v>
      </c>
      <c r="DP89">
        <v>0.12037200000000001</v>
      </c>
      <c r="DQ89">
        <v>0.19014600000000001</v>
      </c>
      <c r="DR89">
        <v>24.989799999999999</v>
      </c>
      <c r="DS89">
        <v>24.901599999999998</v>
      </c>
      <c r="DT89">
        <v>66.099999999999994</v>
      </c>
      <c r="DU89">
        <v>24.5</v>
      </c>
      <c r="DV89">
        <v>20.6645</v>
      </c>
      <c r="DW89">
        <v>62.040100000000002</v>
      </c>
      <c r="DX89">
        <v>36.710700000000003</v>
      </c>
      <c r="DY89">
        <v>1</v>
      </c>
      <c r="DZ89">
        <v>-0.16292200000000001</v>
      </c>
      <c r="EA89">
        <v>-0.460117</v>
      </c>
      <c r="EB89">
        <v>20.190899999999999</v>
      </c>
      <c r="EC89">
        <v>5.24125</v>
      </c>
      <c r="ED89">
        <v>12.039899999999999</v>
      </c>
      <c r="EE89">
        <v>5.0174000000000003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1.8687400000000001</v>
      </c>
      <c r="EL89">
        <v>1.8644000000000001</v>
      </c>
      <c r="EM89">
        <v>1.8690500000000001</v>
      </c>
      <c r="EN89">
        <v>1.86707</v>
      </c>
      <c r="EO89">
        <v>1.8632200000000001</v>
      </c>
      <c r="EP89">
        <v>1.8641700000000001</v>
      </c>
      <c r="EQ89">
        <v>1.87002</v>
      </c>
      <c r="ER89">
        <v>1.8692599999999999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-1.1930000000000001</v>
      </c>
      <c r="FG89">
        <v>0.18279999999999999</v>
      </c>
      <c r="FH89">
        <v>-0.81947142863283695</v>
      </c>
      <c r="FI89">
        <v>-6.1462078757559423E-4</v>
      </c>
      <c r="FJ89">
        <v>-1.8861989874597051E-7</v>
      </c>
      <c r="FK89">
        <v>1.1980462299894961E-10</v>
      </c>
      <c r="FL89">
        <v>0.18283500000000069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19.8</v>
      </c>
      <c r="FU89">
        <v>19.899999999999999</v>
      </c>
      <c r="FV89">
        <v>1.7736799999999999</v>
      </c>
      <c r="FW89">
        <v>2.5488300000000002</v>
      </c>
      <c r="FX89">
        <v>1.5490699999999999</v>
      </c>
      <c r="FY89">
        <v>2.34375</v>
      </c>
      <c r="FZ89">
        <v>1.50146</v>
      </c>
      <c r="GA89">
        <v>2.3779300000000001</v>
      </c>
      <c r="GB89">
        <v>30.157599999999999</v>
      </c>
      <c r="GC89">
        <v>23.9999</v>
      </c>
      <c r="GD89">
        <v>19</v>
      </c>
      <c r="GE89">
        <v>279.82499999999999</v>
      </c>
      <c r="GF89">
        <v>611.06399999999996</v>
      </c>
      <c r="GG89">
        <v>25.3187</v>
      </c>
      <c r="GH89">
        <v>25.383199999999999</v>
      </c>
      <c r="GI89">
        <v>29.999600000000001</v>
      </c>
      <c r="GJ89">
        <v>25.500299999999999</v>
      </c>
      <c r="GK89">
        <v>25.468399999999999</v>
      </c>
      <c r="GL89">
        <v>35.462499999999999</v>
      </c>
      <c r="GM89">
        <v>57.8232</v>
      </c>
      <c r="GN89">
        <v>84.383099999999999</v>
      </c>
      <c r="GO89">
        <v>25.381599999999999</v>
      </c>
      <c r="GP89">
        <v>800</v>
      </c>
      <c r="GQ89">
        <v>9.0835100000000004</v>
      </c>
      <c r="GR89">
        <v>99.740200000000002</v>
      </c>
      <c r="GS89">
        <v>99.43</v>
      </c>
    </row>
    <row r="90" spans="1:201" x14ac:dyDescent="0.25">
      <c r="A90">
        <v>74</v>
      </c>
      <c r="B90">
        <v>1690374616</v>
      </c>
      <c r="C90">
        <v>796.5</v>
      </c>
      <c r="D90" t="s">
        <v>481</v>
      </c>
      <c r="E90" t="s">
        <v>482</v>
      </c>
      <c r="F90" t="s">
        <v>330</v>
      </c>
      <c r="H90">
        <v>1690374616</v>
      </c>
      <c r="I90">
        <f t="shared" si="30"/>
        <v>1.5337728984926803E-3</v>
      </c>
      <c r="J90">
        <f t="shared" si="31"/>
        <v>1.5337728984926804</v>
      </c>
      <c r="K90">
        <f t="shared" si="32"/>
        <v>24.943880525147435</v>
      </c>
      <c r="L90">
        <f t="shared" si="33"/>
        <v>542.29999999999995</v>
      </c>
      <c r="M90">
        <f t="shared" si="34"/>
        <v>149.07738801588593</v>
      </c>
      <c r="N90">
        <f t="shared" si="35"/>
        <v>14.730753127717634</v>
      </c>
      <c r="O90">
        <f t="shared" si="36"/>
        <v>53.586177806589994</v>
      </c>
      <c r="P90">
        <f t="shared" si="37"/>
        <v>0.10596498680481749</v>
      </c>
      <c r="Q90">
        <f t="shared" si="38"/>
        <v>2.2555085055021635</v>
      </c>
      <c r="R90">
        <f t="shared" si="39"/>
        <v>0.1032749922209323</v>
      </c>
      <c r="S90">
        <f t="shared" si="40"/>
        <v>6.4782867767434707E-2</v>
      </c>
      <c r="T90">
        <f t="shared" si="41"/>
        <v>276.11381714782709</v>
      </c>
      <c r="U90">
        <f t="shared" si="42"/>
        <v>27.985118077351316</v>
      </c>
      <c r="V90">
        <f t="shared" si="43"/>
        <v>27.985118077351316</v>
      </c>
      <c r="W90">
        <f t="shared" si="44"/>
        <v>3.7915486552181727</v>
      </c>
      <c r="X90">
        <f t="shared" si="45"/>
        <v>68.512005894831702</v>
      </c>
      <c r="Y90">
        <f t="shared" si="46"/>
        <v>2.3697975778759099</v>
      </c>
      <c r="Z90">
        <f t="shared" si="47"/>
        <v>3.4589522623430864</v>
      </c>
      <c r="AA90">
        <f t="shared" si="48"/>
        <v>1.4217510773422628</v>
      </c>
      <c r="AB90">
        <f t="shared" si="49"/>
        <v>-67.639384823527195</v>
      </c>
      <c r="AC90">
        <f t="shared" si="50"/>
        <v>-190.36539284326713</v>
      </c>
      <c r="AD90">
        <f t="shared" si="51"/>
        <v>-18.251560094714385</v>
      </c>
      <c r="AE90">
        <f t="shared" si="52"/>
        <v>-0.1425206136815973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52538.816232788704</v>
      </c>
      <c r="AK90">
        <f t="shared" si="56"/>
        <v>1799.99</v>
      </c>
      <c r="AL90">
        <f t="shared" si="57"/>
        <v>1499.1029948037601</v>
      </c>
      <c r="AM90">
        <f t="shared" si="58"/>
        <v>0.832839624</v>
      </c>
      <c r="AN90">
        <f t="shared" si="59"/>
        <v>0.15339741729</v>
      </c>
      <c r="AO90">
        <v>30</v>
      </c>
      <c r="AP90">
        <v>0.5</v>
      </c>
      <c r="AQ90" t="s">
        <v>331</v>
      </c>
      <c r="AR90">
        <v>2</v>
      </c>
      <c r="AS90">
        <v>1690374616</v>
      </c>
      <c r="AT90">
        <v>542.29999999999995</v>
      </c>
      <c r="AU90">
        <v>799.97400000000005</v>
      </c>
      <c r="AV90">
        <v>23.982700000000001</v>
      </c>
      <c r="AW90">
        <v>9.0175999999999998</v>
      </c>
      <c r="AX90">
        <v>543.49</v>
      </c>
      <c r="AY90">
        <v>23.799900000000001</v>
      </c>
      <c r="AZ90">
        <v>300.096</v>
      </c>
      <c r="BA90">
        <v>98.712800000000001</v>
      </c>
      <c r="BB90">
        <v>9.9993299999999993E-2</v>
      </c>
      <c r="BC90">
        <v>26.419599999999999</v>
      </c>
      <c r="BD90">
        <v>26.9787</v>
      </c>
      <c r="BE90">
        <v>27.978200000000001</v>
      </c>
      <c r="BF90">
        <v>0</v>
      </c>
      <c r="BG90">
        <v>0</v>
      </c>
      <c r="BH90">
        <v>10048.1</v>
      </c>
      <c r="BI90">
        <v>1083.25</v>
      </c>
      <c r="BJ90">
        <v>1.4016500000000001</v>
      </c>
      <c r="BK90">
        <v>-257.67500000000001</v>
      </c>
      <c r="BL90">
        <v>555.625</v>
      </c>
      <c r="BM90">
        <v>807.25400000000002</v>
      </c>
      <c r="BN90">
        <v>14.9651</v>
      </c>
      <c r="BO90">
        <v>799.97400000000005</v>
      </c>
      <c r="BP90">
        <v>9.0175999999999998</v>
      </c>
      <c r="BQ90">
        <v>2.3673999999999999</v>
      </c>
      <c r="BR90">
        <v>0.89015200000000005</v>
      </c>
      <c r="BS90">
        <v>20.142499999999998</v>
      </c>
      <c r="BT90">
        <v>5.2325100000000004</v>
      </c>
      <c r="BU90">
        <v>1799.99</v>
      </c>
      <c r="BV90">
        <v>0.90999600000000003</v>
      </c>
      <c r="BW90">
        <v>3.39975E-2</v>
      </c>
      <c r="BX90">
        <v>2.2000700000000002E-2</v>
      </c>
      <c r="BY90">
        <v>3.4005500000000001E-2</v>
      </c>
      <c r="BZ90">
        <v>24</v>
      </c>
      <c r="CA90">
        <v>33528.199999999997</v>
      </c>
      <c r="CB90">
        <v>1690373417</v>
      </c>
      <c r="CC90" t="s">
        <v>332</v>
      </c>
      <c r="CD90">
        <v>1690373417</v>
      </c>
      <c r="CE90">
        <v>1690373415</v>
      </c>
      <c r="CF90">
        <v>1</v>
      </c>
      <c r="CG90">
        <v>-1.319</v>
      </c>
      <c r="CH90">
        <v>0.01</v>
      </c>
      <c r="CI90">
        <v>-1.371</v>
      </c>
      <c r="CJ90">
        <v>0.183</v>
      </c>
      <c r="CK90">
        <v>800</v>
      </c>
      <c r="CL90">
        <v>21</v>
      </c>
      <c r="CM90">
        <v>0.09</v>
      </c>
      <c r="CN90">
        <v>7.0000000000000007E-2</v>
      </c>
      <c r="CO90">
        <v>-254.20658536585361</v>
      </c>
      <c r="CP90">
        <v>-20.431818815331031</v>
      </c>
      <c r="CQ90">
        <v>2.02038704304108</v>
      </c>
      <c r="CR90">
        <v>-1</v>
      </c>
      <c r="CS90">
        <v>14.7381756097561</v>
      </c>
      <c r="CT90">
        <v>1.347148432055749</v>
      </c>
      <c r="CU90">
        <v>0.1329555340678317</v>
      </c>
      <c r="CV90">
        <v>-1</v>
      </c>
      <c r="CW90">
        <v>0</v>
      </c>
      <c r="CX90">
        <v>0</v>
      </c>
      <c r="CY90" t="s">
        <v>333</v>
      </c>
      <c r="CZ90">
        <v>2.3652600000000001</v>
      </c>
      <c r="DA90">
        <v>2.7138300000000002</v>
      </c>
      <c r="DB90">
        <v>0.112121</v>
      </c>
      <c r="DC90">
        <v>0.145903</v>
      </c>
      <c r="DD90">
        <v>0.113679</v>
      </c>
      <c r="DE90">
        <v>5.4528899999999998E-2</v>
      </c>
      <c r="DF90">
        <v>32427.1</v>
      </c>
      <c r="DG90">
        <v>27500</v>
      </c>
      <c r="DH90">
        <v>31175.7</v>
      </c>
      <c r="DI90">
        <v>28052.9</v>
      </c>
      <c r="DJ90">
        <v>37504.400000000001</v>
      </c>
      <c r="DK90">
        <v>37695.4</v>
      </c>
      <c r="DL90">
        <v>44361</v>
      </c>
      <c r="DM90">
        <v>42493.5</v>
      </c>
      <c r="DN90">
        <v>1.4782200000000001</v>
      </c>
      <c r="DO90">
        <v>2.0811299999999999</v>
      </c>
      <c r="DP90">
        <v>0.121415</v>
      </c>
      <c r="DQ90">
        <v>0.18778400000000001</v>
      </c>
      <c r="DR90">
        <v>24.989799999999999</v>
      </c>
      <c r="DS90">
        <v>24.904299999999999</v>
      </c>
      <c r="DT90">
        <v>65.900000000000006</v>
      </c>
      <c r="DU90">
        <v>24.5</v>
      </c>
      <c r="DV90">
        <v>20.6023</v>
      </c>
      <c r="DW90">
        <v>61.34</v>
      </c>
      <c r="DX90">
        <v>36.826900000000002</v>
      </c>
      <c r="DY90">
        <v>1</v>
      </c>
      <c r="DZ90">
        <v>-0.163438</v>
      </c>
      <c r="EA90">
        <v>-0.69150599999999995</v>
      </c>
      <c r="EB90">
        <v>20.190000000000001</v>
      </c>
      <c r="EC90">
        <v>5.2413999999999996</v>
      </c>
      <c r="ED90">
        <v>12.039899999999999</v>
      </c>
      <c r="EE90">
        <v>5.0175000000000001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1.8687400000000001</v>
      </c>
      <c r="EL90">
        <v>1.86439</v>
      </c>
      <c r="EM90">
        <v>1.8690500000000001</v>
      </c>
      <c r="EN90">
        <v>1.86707</v>
      </c>
      <c r="EO90">
        <v>1.8632200000000001</v>
      </c>
      <c r="EP90">
        <v>1.8641700000000001</v>
      </c>
      <c r="EQ90">
        <v>1.87002</v>
      </c>
      <c r="ER90">
        <v>1.86921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-1.19</v>
      </c>
      <c r="FG90">
        <v>0.18279999999999999</v>
      </c>
      <c r="FH90">
        <v>-0.81947142863283695</v>
      </c>
      <c r="FI90">
        <v>-6.1462078757559423E-4</v>
      </c>
      <c r="FJ90">
        <v>-1.8861989874597051E-7</v>
      </c>
      <c r="FK90">
        <v>1.1980462299894961E-10</v>
      </c>
      <c r="FL90">
        <v>0.18283500000000069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20</v>
      </c>
      <c r="FU90">
        <v>20</v>
      </c>
      <c r="FV90">
        <v>1.7736799999999999</v>
      </c>
      <c r="FW90">
        <v>2.5561500000000001</v>
      </c>
      <c r="FX90">
        <v>1.5490699999999999</v>
      </c>
      <c r="FY90">
        <v>2.34375</v>
      </c>
      <c r="FZ90">
        <v>1.50146</v>
      </c>
      <c r="GA90">
        <v>2.3339799999999999</v>
      </c>
      <c r="GB90">
        <v>30.178999999999998</v>
      </c>
      <c r="GC90">
        <v>23.982399999999998</v>
      </c>
      <c r="GD90">
        <v>19</v>
      </c>
      <c r="GE90">
        <v>279.96300000000002</v>
      </c>
      <c r="GF90">
        <v>610.55399999999997</v>
      </c>
      <c r="GG90">
        <v>25.38</v>
      </c>
      <c r="GH90">
        <v>25.3809</v>
      </c>
      <c r="GI90">
        <v>29.9998</v>
      </c>
      <c r="GJ90">
        <v>25.4984</v>
      </c>
      <c r="GK90">
        <v>25.466799999999999</v>
      </c>
      <c r="GL90">
        <v>35.455800000000004</v>
      </c>
      <c r="GM90">
        <v>58.720799999999997</v>
      </c>
      <c r="GN90">
        <v>83.604299999999995</v>
      </c>
      <c r="GO90">
        <v>25.408899999999999</v>
      </c>
      <c r="GP90">
        <v>800</v>
      </c>
      <c r="GQ90">
        <v>8.8558400000000006</v>
      </c>
      <c r="GR90">
        <v>99.742400000000004</v>
      </c>
      <c r="GS90">
        <v>99.430199999999999</v>
      </c>
    </row>
    <row r="91" spans="1:201" x14ac:dyDescent="0.25">
      <c r="A91">
        <v>75</v>
      </c>
      <c r="B91">
        <v>1690374626</v>
      </c>
      <c r="C91">
        <v>806.5</v>
      </c>
      <c r="D91" t="s">
        <v>483</v>
      </c>
      <c r="E91" t="s">
        <v>484</v>
      </c>
      <c r="F91" t="s">
        <v>330</v>
      </c>
      <c r="H91">
        <v>1690374626</v>
      </c>
      <c r="I91">
        <f t="shared" si="30"/>
        <v>1.5590731668307883E-3</v>
      </c>
      <c r="J91">
        <f t="shared" si="31"/>
        <v>1.5590731668307884</v>
      </c>
      <c r="K91">
        <f t="shared" si="32"/>
        <v>25.300552471565879</v>
      </c>
      <c r="L91">
        <f t="shared" si="33"/>
        <v>538.96600000000001</v>
      </c>
      <c r="M91">
        <f t="shared" si="34"/>
        <v>146.68083972633286</v>
      </c>
      <c r="N91">
        <f t="shared" si="35"/>
        <v>14.493669277118689</v>
      </c>
      <c r="O91">
        <f t="shared" si="36"/>
        <v>53.255728356790804</v>
      </c>
      <c r="P91">
        <f t="shared" si="37"/>
        <v>0.10777164909517944</v>
      </c>
      <c r="Q91">
        <f t="shared" si="38"/>
        <v>2.2476113471108397</v>
      </c>
      <c r="R91">
        <f t="shared" si="39"/>
        <v>0.10498094285810408</v>
      </c>
      <c r="S91">
        <f t="shared" si="40"/>
        <v>6.5857804175953508E-2</v>
      </c>
      <c r="T91">
        <f t="shared" si="41"/>
        <v>276.11359573105716</v>
      </c>
      <c r="U91">
        <f t="shared" si="42"/>
        <v>27.990020895657992</v>
      </c>
      <c r="V91">
        <f t="shared" si="43"/>
        <v>27.990020895657992</v>
      </c>
      <c r="W91">
        <f t="shared" si="44"/>
        <v>3.7926326011466847</v>
      </c>
      <c r="X91">
        <f t="shared" si="45"/>
        <v>68.512010552102453</v>
      </c>
      <c r="Y91">
        <f t="shared" si="46"/>
        <v>2.3709582354886201</v>
      </c>
      <c r="Z91">
        <f t="shared" si="47"/>
        <v>3.4606461208513775</v>
      </c>
      <c r="AA91">
        <f t="shared" si="48"/>
        <v>1.4216743656580646</v>
      </c>
      <c r="AB91">
        <f t="shared" si="49"/>
        <v>-68.755126657237767</v>
      </c>
      <c r="AC91">
        <f t="shared" si="50"/>
        <v>-189.28722355729548</v>
      </c>
      <c r="AD91">
        <f t="shared" si="51"/>
        <v>-18.213155041651472</v>
      </c>
      <c r="AE91">
        <f t="shared" si="52"/>
        <v>-0.14190952512757349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52229.492110059546</v>
      </c>
      <c r="AK91">
        <f t="shared" si="56"/>
        <v>1799.99</v>
      </c>
      <c r="AL91">
        <f t="shared" si="57"/>
        <v>1499.1053779905199</v>
      </c>
      <c r="AM91">
        <f t="shared" si="58"/>
        <v>0.83284094799999997</v>
      </c>
      <c r="AN91">
        <f t="shared" si="59"/>
        <v>0.15339729427999999</v>
      </c>
      <c r="AO91">
        <v>30</v>
      </c>
      <c r="AP91">
        <v>0.5</v>
      </c>
      <c r="AQ91" t="s">
        <v>331</v>
      </c>
      <c r="AR91">
        <v>2</v>
      </c>
      <c r="AS91">
        <v>1690374626</v>
      </c>
      <c r="AT91">
        <v>538.96600000000001</v>
      </c>
      <c r="AU91">
        <v>800.29600000000005</v>
      </c>
      <c r="AV91">
        <v>23.994900000000001</v>
      </c>
      <c r="AW91">
        <v>8.7828300000000006</v>
      </c>
      <c r="AX91">
        <v>540.154</v>
      </c>
      <c r="AY91">
        <v>23.812100000000001</v>
      </c>
      <c r="AZ91">
        <v>300.08999999999997</v>
      </c>
      <c r="BA91">
        <v>98.710999999999999</v>
      </c>
      <c r="BB91">
        <v>9.9923799999999993E-2</v>
      </c>
      <c r="BC91">
        <v>26.427900000000001</v>
      </c>
      <c r="BD91">
        <v>26.977599999999999</v>
      </c>
      <c r="BE91">
        <v>27.982900000000001</v>
      </c>
      <c r="BF91">
        <v>0</v>
      </c>
      <c r="BG91">
        <v>0</v>
      </c>
      <c r="BH91">
        <v>9986.8799999999992</v>
      </c>
      <c r="BI91">
        <v>1083.21</v>
      </c>
      <c r="BJ91">
        <v>1.4016500000000001</v>
      </c>
      <c r="BK91">
        <v>-261.32900000000001</v>
      </c>
      <c r="BL91">
        <v>552.21699999999998</v>
      </c>
      <c r="BM91">
        <v>807.38699999999994</v>
      </c>
      <c r="BN91">
        <v>15.2121</v>
      </c>
      <c r="BO91">
        <v>800.29600000000005</v>
      </c>
      <c r="BP91">
        <v>8.7828300000000006</v>
      </c>
      <c r="BQ91">
        <v>2.36856</v>
      </c>
      <c r="BR91">
        <v>0.86696099999999998</v>
      </c>
      <c r="BS91">
        <v>20.150400000000001</v>
      </c>
      <c r="BT91">
        <v>4.8536900000000003</v>
      </c>
      <c r="BU91">
        <v>1799.99</v>
      </c>
      <c r="BV91">
        <v>0.91000599999999998</v>
      </c>
      <c r="BW91">
        <v>3.3994000000000003E-2</v>
      </c>
      <c r="BX91">
        <v>2.1998400000000001E-2</v>
      </c>
      <c r="BY91">
        <v>3.4001999999999998E-2</v>
      </c>
      <c r="BZ91">
        <v>24</v>
      </c>
      <c r="CA91">
        <v>33528.300000000003</v>
      </c>
      <c r="CB91">
        <v>1690373417</v>
      </c>
      <c r="CC91" t="s">
        <v>332</v>
      </c>
      <c r="CD91">
        <v>1690373417</v>
      </c>
      <c r="CE91">
        <v>1690373415</v>
      </c>
      <c r="CF91">
        <v>1</v>
      </c>
      <c r="CG91">
        <v>-1.319</v>
      </c>
      <c r="CH91">
        <v>0.01</v>
      </c>
      <c r="CI91">
        <v>-1.371</v>
      </c>
      <c r="CJ91">
        <v>0.183</v>
      </c>
      <c r="CK91">
        <v>800</v>
      </c>
      <c r="CL91">
        <v>21</v>
      </c>
      <c r="CM91">
        <v>0.09</v>
      </c>
      <c r="CN91">
        <v>7.0000000000000007E-2</v>
      </c>
      <c r="CO91">
        <v>-257.60826829268291</v>
      </c>
      <c r="CP91">
        <v>-19.642494773519321</v>
      </c>
      <c r="CQ91">
        <v>1.9430889416946719</v>
      </c>
      <c r="CR91">
        <v>-1</v>
      </c>
      <c r="CS91">
        <v>14.96579268292683</v>
      </c>
      <c r="CT91">
        <v>1.388393728222975</v>
      </c>
      <c r="CU91">
        <v>0.13702720468764301</v>
      </c>
      <c r="CV91">
        <v>-1</v>
      </c>
      <c r="CW91">
        <v>0</v>
      </c>
      <c r="CX91">
        <v>0</v>
      </c>
      <c r="CY91" t="s">
        <v>333</v>
      </c>
      <c r="CZ91">
        <v>2.36524</v>
      </c>
      <c r="DA91">
        <v>2.7136999999999998</v>
      </c>
      <c r="DB91">
        <v>0.111626</v>
      </c>
      <c r="DC91">
        <v>0.14593600000000001</v>
      </c>
      <c r="DD91">
        <v>0.113719</v>
      </c>
      <c r="DE91">
        <v>5.3418100000000003E-2</v>
      </c>
      <c r="DF91">
        <v>32445.8</v>
      </c>
      <c r="DG91">
        <v>27499.3</v>
      </c>
      <c r="DH91">
        <v>31176.2</v>
      </c>
      <c r="DI91">
        <v>28053.3</v>
      </c>
      <c r="DJ91">
        <v>37503.300000000003</v>
      </c>
      <c r="DK91">
        <v>37740.5</v>
      </c>
      <c r="DL91">
        <v>44361.8</v>
      </c>
      <c r="DM91">
        <v>42494.3</v>
      </c>
      <c r="DN91">
        <v>1.4782</v>
      </c>
      <c r="DO91">
        <v>2.0811500000000001</v>
      </c>
      <c r="DP91">
        <v>0.121348</v>
      </c>
      <c r="DQ91">
        <v>0.18788099999999999</v>
      </c>
      <c r="DR91">
        <v>24.989799999999999</v>
      </c>
      <c r="DS91">
        <v>24.907499999999999</v>
      </c>
      <c r="DT91">
        <v>65.7</v>
      </c>
      <c r="DU91">
        <v>24.5</v>
      </c>
      <c r="DV91">
        <v>20.5411</v>
      </c>
      <c r="DW91">
        <v>61.9</v>
      </c>
      <c r="DX91">
        <v>36.229999999999997</v>
      </c>
      <c r="DY91">
        <v>1</v>
      </c>
      <c r="DZ91">
        <v>-0.163575</v>
      </c>
      <c r="EA91">
        <v>-0.70614900000000003</v>
      </c>
      <c r="EB91">
        <v>20.189900000000002</v>
      </c>
      <c r="EC91">
        <v>5.2411000000000003</v>
      </c>
      <c r="ED91">
        <v>12.039899999999999</v>
      </c>
      <c r="EE91">
        <v>5.01755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1.8687400000000001</v>
      </c>
      <c r="EL91">
        <v>1.86435</v>
      </c>
      <c r="EM91">
        <v>1.8690500000000001</v>
      </c>
      <c r="EN91">
        <v>1.86707</v>
      </c>
      <c r="EO91">
        <v>1.86321</v>
      </c>
      <c r="EP91">
        <v>1.8641700000000001</v>
      </c>
      <c r="EQ91">
        <v>1.87</v>
      </c>
      <c r="ER91">
        <v>1.8692200000000001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-1.1879999999999999</v>
      </c>
      <c r="FG91">
        <v>0.18279999999999999</v>
      </c>
      <c r="FH91">
        <v>-0.81947142863283695</v>
      </c>
      <c r="FI91">
        <v>-6.1462078757559423E-4</v>
      </c>
      <c r="FJ91">
        <v>-1.8861989874597051E-7</v>
      </c>
      <c r="FK91">
        <v>1.1980462299894961E-10</v>
      </c>
      <c r="FL91">
        <v>0.18283500000000069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20.100000000000001</v>
      </c>
      <c r="FU91">
        <v>20.2</v>
      </c>
      <c r="FV91">
        <v>1.7724599999999999</v>
      </c>
      <c r="FW91">
        <v>2.5512700000000001</v>
      </c>
      <c r="FX91">
        <v>1.5490699999999999</v>
      </c>
      <c r="FY91">
        <v>2.34375</v>
      </c>
      <c r="FZ91">
        <v>1.50146</v>
      </c>
      <c r="GA91">
        <v>2.34741</v>
      </c>
      <c r="GB91">
        <v>30.178999999999998</v>
      </c>
      <c r="GC91">
        <v>23.991199999999999</v>
      </c>
      <c r="GD91">
        <v>19</v>
      </c>
      <c r="GE91">
        <v>279.94400000000002</v>
      </c>
      <c r="GF91">
        <v>610.56299999999999</v>
      </c>
      <c r="GG91">
        <v>25.428799999999999</v>
      </c>
      <c r="GH91">
        <v>25.377700000000001</v>
      </c>
      <c r="GI91">
        <v>29.9998</v>
      </c>
      <c r="GJ91">
        <v>25.496300000000002</v>
      </c>
      <c r="GK91">
        <v>25.465800000000002</v>
      </c>
      <c r="GL91">
        <v>35.441899999999997</v>
      </c>
      <c r="GM91">
        <v>59.281599999999997</v>
      </c>
      <c r="GN91">
        <v>82.804199999999994</v>
      </c>
      <c r="GO91">
        <v>25.439699999999998</v>
      </c>
      <c r="GP91">
        <v>800</v>
      </c>
      <c r="GQ91">
        <v>8.6194400000000009</v>
      </c>
      <c r="GR91">
        <v>99.744100000000003</v>
      </c>
      <c r="GS91">
        <v>99.431899999999999</v>
      </c>
    </row>
    <row r="92" spans="1:201" x14ac:dyDescent="0.25">
      <c r="A92">
        <v>76</v>
      </c>
      <c r="B92">
        <v>1690374636</v>
      </c>
      <c r="C92">
        <v>816.5</v>
      </c>
      <c r="D92" t="s">
        <v>485</v>
      </c>
      <c r="E92" t="s">
        <v>486</v>
      </c>
      <c r="F92" t="s">
        <v>330</v>
      </c>
      <c r="H92">
        <v>1690374636</v>
      </c>
      <c r="I92">
        <f t="shared" si="30"/>
        <v>1.5840647189152676E-3</v>
      </c>
      <c r="J92">
        <f t="shared" si="31"/>
        <v>1.5840647189152677</v>
      </c>
      <c r="K92">
        <f t="shared" si="32"/>
        <v>25.594491663229448</v>
      </c>
      <c r="L92">
        <f t="shared" si="33"/>
        <v>535.74400000000003</v>
      </c>
      <c r="M92">
        <f t="shared" si="34"/>
        <v>146.0065993772381</v>
      </c>
      <c r="N92">
        <f t="shared" si="35"/>
        <v>14.426699995278643</v>
      </c>
      <c r="O92">
        <f t="shared" si="36"/>
        <v>52.93608641826561</v>
      </c>
      <c r="P92">
        <f t="shared" si="37"/>
        <v>0.10977401024774927</v>
      </c>
      <c r="Q92">
        <f t="shared" si="38"/>
        <v>2.2518446091436544</v>
      </c>
      <c r="R92">
        <f t="shared" si="39"/>
        <v>0.10688542538683211</v>
      </c>
      <c r="S92">
        <f t="shared" si="40"/>
        <v>6.7056587736397805E-2</v>
      </c>
      <c r="T92">
        <f t="shared" si="41"/>
        <v>276.11328975075713</v>
      </c>
      <c r="U92">
        <f t="shared" si="42"/>
        <v>27.982843749298041</v>
      </c>
      <c r="V92">
        <f t="shared" si="43"/>
        <v>27.982843749298041</v>
      </c>
      <c r="W92">
        <f t="shared" si="44"/>
        <v>3.7910459242349712</v>
      </c>
      <c r="X92">
        <f t="shared" si="45"/>
        <v>68.536971015112059</v>
      </c>
      <c r="Y92">
        <f t="shared" si="46"/>
        <v>2.3723536996550401</v>
      </c>
      <c r="Z92">
        <f t="shared" si="47"/>
        <v>3.461421864021315</v>
      </c>
      <c r="AA92">
        <f t="shared" si="48"/>
        <v>1.4186922245799312</v>
      </c>
      <c r="AB92">
        <f t="shared" si="49"/>
        <v>-69.857254104163303</v>
      </c>
      <c r="AC92">
        <f t="shared" si="50"/>
        <v>-188.3110949999303</v>
      </c>
      <c r="AD92">
        <f t="shared" si="51"/>
        <v>-18.084862889028102</v>
      </c>
      <c r="AE92">
        <f t="shared" si="52"/>
        <v>-0.13992224236457673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52393.659436374073</v>
      </c>
      <c r="AK92">
        <f t="shared" si="56"/>
        <v>1799.99</v>
      </c>
      <c r="AL92">
        <f t="shared" si="57"/>
        <v>1499.10637878496</v>
      </c>
      <c r="AM92">
        <f t="shared" si="58"/>
        <v>0.83284150400000001</v>
      </c>
      <c r="AN92">
        <f t="shared" si="59"/>
        <v>0.15339712429000002</v>
      </c>
      <c r="AO92">
        <v>30</v>
      </c>
      <c r="AP92">
        <v>0.5</v>
      </c>
      <c r="AQ92" t="s">
        <v>331</v>
      </c>
      <c r="AR92">
        <v>2</v>
      </c>
      <c r="AS92">
        <v>1690374636</v>
      </c>
      <c r="AT92">
        <v>535.74400000000003</v>
      </c>
      <c r="AU92">
        <v>800.11199999999997</v>
      </c>
      <c r="AV92">
        <v>24.009599999999999</v>
      </c>
      <c r="AW92">
        <v>8.5529899999999994</v>
      </c>
      <c r="AX92">
        <v>536.92899999999997</v>
      </c>
      <c r="AY92">
        <v>23.826699999999999</v>
      </c>
      <c r="AZ92">
        <v>300.072</v>
      </c>
      <c r="BA92">
        <v>98.708600000000004</v>
      </c>
      <c r="BB92">
        <v>9.9947400000000006E-2</v>
      </c>
      <c r="BC92">
        <v>26.431699999999999</v>
      </c>
      <c r="BD92">
        <v>26.964300000000001</v>
      </c>
      <c r="BE92">
        <v>27.9754</v>
      </c>
      <c r="BF92">
        <v>0</v>
      </c>
      <c r="BG92">
        <v>0</v>
      </c>
      <c r="BH92">
        <v>10020</v>
      </c>
      <c r="BI92">
        <v>1083.26</v>
      </c>
      <c r="BJ92">
        <v>1.4016500000000001</v>
      </c>
      <c r="BK92">
        <v>-264.36900000000003</v>
      </c>
      <c r="BL92">
        <v>548.923</v>
      </c>
      <c r="BM92">
        <v>807.01499999999999</v>
      </c>
      <c r="BN92">
        <v>15.4566</v>
      </c>
      <c r="BO92">
        <v>800.11199999999997</v>
      </c>
      <c r="BP92">
        <v>8.5529899999999994</v>
      </c>
      <c r="BQ92">
        <v>2.3699499999999998</v>
      </c>
      <c r="BR92">
        <v>0.84425399999999995</v>
      </c>
      <c r="BS92">
        <v>20.1599</v>
      </c>
      <c r="BT92">
        <v>4.4739800000000001</v>
      </c>
      <c r="BU92">
        <v>1799.99</v>
      </c>
      <c r="BV92">
        <v>0.91001299999999996</v>
      </c>
      <c r="BW92">
        <v>3.3991399999999998E-2</v>
      </c>
      <c r="BX92">
        <v>2.1996700000000001E-2</v>
      </c>
      <c r="BY92">
        <v>3.3999300000000003E-2</v>
      </c>
      <c r="BZ92">
        <v>24</v>
      </c>
      <c r="CA92">
        <v>33528.400000000001</v>
      </c>
      <c r="CB92">
        <v>1690373417</v>
      </c>
      <c r="CC92" t="s">
        <v>332</v>
      </c>
      <c r="CD92">
        <v>1690373417</v>
      </c>
      <c r="CE92">
        <v>1690373415</v>
      </c>
      <c r="CF92">
        <v>1</v>
      </c>
      <c r="CG92">
        <v>-1.319</v>
      </c>
      <c r="CH92">
        <v>0.01</v>
      </c>
      <c r="CI92">
        <v>-1.371</v>
      </c>
      <c r="CJ92">
        <v>0.183</v>
      </c>
      <c r="CK92">
        <v>800</v>
      </c>
      <c r="CL92">
        <v>21</v>
      </c>
      <c r="CM92">
        <v>0.09</v>
      </c>
      <c r="CN92">
        <v>7.0000000000000007E-2</v>
      </c>
      <c r="CO92">
        <v>-260.82920000000001</v>
      </c>
      <c r="CP92">
        <v>-19.64291932457715</v>
      </c>
      <c r="CQ92">
        <v>1.894490778547101</v>
      </c>
      <c r="CR92">
        <v>-1</v>
      </c>
      <c r="CS92">
        <v>15.194827500000001</v>
      </c>
      <c r="CT92">
        <v>1.4336206378986629</v>
      </c>
      <c r="CU92">
        <v>0.1380285622389438</v>
      </c>
      <c r="CV92">
        <v>-1</v>
      </c>
      <c r="CW92">
        <v>0</v>
      </c>
      <c r="CX92">
        <v>0</v>
      </c>
      <c r="CY92" t="s">
        <v>333</v>
      </c>
      <c r="CZ92">
        <v>2.36517</v>
      </c>
      <c r="DA92">
        <v>2.7137600000000002</v>
      </c>
      <c r="DB92">
        <v>0.11114400000000001</v>
      </c>
      <c r="DC92">
        <v>0.14590600000000001</v>
      </c>
      <c r="DD92">
        <v>0.11376500000000001</v>
      </c>
      <c r="DE92">
        <v>5.2320499999999999E-2</v>
      </c>
      <c r="DF92">
        <v>32463.3</v>
      </c>
      <c r="DG92">
        <v>27500.400000000001</v>
      </c>
      <c r="DH92">
        <v>31176.1</v>
      </c>
      <c r="DI92">
        <v>28053.4</v>
      </c>
      <c r="DJ92">
        <v>37501.1</v>
      </c>
      <c r="DK92">
        <v>37784.699999999997</v>
      </c>
      <c r="DL92">
        <v>44361.599999999999</v>
      </c>
      <c r="DM92">
        <v>42494.7</v>
      </c>
      <c r="DN92">
        <v>1.4786999999999999</v>
      </c>
      <c r="DO92">
        <v>2.0809000000000002</v>
      </c>
      <c r="DP92">
        <v>0.120535</v>
      </c>
      <c r="DQ92">
        <v>0.18726999999999999</v>
      </c>
      <c r="DR92">
        <v>24.989799999999999</v>
      </c>
      <c r="DS92">
        <v>24.91</v>
      </c>
      <c r="DT92">
        <v>65.599999999999994</v>
      </c>
      <c r="DU92">
        <v>24.5</v>
      </c>
      <c r="DV92">
        <v>20.509899999999998</v>
      </c>
      <c r="DW92">
        <v>61.8001</v>
      </c>
      <c r="DX92">
        <v>37.147399999999998</v>
      </c>
      <c r="DY92">
        <v>1</v>
      </c>
      <c r="DZ92">
        <v>-0.16367899999999999</v>
      </c>
      <c r="EA92">
        <v>-0.72736900000000004</v>
      </c>
      <c r="EB92">
        <v>20.189800000000002</v>
      </c>
      <c r="EC92">
        <v>5.24125</v>
      </c>
      <c r="ED92">
        <v>12.039899999999999</v>
      </c>
      <c r="EE92">
        <v>5.01715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1.8687400000000001</v>
      </c>
      <c r="EL92">
        <v>1.8644099999999999</v>
      </c>
      <c r="EM92">
        <v>1.8690500000000001</v>
      </c>
      <c r="EN92">
        <v>1.86707</v>
      </c>
      <c r="EO92">
        <v>1.86321</v>
      </c>
      <c r="EP92">
        <v>1.8641799999999999</v>
      </c>
      <c r="EQ92">
        <v>1.87005</v>
      </c>
      <c r="ER92">
        <v>1.86924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-1.1850000000000001</v>
      </c>
      <c r="FG92">
        <v>0.18290000000000001</v>
      </c>
      <c r="FH92">
        <v>-0.81947142863283695</v>
      </c>
      <c r="FI92">
        <v>-6.1462078757559423E-4</v>
      </c>
      <c r="FJ92">
        <v>-1.8861989874597051E-7</v>
      </c>
      <c r="FK92">
        <v>1.1980462299894961E-10</v>
      </c>
      <c r="FL92">
        <v>0.18283500000000069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20.3</v>
      </c>
      <c r="FU92">
        <v>20.399999999999999</v>
      </c>
      <c r="FV92">
        <v>1.7724599999999999</v>
      </c>
      <c r="FW92">
        <v>2.5549300000000001</v>
      </c>
      <c r="FX92">
        <v>1.5490699999999999</v>
      </c>
      <c r="FY92">
        <v>2.34375</v>
      </c>
      <c r="FZ92">
        <v>1.50146</v>
      </c>
      <c r="GA92">
        <v>2.34375</v>
      </c>
      <c r="GB92">
        <v>30.200500000000002</v>
      </c>
      <c r="GC92">
        <v>23.982399999999998</v>
      </c>
      <c r="GD92">
        <v>19</v>
      </c>
      <c r="GE92">
        <v>280.14400000000001</v>
      </c>
      <c r="GF92">
        <v>610.32399999999996</v>
      </c>
      <c r="GG92">
        <v>25.464099999999998</v>
      </c>
      <c r="GH92">
        <v>25.374700000000001</v>
      </c>
      <c r="GI92">
        <v>30.0002</v>
      </c>
      <c r="GJ92">
        <v>25.4941</v>
      </c>
      <c r="GK92">
        <v>25.463699999999999</v>
      </c>
      <c r="GL92">
        <v>35.440899999999999</v>
      </c>
      <c r="GM92">
        <v>60.137099999999997</v>
      </c>
      <c r="GN92">
        <v>82.057199999999995</v>
      </c>
      <c r="GO92">
        <v>25.482900000000001</v>
      </c>
      <c r="GP92">
        <v>800</v>
      </c>
      <c r="GQ92">
        <v>8.3845500000000008</v>
      </c>
      <c r="GR92">
        <v>99.743799999999993</v>
      </c>
      <c r="GS92">
        <v>99.432699999999997</v>
      </c>
    </row>
    <row r="93" spans="1:201" x14ac:dyDescent="0.25">
      <c r="A93">
        <v>77</v>
      </c>
      <c r="B93">
        <v>1690374646</v>
      </c>
      <c r="C93">
        <v>826.5</v>
      </c>
      <c r="D93" t="s">
        <v>487</v>
      </c>
      <c r="E93" t="s">
        <v>488</v>
      </c>
      <c r="F93" t="s">
        <v>330</v>
      </c>
      <c r="H93">
        <v>1690374646</v>
      </c>
      <c r="I93">
        <f t="shared" si="30"/>
        <v>1.6126229937644977E-3</v>
      </c>
      <c r="J93">
        <f t="shared" si="31"/>
        <v>1.6126229937644978</v>
      </c>
      <c r="K93">
        <f t="shared" si="32"/>
        <v>25.910892071788297</v>
      </c>
      <c r="L93">
        <f t="shared" si="33"/>
        <v>532.48400000000004</v>
      </c>
      <c r="M93">
        <f t="shared" si="34"/>
        <v>145.39079781516014</v>
      </c>
      <c r="N93">
        <f t="shared" si="35"/>
        <v>14.365970751504266</v>
      </c>
      <c r="O93">
        <f t="shared" si="36"/>
        <v>52.614399842342408</v>
      </c>
      <c r="P93">
        <f t="shared" si="37"/>
        <v>0.11194596623777459</v>
      </c>
      <c r="Q93">
        <f t="shared" si="38"/>
        <v>2.2465418632864527</v>
      </c>
      <c r="R93">
        <f t="shared" si="39"/>
        <v>0.10893674702818829</v>
      </c>
      <c r="S93">
        <f t="shared" si="40"/>
        <v>6.8349095683885835E-2</v>
      </c>
      <c r="T93">
        <f t="shared" si="41"/>
        <v>276.11481108599997</v>
      </c>
      <c r="U93">
        <f t="shared" si="42"/>
        <v>27.982098173370645</v>
      </c>
      <c r="V93">
        <f t="shared" si="43"/>
        <v>27.982098173370645</v>
      </c>
      <c r="W93">
        <f t="shared" si="44"/>
        <v>3.7908811303609804</v>
      </c>
      <c r="X93">
        <f t="shared" si="45"/>
        <v>68.557082955359149</v>
      </c>
      <c r="Y93">
        <f t="shared" si="46"/>
        <v>2.3738057918217601</v>
      </c>
      <c r="Z93">
        <f t="shared" si="47"/>
        <v>3.4625244970931166</v>
      </c>
      <c r="AA93">
        <f t="shared" si="48"/>
        <v>1.4170753385392203</v>
      </c>
      <c r="AB93">
        <f t="shared" si="49"/>
        <v>-71.116674025014348</v>
      </c>
      <c r="AC93">
        <f t="shared" si="50"/>
        <v>-187.12332658900991</v>
      </c>
      <c r="AD93">
        <f t="shared" si="51"/>
        <v>-18.013629277400788</v>
      </c>
      <c r="AE93">
        <f t="shared" si="52"/>
        <v>-0.13881880542507474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52186.243946381444</v>
      </c>
      <c r="AK93">
        <f t="shared" si="56"/>
        <v>1800</v>
      </c>
      <c r="AL93">
        <f t="shared" si="57"/>
        <v>1499.1100956</v>
      </c>
      <c r="AM93">
        <f t="shared" si="58"/>
        <v>0.83283894199999997</v>
      </c>
      <c r="AN93">
        <f t="shared" si="59"/>
        <v>0.15339711726999999</v>
      </c>
      <c r="AO93">
        <v>30</v>
      </c>
      <c r="AP93">
        <v>0.5</v>
      </c>
      <c r="AQ93" t="s">
        <v>331</v>
      </c>
      <c r="AR93">
        <v>2</v>
      </c>
      <c r="AS93">
        <v>1690374646</v>
      </c>
      <c r="AT93">
        <v>532.48400000000004</v>
      </c>
      <c r="AU93">
        <v>800.12099999999998</v>
      </c>
      <c r="AV93">
        <v>24.024100000000001</v>
      </c>
      <c r="AW93">
        <v>8.2887500000000003</v>
      </c>
      <c r="AX93">
        <v>533.66700000000003</v>
      </c>
      <c r="AY93">
        <v>23.8413</v>
      </c>
      <c r="AZ93">
        <v>300.06599999999997</v>
      </c>
      <c r="BA93">
        <v>98.709400000000002</v>
      </c>
      <c r="BB93">
        <v>9.9953600000000004E-2</v>
      </c>
      <c r="BC93">
        <v>26.437100000000001</v>
      </c>
      <c r="BD93">
        <v>26.996099999999998</v>
      </c>
      <c r="BE93">
        <v>27.9834</v>
      </c>
      <c r="BF93">
        <v>0</v>
      </c>
      <c r="BG93">
        <v>0</v>
      </c>
      <c r="BH93">
        <v>9978.75</v>
      </c>
      <c r="BI93">
        <v>1083.33</v>
      </c>
      <c r="BJ93">
        <v>1.4016500000000001</v>
      </c>
      <c r="BK93">
        <v>-267.63799999999998</v>
      </c>
      <c r="BL93">
        <v>545.59100000000001</v>
      </c>
      <c r="BM93">
        <v>806.80899999999997</v>
      </c>
      <c r="BN93">
        <v>15.735300000000001</v>
      </c>
      <c r="BO93">
        <v>800.12099999999998</v>
      </c>
      <c r="BP93">
        <v>8.2887500000000003</v>
      </c>
      <c r="BQ93">
        <v>2.3714</v>
      </c>
      <c r="BR93">
        <v>0.81817700000000004</v>
      </c>
      <c r="BS93">
        <v>20.169799999999999</v>
      </c>
      <c r="BT93">
        <v>4.0266500000000001</v>
      </c>
      <c r="BU93">
        <v>1800</v>
      </c>
      <c r="BV93">
        <v>0.909999</v>
      </c>
      <c r="BW93">
        <v>3.40091E-2</v>
      </c>
      <c r="BX93">
        <v>2.19951E-2</v>
      </c>
      <c r="BY93">
        <v>3.3996899999999997E-2</v>
      </c>
      <c r="BZ93">
        <v>24</v>
      </c>
      <c r="CA93">
        <v>33528.400000000001</v>
      </c>
      <c r="CB93">
        <v>1690373417</v>
      </c>
      <c r="CC93" t="s">
        <v>332</v>
      </c>
      <c r="CD93">
        <v>1690373417</v>
      </c>
      <c r="CE93">
        <v>1690373415</v>
      </c>
      <c r="CF93">
        <v>1</v>
      </c>
      <c r="CG93">
        <v>-1.319</v>
      </c>
      <c r="CH93">
        <v>0.01</v>
      </c>
      <c r="CI93">
        <v>-1.371</v>
      </c>
      <c r="CJ93">
        <v>0.183</v>
      </c>
      <c r="CK93">
        <v>800</v>
      </c>
      <c r="CL93">
        <v>21</v>
      </c>
      <c r="CM93">
        <v>0.09</v>
      </c>
      <c r="CN93">
        <v>7.0000000000000007E-2</v>
      </c>
      <c r="CO93">
        <v>-263.88058536585368</v>
      </c>
      <c r="CP93">
        <v>-19.31023693379775</v>
      </c>
      <c r="CQ93">
        <v>1.906017070222866</v>
      </c>
      <c r="CR93">
        <v>-1</v>
      </c>
      <c r="CS93">
        <v>15.422829268292681</v>
      </c>
      <c r="CT93">
        <v>1.504845993031374</v>
      </c>
      <c r="CU93">
        <v>0.1485205023933461</v>
      </c>
      <c r="CV93">
        <v>-1</v>
      </c>
      <c r="CW93">
        <v>0</v>
      </c>
      <c r="CX93">
        <v>0</v>
      </c>
      <c r="CY93" t="s">
        <v>333</v>
      </c>
      <c r="CZ93">
        <v>2.3651399999999998</v>
      </c>
      <c r="DA93">
        <v>2.7137199999999999</v>
      </c>
      <c r="DB93">
        <v>0.11065800000000001</v>
      </c>
      <c r="DC93">
        <v>0.145903</v>
      </c>
      <c r="DD93">
        <v>0.113815</v>
      </c>
      <c r="DE93">
        <v>5.1048400000000001E-2</v>
      </c>
      <c r="DF93">
        <v>32480.9</v>
      </c>
      <c r="DG93">
        <v>27500.7</v>
      </c>
      <c r="DH93">
        <v>31176.1</v>
      </c>
      <c r="DI93">
        <v>28053.599999999999</v>
      </c>
      <c r="DJ93">
        <v>37499</v>
      </c>
      <c r="DK93">
        <v>37836</v>
      </c>
      <c r="DL93">
        <v>44361.7</v>
      </c>
      <c r="DM93">
        <v>42495.1</v>
      </c>
      <c r="DN93">
        <v>1.47875</v>
      </c>
      <c r="DO93">
        <v>2.0804999999999998</v>
      </c>
      <c r="DP93">
        <v>0.122346</v>
      </c>
      <c r="DQ93">
        <v>0.18762100000000001</v>
      </c>
      <c r="DR93">
        <v>24.991900000000001</v>
      </c>
      <c r="DS93">
        <v>24.912199999999999</v>
      </c>
      <c r="DT93">
        <v>65.3</v>
      </c>
      <c r="DU93">
        <v>24.5</v>
      </c>
      <c r="DV93">
        <v>20.414000000000001</v>
      </c>
      <c r="DW93">
        <v>61.970100000000002</v>
      </c>
      <c r="DX93">
        <v>36.189900000000002</v>
      </c>
      <c r="DY93">
        <v>1</v>
      </c>
      <c r="DZ93">
        <v>-0.163631</v>
      </c>
      <c r="EA93">
        <v>-0.76796799999999998</v>
      </c>
      <c r="EB93">
        <v>20.189299999999999</v>
      </c>
      <c r="EC93">
        <v>5.24125</v>
      </c>
      <c r="ED93">
        <v>12.039899999999999</v>
      </c>
      <c r="EE93">
        <v>5.0172499999999998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1.86873</v>
      </c>
      <c r="EL93">
        <v>1.8644099999999999</v>
      </c>
      <c r="EM93">
        <v>1.8690500000000001</v>
      </c>
      <c r="EN93">
        <v>1.86707</v>
      </c>
      <c r="EO93">
        <v>1.8631800000000001</v>
      </c>
      <c r="EP93">
        <v>1.8641700000000001</v>
      </c>
      <c r="EQ93">
        <v>1.87002</v>
      </c>
      <c r="ER93">
        <v>1.86924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-1.1830000000000001</v>
      </c>
      <c r="FG93">
        <v>0.18279999999999999</v>
      </c>
      <c r="FH93">
        <v>-0.81947142863283695</v>
      </c>
      <c r="FI93">
        <v>-6.1462078757559423E-4</v>
      </c>
      <c r="FJ93">
        <v>-1.8861989874597051E-7</v>
      </c>
      <c r="FK93">
        <v>1.1980462299894961E-10</v>
      </c>
      <c r="FL93">
        <v>0.18283500000000069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20.5</v>
      </c>
      <c r="FU93">
        <v>20.5</v>
      </c>
      <c r="FV93">
        <v>1.7724599999999999</v>
      </c>
      <c r="FW93">
        <v>2.5512700000000001</v>
      </c>
      <c r="FX93">
        <v>1.5490699999999999</v>
      </c>
      <c r="FY93">
        <v>2.34375</v>
      </c>
      <c r="FZ93">
        <v>1.50146</v>
      </c>
      <c r="GA93">
        <v>2.2766099999999998</v>
      </c>
      <c r="GB93">
        <v>30.200500000000002</v>
      </c>
      <c r="GC93">
        <v>23.991199999999999</v>
      </c>
      <c r="GD93">
        <v>19</v>
      </c>
      <c r="GE93">
        <v>280.15499999999997</v>
      </c>
      <c r="GF93">
        <v>609.95799999999997</v>
      </c>
      <c r="GG93">
        <v>25.513200000000001</v>
      </c>
      <c r="GH93">
        <v>25.372499999999999</v>
      </c>
      <c r="GI93">
        <v>30.0002</v>
      </c>
      <c r="GJ93">
        <v>25.492000000000001</v>
      </c>
      <c r="GK93">
        <v>25.461600000000001</v>
      </c>
      <c r="GL93">
        <v>35.430700000000002</v>
      </c>
      <c r="GM93">
        <v>61.034300000000002</v>
      </c>
      <c r="GN93">
        <v>81.302199999999999</v>
      </c>
      <c r="GO93">
        <v>25.526499999999999</v>
      </c>
      <c r="GP93">
        <v>800</v>
      </c>
      <c r="GQ93">
        <v>8.1406299999999998</v>
      </c>
      <c r="GR93">
        <v>99.743899999999996</v>
      </c>
      <c r="GS93">
        <v>99.433499999999995</v>
      </c>
    </row>
    <row r="94" spans="1:201" x14ac:dyDescent="0.25">
      <c r="A94">
        <v>78</v>
      </c>
      <c r="B94">
        <v>1690374656</v>
      </c>
      <c r="C94">
        <v>836.5</v>
      </c>
      <c r="D94" t="s">
        <v>489</v>
      </c>
      <c r="E94" t="s">
        <v>490</v>
      </c>
      <c r="F94" t="s">
        <v>330</v>
      </c>
      <c r="H94">
        <v>1690374656</v>
      </c>
      <c r="I94">
        <f t="shared" si="30"/>
        <v>1.6362004655568376E-3</v>
      </c>
      <c r="J94">
        <f t="shared" si="31"/>
        <v>1.6362004655568376</v>
      </c>
      <c r="K94">
        <f t="shared" si="32"/>
        <v>26.227632485408229</v>
      </c>
      <c r="L94">
        <f t="shared" si="33"/>
        <v>529.24099999999999</v>
      </c>
      <c r="M94">
        <f t="shared" si="34"/>
        <v>143.51148256190748</v>
      </c>
      <c r="N94">
        <f t="shared" si="35"/>
        <v>14.180376767516208</v>
      </c>
      <c r="O94">
        <f t="shared" si="36"/>
        <v>52.294329672049997</v>
      </c>
      <c r="P94">
        <f t="shared" si="37"/>
        <v>0.1137394592899829</v>
      </c>
      <c r="Q94">
        <f t="shared" si="38"/>
        <v>2.2510667535552837</v>
      </c>
      <c r="R94">
        <f t="shared" si="39"/>
        <v>0.11064054414102267</v>
      </c>
      <c r="S94">
        <f t="shared" si="40"/>
        <v>6.9421732684204318E-2</v>
      </c>
      <c r="T94">
        <f t="shared" si="41"/>
        <v>276.11313612161052</v>
      </c>
      <c r="U94">
        <f t="shared" si="42"/>
        <v>27.981115306740325</v>
      </c>
      <c r="V94">
        <f t="shared" si="43"/>
        <v>27.981115306740325</v>
      </c>
      <c r="W94">
        <f t="shared" si="44"/>
        <v>3.7906638979190346</v>
      </c>
      <c r="X94">
        <f t="shared" si="45"/>
        <v>68.552581393362971</v>
      </c>
      <c r="Y94">
        <f t="shared" si="46"/>
        <v>2.3750082428049999</v>
      </c>
      <c r="Z94">
        <f t="shared" si="47"/>
        <v>3.4645059230912345</v>
      </c>
      <c r="AA94">
        <f t="shared" si="48"/>
        <v>1.4156556551140347</v>
      </c>
      <c r="AB94">
        <f t="shared" si="49"/>
        <v>-72.156440531056546</v>
      </c>
      <c r="AC94">
        <f t="shared" si="50"/>
        <v>-186.20375506607294</v>
      </c>
      <c r="AD94">
        <f t="shared" si="51"/>
        <v>-17.889851847060946</v>
      </c>
      <c r="AE94">
        <f t="shared" si="52"/>
        <v>-0.13691132257989125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52360.733271323348</v>
      </c>
      <c r="AK94">
        <f t="shared" si="56"/>
        <v>1799.99</v>
      </c>
      <c r="AL94">
        <f t="shared" si="57"/>
        <v>1499.1031658028101</v>
      </c>
      <c r="AM94">
        <f t="shared" si="58"/>
        <v>0.83283971899999998</v>
      </c>
      <c r="AN94">
        <f t="shared" si="59"/>
        <v>0.15339703893999995</v>
      </c>
      <c r="AO94">
        <v>30</v>
      </c>
      <c r="AP94">
        <v>0.5</v>
      </c>
      <c r="AQ94" t="s">
        <v>331</v>
      </c>
      <c r="AR94">
        <v>2</v>
      </c>
      <c r="AS94">
        <v>1690374656</v>
      </c>
      <c r="AT94">
        <v>529.24099999999999</v>
      </c>
      <c r="AU94">
        <v>800.05399999999997</v>
      </c>
      <c r="AV94">
        <v>24.036100000000001</v>
      </c>
      <c r="AW94">
        <v>8.0746099999999998</v>
      </c>
      <c r="AX94">
        <v>530.42200000000003</v>
      </c>
      <c r="AY94">
        <v>23.853300000000001</v>
      </c>
      <c r="AZ94">
        <v>300.13600000000002</v>
      </c>
      <c r="BA94">
        <v>98.710099999999997</v>
      </c>
      <c r="BB94">
        <v>9.9949999999999997E-2</v>
      </c>
      <c r="BC94">
        <v>26.4468</v>
      </c>
      <c r="BD94">
        <v>26.978200000000001</v>
      </c>
      <c r="BE94">
        <v>27.962199999999999</v>
      </c>
      <c r="BF94">
        <v>0</v>
      </c>
      <c r="BG94">
        <v>0</v>
      </c>
      <c r="BH94">
        <v>10013.799999999999</v>
      </c>
      <c r="BI94">
        <v>1083.43</v>
      </c>
      <c r="BJ94">
        <v>1.4016500000000001</v>
      </c>
      <c r="BK94">
        <v>-270.81200000000001</v>
      </c>
      <c r="BL94">
        <v>542.27599999999995</v>
      </c>
      <c r="BM94">
        <v>806.56700000000001</v>
      </c>
      <c r="BN94">
        <v>15.961499999999999</v>
      </c>
      <c r="BO94">
        <v>800.05399999999997</v>
      </c>
      <c r="BP94">
        <v>8.0746099999999998</v>
      </c>
      <c r="BQ94">
        <v>2.3726099999999999</v>
      </c>
      <c r="BR94">
        <v>0.79704600000000003</v>
      </c>
      <c r="BS94">
        <v>20.178000000000001</v>
      </c>
      <c r="BT94">
        <v>3.6547999999999998</v>
      </c>
      <c r="BU94">
        <v>1799.99</v>
      </c>
      <c r="BV94">
        <v>0.91000499999999995</v>
      </c>
      <c r="BW94">
        <v>3.4007000000000003E-2</v>
      </c>
      <c r="BX94">
        <v>2.1993700000000001E-2</v>
      </c>
      <c r="BY94">
        <v>3.3994799999999999E-2</v>
      </c>
      <c r="BZ94">
        <v>24</v>
      </c>
      <c r="CA94">
        <v>33528.300000000003</v>
      </c>
      <c r="CB94">
        <v>1690373417</v>
      </c>
      <c r="CC94" t="s">
        <v>332</v>
      </c>
      <c r="CD94">
        <v>1690373417</v>
      </c>
      <c r="CE94">
        <v>1690373415</v>
      </c>
      <c r="CF94">
        <v>1</v>
      </c>
      <c r="CG94">
        <v>-1.319</v>
      </c>
      <c r="CH94">
        <v>0.01</v>
      </c>
      <c r="CI94">
        <v>-1.371</v>
      </c>
      <c r="CJ94">
        <v>0.183</v>
      </c>
      <c r="CK94">
        <v>800</v>
      </c>
      <c r="CL94">
        <v>21</v>
      </c>
      <c r="CM94">
        <v>0.09</v>
      </c>
      <c r="CN94">
        <v>7.0000000000000007E-2</v>
      </c>
      <c r="CO94">
        <v>-267.41829268292679</v>
      </c>
      <c r="CP94">
        <v>-19.101407665505199</v>
      </c>
      <c r="CQ94">
        <v>1.884073897415403</v>
      </c>
      <c r="CR94">
        <v>-1</v>
      </c>
      <c r="CS94">
        <v>15.7099243902439</v>
      </c>
      <c r="CT94">
        <v>1.567308710801379</v>
      </c>
      <c r="CU94">
        <v>0.1548288760810807</v>
      </c>
      <c r="CV94">
        <v>-1</v>
      </c>
      <c r="CW94">
        <v>0</v>
      </c>
      <c r="CX94">
        <v>0</v>
      </c>
      <c r="CY94" t="s">
        <v>333</v>
      </c>
      <c r="CZ94">
        <v>2.3654000000000002</v>
      </c>
      <c r="DA94">
        <v>2.7137500000000001</v>
      </c>
      <c r="DB94">
        <v>0.11017399999999999</v>
      </c>
      <c r="DC94">
        <v>0.14589299999999999</v>
      </c>
      <c r="DD94">
        <v>0.113857</v>
      </c>
      <c r="DE94">
        <v>5.0007700000000002E-2</v>
      </c>
      <c r="DF94">
        <v>32498.400000000001</v>
      </c>
      <c r="DG94">
        <v>27501.200000000001</v>
      </c>
      <c r="DH94">
        <v>31175.9</v>
      </c>
      <c r="DI94">
        <v>28053.8</v>
      </c>
      <c r="DJ94">
        <v>37496.699999999997</v>
      </c>
      <c r="DK94">
        <v>37877.800000000003</v>
      </c>
      <c r="DL94">
        <v>44361.2</v>
      </c>
      <c r="DM94">
        <v>42495.3</v>
      </c>
      <c r="DN94">
        <v>1.47895</v>
      </c>
      <c r="DO94">
        <v>2.0799500000000002</v>
      </c>
      <c r="DP94">
        <v>0.121124</v>
      </c>
      <c r="DQ94">
        <v>0.18610099999999999</v>
      </c>
      <c r="DR94">
        <v>24.994</v>
      </c>
      <c r="DS94">
        <v>24.915800000000001</v>
      </c>
      <c r="DT94">
        <v>65.2</v>
      </c>
      <c r="DU94">
        <v>24.5</v>
      </c>
      <c r="DV94">
        <v>20.384799999999998</v>
      </c>
      <c r="DW94">
        <v>61.8401</v>
      </c>
      <c r="DX94">
        <v>37.0593</v>
      </c>
      <c r="DY94">
        <v>1</v>
      </c>
      <c r="DZ94">
        <v>-0.16395799999999999</v>
      </c>
      <c r="EA94">
        <v>-0.74512800000000001</v>
      </c>
      <c r="EB94">
        <v>20.189499999999999</v>
      </c>
      <c r="EC94">
        <v>5.24125</v>
      </c>
      <c r="ED94">
        <v>12.039899999999999</v>
      </c>
      <c r="EE94">
        <v>5.0172499999999998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1.86873</v>
      </c>
      <c r="EL94">
        <v>1.86442</v>
      </c>
      <c r="EM94">
        <v>1.8690599999999999</v>
      </c>
      <c r="EN94">
        <v>1.86707</v>
      </c>
      <c r="EO94">
        <v>1.8632200000000001</v>
      </c>
      <c r="EP94">
        <v>1.8641799999999999</v>
      </c>
      <c r="EQ94">
        <v>1.87002</v>
      </c>
      <c r="ER94">
        <v>1.8692500000000001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-1.181</v>
      </c>
      <c r="FG94">
        <v>0.18279999999999999</v>
      </c>
      <c r="FH94">
        <v>-0.81947142863283695</v>
      </c>
      <c r="FI94">
        <v>-6.1462078757559423E-4</v>
      </c>
      <c r="FJ94">
        <v>-1.8861989874597051E-7</v>
      </c>
      <c r="FK94">
        <v>1.1980462299894961E-10</v>
      </c>
      <c r="FL94">
        <v>0.18283500000000069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20.6</v>
      </c>
      <c r="FU94">
        <v>20.7</v>
      </c>
      <c r="FV94">
        <v>1.7724599999999999</v>
      </c>
      <c r="FW94">
        <v>2.5476100000000002</v>
      </c>
      <c r="FX94">
        <v>1.5490699999999999</v>
      </c>
      <c r="FY94">
        <v>2.34375</v>
      </c>
      <c r="FZ94">
        <v>1.50146</v>
      </c>
      <c r="GA94">
        <v>2.3852500000000001</v>
      </c>
      <c r="GB94">
        <v>30.200500000000002</v>
      </c>
      <c r="GC94">
        <v>23.991199999999999</v>
      </c>
      <c r="GD94">
        <v>19</v>
      </c>
      <c r="GE94">
        <v>280.23</v>
      </c>
      <c r="GF94">
        <v>609.46299999999997</v>
      </c>
      <c r="GG94">
        <v>25.5412</v>
      </c>
      <c r="GH94">
        <v>25.3704</v>
      </c>
      <c r="GI94">
        <v>30</v>
      </c>
      <c r="GJ94">
        <v>25.489899999999999</v>
      </c>
      <c r="GK94">
        <v>25.459499999999998</v>
      </c>
      <c r="GL94">
        <v>35.428400000000003</v>
      </c>
      <c r="GM94">
        <v>61.637900000000002</v>
      </c>
      <c r="GN94">
        <v>80.529499999999999</v>
      </c>
      <c r="GO94">
        <v>25.5579</v>
      </c>
      <c r="GP94">
        <v>800</v>
      </c>
      <c r="GQ94">
        <v>7.9008799999999999</v>
      </c>
      <c r="GR94">
        <v>99.742900000000006</v>
      </c>
      <c r="GS94">
        <v>99.434100000000001</v>
      </c>
    </row>
    <row r="95" spans="1:201" x14ac:dyDescent="0.25">
      <c r="A95">
        <v>79</v>
      </c>
      <c r="B95">
        <v>1690374666</v>
      </c>
      <c r="C95">
        <v>846.5</v>
      </c>
      <c r="D95" t="s">
        <v>491</v>
      </c>
      <c r="E95" t="s">
        <v>492</v>
      </c>
      <c r="F95" t="s">
        <v>330</v>
      </c>
      <c r="H95">
        <v>1690374666</v>
      </c>
      <c r="I95">
        <f t="shared" si="30"/>
        <v>1.6644831656473535E-3</v>
      </c>
      <c r="J95">
        <f t="shared" si="31"/>
        <v>1.6644831656473535</v>
      </c>
      <c r="K95">
        <f t="shared" si="32"/>
        <v>26.537440233884652</v>
      </c>
      <c r="L95">
        <f t="shared" si="33"/>
        <v>525.99099999999999</v>
      </c>
      <c r="M95">
        <f t="shared" si="34"/>
        <v>142.60733109485378</v>
      </c>
      <c r="N95">
        <f t="shared" si="35"/>
        <v>14.091203368175123</v>
      </c>
      <c r="O95">
        <f t="shared" si="36"/>
        <v>51.973808737083004</v>
      </c>
      <c r="P95">
        <f t="shared" si="37"/>
        <v>0.11583815742300946</v>
      </c>
      <c r="Q95">
        <f t="shared" si="38"/>
        <v>2.2486605802958515</v>
      </c>
      <c r="R95">
        <f t="shared" si="39"/>
        <v>0.11262223035212122</v>
      </c>
      <c r="S95">
        <f t="shared" si="40"/>
        <v>7.0670395649877454E-2</v>
      </c>
      <c r="T95">
        <f t="shared" si="41"/>
        <v>276.11260507056096</v>
      </c>
      <c r="U95">
        <f t="shared" si="42"/>
        <v>27.983004950527572</v>
      </c>
      <c r="V95">
        <f t="shared" si="43"/>
        <v>27.983004950527572</v>
      </c>
      <c r="W95">
        <f t="shared" si="44"/>
        <v>3.7910815551972941</v>
      </c>
      <c r="X95">
        <f t="shared" si="45"/>
        <v>68.549980656465692</v>
      </c>
      <c r="Y95">
        <f t="shared" si="46"/>
        <v>2.3762910991944004</v>
      </c>
      <c r="Z95">
        <f t="shared" si="47"/>
        <v>3.466508781531314</v>
      </c>
      <c r="AA95">
        <f t="shared" si="48"/>
        <v>1.4147904560028937</v>
      </c>
      <c r="AB95">
        <f t="shared" si="49"/>
        <v>-73.403707605048282</v>
      </c>
      <c r="AC95">
        <f t="shared" si="50"/>
        <v>-185.04575039378841</v>
      </c>
      <c r="AD95">
        <f t="shared" si="51"/>
        <v>-17.798656776134134</v>
      </c>
      <c r="AE95">
        <f t="shared" si="52"/>
        <v>-0.13550970440985566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52265.32736897673</v>
      </c>
      <c r="AK95">
        <f t="shared" si="56"/>
        <v>1799.99</v>
      </c>
      <c r="AL95">
        <f t="shared" si="57"/>
        <v>1499.10320540259</v>
      </c>
      <c r="AM95">
        <f t="shared" si="58"/>
        <v>0.83283974100000002</v>
      </c>
      <c r="AN95">
        <f t="shared" si="59"/>
        <v>0.15339674391000002</v>
      </c>
      <c r="AO95">
        <v>30</v>
      </c>
      <c r="AP95">
        <v>0.5</v>
      </c>
      <c r="AQ95" t="s">
        <v>331</v>
      </c>
      <c r="AR95">
        <v>2</v>
      </c>
      <c r="AS95">
        <v>1690374666</v>
      </c>
      <c r="AT95">
        <v>525.99099999999999</v>
      </c>
      <c r="AU95">
        <v>800.00900000000001</v>
      </c>
      <c r="AV95">
        <v>24.0488</v>
      </c>
      <c r="AW95">
        <v>7.8108599999999999</v>
      </c>
      <c r="AX95">
        <v>527.16899999999998</v>
      </c>
      <c r="AY95">
        <v>23.866</v>
      </c>
      <c r="AZ95">
        <v>300.12200000000001</v>
      </c>
      <c r="BA95">
        <v>98.711200000000005</v>
      </c>
      <c r="BB95">
        <v>0.100013</v>
      </c>
      <c r="BC95">
        <v>26.456600000000002</v>
      </c>
      <c r="BD95">
        <v>26.9925</v>
      </c>
      <c r="BE95">
        <v>28.008400000000002</v>
      </c>
      <c r="BF95">
        <v>0</v>
      </c>
      <c r="BG95">
        <v>0</v>
      </c>
      <c r="BH95">
        <v>9995</v>
      </c>
      <c r="BI95">
        <v>1083.43</v>
      </c>
      <c r="BJ95">
        <v>1.4016500000000001</v>
      </c>
      <c r="BK95">
        <v>-274.01799999999997</v>
      </c>
      <c r="BL95">
        <v>538.952</v>
      </c>
      <c r="BM95">
        <v>806.30700000000002</v>
      </c>
      <c r="BN95">
        <v>16.238</v>
      </c>
      <c r="BO95">
        <v>800.00900000000001</v>
      </c>
      <c r="BP95">
        <v>7.8108599999999999</v>
      </c>
      <c r="BQ95">
        <v>2.3738899999999998</v>
      </c>
      <c r="BR95">
        <v>0.77102000000000004</v>
      </c>
      <c r="BS95">
        <v>20.186699999999998</v>
      </c>
      <c r="BT95">
        <v>3.18465</v>
      </c>
      <c r="BU95">
        <v>1799.99</v>
      </c>
      <c r="BV95">
        <v>0.91001200000000004</v>
      </c>
      <c r="BW95">
        <v>3.4004100000000002E-2</v>
      </c>
      <c r="BX95">
        <v>2.1991799999999999E-2</v>
      </c>
      <c r="BY95">
        <v>3.3991899999999999E-2</v>
      </c>
      <c r="BZ95">
        <v>24</v>
      </c>
      <c r="CA95">
        <v>33528.300000000003</v>
      </c>
      <c r="CB95">
        <v>1690373417</v>
      </c>
      <c r="CC95" t="s">
        <v>332</v>
      </c>
      <c r="CD95">
        <v>1690373417</v>
      </c>
      <c r="CE95">
        <v>1690373415</v>
      </c>
      <c r="CF95">
        <v>1</v>
      </c>
      <c r="CG95">
        <v>-1.319</v>
      </c>
      <c r="CH95">
        <v>0.01</v>
      </c>
      <c r="CI95">
        <v>-1.371</v>
      </c>
      <c r="CJ95">
        <v>0.183</v>
      </c>
      <c r="CK95">
        <v>800</v>
      </c>
      <c r="CL95">
        <v>21</v>
      </c>
      <c r="CM95">
        <v>0.09</v>
      </c>
      <c r="CN95">
        <v>7.0000000000000007E-2</v>
      </c>
      <c r="CO95">
        <v>-270.57495</v>
      </c>
      <c r="CP95">
        <v>-19.548923076922559</v>
      </c>
      <c r="CQ95">
        <v>1.8815263610962261</v>
      </c>
      <c r="CR95">
        <v>-1</v>
      </c>
      <c r="CS95">
        <v>15.959042500000001</v>
      </c>
      <c r="CT95">
        <v>1.4611553470919181</v>
      </c>
      <c r="CU95">
        <v>0.14074624131304531</v>
      </c>
      <c r="CV95">
        <v>-1</v>
      </c>
      <c r="CW95">
        <v>0</v>
      </c>
      <c r="CX95">
        <v>0</v>
      </c>
      <c r="CY95" t="s">
        <v>333</v>
      </c>
      <c r="CZ95">
        <v>2.3653499999999998</v>
      </c>
      <c r="DA95">
        <v>2.7138</v>
      </c>
      <c r="DB95">
        <v>0.10968799999999999</v>
      </c>
      <c r="DC95">
        <v>0.14588400000000001</v>
      </c>
      <c r="DD95">
        <v>0.113901</v>
      </c>
      <c r="DE95">
        <v>4.8712999999999999E-2</v>
      </c>
      <c r="DF95">
        <v>32516.799999999999</v>
      </c>
      <c r="DG95">
        <v>27501.8</v>
      </c>
      <c r="DH95">
        <v>31176.5</v>
      </c>
      <c r="DI95">
        <v>28054.1</v>
      </c>
      <c r="DJ95">
        <v>37495.5</v>
      </c>
      <c r="DK95">
        <v>37930.1</v>
      </c>
      <c r="DL95">
        <v>44362.1</v>
      </c>
      <c r="DM95">
        <v>42495.9</v>
      </c>
      <c r="DN95">
        <v>1.4798</v>
      </c>
      <c r="DO95">
        <v>2.0792700000000002</v>
      </c>
      <c r="DP95">
        <v>0.121735</v>
      </c>
      <c r="DQ95">
        <v>0.188582</v>
      </c>
      <c r="DR95">
        <v>24.9983</v>
      </c>
      <c r="DS95">
        <v>24.921600000000002</v>
      </c>
      <c r="DT95">
        <v>64.900000000000006</v>
      </c>
      <c r="DU95">
        <v>24.5</v>
      </c>
      <c r="DV95">
        <v>20.2913</v>
      </c>
      <c r="DW95">
        <v>61.380099999999999</v>
      </c>
      <c r="DX95">
        <v>36.718800000000002</v>
      </c>
      <c r="DY95">
        <v>1</v>
      </c>
      <c r="DZ95">
        <v>-0.16450699999999999</v>
      </c>
      <c r="EA95">
        <v>-0.76120900000000002</v>
      </c>
      <c r="EB95">
        <v>20.189299999999999</v>
      </c>
      <c r="EC95">
        <v>5.2411000000000003</v>
      </c>
      <c r="ED95">
        <v>12.039899999999999</v>
      </c>
      <c r="EE95">
        <v>5.0173500000000004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1.8687400000000001</v>
      </c>
      <c r="EL95">
        <v>1.8644000000000001</v>
      </c>
      <c r="EM95">
        <v>1.8690500000000001</v>
      </c>
      <c r="EN95">
        <v>1.86707</v>
      </c>
      <c r="EO95">
        <v>1.86321</v>
      </c>
      <c r="EP95">
        <v>1.8641700000000001</v>
      </c>
      <c r="EQ95">
        <v>1.8700300000000001</v>
      </c>
      <c r="ER95">
        <v>1.86924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-1.1779999999999999</v>
      </c>
      <c r="FG95">
        <v>0.18279999999999999</v>
      </c>
      <c r="FH95">
        <v>-0.81947142863283695</v>
      </c>
      <c r="FI95">
        <v>-6.1462078757559423E-4</v>
      </c>
      <c r="FJ95">
        <v>-1.8861989874597051E-7</v>
      </c>
      <c r="FK95">
        <v>1.1980462299894961E-10</v>
      </c>
      <c r="FL95">
        <v>0.18283500000000069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20.8</v>
      </c>
      <c r="FU95">
        <v>20.9</v>
      </c>
      <c r="FV95">
        <v>1.7724599999999999</v>
      </c>
      <c r="FW95">
        <v>2.5585900000000001</v>
      </c>
      <c r="FX95">
        <v>1.5490699999999999</v>
      </c>
      <c r="FY95">
        <v>2.34375</v>
      </c>
      <c r="FZ95">
        <v>1.50146</v>
      </c>
      <c r="GA95">
        <v>2.2839399999999999</v>
      </c>
      <c r="GB95">
        <v>30.222000000000001</v>
      </c>
      <c r="GC95">
        <v>23.982399999999998</v>
      </c>
      <c r="GD95">
        <v>19</v>
      </c>
      <c r="GE95">
        <v>280.57799999999997</v>
      </c>
      <c r="GF95">
        <v>608.86800000000005</v>
      </c>
      <c r="GG95">
        <v>25.575600000000001</v>
      </c>
      <c r="GH95">
        <v>25.367999999999999</v>
      </c>
      <c r="GI95">
        <v>30</v>
      </c>
      <c r="GJ95">
        <v>25.4877</v>
      </c>
      <c r="GK95">
        <v>25.457799999999999</v>
      </c>
      <c r="GL95">
        <v>35.425800000000002</v>
      </c>
      <c r="GM95">
        <v>62.514000000000003</v>
      </c>
      <c r="GN95">
        <v>79.750399999999999</v>
      </c>
      <c r="GO95">
        <v>25.577999999999999</v>
      </c>
      <c r="GP95">
        <v>800</v>
      </c>
      <c r="GQ95">
        <v>7.6556800000000003</v>
      </c>
      <c r="GR95">
        <v>99.744799999999998</v>
      </c>
      <c r="GS95">
        <v>99.435400000000001</v>
      </c>
    </row>
    <row r="96" spans="1:201" x14ac:dyDescent="0.25">
      <c r="A96">
        <v>80</v>
      </c>
      <c r="B96">
        <v>1690374676</v>
      </c>
      <c r="C96">
        <v>856.5</v>
      </c>
      <c r="D96" t="s">
        <v>493</v>
      </c>
      <c r="E96" t="s">
        <v>494</v>
      </c>
      <c r="F96" t="s">
        <v>330</v>
      </c>
      <c r="H96">
        <v>1690374676</v>
      </c>
      <c r="I96">
        <f t="shared" si="30"/>
        <v>1.6907428729810512E-3</v>
      </c>
      <c r="J96">
        <f t="shared" si="31"/>
        <v>1.6907428729810512</v>
      </c>
      <c r="K96">
        <f t="shared" si="32"/>
        <v>26.85041330484211</v>
      </c>
      <c r="L96">
        <f t="shared" si="33"/>
        <v>522.89400000000001</v>
      </c>
      <c r="M96">
        <f t="shared" si="34"/>
        <v>141.27376859338398</v>
      </c>
      <c r="N96">
        <f t="shared" si="35"/>
        <v>13.958762237035366</v>
      </c>
      <c r="O96">
        <f t="shared" si="36"/>
        <v>51.665309801286</v>
      </c>
      <c r="P96">
        <f t="shared" si="37"/>
        <v>0.11779301618902221</v>
      </c>
      <c r="Q96">
        <f t="shared" si="38"/>
        <v>2.2436771545288257</v>
      </c>
      <c r="R96">
        <f t="shared" si="39"/>
        <v>0.11446214995453714</v>
      </c>
      <c r="S96">
        <f t="shared" si="40"/>
        <v>7.1830263464835203E-2</v>
      </c>
      <c r="T96">
        <f t="shared" si="41"/>
        <v>276.11473086000007</v>
      </c>
      <c r="U96">
        <f t="shared" si="42"/>
        <v>27.983169698305815</v>
      </c>
      <c r="V96">
        <f t="shared" si="43"/>
        <v>27.983169698305815</v>
      </c>
      <c r="W96">
        <f t="shared" si="44"/>
        <v>3.7911179703695628</v>
      </c>
      <c r="X96">
        <f t="shared" si="45"/>
        <v>68.552312016200005</v>
      </c>
      <c r="Y96">
        <f t="shared" si="46"/>
        <v>2.3771848376709999</v>
      </c>
      <c r="Z96">
        <f t="shared" si="47"/>
        <v>3.4676946229169241</v>
      </c>
      <c r="AA96">
        <f t="shared" si="48"/>
        <v>1.4139331326985629</v>
      </c>
      <c r="AB96">
        <f t="shared" si="49"/>
        <v>-74.561760698464354</v>
      </c>
      <c r="AC96">
        <f t="shared" si="50"/>
        <v>-183.95401015879034</v>
      </c>
      <c r="AD96">
        <f t="shared" si="51"/>
        <v>-17.73347450779471</v>
      </c>
      <c r="AE96">
        <f t="shared" si="52"/>
        <v>-0.1345145050493386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52070.415718700999</v>
      </c>
      <c r="AK96">
        <f t="shared" si="56"/>
        <v>1800</v>
      </c>
      <c r="AL96">
        <f t="shared" si="57"/>
        <v>1499.1135660000002</v>
      </c>
      <c r="AM96">
        <f t="shared" si="58"/>
        <v>0.83284087000000007</v>
      </c>
      <c r="AN96">
        <f t="shared" si="59"/>
        <v>0.15339707270000003</v>
      </c>
      <c r="AO96">
        <v>30</v>
      </c>
      <c r="AP96">
        <v>0.5</v>
      </c>
      <c r="AQ96" t="s">
        <v>331</v>
      </c>
      <c r="AR96">
        <v>2</v>
      </c>
      <c r="AS96">
        <v>1690374676</v>
      </c>
      <c r="AT96">
        <v>522.89400000000001</v>
      </c>
      <c r="AU96">
        <v>799.99599999999998</v>
      </c>
      <c r="AV96">
        <v>24.059000000000001</v>
      </c>
      <c r="AW96">
        <v>7.5728</v>
      </c>
      <c r="AX96">
        <v>524.07000000000005</v>
      </c>
      <c r="AY96">
        <v>23.876100000000001</v>
      </c>
      <c r="AZ96">
        <v>300.26299999999998</v>
      </c>
      <c r="BA96">
        <v>98.706299999999999</v>
      </c>
      <c r="BB96">
        <v>0.10016899999999999</v>
      </c>
      <c r="BC96">
        <v>26.462399999999999</v>
      </c>
      <c r="BD96">
        <v>26.988299999999999</v>
      </c>
      <c r="BE96">
        <v>28.007999999999999</v>
      </c>
      <c r="BF96">
        <v>0</v>
      </c>
      <c r="BG96">
        <v>0</v>
      </c>
      <c r="BH96">
        <v>9956.8799999999992</v>
      </c>
      <c r="BI96">
        <v>1083.51</v>
      </c>
      <c r="BJ96">
        <v>1.4016500000000001</v>
      </c>
      <c r="BK96">
        <v>-277.10199999999998</v>
      </c>
      <c r="BL96">
        <v>535.78499999999997</v>
      </c>
      <c r="BM96">
        <v>806.101</v>
      </c>
      <c r="BN96">
        <v>16.4862</v>
      </c>
      <c r="BO96">
        <v>799.99599999999998</v>
      </c>
      <c r="BP96">
        <v>7.5728</v>
      </c>
      <c r="BQ96">
        <v>2.3747699999999998</v>
      </c>
      <c r="BR96">
        <v>0.74748300000000001</v>
      </c>
      <c r="BS96">
        <v>20.192799999999998</v>
      </c>
      <c r="BT96">
        <v>2.7472500000000002</v>
      </c>
      <c r="BU96">
        <v>1800</v>
      </c>
      <c r="BV96">
        <v>0.91001399999999999</v>
      </c>
      <c r="BW96">
        <v>3.4001200000000002E-2</v>
      </c>
      <c r="BX96">
        <v>2.1996000000000002E-2</v>
      </c>
      <c r="BY96">
        <v>3.3988999999999998E-2</v>
      </c>
      <c r="BZ96">
        <v>24.041699999999999</v>
      </c>
      <c r="CA96">
        <v>33528.400000000001</v>
      </c>
      <c r="CB96">
        <v>1690373417</v>
      </c>
      <c r="CC96" t="s">
        <v>332</v>
      </c>
      <c r="CD96">
        <v>1690373417</v>
      </c>
      <c r="CE96">
        <v>1690373415</v>
      </c>
      <c r="CF96">
        <v>1</v>
      </c>
      <c r="CG96">
        <v>-1.319</v>
      </c>
      <c r="CH96">
        <v>0.01</v>
      </c>
      <c r="CI96">
        <v>-1.371</v>
      </c>
      <c r="CJ96">
        <v>0.183</v>
      </c>
      <c r="CK96">
        <v>800</v>
      </c>
      <c r="CL96">
        <v>21</v>
      </c>
      <c r="CM96">
        <v>0.09</v>
      </c>
      <c r="CN96">
        <v>7.0000000000000007E-2</v>
      </c>
      <c r="CO96">
        <v>-273.80844999999999</v>
      </c>
      <c r="CP96">
        <v>-18.90718198874206</v>
      </c>
      <c r="CQ96">
        <v>1.8193745209549379</v>
      </c>
      <c r="CR96">
        <v>-1</v>
      </c>
      <c r="CS96">
        <v>16.208302499999999</v>
      </c>
      <c r="CT96">
        <v>1.535782739212002</v>
      </c>
      <c r="CU96">
        <v>0.14789721344146431</v>
      </c>
      <c r="CV96">
        <v>-1</v>
      </c>
      <c r="CW96">
        <v>0</v>
      </c>
      <c r="CX96">
        <v>0</v>
      </c>
      <c r="CY96" t="s">
        <v>333</v>
      </c>
      <c r="CZ96">
        <v>2.3658399999999999</v>
      </c>
      <c r="DA96">
        <v>2.7139199999999999</v>
      </c>
      <c r="DB96">
        <v>0.10921699999999999</v>
      </c>
      <c r="DC96">
        <v>0.145871</v>
      </c>
      <c r="DD96">
        <v>0.11393</v>
      </c>
      <c r="DE96">
        <v>4.7529399999999999E-2</v>
      </c>
      <c r="DF96">
        <v>32534.1</v>
      </c>
      <c r="DG96">
        <v>27503</v>
      </c>
      <c r="DH96">
        <v>31176.6</v>
      </c>
      <c r="DI96">
        <v>28054.9</v>
      </c>
      <c r="DJ96">
        <v>37494.6</v>
      </c>
      <c r="DK96">
        <v>37978.300000000003</v>
      </c>
      <c r="DL96">
        <v>44362.5</v>
      </c>
      <c r="DM96">
        <v>42496.9</v>
      </c>
      <c r="DN96">
        <v>1.4798</v>
      </c>
      <c r="DO96">
        <v>2.0788500000000001</v>
      </c>
      <c r="DP96">
        <v>0.121124</v>
      </c>
      <c r="DQ96">
        <v>0.18826899999999999</v>
      </c>
      <c r="DR96">
        <v>25.004200000000001</v>
      </c>
      <c r="DS96">
        <v>24.926300000000001</v>
      </c>
      <c r="DT96">
        <v>64.7</v>
      </c>
      <c r="DU96">
        <v>24.5</v>
      </c>
      <c r="DV96">
        <v>20.229199999999999</v>
      </c>
      <c r="DW96">
        <v>61.9101</v>
      </c>
      <c r="DX96">
        <v>36.290100000000002</v>
      </c>
      <c r="DY96">
        <v>1</v>
      </c>
      <c r="DZ96">
        <v>-0.16448699999999999</v>
      </c>
      <c r="EA96">
        <v>-0.75436000000000003</v>
      </c>
      <c r="EB96">
        <v>20.189299999999999</v>
      </c>
      <c r="EC96">
        <v>5.2413999999999996</v>
      </c>
      <c r="ED96">
        <v>12.039899999999999</v>
      </c>
      <c r="EE96">
        <v>5.0172499999999998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1.8687400000000001</v>
      </c>
      <c r="EL96">
        <v>1.8644499999999999</v>
      </c>
      <c r="EM96">
        <v>1.8690500000000001</v>
      </c>
      <c r="EN96">
        <v>1.86707</v>
      </c>
      <c r="EO96">
        <v>1.8632</v>
      </c>
      <c r="EP96">
        <v>1.8641799999999999</v>
      </c>
      <c r="EQ96">
        <v>1.8700600000000001</v>
      </c>
      <c r="ER96">
        <v>1.8692500000000001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-1.1759999999999999</v>
      </c>
      <c r="FG96">
        <v>0.18290000000000001</v>
      </c>
      <c r="FH96">
        <v>-0.81947142863283695</v>
      </c>
      <c r="FI96">
        <v>-6.1462078757559423E-4</v>
      </c>
      <c r="FJ96">
        <v>-1.8861989874597051E-7</v>
      </c>
      <c r="FK96">
        <v>1.1980462299894961E-10</v>
      </c>
      <c r="FL96">
        <v>0.18283500000000069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21</v>
      </c>
      <c r="FU96">
        <v>21</v>
      </c>
      <c r="FV96">
        <v>1.7712399999999999</v>
      </c>
      <c r="FW96">
        <v>2.5439500000000002</v>
      </c>
      <c r="FX96">
        <v>1.5490699999999999</v>
      </c>
      <c r="FY96">
        <v>2.34375</v>
      </c>
      <c r="FZ96">
        <v>1.50146</v>
      </c>
      <c r="GA96">
        <v>2.36206</v>
      </c>
      <c r="GB96">
        <v>30.222000000000001</v>
      </c>
      <c r="GC96">
        <v>23.991199999999999</v>
      </c>
      <c r="GD96">
        <v>19</v>
      </c>
      <c r="GE96">
        <v>280.56900000000002</v>
      </c>
      <c r="GF96">
        <v>608.48800000000006</v>
      </c>
      <c r="GG96">
        <v>25.592199999999998</v>
      </c>
      <c r="GH96">
        <v>25.365400000000001</v>
      </c>
      <c r="GI96">
        <v>29.9999</v>
      </c>
      <c r="GJ96">
        <v>25.485600000000002</v>
      </c>
      <c r="GK96">
        <v>25.456199999999999</v>
      </c>
      <c r="GL96">
        <v>35.421100000000003</v>
      </c>
      <c r="GM96">
        <v>63.098399999999998</v>
      </c>
      <c r="GN96">
        <v>78.970299999999995</v>
      </c>
      <c r="GO96">
        <v>25.603400000000001</v>
      </c>
      <c r="GP96">
        <v>800</v>
      </c>
      <c r="GQ96">
        <v>7.4981299999999997</v>
      </c>
      <c r="GR96">
        <v>99.745599999999996</v>
      </c>
      <c r="GS96">
        <v>99.437899999999999</v>
      </c>
    </row>
    <row r="97" spans="1:201" x14ac:dyDescent="0.25">
      <c r="A97">
        <v>81</v>
      </c>
      <c r="B97">
        <v>1690374686</v>
      </c>
      <c r="C97">
        <v>866.5</v>
      </c>
      <c r="D97" t="s">
        <v>495</v>
      </c>
      <c r="E97" t="s">
        <v>496</v>
      </c>
      <c r="F97" t="s">
        <v>330</v>
      </c>
      <c r="H97">
        <v>1690374686</v>
      </c>
      <c r="I97">
        <f t="shared" si="30"/>
        <v>1.7040819545810772E-3</v>
      </c>
      <c r="J97">
        <f t="shared" si="31"/>
        <v>1.7040819545810773</v>
      </c>
      <c r="K97">
        <f t="shared" si="32"/>
        <v>27.164516970930777</v>
      </c>
      <c r="L97">
        <f t="shared" si="33"/>
        <v>519.68299999999999</v>
      </c>
      <c r="M97">
        <f t="shared" si="34"/>
        <v>136.75016290160903</v>
      </c>
      <c r="N97">
        <f t="shared" si="35"/>
        <v>13.512332689616471</v>
      </c>
      <c r="O97">
        <f t="shared" si="36"/>
        <v>51.350063796196999</v>
      </c>
      <c r="P97">
        <f t="shared" si="37"/>
        <v>0.11873787007015665</v>
      </c>
      <c r="Q97">
        <f t="shared" si="38"/>
        <v>2.2517124883807922</v>
      </c>
      <c r="R97">
        <f t="shared" si="39"/>
        <v>0.11536588573385378</v>
      </c>
      <c r="S97">
        <f t="shared" si="40"/>
        <v>7.2398661693909544E-2</v>
      </c>
      <c r="T97">
        <f t="shared" si="41"/>
        <v>276.11480548633631</v>
      </c>
      <c r="U97">
        <f t="shared" si="42"/>
        <v>27.988871681013446</v>
      </c>
      <c r="V97">
        <f t="shared" si="43"/>
        <v>27.988871681013446</v>
      </c>
      <c r="W97">
        <f t="shared" si="44"/>
        <v>3.7923785012843578</v>
      </c>
      <c r="X97">
        <f t="shared" si="45"/>
        <v>68.526737675069342</v>
      </c>
      <c r="Y97">
        <f t="shared" si="46"/>
        <v>2.3784147463095002</v>
      </c>
      <c r="Z97">
        <f t="shared" si="47"/>
        <v>3.4707835612825177</v>
      </c>
      <c r="AA97">
        <f t="shared" si="48"/>
        <v>1.4139637549748576</v>
      </c>
      <c r="AB97">
        <f t="shared" si="49"/>
        <v>-75.150014197025513</v>
      </c>
      <c r="AC97">
        <f t="shared" si="50"/>
        <v>-183.47194303603703</v>
      </c>
      <c r="AD97">
        <f t="shared" si="51"/>
        <v>-17.625715954723084</v>
      </c>
      <c r="AE97">
        <f t="shared" si="52"/>
        <v>-0.13286770144932802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52380.534425503196</v>
      </c>
      <c r="AK97">
        <f t="shared" si="56"/>
        <v>1799.99</v>
      </c>
      <c r="AL97">
        <f t="shared" si="57"/>
        <v>1499.1066091836799</v>
      </c>
      <c r="AM97">
        <f t="shared" si="58"/>
        <v>0.83284163199999994</v>
      </c>
      <c r="AN97">
        <f t="shared" si="59"/>
        <v>0.15339796637</v>
      </c>
      <c r="AO97">
        <v>30</v>
      </c>
      <c r="AP97">
        <v>0.5</v>
      </c>
      <c r="AQ97" t="s">
        <v>331</v>
      </c>
      <c r="AR97">
        <v>2</v>
      </c>
      <c r="AS97">
        <v>1690374686</v>
      </c>
      <c r="AT97">
        <v>519.68299999999999</v>
      </c>
      <c r="AU97">
        <v>800.09799999999996</v>
      </c>
      <c r="AV97">
        <v>24.070499999999999</v>
      </c>
      <c r="AW97">
        <v>7.44496</v>
      </c>
      <c r="AX97">
        <v>520.85699999999997</v>
      </c>
      <c r="AY97">
        <v>23.887599999999999</v>
      </c>
      <c r="AZ97">
        <v>300.09199999999998</v>
      </c>
      <c r="BA97">
        <v>98.710300000000004</v>
      </c>
      <c r="BB97">
        <v>0.100059</v>
      </c>
      <c r="BC97">
        <v>26.477499999999999</v>
      </c>
      <c r="BD97">
        <v>26.980399999999999</v>
      </c>
      <c r="BE97">
        <v>27.991800000000001</v>
      </c>
      <c r="BF97">
        <v>0</v>
      </c>
      <c r="BG97">
        <v>0</v>
      </c>
      <c r="BH97">
        <v>10018.799999999999</v>
      </c>
      <c r="BI97">
        <v>1083.56</v>
      </c>
      <c r="BJ97">
        <v>1.4016500000000001</v>
      </c>
      <c r="BK97">
        <v>-280.41500000000002</v>
      </c>
      <c r="BL97">
        <v>532.50099999999998</v>
      </c>
      <c r="BM97">
        <v>806.09900000000005</v>
      </c>
      <c r="BN97">
        <v>16.625499999999999</v>
      </c>
      <c r="BO97">
        <v>800.09799999999996</v>
      </c>
      <c r="BP97">
        <v>7.44496</v>
      </c>
      <c r="BQ97">
        <v>2.3759999999999999</v>
      </c>
      <c r="BR97">
        <v>0.73489400000000005</v>
      </c>
      <c r="BS97">
        <v>20.2012</v>
      </c>
      <c r="BT97">
        <v>2.5082599999999999</v>
      </c>
      <c r="BU97">
        <v>1799.99</v>
      </c>
      <c r="BV97">
        <v>0.91000599999999998</v>
      </c>
      <c r="BW97">
        <v>3.3998500000000001E-2</v>
      </c>
      <c r="BX97">
        <v>2.20091E-2</v>
      </c>
      <c r="BY97">
        <v>3.3986299999999997E-2</v>
      </c>
      <c r="BZ97">
        <v>24.291699999999999</v>
      </c>
      <c r="CA97">
        <v>33528.1</v>
      </c>
      <c r="CB97">
        <v>1690373417</v>
      </c>
      <c r="CC97" t="s">
        <v>332</v>
      </c>
      <c r="CD97">
        <v>1690373417</v>
      </c>
      <c r="CE97">
        <v>1690373415</v>
      </c>
      <c r="CF97">
        <v>1</v>
      </c>
      <c r="CG97">
        <v>-1.319</v>
      </c>
      <c r="CH97">
        <v>0.01</v>
      </c>
      <c r="CI97">
        <v>-1.371</v>
      </c>
      <c r="CJ97">
        <v>0.183</v>
      </c>
      <c r="CK97">
        <v>800</v>
      </c>
      <c r="CL97">
        <v>21</v>
      </c>
      <c r="CM97">
        <v>0.09</v>
      </c>
      <c r="CN97">
        <v>7.0000000000000007E-2</v>
      </c>
      <c r="CO97">
        <v>-276.963525</v>
      </c>
      <c r="CP97">
        <v>-18.963095684802951</v>
      </c>
      <c r="CQ97">
        <v>1.82500508201347</v>
      </c>
      <c r="CR97">
        <v>-1</v>
      </c>
      <c r="CS97">
        <v>16.444477500000001</v>
      </c>
      <c r="CT97">
        <v>1.237090806754177</v>
      </c>
      <c r="CU97">
        <v>0.1206268554002385</v>
      </c>
      <c r="CV97">
        <v>-1</v>
      </c>
      <c r="CW97">
        <v>0</v>
      </c>
      <c r="CX97">
        <v>0</v>
      </c>
      <c r="CY97" t="s">
        <v>333</v>
      </c>
      <c r="CZ97">
        <v>2.3652899999999999</v>
      </c>
      <c r="DA97">
        <v>2.71387</v>
      </c>
      <c r="DB97">
        <v>0.108737</v>
      </c>
      <c r="DC97">
        <v>0.14588699999999999</v>
      </c>
      <c r="DD97">
        <v>0.11397400000000001</v>
      </c>
      <c r="DE97">
        <v>4.6892099999999999E-2</v>
      </c>
      <c r="DF97">
        <v>32551.4</v>
      </c>
      <c r="DG97">
        <v>27502.6</v>
      </c>
      <c r="DH97">
        <v>31176.400000000001</v>
      </c>
      <c r="DI97">
        <v>28055.1</v>
      </c>
      <c r="DJ97">
        <v>37492.199999999997</v>
      </c>
      <c r="DK97">
        <v>38004.199999999997</v>
      </c>
      <c r="DL97">
        <v>44362.1</v>
      </c>
      <c r="DM97">
        <v>42497.3</v>
      </c>
      <c r="DN97">
        <v>1.4794799999999999</v>
      </c>
      <c r="DO97">
        <v>2.0785</v>
      </c>
      <c r="DP97">
        <v>0.12045400000000001</v>
      </c>
      <c r="DQ97">
        <v>0.18699499999999999</v>
      </c>
      <c r="DR97">
        <v>25.007300000000001</v>
      </c>
      <c r="DS97">
        <v>24.931000000000001</v>
      </c>
      <c r="DT97">
        <v>64.400000000000006</v>
      </c>
      <c r="DU97">
        <v>24.5</v>
      </c>
      <c r="DV97">
        <v>20.1326</v>
      </c>
      <c r="DW97">
        <v>61.810099999999998</v>
      </c>
      <c r="DX97">
        <v>37.243600000000001</v>
      </c>
      <c r="DY97">
        <v>1</v>
      </c>
      <c r="DZ97">
        <v>-0.164522</v>
      </c>
      <c r="EA97">
        <v>-0.75642699999999996</v>
      </c>
      <c r="EB97">
        <v>20.189399999999999</v>
      </c>
      <c r="EC97">
        <v>5.2416999999999998</v>
      </c>
      <c r="ED97">
        <v>12.039899999999999</v>
      </c>
      <c r="EE97">
        <v>5.0172499999999998</v>
      </c>
      <c r="EF97">
        <v>3.2879700000000001</v>
      </c>
      <c r="EG97">
        <v>9999</v>
      </c>
      <c r="EH97">
        <v>9999</v>
      </c>
      <c r="EI97">
        <v>9999</v>
      </c>
      <c r="EJ97">
        <v>999.9</v>
      </c>
      <c r="EK97">
        <v>1.8687400000000001</v>
      </c>
      <c r="EL97">
        <v>1.8644400000000001</v>
      </c>
      <c r="EM97">
        <v>1.8690599999999999</v>
      </c>
      <c r="EN97">
        <v>1.86707</v>
      </c>
      <c r="EO97">
        <v>1.86324</v>
      </c>
      <c r="EP97">
        <v>1.8641700000000001</v>
      </c>
      <c r="EQ97">
        <v>1.8700300000000001</v>
      </c>
      <c r="ER97">
        <v>1.86924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-1.1739999999999999</v>
      </c>
      <c r="FG97">
        <v>0.18290000000000001</v>
      </c>
      <c r="FH97">
        <v>-0.81947142863283695</v>
      </c>
      <c r="FI97">
        <v>-6.1462078757559423E-4</v>
      </c>
      <c r="FJ97">
        <v>-1.8861989874597051E-7</v>
      </c>
      <c r="FK97">
        <v>1.1980462299894961E-10</v>
      </c>
      <c r="FL97">
        <v>0.18283500000000069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21.1</v>
      </c>
      <c r="FU97">
        <v>21.2</v>
      </c>
      <c r="FV97">
        <v>1.7712399999999999</v>
      </c>
      <c r="FW97">
        <v>2.5524900000000001</v>
      </c>
      <c r="FX97">
        <v>1.5490699999999999</v>
      </c>
      <c r="FY97">
        <v>2.34375</v>
      </c>
      <c r="FZ97">
        <v>1.50146</v>
      </c>
      <c r="GA97">
        <v>2.34863</v>
      </c>
      <c r="GB97">
        <v>30.243400000000001</v>
      </c>
      <c r="GC97">
        <v>23.982399999999998</v>
      </c>
      <c r="GD97">
        <v>19</v>
      </c>
      <c r="GE97">
        <v>280.42399999999998</v>
      </c>
      <c r="GF97">
        <v>608.178</v>
      </c>
      <c r="GG97">
        <v>25.612100000000002</v>
      </c>
      <c r="GH97">
        <v>25.362200000000001</v>
      </c>
      <c r="GI97">
        <v>30</v>
      </c>
      <c r="GJ97">
        <v>25.483799999999999</v>
      </c>
      <c r="GK97">
        <v>25.455300000000001</v>
      </c>
      <c r="GL97">
        <v>35.413499999999999</v>
      </c>
      <c r="GM97">
        <v>63.422800000000002</v>
      </c>
      <c r="GN97">
        <v>78.174700000000001</v>
      </c>
      <c r="GO97">
        <v>25.622399999999999</v>
      </c>
      <c r="GP97">
        <v>800</v>
      </c>
      <c r="GQ97">
        <v>7.2696199999999997</v>
      </c>
      <c r="GR97">
        <v>99.744699999999995</v>
      </c>
      <c r="GS97">
        <v>99.438800000000001</v>
      </c>
    </row>
    <row r="98" spans="1:201" x14ac:dyDescent="0.25">
      <c r="A98">
        <v>82</v>
      </c>
      <c r="B98">
        <v>1690374696</v>
      </c>
      <c r="C98">
        <v>876.5</v>
      </c>
      <c r="D98" t="s">
        <v>497</v>
      </c>
      <c r="E98" t="s">
        <v>498</v>
      </c>
      <c r="F98" t="s">
        <v>330</v>
      </c>
      <c r="H98">
        <v>1690374696</v>
      </c>
      <c r="I98">
        <f t="shared" si="30"/>
        <v>1.7326608350403776E-3</v>
      </c>
      <c r="J98">
        <f t="shared" si="31"/>
        <v>1.7326608350403776</v>
      </c>
      <c r="K98">
        <f t="shared" si="32"/>
        <v>27.457987267418925</v>
      </c>
      <c r="L98">
        <f t="shared" si="33"/>
        <v>516.62300000000005</v>
      </c>
      <c r="M98">
        <f t="shared" si="34"/>
        <v>137.36873686943335</v>
      </c>
      <c r="N98">
        <f t="shared" si="35"/>
        <v>13.573378515271232</v>
      </c>
      <c r="O98">
        <f t="shared" si="36"/>
        <v>51.047419438384004</v>
      </c>
      <c r="P98">
        <f t="shared" si="37"/>
        <v>0.12125775037251955</v>
      </c>
      <c r="Q98">
        <f t="shared" si="38"/>
        <v>2.2479979260715099</v>
      </c>
      <c r="R98">
        <f t="shared" si="39"/>
        <v>0.11773778032494829</v>
      </c>
      <c r="S98">
        <f t="shared" si="40"/>
        <v>7.3893856777102848E-2</v>
      </c>
      <c r="T98">
        <f t="shared" si="41"/>
        <v>276.11627328000009</v>
      </c>
      <c r="U98">
        <f t="shared" si="42"/>
        <v>27.974978499650454</v>
      </c>
      <c r="V98">
        <f t="shared" si="43"/>
        <v>27.974978499650454</v>
      </c>
      <c r="W98">
        <f t="shared" si="44"/>
        <v>3.7893077910294291</v>
      </c>
      <c r="X98">
        <f t="shared" si="45"/>
        <v>68.6166588780534</v>
      </c>
      <c r="Y98">
        <f t="shared" si="46"/>
        <v>2.3805950612015998</v>
      </c>
      <c r="Z98">
        <f t="shared" si="47"/>
        <v>3.4694126763479272</v>
      </c>
      <c r="AA98">
        <f t="shared" si="48"/>
        <v>1.4087127298278292</v>
      </c>
      <c r="AB98">
        <f t="shared" si="49"/>
        <v>-76.410342825280651</v>
      </c>
      <c r="AC98">
        <f t="shared" si="50"/>
        <v>-182.29750564040742</v>
      </c>
      <c r="AD98">
        <f t="shared" si="51"/>
        <v>-17.540022807336481</v>
      </c>
      <c r="AE98">
        <f t="shared" si="52"/>
        <v>-0.13159799302445663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52237.027348870142</v>
      </c>
      <c r="AK98">
        <f t="shared" si="56"/>
        <v>1800</v>
      </c>
      <c r="AL98">
        <f t="shared" si="57"/>
        <v>1499.1127110000002</v>
      </c>
      <c r="AM98">
        <f t="shared" si="58"/>
        <v>0.83284039500000007</v>
      </c>
      <c r="AN98">
        <f t="shared" si="59"/>
        <v>0.15339792960000004</v>
      </c>
      <c r="AO98">
        <v>30</v>
      </c>
      <c r="AP98">
        <v>0.5</v>
      </c>
      <c r="AQ98" t="s">
        <v>331</v>
      </c>
      <c r="AR98">
        <v>2</v>
      </c>
      <c r="AS98">
        <v>1690374696</v>
      </c>
      <c r="AT98">
        <v>516.62300000000005</v>
      </c>
      <c r="AU98">
        <v>800.02099999999996</v>
      </c>
      <c r="AV98">
        <v>24.092700000000001</v>
      </c>
      <c r="AW98">
        <v>7.1914800000000003</v>
      </c>
      <c r="AX98">
        <v>517.79499999999996</v>
      </c>
      <c r="AY98">
        <v>23.909800000000001</v>
      </c>
      <c r="AZ98">
        <v>300.14100000000002</v>
      </c>
      <c r="BA98">
        <v>98.709800000000001</v>
      </c>
      <c r="BB98">
        <v>0.100008</v>
      </c>
      <c r="BC98">
        <v>26.470800000000001</v>
      </c>
      <c r="BD98">
        <v>26.992799999999999</v>
      </c>
      <c r="BE98">
        <v>28.002099999999999</v>
      </c>
      <c r="BF98">
        <v>0</v>
      </c>
      <c r="BG98">
        <v>0</v>
      </c>
      <c r="BH98">
        <v>9990</v>
      </c>
      <c r="BI98">
        <v>1083.5899999999999</v>
      </c>
      <c r="BJ98">
        <v>1.4016500000000001</v>
      </c>
      <c r="BK98">
        <v>-283.39800000000002</v>
      </c>
      <c r="BL98">
        <v>529.37699999999995</v>
      </c>
      <c r="BM98">
        <v>805.81600000000003</v>
      </c>
      <c r="BN98">
        <v>16.901199999999999</v>
      </c>
      <c r="BO98">
        <v>800.02099999999996</v>
      </c>
      <c r="BP98">
        <v>7.1914800000000003</v>
      </c>
      <c r="BQ98">
        <v>2.37818</v>
      </c>
      <c r="BR98">
        <v>0.70987</v>
      </c>
      <c r="BS98">
        <v>20.216000000000001</v>
      </c>
      <c r="BT98">
        <v>2.0222500000000001</v>
      </c>
      <c r="BU98">
        <v>1800</v>
      </c>
      <c r="BV98">
        <v>0.90999300000000005</v>
      </c>
      <c r="BW98">
        <v>3.3995999999999998E-2</v>
      </c>
      <c r="BX98">
        <v>2.2007499999999999E-2</v>
      </c>
      <c r="BY98">
        <v>3.4003400000000003E-2</v>
      </c>
      <c r="BZ98">
        <v>24.666699999999999</v>
      </c>
      <c r="CA98">
        <v>33528.199999999997</v>
      </c>
      <c r="CB98">
        <v>1690373417</v>
      </c>
      <c r="CC98" t="s">
        <v>332</v>
      </c>
      <c r="CD98">
        <v>1690373417</v>
      </c>
      <c r="CE98">
        <v>1690373415</v>
      </c>
      <c r="CF98">
        <v>1</v>
      </c>
      <c r="CG98">
        <v>-1.319</v>
      </c>
      <c r="CH98">
        <v>0.01</v>
      </c>
      <c r="CI98">
        <v>-1.371</v>
      </c>
      <c r="CJ98">
        <v>0.183</v>
      </c>
      <c r="CK98">
        <v>800</v>
      </c>
      <c r="CL98">
        <v>21</v>
      </c>
      <c r="CM98">
        <v>0.09</v>
      </c>
      <c r="CN98">
        <v>7.0000000000000007E-2</v>
      </c>
      <c r="CO98">
        <v>-279.90146341463412</v>
      </c>
      <c r="CP98">
        <v>-19.357881533101569</v>
      </c>
      <c r="CQ98">
        <v>1.9092318094773211</v>
      </c>
      <c r="CR98">
        <v>-1</v>
      </c>
      <c r="CS98">
        <v>16.630919512195121</v>
      </c>
      <c r="CT98">
        <v>1.113353310104515</v>
      </c>
      <c r="CU98">
        <v>0.11154759067379209</v>
      </c>
      <c r="CV98">
        <v>-1</v>
      </c>
      <c r="CW98">
        <v>0</v>
      </c>
      <c r="CX98">
        <v>0</v>
      </c>
      <c r="CY98" t="s">
        <v>333</v>
      </c>
      <c r="CZ98">
        <v>2.3654600000000001</v>
      </c>
      <c r="DA98">
        <v>2.7137899999999999</v>
      </c>
      <c r="DB98">
        <v>0.10827299999999999</v>
      </c>
      <c r="DC98">
        <v>0.145873</v>
      </c>
      <c r="DD98">
        <v>0.114047</v>
      </c>
      <c r="DE98">
        <v>4.5613800000000003E-2</v>
      </c>
      <c r="DF98">
        <v>32568.9</v>
      </c>
      <c r="DG98">
        <v>27503.4</v>
      </c>
      <c r="DH98">
        <v>31176.799999999999</v>
      </c>
      <c r="DI98">
        <v>28055.4</v>
      </c>
      <c r="DJ98">
        <v>37489.599999999999</v>
      </c>
      <c r="DK98">
        <v>38055.5</v>
      </c>
      <c r="DL98">
        <v>44362.7</v>
      </c>
      <c r="DM98">
        <v>42497.599999999999</v>
      </c>
      <c r="DN98">
        <v>1.4797499999999999</v>
      </c>
      <c r="DO98">
        <v>2.0783299999999998</v>
      </c>
      <c r="DP98">
        <v>0.121117</v>
      </c>
      <c r="DQ98">
        <v>0.187524</v>
      </c>
      <c r="DR98">
        <v>25.008800000000001</v>
      </c>
      <c r="DS98">
        <v>24.932700000000001</v>
      </c>
      <c r="DT98">
        <v>64.099999999999994</v>
      </c>
      <c r="DU98">
        <v>24.5</v>
      </c>
      <c r="DV98">
        <v>20.0381</v>
      </c>
      <c r="DW98">
        <v>61.620100000000001</v>
      </c>
      <c r="DX98">
        <v>36.3782</v>
      </c>
      <c r="DY98">
        <v>1</v>
      </c>
      <c r="DZ98">
        <v>-0.16456799999999999</v>
      </c>
      <c r="EA98">
        <v>-0.76877200000000001</v>
      </c>
      <c r="EB98">
        <v>20.189399999999999</v>
      </c>
      <c r="EC98">
        <v>5.2421499999999996</v>
      </c>
      <c r="ED98">
        <v>12.039899999999999</v>
      </c>
      <c r="EE98">
        <v>5.0170500000000002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1.8687400000000001</v>
      </c>
      <c r="EL98">
        <v>1.8644099999999999</v>
      </c>
      <c r="EM98">
        <v>1.8690500000000001</v>
      </c>
      <c r="EN98">
        <v>1.86707</v>
      </c>
      <c r="EO98">
        <v>1.8632299999999999</v>
      </c>
      <c r="EP98">
        <v>1.8641799999999999</v>
      </c>
      <c r="EQ98">
        <v>1.8700600000000001</v>
      </c>
      <c r="ER98">
        <v>1.8692500000000001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-1.1719999999999999</v>
      </c>
      <c r="FG98">
        <v>0.18290000000000001</v>
      </c>
      <c r="FH98">
        <v>-0.81947142863283695</v>
      </c>
      <c r="FI98">
        <v>-6.1462078757559423E-4</v>
      </c>
      <c r="FJ98">
        <v>-1.8861989874597051E-7</v>
      </c>
      <c r="FK98">
        <v>1.1980462299894961E-10</v>
      </c>
      <c r="FL98">
        <v>0.18283500000000069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21.3</v>
      </c>
      <c r="FU98">
        <v>21.4</v>
      </c>
      <c r="FV98">
        <v>1.7712399999999999</v>
      </c>
      <c r="FW98">
        <v>2.5524900000000001</v>
      </c>
      <c r="FX98">
        <v>1.5490699999999999</v>
      </c>
      <c r="FY98">
        <v>2.34375</v>
      </c>
      <c r="FZ98">
        <v>1.50146</v>
      </c>
      <c r="GA98">
        <v>2.2802699999999998</v>
      </c>
      <c r="GB98">
        <v>30.243400000000001</v>
      </c>
      <c r="GC98">
        <v>23.982399999999998</v>
      </c>
      <c r="GD98">
        <v>19</v>
      </c>
      <c r="GE98">
        <v>280.53699999999998</v>
      </c>
      <c r="GF98">
        <v>608.00400000000002</v>
      </c>
      <c r="GG98">
        <v>25.632899999999999</v>
      </c>
      <c r="GH98">
        <v>25.3597</v>
      </c>
      <c r="GI98">
        <v>29.9999</v>
      </c>
      <c r="GJ98">
        <v>25.4833</v>
      </c>
      <c r="GK98">
        <v>25.453199999999999</v>
      </c>
      <c r="GL98">
        <v>35.409999999999997</v>
      </c>
      <c r="GM98">
        <v>64.300399999999996</v>
      </c>
      <c r="GN98">
        <v>77.386799999999994</v>
      </c>
      <c r="GO98">
        <v>25.639900000000001</v>
      </c>
      <c r="GP98">
        <v>800</v>
      </c>
      <c r="GQ98">
        <v>7.0317400000000001</v>
      </c>
      <c r="GR98">
        <v>99.746099999999998</v>
      </c>
      <c r="GS98">
        <v>99.439599999999999</v>
      </c>
    </row>
    <row r="99" spans="1:201" x14ac:dyDescent="0.25">
      <c r="A99">
        <v>83</v>
      </c>
      <c r="B99">
        <v>1690374706</v>
      </c>
      <c r="C99">
        <v>886.5</v>
      </c>
      <c r="D99" t="s">
        <v>499</v>
      </c>
      <c r="E99" t="s">
        <v>500</v>
      </c>
      <c r="F99" t="s">
        <v>330</v>
      </c>
      <c r="H99">
        <v>1690374706</v>
      </c>
      <c r="I99">
        <f t="shared" si="30"/>
        <v>1.7573782811258179E-3</v>
      </c>
      <c r="J99">
        <f t="shared" si="31"/>
        <v>1.7573782811258178</v>
      </c>
      <c r="K99">
        <f t="shared" si="32"/>
        <v>27.771946331372213</v>
      </c>
      <c r="L99">
        <f t="shared" si="33"/>
        <v>513.50599999999997</v>
      </c>
      <c r="M99">
        <f t="shared" si="34"/>
        <v>135.91427302683962</v>
      </c>
      <c r="N99">
        <f t="shared" si="35"/>
        <v>13.429644017554825</v>
      </c>
      <c r="O99">
        <f t="shared" si="36"/>
        <v>50.739356708450202</v>
      </c>
      <c r="P99">
        <f t="shared" si="37"/>
        <v>0.12321619477510386</v>
      </c>
      <c r="Q99">
        <f t="shared" si="38"/>
        <v>2.2531455959882249</v>
      </c>
      <c r="R99">
        <f t="shared" si="39"/>
        <v>0.11959147431455035</v>
      </c>
      <c r="S99">
        <f t="shared" si="40"/>
        <v>7.5061456192754256E-2</v>
      </c>
      <c r="T99">
        <f t="shared" si="41"/>
        <v>276.11465783315663</v>
      </c>
      <c r="U99">
        <f t="shared" si="42"/>
        <v>27.974421696168527</v>
      </c>
      <c r="V99">
        <f t="shared" si="43"/>
        <v>27.974421696168527</v>
      </c>
      <c r="W99">
        <f t="shared" si="44"/>
        <v>3.7891847699730992</v>
      </c>
      <c r="X99">
        <f t="shared" si="45"/>
        <v>68.628950123682159</v>
      </c>
      <c r="Y99">
        <f t="shared" si="46"/>
        <v>2.3825382073370802</v>
      </c>
      <c r="Z99">
        <f t="shared" si="47"/>
        <v>3.4716226942759616</v>
      </c>
      <c r="AA99">
        <f t="shared" si="48"/>
        <v>1.4066465626360189</v>
      </c>
      <c r="AB99">
        <f t="shared" si="49"/>
        <v>-77.500382197648577</v>
      </c>
      <c r="AC99">
        <f t="shared" si="50"/>
        <v>-181.3354181096926</v>
      </c>
      <c r="AD99">
        <f t="shared" si="51"/>
        <v>-17.408481905334718</v>
      </c>
      <c r="AE99">
        <f t="shared" si="52"/>
        <v>-0.12962437951927086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52435.678062329418</v>
      </c>
      <c r="AK99">
        <f t="shared" si="56"/>
        <v>1799.99</v>
      </c>
      <c r="AL99">
        <f t="shared" si="57"/>
        <v>1499.10413779741</v>
      </c>
      <c r="AM99">
        <f t="shared" si="58"/>
        <v>0.83284025900000003</v>
      </c>
      <c r="AN99">
        <f t="shared" si="59"/>
        <v>0.15339788434000001</v>
      </c>
      <c r="AO99">
        <v>30</v>
      </c>
      <c r="AP99">
        <v>0.5</v>
      </c>
      <c r="AQ99" t="s">
        <v>331</v>
      </c>
      <c r="AR99">
        <v>2</v>
      </c>
      <c r="AS99">
        <v>1690374706</v>
      </c>
      <c r="AT99">
        <v>513.50599999999997</v>
      </c>
      <c r="AU99">
        <v>800.11500000000001</v>
      </c>
      <c r="AV99">
        <v>24.112400000000001</v>
      </c>
      <c r="AW99">
        <v>6.9704199999999998</v>
      </c>
      <c r="AX99">
        <v>514.67600000000004</v>
      </c>
      <c r="AY99">
        <v>23.929600000000001</v>
      </c>
      <c r="AZ99">
        <v>300.14100000000002</v>
      </c>
      <c r="BA99">
        <v>98.709800000000001</v>
      </c>
      <c r="BB99">
        <v>9.9866700000000003E-2</v>
      </c>
      <c r="BC99">
        <v>26.4816</v>
      </c>
      <c r="BD99">
        <v>27.0045</v>
      </c>
      <c r="BE99">
        <v>28.009</v>
      </c>
      <c r="BF99">
        <v>0</v>
      </c>
      <c r="BG99">
        <v>0</v>
      </c>
      <c r="BH99">
        <v>10030</v>
      </c>
      <c r="BI99">
        <v>1083.55</v>
      </c>
      <c r="BJ99">
        <v>1.4016500000000001</v>
      </c>
      <c r="BK99">
        <v>-286.60899999999998</v>
      </c>
      <c r="BL99">
        <v>526.19399999999996</v>
      </c>
      <c r="BM99">
        <v>805.73199999999997</v>
      </c>
      <c r="BN99">
        <v>17.141999999999999</v>
      </c>
      <c r="BO99">
        <v>800.11500000000001</v>
      </c>
      <c r="BP99">
        <v>6.9704199999999998</v>
      </c>
      <c r="BQ99">
        <v>2.3801299999999999</v>
      </c>
      <c r="BR99">
        <v>0.68804900000000002</v>
      </c>
      <c r="BS99">
        <v>20.229199999999999</v>
      </c>
      <c r="BT99">
        <v>1.5859300000000001</v>
      </c>
      <c r="BU99">
        <v>1799.99</v>
      </c>
      <c r="BV99">
        <v>0.90998900000000005</v>
      </c>
      <c r="BW99">
        <v>3.3993200000000001E-2</v>
      </c>
      <c r="BX99">
        <v>2.20057E-2</v>
      </c>
      <c r="BY99">
        <v>3.4012399999999998E-2</v>
      </c>
      <c r="BZ99">
        <v>24.666699999999999</v>
      </c>
      <c r="CA99">
        <v>33528.199999999997</v>
      </c>
      <c r="CB99">
        <v>1690373417</v>
      </c>
      <c r="CC99" t="s">
        <v>332</v>
      </c>
      <c r="CD99">
        <v>1690373417</v>
      </c>
      <c r="CE99">
        <v>1690373415</v>
      </c>
      <c r="CF99">
        <v>1</v>
      </c>
      <c r="CG99">
        <v>-1.319</v>
      </c>
      <c r="CH99">
        <v>0.01</v>
      </c>
      <c r="CI99">
        <v>-1.371</v>
      </c>
      <c r="CJ99">
        <v>0.183</v>
      </c>
      <c r="CK99">
        <v>800</v>
      </c>
      <c r="CL99">
        <v>21</v>
      </c>
      <c r="CM99">
        <v>0.09</v>
      </c>
      <c r="CN99">
        <v>7.0000000000000007E-2</v>
      </c>
      <c r="CO99">
        <v>-283.34692682926828</v>
      </c>
      <c r="CP99">
        <v>-18.52685017421609</v>
      </c>
      <c r="CQ99">
        <v>1.8281451667588109</v>
      </c>
      <c r="CR99">
        <v>-1</v>
      </c>
      <c r="CS99">
        <v>16.87890243902439</v>
      </c>
      <c r="CT99">
        <v>1.5760348432055451</v>
      </c>
      <c r="CU99">
        <v>0.15546881184811909</v>
      </c>
      <c r="CV99">
        <v>-1</v>
      </c>
      <c r="CW99">
        <v>0</v>
      </c>
      <c r="CX99">
        <v>0</v>
      </c>
      <c r="CY99" t="s">
        <v>333</v>
      </c>
      <c r="CZ99">
        <v>2.36544</v>
      </c>
      <c r="DA99">
        <v>2.7136800000000001</v>
      </c>
      <c r="DB99">
        <v>0.10780000000000001</v>
      </c>
      <c r="DC99">
        <v>0.14588000000000001</v>
      </c>
      <c r="DD99">
        <v>0.11411399999999999</v>
      </c>
      <c r="DE99">
        <v>4.4487499999999999E-2</v>
      </c>
      <c r="DF99">
        <v>32585.9</v>
      </c>
      <c r="DG99">
        <v>27503.5</v>
      </c>
      <c r="DH99">
        <v>31176.6</v>
      </c>
      <c r="DI99">
        <v>28055.7</v>
      </c>
      <c r="DJ99">
        <v>37486.5</v>
      </c>
      <c r="DK99">
        <v>38101.1</v>
      </c>
      <c r="DL99">
        <v>44362.5</v>
      </c>
      <c r="DM99">
        <v>42498.2</v>
      </c>
      <c r="DN99">
        <v>1.4795700000000001</v>
      </c>
      <c r="DO99">
        <v>2.0777999999999999</v>
      </c>
      <c r="DP99">
        <v>0.121765</v>
      </c>
      <c r="DQ99">
        <v>0.18779199999999999</v>
      </c>
      <c r="DR99">
        <v>25.009899999999998</v>
      </c>
      <c r="DS99">
        <v>24.935199999999998</v>
      </c>
      <c r="DT99">
        <v>63.9</v>
      </c>
      <c r="DU99">
        <v>24.6</v>
      </c>
      <c r="DV99">
        <v>20.0974</v>
      </c>
      <c r="DW99">
        <v>61.520099999999999</v>
      </c>
      <c r="DX99">
        <v>36.686700000000002</v>
      </c>
      <c r="DY99">
        <v>1</v>
      </c>
      <c r="DZ99">
        <v>-0.164685</v>
      </c>
      <c r="EA99">
        <v>-0.76940600000000003</v>
      </c>
      <c r="EB99">
        <v>20.189499999999999</v>
      </c>
      <c r="EC99">
        <v>5.242</v>
      </c>
      <c r="ED99">
        <v>12.039899999999999</v>
      </c>
      <c r="EE99">
        <v>5.0175000000000001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1.8687400000000001</v>
      </c>
      <c r="EL99">
        <v>1.8644000000000001</v>
      </c>
      <c r="EM99">
        <v>1.8690599999999999</v>
      </c>
      <c r="EN99">
        <v>1.86707</v>
      </c>
      <c r="EO99">
        <v>1.86321</v>
      </c>
      <c r="EP99">
        <v>1.8642000000000001</v>
      </c>
      <c r="EQ99">
        <v>1.87005</v>
      </c>
      <c r="ER99">
        <v>1.8692299999999999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-1.17</v>
      </c>
      <c r="FG99">
        <v>0.18279999999999999</v>
      </c>
      <c r="FH99">
        <v>-0.81947142863283695</v>
      </c>
      <c r="FI99">
        <v>-6.1462078757559423E-4</v>
      </c>
      <c r="FJ99">
        <v>-1.8861989874597051E-7</v>
      </c>
      <c r="FK99">
        <v>1.1980462299894961E-10</v>
      </c>
      <c r="FL99">
        <v>0.18283500000000069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21.5</v>
      </c>
      <c r="FU99">
        <v>21.5</v>
      </c>
      <c r="FV99">
        <v>1.7700199999999999</v>
      </c>
      <c r="FW99">
        <v>2.5476100000000002</v>
      </c>
      <c r="FX99">
        <v>1.5490699999999999</v>
      </c>
      <c r="FY99">
        <v>2.34375</v>
      </c>
      <c r="FZ99">
        <v>1.50146</v>
      </c>
      <c r="GA99">
        <v>2.35229</v>
      </c>
      <c r="GB99">
        <v>30.264900000000001</v>
      </c>
      <c r="GC99">
        <v>23.991199999999999</v>
      </c>
      <c r="GD99">
        <v>19</v>
      </c>
      <c r="GE99">
        <v>280.45499999999998</v>
      </c>
      <c r="GF99">
        <v>607.53200000000004</v>
      </c>
      <c r="GG99">
        <v>25.651700000000002</v>
      </c>
      <c r="GH99">
        <v>25.357600000000001</v>
      </c>
      <c r="GI99">
        <v>29.9999</v>
      </c>
      <c r="GJ99">
        <v>25.481400000000001</v>
      </c>
      <c r="GK99">
        <v>25.451000000000001</v>
      </c>
      <c r="GL99">
        <v>35.398499999999999</v>
      </c>
      <c r="GM99">
        <v>65.1995</v>
      </c>
      <c r="GN99">
        <v>76.588499999999996</v>
      </c>
      <c r="GO99">
        <v>25.6524</v>
      </c>
      <c r="GP99">
        <v>800</v>
      </c>
      <c r="GQ99">
        <v>6.7931299999999997</v>
      </c>
      <c r="GR99">
        <v>99.745500000000007</v>
      </c>
      <c r="GS99">
        <v>99.440899999999999</v>
      </c>
    </row>
    <row r="100" spans="1:201" x14ac:dyDescent="0.25">
      <c r="A100">
        <v>84</v>
      </c>
      <c r="B100">
        <v>1690374716</v>
      </c>
      <c r="C100">
        <v>896.5</v>
      </c>
      <c r="D100" t="s">
        <v>501</v>
      </c>
      <c r="E100" t="s">
        <v>502</v>
      </c>
      <c r="F100" t="s">
        <v>330</v>
      </c>
      <c r="H100">
        <v>1690374716</v>
      </c>
      <c r="I100">
        <f t="shared" si="30"/>
        <v>1.7851412172258507E-3</v>
      </c>
      <c r="J100">
        <f t="shared" si="31"/>
        <v>1.7851412172258507</v>
      </c>
      <c r="K100">
        <f t="shared" si="32"/>
        <v>28.066448609678542</v>
      </c>
      <c r="L100">
        <f t="shared" si="33"/>
        <v>510.45699999999999</v>
      </c>
      <c r="M100">
        <f t="shared" si="34"/>
        <v>135.43353030302458</v>
      </c>
      <c r="N100">
        <f t="shared" si="35"/>
        <v>13.382227325913652</v>
      </c>
      <c r="O100">
        <f t="shared" si="36"/>
        <v>50.438407673637599</v>
      </c>
      <c r="P100">
        <f t="shared" si="37"/>
        <v>0.12543604811015988</v>
      </c>
      <c r="Q100">
        <f t="shared" si="38"/>
        <v>2.2501814156236941</v>
      </c>
      <c r="R100">
        <f t="shared" si="39"/>
        <v>0.12167690184706764</v>
      </c>
      <c r="S100">
        <f t="shared" si="40"/>
        <v>7.6376423951685923E-2</v>
      </c>
      <c r="T100">
        <f t="shared" si="41"/>
        <v>276.11430696110591</v>
      </c>
      <c r="U100">
        <f t="shared" si="42"/>
        <v>27.972893153982326</v>
      </c>
      <c r="V100">
        <f t="shared" si="43"/>
        <v>27.972893153982326</v>
      </c>
      <c r="W100">
        <f t="shared" si="44"/>
        <v>3.7888470693181922</v>
      </c>
      <c r="X100">
        <f t="shared" si="45"/>
        <v>68.660716214942227</v>
      </c>
      <c r="Y100">
        <f t="shared" si="46"/>
        <v>2.3844703203182398</v>
      </c>
      <c r="Z100">
        <f t="shared" si="47"/>
        <v>3.4728305379944775</v>
      </c>
      <c r="AA100">
        <f t="shared" si="48"/>
        <v>1.4043767489999524</v>
      </c>
      <c r="AB100">
        <f t="shared" si="49"/>
        <v>-78.72472767966002</v>
      </c>
      <c r="AC100">
        <f t="shared" si="50"/>
        <v>-180.19568822106874</v>
      </c>
      <c r="AD100">
        <f t="shared" si="51"/>
        <v>-17.322231510297925</v>
      </c>
      <c r="AE100">
        <f t="shared" si="52"/>
        <v>-0.12834044992075633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52319.132245539011</v>
      </c>
      <c r="AK100">
        <f t="shared" si="56"/>
        <v>1799.99</v>
      </c>
      <c r="AL100">
        <f t="shared" si="57"/>
        <v>1499.10430339649</v>
      </c>
      <c r="AM100">
        <f t="shared" si="58"/>
        <v>0.83284035099999998</v>
      </c>
      <c r="AN100">
        <f t="shared" si="59"/>
        <v>0.15339768941000001</v>
      </c>
      <c r="AO100">
        <v>30</v>
      </c>
      <c r="AP100">
        <v>0.5</v>
      </c>
      <c r="AQ100" t="s">
        <v>331</v>
      </c>
      <c r="AR100">
        <v>2</v>
      </c>
      <c r="AS100">
        <v>1690374716</v>
      </c>
      <c r="AT100">
        <v>510.45699999999999</v>
      </c>
      <c r="AU100">
        <v>800.11800000000005</v>
      </c>
      <c r="AV100">
        <v>24.131799999999998</v>
      </c>
      <c r="AW100">
        <v>6.71814</v>
      </c>
      <c r="AX100">
        <v>511.62400000000002</v>
      </c>
      <c r="AY100">
        <v>23.948899999999998</v>
      </c>
      <c r="AZ100">
        <v>300.12</v>
      </c>
      <c r="BA100">
        <v>98.710300000000004</v>
      </c>
      <c r="BB100">
        <v>9.9996799999999997E-2</v>
      </c>
      <c r="BC100">
        <v>26.487500000000001</v>
      </c>
      <c r="BD100">
        <v>26.9968</v>
      </c>
      <c r="BE100">
        <v>27.992899999999999</v>
      </c>
      <c r="BF100">
        <v>0</v>
      </c>
      <c r="BG100">
        <v>0</v>
      </c>
      <c r="BH100">
        <v>10006.9</v>
      </c>
      <c r="BI100">
        <v>1083.51</v>
      </c>
      <c r="BJ100">
        <v>1.4016500000000001</v>
      </c>
      <c r="BK100">
        <v>-289.661</v>
      </c>
      <c r="BL100">
        <v>523.08000000000004</v>
      </c>
      <c r="BM100">
        <v>805.53</v>
      </c>
      <c r="BN100">
        <v>17.413599999999999</v>
      </c>
      <c r="BO100">
        <v>800.11800000000005</v>
      </c>
      <c r="BP100">
        <v>6.71814</v>
      </c>
      <c r="BQ100">
        <v>2.38205</v>
      </c>
      <c r="BR100">
        <v>0.66314899999999999</v>
      </c>
      <c r="BS100">
        <v>20.2423</v>
      </c>
      <c r="BT100">
        <v>1.0728200000000001</v>
      </c>
      <c r="BU100">
        <v>1799.99</v>
      </c>
      <c r="BV100">
        <v>0.90999399999999997</v>
      </c>
      <c r="BW100">
        <v>3.3992799999999997E-2</v>
      </c>
      <c r="BX100">
        <v>2.20038E-2</v>
      </c>
      <c r="BY100">
        <v>3.4009499999999998E-2</v>
      </c>
      <c r="BZ100">
        <v>24.708300000000001</v>
      </c>
      <c r="CA100">
        <v>33528.199999999997</v>
      </c>
      <c r="CB100">
        <v>1690373417</v>
      </c>
      <c r="CC100" t="s">
        <v>332</v>
      </c>
      <c r="CD100">
        <v>1690373417</v>
      </c>
      <c r="CE100">
        <v>1690373415</v>
      </c>
      <c r="CF100">
        <v>1</v>
      </c>
      <c r="CG100">
        <v>-1.319</v>
      </c>
      <c r="CH100">
        <v>0.01</v>
      </c>
      <c r="CI100">
        <v>-1.371</v>
      </c>
      <c r="CJ100">
        <v>0.183</v>
      </c>
      <c r="CK100">
        <v>800</v>
      </c>
      <c r="CL100">
        <v>21</v>
      </c>
      <c r="CM100">
        <v>0.09</v>
      </c>
      <c r="CN100">
        <v>7.0000000000000007E-2</v>
      </c>
      <c r="CO100">
        <v>-286.32380000000001</v>
      </c>
      <c r="CP100">
        <v>-18.503797373357308</v>
      </c>
      <c r="CQ100">
        <v>1.7812801183418601</v>
      </c>
      <c r="CR100">
        <v>-1</v>
      </c>
      <c r="CS100">
        <v>17.133277499999998</v>
      </c>
      <c r="CT100">
        <v>1.5369624765478009</v>
      </c>
      <c r="CU100">
        <v>0.14791352792679249</v>
      </c>
      <c r="CV100">
        <v>-1</v>
      </c>
      <c r="CW100">
        <v>0</v>
      </c>
      <c r="CX100">
        <v>0</v>
      </c>
      <c r="CY100" t="s">
        <v>333</v>
      </c>
      <c r="CZ100">
        <v>2.3653900000000001</v>
      </c>
      <c r="DA100">
        <v>2.7137899999999999</v>
      </c>
      <c r="DB100">
        <v>0.107336</v>
      </c>
      <c r="DC100">
        <v>0.14587700000000001</v>
      </c>
      <c r="DD100">
        <v>0.114179</v>
      </c>
      <c r="DE100">
        <v>4.3188499999999998E-2</v>
      </c>
      <c r="DF100">
        <v>32603.200000000001</v>
      </c>
      <c r="DG100">
        <v>27504.1</v>
      </c>
      <c r="DH100">
        <v>31176.9</v>
      </c>
      <c r="DI100">
        <v>28056.2</v>
      </c>
      <c r="DJ100">
        <v>37483.9</v>
      </c>
      <c r="DK100">
        <v>38153.800000000003</v>
      </c>
      <c r="DL100">
        <v>44362.8</v>
      </c>
      <c r="DM100">
        <v>42499</v>
      </c>
      <c r="DN100">
        <v>1.4801800000000001</v>
      </c>
      <c r="DO100">
        <v>2.0774499999999998</v>
      </c>
      <c r="DP100">
        <v>0.121072</v>
      </c>
      <c r="DQ100">
        <v>0.18648100000000001</v>
      </c>
      <c r="DR100">
        <v>25.0136</v>
      </c>
      <c r="DS100">
        <v>24.9405</v>
      </c>
      <c r="DT100">
        <v>63.6</v>
      </c>
      <c r="DU100">
        <v>24.6</v>
      </c>
      <c r="DV100">
        <v>20.003499999999999</v>
      </c>
      <c r="DW100">
        <v>61.600099999999998</v>
      </c>
      <c r="DX100">
        <v>37.095399999999998</v>
      </c>
      <c r="DY100">
        <v>1</v>
      </c>
      <c r="DZ100">
        <v>-0.164939</v>
      </c>
      <c r="EA100">
        <v>-0.74143000000000003</v>
      </c>
      <c r="EB100">
        <v>20.189499999999999</v>
      </c>
      <c r="EC100">
        <v>5.2421499999999996</v>
      </c>
      <c r="ED100">
        <v>12.039899999999999</v>
      </c>
      <c r="EE100">
        <v>5.0175999999999998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1.8687400000000001</v>
      </c>
      <c r="EL100">
        <v>1.86443</v>
      </c>
      <c r="EM100">
        <v>1.8690500000000001</v>
      </c>
      <c r="EN100">
        <v>1.86707</v>
      </c>
      <c r="EO100">
        <v>1.86324</v>
      </c>
      <c r="EP100">
        <v>1.8641799999999999</v>
      </c>
      <c r="EQ100">
        <v>1.86999</v>
      </c>
      <c r="ER100">
        <v>1.8692299999999999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-1.167</v>
      </c>
      <c r="FG100">
        <v>0.18290000000000001</v>
      </c>
      <c r="FH100">
        <v>-0.81947142863283695</v>
      </c>
      <c r="FI100">
        <v>-6.1462078757559423E-4</v>
      </c>
      <c r="FJ100">
        <v>-1.8861989874597051E-7</v>
      </c>
      <c r="FK100">
        <v>1.1980462299894961E-10</v>
      </c>
      <c r="FL100">
        <v>0.18283500000000069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21.6</v>
      </c>
      <c r="FU100">
        <v>21.7</v>
      </c>
      <c r="FV100">
        <v>1.7700199999999999</v>
      </c>
      <c r="FW100">
        <v>2.5537100000000001</v>
      </c>
      <c r="FX100">
        <v>1.5490699999999999</v>
      </c>
      <c r="FY100">
        <v>2.34375</v>
      </c>
      <c r="FZ100">
        <v>1.50146</v>
      </c>
      <c r="GA100">
        <v>2.34375</v>
      </c>
      <c r="GB100">
        <v>30.243400000000001</v>
      </c>
      <c r="GC100">
        <v>23.982399999999998</v>
      </c>
      <c r="GD100">
        <v>19</v>
      </c>
      <c r="GE100">
        <v>280.69900000000001</v>
      </c>
      <c r="GF100">
        <v>607.20899999999995</v>
      </c>
      <c r="GG100">
        <v>25.6554</v>
      </c>
      <c r="GH100">
        <v>25.355499999999999</v>
      </c>
      <c r="GI100">
        <v>30.0002</v>
      </c>
      <c r="GJ100">
        <v>25.479199999999999</v>
      </c>
      <c r="GK100">
        <v>25.448899999999998</v>
      </c>
      <c r="GL100">
        <v>35.396799999999999</v>
      </c>
      <c r="GM100">
        <v>66.046199999999999</v>
      </c>
      <c r="GN100">
        <v>75.825800000000001</v>
      </c>
      <c r="GO100">
        <v>25.655100000000001</v>
      </c>
      <c r="GP100">
        <v>800</v>
      </c>
      <c r="GQ100">
        <v>6.5490199999999996</v>
      </c>
      <c r="GR100">
        <v>99.746399999999994</v>
      </c>
      <c r="GS100">
        <v>99.442800000000005</v>
      </c>
    </row>
    <row r="101" spans="1:201" x14ac:dyDescent="0.25">
      <c r="A101">
        <v>85</v>
      </c>
      <c r="B101">
        <v>1690374726</v>
      </c>
      <c r="C101">
        <v>906.5</v>
      </c>
      <c r="D101" t="s">
        <v>503</v>
      </c>
      <c r="E101" t="s">
        <v>504</v>
      </c>
      <c r="F101" t="s">
        <v>330</v>
      </c>
      <c r="H101">
        <v>1690374726</v>
      </c>
      <c r="I101">
        <f t="shared" si="30"/>
        <v>1.8104955044508872E-3</v>
      </c>
      <c r="J101">
        <f t="shared" si="31"/>
        <v>1.8104955044508872</v>
      </c>
      <c r="K101">
        <f t="shared" si="32"/>
        <v>28.348296792536448</v>
      </c>
      <c r="L101">
        <f t="shared" si="33"/>
        <v>507.47300000000001</v>
      </c>
      <c r="M101">
        <f t="shared" si="34"/>
        <v>134.40706772476665</v>
      </c>
      <c r="N101">
        <f t="shared" si="35"/>
        <v>13.280821500993994</v>
      </c>
      <c r="O101">
        <f t="shared" si="36"/>
        <v>50.143630418120011</v>
      </c>
      <c r="P101">
        <f t="shared" si="37"/>
        <v>0.12740507232384099</v>
      </c>
      <c r="Q101">
        <f t="shared" si="38"/>
        <v>2.2511478579136006</v>
      </c>
      <c r="R101">
        <f t="shared" si="39"/>
        <v>0.12353055443277344</v>
      </c>
      <c r="S101">
        <f t="shared" si="40"/>
        <v>7.7544891608327476E-2</v>
      </c>
      <c r="T101">
        <f t="shared" si="41"/>
        <v>276.11438630466512</v>
      </c>
      <c r="U101">
        <f t="shared" si="42"/>
        <v>27.971091516059175</v>
      </c>
      <c r="V101">
        <f t="shared" si="43"/>
        <v>27.971091516059175</v>
      </c>
      <c r="W101">
        <f t="shared" si="44"/>
        <v>3.788449067367158</v>
      </c>
      <c r="X101">
        <f t="shared" si="45"/>
        <v>68.661254410425414</v>
      </c>
      <c r="Y101">
        <f t="shared" si="46"/>
        <v>2.3855014045680005</v>
      </c>
      <c r="Z101">
        <f t="shared" si="47"/>
        <v>3.474305013870806</v>
      </c>
      <c r="AA101">
        <f t="shared" si="48"/>
        <v>1.4029476627991575</v>
      </c>
      <c r="AB101">
        <f t="shared" si="49"/>
        <v>-79.842851746284126</v>
      </c>
      <c r="AC101">
        <f t="shared" si="50"/>
        <v>-179.18060768349878</v>
      </c>
      <c r="AD101">
        <f t="shared" si="51"/>
        <v>-17.217720072767367</v>
      </c>
      <c r="AE101">
        <f t="shared" si="52"/>
        <v>-0.12679319788512089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52355.525555844739</v>
      </c>
      <c r="AK101">
        <f t="shared" si="56"/>
        <v>1799.99</v>
      </c>
      <c r="AL101">
        <f t="shared" si="57"/>
        <v>1499.1010778144098</v>
      </c>
      <c r="AM101">
        <f t="shared" si="58"/>
        <v>0.83283855899999992</v>
      </c>
      <c r="AN101">
        <f t="shared" si="59"/>
        <v>0.15339773349000002</v>
      </c>
      <c r="AO101">
        <v>30</v>
      </c>
      <c r="AP101">
        <v>0.5</v>
      </c>
      <c r="AQ101" t="s">
        <v>331</v>
      </c>
      <c r="AR101">
        <v>2</v>
      </c>
      <c r="AS101">
        <v>1690374726</v>
      </c>
      <c r="AT101">
        <v>507.47300000000001</v>
      </c>
      <c r="AU101">
        <v>800.01599999999996</v>
      </c>
      <c r="AV101">
        <v>24.142199999999999</v>
      </c>
      <c r="AW101">
        <v>6.4820500000000001</v>
      </c>
      <c r="AX101">
        <v>508.63799999999998</v>
      </c>
      <c r="AY101">
        <v>23.959399999999999</v>
      </c>
      <c r="AZ101">
        <v>300.13099999999997</v>
      </c>
      <c r="BA101">
        <v>98.710400000000007</v>
      </c>
      <c r="BB101">
        <v>0.10004</v>
      </c>
      <c r="BC101">
        <v>26.494700000000002</v>
      </c>
      <c r="BD101">
        <v>26.997800000000002</v>
      </c>
      <c r="BE101">
        <v>27.977499999999999</v>
      </c>
      <c r="BF101">
        <v>0</v>
      </c>
      <c r="BG101">
        <v>0</v>
      </c>
      <c r="BH101">
        <v>10014.4</v>
      </c>
      <c r="BI101">
        <v>1083.5899999999999</v>
      </c>
      <c r="BJ101">
        <v>1.4016500000000001</v>
      </c>
      <c r="BK101">
        <v>-292.54300000000001</v>
      </c>
      <c r="BL101">
        <v>520.02800000000002</v>
      </c>
      <c r="BM101">
        <v>805.23599999999999</v>
      </c>
      <c r="BN101">
        <v>17.6602</v>
      </c>
      <c r="BO101">
        <v>800.01599999999996</v>
      </c>
      <c r="BP101">
        <v>6.4820500000000001</v>
      </c>
      <c r="BQ101">
        <v>2.3830900000000002</v>
      </c>
      <c r="BR101">
        <v>0.639845</v>
      </c>
      <c r="BS101">
        <v>20.249300000000002</v>
      </c>
      <c r="BT101">
        <v>0.57690600000000003</v>
      </c>
      <c r="BU101">
        <v>1799.99</v>
      </c>
      <c r="BV101">
        <v>0.90998299999999999</v>
      </c>
      <c r="BW101">
        <v>3.4007999999999997E-2</v>
      </c>
      <c r="BX101">
        <v>2.20022E-2</v>
      </c>
      <c r="BY101">
        <v>3.4007099999999998E-2</v>
      </c>
      <c r="BZ101">
        <v>24.916699999999999</v>
      </c>
      <c r="CA101">
        <v>33528.1</v>
      </c>
      <c r="CB101">
        <v>1690373417</v>
      </c>
      <c r="CC101" t="s">
        <v>332</v>
      </c>
      <c r="CD101">
        <v>1690373417</v>
      </c>
      <c r="CE101">
        <v>1690373415</v>
      </c>
      <c r="CF101">
        <v>1</v>
      </c>
      <c r="CG101">
        <v>-1.319</v>
      </c>
      <c r="CH101">
        <v>0.01</v>
      </c>
      <c r="CI101">
        <v>-1.371</v>
      </c>
      <c r="CJ101">
        <v>0.183</v>
      </c>
      <c r="CK101">
        <v>800</v>
      </c>
      <c r="CL101">
        <v>21</v>
      </c>
      <c r="CM101">
        <v>0.09</v>
      </c>
      <c r="CN101">
        <v>7.0000000000000007E-2</v>
      </c>
      <c r="CO101">
        <v>-289.13843902439032</v>
      </c>
      <c r="CP101">
        <v>-18.26098954703798</v>
      </c>
      <c r="CQ101">
        <v>1.8012335617134601</v>
      </c>
      <c r="CR101">
        <v>-1</v>
      </c>
      <c r="CS101">
        <v>17.369414634146342</v>
      </c>
      <c r="CT101">
        <v>1.5464592334494911</v>
      </c>
      <c r="CU101">
        <v>0.15254058006422269</v>
      </c>
      <c r="CV101">
        <v>-1</v>
      </c>
      <c r="CW101">
        <v>0</v>
      </c>
      <c r="CX101">
        <v>0</v>
      </c>
      <c r="CY101" t="s">
        <v>333</v>
      </c>
      <c r="CZ101">
        <v>2.3654099999999998</v>
      </c>
      <c r="DA101">
        <v>2.7138399999999998</v>
      </c>
      <c r="DB101">
        <v>0.106882</v>
      </c>
      <c r="DC101">
        <v>0.14586099999999999</v>
      </c>
      <c r="DD101">
        <v>0.114216</v>
      </c>
      <c r="DE101">
        <v>4.1959299999999998E-2</v>
      </c>
      <c r="DF101">
        <v>32620.5</v>
      </c>
      <c r="DG101">
        <v>27504.9</v>
      </c>
      <c r="DH101">
        <v>31177.599999999999</v>
      </c>
      <c r="DI101">
        <v>28056.6</v>
      </c>
      <c r="DJ101">
        <v>37483.199999999997</v>
      </c>
      <c r="DK101">
        <v>38203.5</v>
      </c>
      <c r="DL101">
        <v>44363.9</v>
      </c>
      <c r="DM101">
        <v>42499.7</v>
      </c>
      <c r="DN101">
        <v>1.4802500000000001</v>
      </c>
      <c r="DO101">
        <v>2.0769500000000001</v>
      </c>
      <c r="DP101">
        <v>0.120908</v>
      </c>
      <c r="DQ101">
        <v>0.185117</v>
      </c>
      <c r="DR101">
        <v>25.017299999999999</v>
      </c>
      <c r="DS101">
        <v>24.947399999999998</v>
      </c>
      <c r="DT101">
        <v>63.4</v>
      </c>
      <c r="DU101">
        <v>24.6</v>
      </c>
      <c r="DV101">
        <v>19.943300000000001</v>
      </c>
      <c r="DW101">
        <v>61.470100000000002</v>
      </c>
      <c r="DX101">
        <v>36.442300000000003</v>
      </c>
      <c r="DY101">
        <v>1</v>
      </c>
      <c r="DZ101">
        <v>-0.16519300000000001</v>
      </c>
      <c r="EA101">
        <v>-0.56225199999999997</v>
      </c>
      <c r="EB101">
        <v>20.189800000000002</v>
      </c>
      <c r="EC101">
        <v>5.2426000000000004</v>
      </c>
      <c r="ED101">
        <v>12.039899999999999</v>
      </c>
      <c r="EE101">
        <v>5.0174500000000002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1.8687400000000001</v>
      </c>
      <c r="EL101">
        <v>1.8644000000000001</v>
      </c>
      <c r="EM101">
        <v>1.86907</v>
      </c>
      <c r="EN101">
        <v>1.8670800000000001</v>
      </c>
      <c r="EO101">
        <v>1.86321</v>
      </c>
      <c r="EP101">
        <v>1.86419</v>
      </c>
      <c r="EQ101">
        <v>1.87002</v>
      </c>
      <c r="ER101">
        <v>1.86927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-1.165</v>
      </c>
      <c r="FG101">
        <v>0.18279999999999999</v>
      </c>
      <c r="FH101">
        <v>-0.81947142863283695</v>
      </c>
      <c r="FI101">
        <v>-6.1462078757559423E-4</v>
      </c>
      <c r="FJ101">
        <v>-1.8861989874597051E-7</v>
      </c>
      <c r="FK101">
        <v>1.1980462299894961E-10</v>
      </c>
      <c r="FL101">
        <v>0.18283500000000069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21.8</v>
      </c>
      <c r="FU101">
        <v>21.9</v>
      </c>
      <c r="FV101">
        <v>1.7700199999999999</v>
      </c>
      <c r="FW101">
        <v>2.5573700000000001</v>
      </c>
      <c r="FX101">
        <v>1.5490699999999999</v>
      </c>
      <c r="FY101">
        <v>2.34375</v>
      </c>
      <c r="FZ101">
        <v>1.50146</v>
      </c>
      <c r="GA101">
        <v>2.2888199999999999</v>
      </c>
      <c r="GB101">
        <v>30.264900000000001</v>
      </c>
      <c r="GC101">
        <v>23.991199999999999</v>
      </c>
      <c r="GD101">
        <v>19</v>
      </c>
      <c r="GE101">
        <v>280.71899999999999</v>
      </c>
      <c r="GF101">
        <v>606.75900000000001</v>
      </c>
      <c r="GG101">
        <v>25.6602</v>
      </c>
      <c r="GH101">
        <v>25.353400000000001</v>
      </c>
      <c r="GI101">
        <v>29.9999</v>
      </c>
      <c r="GJ101">
        <v>25.4771</v>
      </c>
      <c r="GK101">
        <v>25.4468</v>
      </c>
      <c r="GL101">
        <v>35.393000000000001</v>
      </c>
      <c r="GM101">
        <v>66.920100000000005</v>
      </c>
      <c r="GN101">
        <v>75.058700000000002</v>
      </c>
      <c r="GO101">
        <v>25.511500000000002</v>
      </c>
      <c r="GP101">
        <v>800</v>
      </c>
      <c r="GQ101">
        <v>6.3130899999999999</v>
      </c>
      <c r="GR101">
        <v>99.748599999999996</v>
      </c>
      <c r="GS101">
        <v>99.444199999999995</v>
      </c>
    </row>
    <row r="102" spans="1:201" x14ac:dyDescent="0.25">
      <c r="A102">
        <v>86</v>
      </c>
      <c r="B102">
        <v>1690374736</v>
      </c>
      <c r="C102">
        <v>916.5</v>
      </c>
      <c r="D102" t="s">
        <v>505</v>
      </c>
      <c r="E102" t="s">
        <v>506</v>
      </c>
      <c r="F102" t="s">
        <v>330</v>
      </c>
      <c r="H102">
        <v>1690374736</v>
      </c>
      <c r="I102">
        <f t="shared" si="30"/>
        <v>1.8360514102443103E-3</v>
      </c>
      <c r="J102">
        <f t="shared" si="31"/>
        <v>1.8360514102443104</v>
      </c>
      <c r="K102">
        <f t="shared" si="32"/>
        <v>28.655088133224954</v>
      </c>
      <c r="L102">
        <f t="shared" si="33"/>
        <v>504.49299999999999</v>
      </c>
      <c r="M102">
        <f t="shared" si="34"/>
        <v>133.21647964434791</v>
      </c>
      <c r="N102">
        <f t="shared" si="35"/>
        <v>13.162831140680712</v>
      </c>
      <c r="O102">
        <f t="shared" si="36"/>
        <v>49.847858075697005</v>
      </c>
      <c r="P102">
        <f t="shared" si="37"/>
        <v>0.12946114245425547</v>
      </c>
      <c r="Q102">
        <f t="shared" si="38"/>
        <v>2.2442614582217564</v>
      </c>
      <c r="R102">
        <f t="shared" si="39"/>
        <v>0.12545081355176371</v>
      </c>
      <c r="S102">
        <f t="shared" si="40"/>
        <v>7.8756722347883862E-2</v>
      </c>
      <c r="T102">
        <f t="shared" si="41"/>
        <v>276.11418798176692</v>
      </c>
      <c r="U102">
        <f t="shared" si="42"/>
        <v>27.961629864727673</v>
      </c>
      <c r="V102">
        <f t="shared" si="43"/>
        <v>27.961629864727673</v>
      </c>
      <c r="W102">
        <f t="shared" si="44"/>
        <v>3.7863594815878829</v>
      </c>
      <c r="X102">
        <f t="shared" si="45"/>
        <v>68.679233864534964</v>
      </c>
      <c r="Y102">
        <f t="shared" si="46"/>
        <v>2.3854087269351001</v>
      </c>
      <c r="Z102">
        <f t="shared" si="47"/>
        <v>3.4732605370062135</v>
      </c>
      <c r="AA102">
        <f t="shared" si="48"/>
        <v>1.4009507546527828</v>
      </c>
      <c r="AB102">
        <f t="shared" si="49"/>
        <v>-80.969867191774085</v>
      </c>
      <c r="AC102">
        <f t="shared" si="50"/>
        <v>-178.10475555063715</v>
      </c>
      <c r="AD102">
        <f t="shared" si="51"/>
        <v>-17.165604874106112</v>
      </c>
      <c r="AE102">
        <f t="shared" si="52"/>
        <v>-0.12603963475044111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52088.417811256048</v>
      </c>
      <c r="AK102">
        <f t="shared" si="56"/>
        <v>1799.99</v>
      </c>
      <c r="AL102">
        <f t="shared" si="57"/>
        <v>1499.1022154080902</v>
      </c>
      <c r="AM102">
        <f t="shared" si="58"/>
        <v>0.83283919100000003</v>
      </c>
      <c r="AN102">
        <f t="shared" si="59"/>
        <v>0.15339762331000001</v>
      </c>
      <c r="AO102">
        <v>30</v>
      </c>
      <c r="AP102">
        <v>0.5</v>
      </c>
      <c r="AQ102" t="s">
        <v>331</v>
      </c>
      <c r="AR102">
        <v>2</v>
      </c>
      <c r="AS102">
        <v>1690374736</v>
      </c>
      <c r="AT102">
        <v>504.49299999999999</v>
      </c>
      <c r="AU102">
        <v>800.08100000000002</v>
      </c>
      <c r="AV102">
        <v>24.1419</v>
      </c>
      <c r="AW102">
        <v>6.2383100000000002</v>
      </c>
      <c r="AX102">
        <v>505.65600000000001</v>
      </c>
      <c r="AY102">
        <v>23.959</v>
      </c>
      <c r="AZ102">
        <v>300.22899999999998</v>
      </c>
      <c r="BA102">
        <v>98.707800000000006</v>
      </c>
      <c r="BB102">
        <v>0.10002900000000001</v>
      </c>
      <c r="BC102">
        <v>26.489599999999999</v>
      </c>
      <c r="BD102">
        <v>26.983899999999998</v>
      </c>
      <c r="BE102">
        <v>27.991</v>
      </c>
      <c r="BF102">
        <v>0</v>
      </c>
      <c r="BG102">
        <v>0</v>
      </c>
      <c r="BH102">
        <v>9961.25</v>
      </c>
      <c r="BI102">
        <v>1083.73</v>
      </c>
      <c r="BJ102">
        <v>1.4016500000000001</v>
      </c>
      <c r="BK102">
        <v>-295.58800000000002</v>
      </c>
      <c r="BL102">
        <v>516.97299999999996</v>
      </c>
      <c r="BM102">
        <v>805.10299999999995</v>
      </c>
      <c r="BN102">
        <v>17.903600000000001</v>
      </c>
      <c r="BO102">
        <v>800.08100000000002</v>
      </c>
      <c r="BP102">
        <v>6.2383100000000002</v>
      </c>
      <c r="BQ102">
        <v>2.3829899999999999</v>
      </c>
      <c r="BR102">
        <v>0.61577000000000004</v>
      </c>
      <c r="BS102">
        <v>20.248699999999999</v>
      </c>
      <c r="BT102">
        <v>4.7501799999999997E-2</v>
      </c>
      <c r="BU102">
        <v>1799.99</v>
      </c>
      <c r="BV102">
        <v>0.90998900000000005</v>
      </c>
      <c r="BW102">
        <v>3.4005800000000003E-2</v>
      </c>
      <c r="BX102">
        <v>2.2000800000000001E-2</v>
      </c>
      <c r="BY102">
        <v>3.4004899999999998E-2</v>
      </c>
      <c r="BZ102">
        <v>25</v>
      </c>
      <c r="CA102">
        <v>33528.1</v>
      </c>
      <c r="CB102">
        <v>1690373417</v>
      </c>
      <c r="CC102" t="s">
        <v>332</v>
      </c>
      <c r="CD102">
        <v>1690373417</v>
      </c>
      <c r="CE102">
        <v>1690373415</v>
      </c>
      <c r="CF102">
        <v>1</v>
      </c>
      <c r="CG102">
        <v>-1.319</v>
      </c>
      <c r="CH102">
        <v>0.01</v>
      </c>
      <c r="CI102">
        <v>-1.371</v>
      </c>
      <c r="CJ102">
        <v>0.183</v>
      </c>
      <c r="CK102">
        <v>800</v>
      </c>
      <c r="CL102">
        <v>21</v>
      </c>
      <c r="CM102">
        <v>0.09</v>
      </c>
      <c r="CN102">
        <v>7.0000000000000007E-2</v>
      </c>
      <c r="CO102">
        <v>-292.45136585365861</v>
      </c>
      <c r="CP102">
        <v>-17.995881533101219</v>
      </c>
      <c r="CQ102">
        <v>1.7753797911253939</v>
      </c>
      <c r="CR102">
        <v>-1</v>
      </c>
      <c r="CS102">
        <v>17.64801951219512</v>
      </c>
      <c r="CT102">
        <v>1.4897184668989489</v>
      </c>
      <c r="CU102">
        <v>0.14695184082451371</v>
      </c>
      <c r="CV102">
        <v>-1</v>
      </c>
      <c r="CW102">
        <v>0</v>
      </c>
      <c r="CX102">
        <v>0</v>
      </c>
      <c r="CY102" t="s">
        <v>333</v>
      </c>
      <c r="CZ102">
        <v>2.3657499999999998</v>
      </c>
      <c r="DA102">
        <v>2.7137899999999999</v>
      </c>
      <c r="DB102">
        <v>0.106422</v>
      </c>
      <c r="DC102">
        <v>0.14586099999999999</v>
      </c>
      <c r="DD102">
        <v>0.11421199999999999</v>
      </c>
      <c r="DE102">
        <v>4.0674299999999997E-2</v>
      </c>
      <c r="DF102">
        <v>32637.5</v>
      </c>
      <c r="DG102">
        <v>27505.1</v>
      </c>
      <c r="DH102">
        <v>31177.8</v>
      </c>
      <c r="DI102">
        <v>28056.799999999999</v>
      </c>
      <c r="DJ102">
        <v>37483.599999999999</v>
      </c>
      <c r="DK102">
        <v>38255.199999999997</v>
      </c>
      <c r="DL102">
        <v>44364.2</v>
      </c>
      <c r="DM102">
        <v>42500</v>
      </c>
      <c r="DN102">
        <v>1.48055</v>
      </c>
      <c r="DO102">
        <v>2.0766499999999999</v>
      </c>
      <c r="DP102">
        <v>0.119742</v>
      </c>
      <c r="DQ102">
        <v>0.185534</v>
      </c>
      <c r="DR102">
        <v>25.022500000000001</v>
      </c>
      <c r="DS102">
        <v>24.9541</v>
      </c>
      <c r="DT102">
        <v>63.1</v>
      </c>
      <c r="DU102">
        <v>24.6</v>
      </c>
      <c r="DV102">
        <v>19.850100000000001</v>
      </c>
      <c r="DW102">
        <v>62.180100000000003</v>
      </c>
      <c r="DX102">
        <v>36.542499999999997</v>
      </c>
      <c r="DY102">
        <v>1</v>
      </c>
      <c r="DZ102">
        <v>-0.16531799999999999</v>
      </c>
      <c r="EA102">
        <v>-0.60080100000000003</v>
      </c>
      <c r="EB102">
        <v>20.1905</v>
      </c>
      <c r="EC102">
        <v>5.242</v>
      </c>
      <c r="ED102">
        <v>12.039899999999999</v>
      </c>
      <c r="EE102">
        <v>5.0172999999999996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1.8687400000000001</v>
      </c>
      <c r="EL102">
        <v>1.8644099999999999</v>
      </c>
      <c r="EM102">
        <v>1.8690599999999999</v>
      </c>
      <c r="EN102">
        <v>1.86707</v>
      </c>
      <c r="EO102">
        <v>1.8632200000000001</v>
      </c>
      <c r="EP102">
        <v>1.86419</v>
      </c>
      <c r="EQ102">
        <v>1.8700399999999999</v>
      </c>
      <c r="ER102">
        <v>1.86924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-1.163</v>
      </c>
      <c r="FG102">
        <v>0.18290000000000001</v>
      </c>
      <c r="FH102">
        <v>-0.81947142863283695</v>
      </c>
      <c r="FI102">
        <v>-6.1462078757559423E-4</v>
      </c>
      <c r="FJ102">
        <v>-1.8861989874597051E-7</v>
      </c>
      <c r="FK102">
        <v>1.1980462299894961E-10</v>
      </c>
      <c r="FL102">
        <v>0.18283500000000069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22</v>
      </c>
      <c r="FU102">
        <v>22</v>
      </c>
      <c r="FV102">
        <v>1.7700199999999999</v>
      </c>
      <c r="FW102">
        <v>2.5488300000000002</v>
      </c>
      <c r="FX102">
        <v>1.5490699999999999</v>
      </c>
      <c r="FY102">
        <v>2.34375</v>
      </c>
      <c r="FZ102">
        <v>1.50146</v>
      </c>
      <c r="GA102">
        <v>2.3547400000000001</v>
      </c>
      <c r="GB102">
        <v>30.2864</v>
      </c>
      <c r="GC102">
        <v>23.991199999999999</v>
      </c>
      <c r="GD102">
        <v>19</v>
      </c>
      <c r="GE102">
        <v>280.83699999999999</v>
      </c>
      <c r="GF102">
        <v>606.47900000000004</v>
      </c>
      <c r="GG102">
        <v>25.519100000000002</v>
      </c>
      <c r="GH102">
        <v>25.351199999999999</v>
      </c>
      <c r="GI102">
        <v>29.9999</v>
      </c>
      <c r="GJ102">
        <v>25.475000000000001</v>
      </c>
      <c r="GK102">
        <v>25.444700000000001</v>
      </c>
      <c r="GL102">
        <v>35.3842</v>
      </c>
      <c r="GM102">
        <v>67.798599999999993</v>
      </c>
      <c r="GN102">
        <v>74.277299999999997</v>
      </c>
      <c r="GO102">
        <v>25.5489</v>
      </c>
      <c r="GP102">
        <v>800</v>
      </c>
      <c r="GQ102">
        <v>6.0805800000000003</v>
      </c>
      <c r="GR102">
        <v>99.749399999999994</v>
      </c>
      <c r="GS102">
        <v>99.444900000000004</v>
      </c>
    </row>
    <row r="103" spans="1:201" x14ac:dyDescent="0.25">
      <c r="A103">
        <v>87</v>
      </c>
      <c r="B103">
        <v>1690374746</v>
      </c>
      <c r="C103">
        <v>926.5</v>
      </c>
      <c r="D103" t="s">
        <v>507</v>
      </c>
      <c r="E103" t="s">
        <v>508</v>
      </c>
      <c r="F103" t="s">
        <v>330</v>
      </c>
      <c r="H103">
        <v>1690374746</v>
      </c>
      <c r="I103">
        <f t="shared" si="30"/>
        <v>1.8585019407580154E-3</v>
      </c>
      <c r="J103">
        <f t="shared" si="31"/>
        <v>1.8585019407580154</v>
      </c>
      <c r="K103">
        <f t="shared" si="32"/>
        <v>28.925654408796952</v>
      </c>
      <c r="L103">
        <f t="shared" si="33"/>
        <v>501.541</v>
      </c>
      <c r="M103">
        <f t="shared" si="34"/>
        <v>132.30366221392256</v>
      </c>
      <c r="N103">
        <f t="shared" si="35"/>
        <v>13.072547890532942</v>
      </c>
      <c r="O103">
        <f t="shared" si="36"/>
        <v>49.555837169228695</v>
      </c>
      <c r="P103">
        <f t="shared" si="37"/>
        <v>0.13143888692844083</v>
      </c>
      <c r="Q103">
        <f t="shared" si="38"/>
        <v>2.2512604586787637</v>
      </c>
      <c r="R103">
        <f t="shared" si="39"/>
        <v>0.12731960900674141</v>
      </c>
      <c r="S103">
        <f t="shared" si="40"/>
        <v>7.9934102420943412E-2</v>
      </c>
      <c r="T103">
        <f t="shared" si="41"/>
        <v>276.11367890859509</v>
      </c>
      <c r="U103">
        <f t="shared" si="42"/>
        <v>27.946705103222978</v>
      </c>
      <c r="V103">
        <f t="shared" si="43"/>
        <v>27.946705103222978</v>
      </c>
      <c r="W103">
        <f t="shared" si="44"/>
        <v>3.7830654234992318</v>
      </c>
      <c r="X103">
        <f t="shared" si="45"/>
        <v>68.703507228148965</v>
      </c>
      <c r="Y103">
        <f t="shared" si="46"/>
        <v>2.3857875800871295</v>
      </c>
      <c r="Z103">
        <f t="shared" si="47"/>
        <v>3.4725848451440235</v>
      </c>
      <c r="AA103">
        <f t="shared" si="48"/>
        <v>1.3972778434121023</v>
      </c>
      <c r="AB103">
        <f t="shared" si="49"/>
        <v>-81.959935587428475</v>
      </c>
      <c r="AC103">
        <f t="shared" si="50"/>
        <v>-177.24929997797938</v>
      </c>
      <c r="AD103">
        <f t="shared" si="51"/>
        <v>-17.028494207132493</v>
      </c>
      <c r="AE103">
        <f t="shared" si="52"/>
        <v>-0.12405086394525711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52361.311616569517</v>
      </c>
      <c r="AK103">
        <f t="shared" si="56"/>
        <v>1799.99</v>
      </c>
      <c r="AL103">
        <f t="shared" si="57"/>
        <v>1499.10199580931</v>
      </c>
      <c r="AM103">
        <f t="shared" si="58"/>
        <v>0.83283906899999993</v>
      </c>
      <c r="AN103">
        <f t="shared" si="59"/>
        <v>0.15339734049000001</v>
      </c>
      <c r="AO103">
        <v>30</v>
      </c>
      <c r="AP103">
        <v>0.5</v>
      </c>
      <c r="AQ103" t="s">
        <v>331</v>
      </c>
      <c r="AR103">
        <v>2</v>
      </c>
      <c r="AS103">
        <v>1690374746</v>
      </c>
      <c r="AT103">
        <v>501.541</v>
      </c>
      <c r="AU103">
        <v>800.05700000000002</v>
      </c>
      <c r="AV103">
        <v>24.145900000000001</v>
      </c>
      <c r="AW103">
        <v>6.0133799999999997</v>
      </c>
      <c r="AX103">
        <v>502.702</v>
      </c>
      <c r="AY103">
        <v>23.963000000000001</v>
      </c>
      <c r="AZ103">
        <v>300.06200000000001</v>
      </c>
      <c r="BA103">
        <v>98.7072</v>
      </c>
      <c r="BB103">
        <v>9.9950700000000003E-2</v>
      </c>
      <c r="BC103">
        <v>26.4863</v>
      </c>
      <c r="BD103">
        <v>26.977399999999999</v>
      </c>
      <c r="BE103">
        <v>27.962900000000001</v>
      </c>
      <c r="BF103">
        <v>0</v>
      </c>
      <c r="BG103">
        <v>0</v>
      </c>
      <c r="BH103">
        <v>10015.6</v>
      </c>
      <c r="BI103">
        <v>1083.72</v>
      </c>
      <c r="BJ103">
        <v>1.4016500000000001</v>
      </c>
      <c r="BK103">
        <v>-298.51600000000002</v>
      </c>
      <c r="BL103">
        <v>513.95100000000002</v>
      </c>
      <c r="BM103">
        <v>804.89700000000005</v>
      </c>
      <c r="BN103">
        <v>18.1325</v>
      </c>
      <c r="BO103">
        <v>800.05700000000002</v>
      </c>
      <c r="BP103">
        <v>6.0133799999999997</v>
      </c>
      <c r="BQ103">
        <v>2.3833700000000002</v>
      </c>
      <c r="BR103">
        <v>0.59356399999999998</v>
      </c>
      <c r="BS103">
        <v>20.251200000000001</v>
      </c>
      <c r="BT103">
        <v>-0.45733400000000002</v>
      </c>
      <c r="BU103">
        <v>1799.99</v>
      </c>
      <c r="BV103">
        <v>0.909995</v>
      </c>
      <c r="BW103">
        <v>3.4003199999999997E-2</v>
      </c>
      <c r="BX103">
        <v>2.19992E-2</v>
      </c>
      <c r="BY103">
        <v>3.4002299999999999E-2</v>
      </c>
      <c r="BZ103">
        <v>25</v>
      </c>
      <c r="CA103">
        <v>33528.199999999997</v>
      </c>
      <c r="CB103">
        <v>1690373417</v>
      </c>
      <c r="CC103" t="s">
        <v>332</v>
      </c>
      <c r="CD103">
        <v>1690373417</v>
      </c>
      <c r="CE103">
        <v>1690373415</v>
      </c>
      <c r="CF103">
        <v>1</v>
      </c>
      <c r="CG103">
        <v>-1.319</v>
      </c>
      <c r="CH103">
        <v>0.01</v>
      </c>
      <c r="CI103">
        <v>-1.371</v>
      </c>
      <c r="CJ103">
        <v>0.183</v>
      </c>
      <c r="CK103">
        <v>800</v>
      </c>
      <c r="CL103">
        <v>21</v>
      </c>
      <c r="CM103">
        <v>0.09</v>
      </c>
      <c r="CN103">
        <v>7.0000000000000007E-2</v>
      </c>
      <c r="CO103">
        <v>-295.12158536585372</v>
      </c>
      <c r="CP103">
        <v>-17.651540069686298</v>
      </c>
      <c r="CQ103">
        <v>1.7410111720633099</v>
      </c>
      <c r="CR103">
        <v>-1</v>
      </c>
      <c r="CS103">
        <v>17.864860975609751</v>
      </c>
      <c r="CT103">
        <v>1.407131707317111</v>
      </c>
      <c r="CU103">
        <v>0.13884963243853579</v>
      </c>
      <c r="CV103">
        <v>-1</v>
      </c>
      <c r="CW103">
        <v>0</v>
      </c>
      <c r="CX103">
        <v>0</v>
      </c>
      <c r="CY103" t="s">
        <v>333</v>
      </c>
      <c r="CZ103">
        <v>2.3652000000000002</v>
      </c>
      <c r="DA103">
        <v>2.7137500000000001</v>
      </c>
      <c r="DB103">
        <v>0.10596800000000001</v>
      </c>
      <c r="DC103">
        <v>0.14585200000000001</v>
      </c>
      <c r="DD103">
        <v>0.11422400000000001</v>
      </c>
      <c r="DE103">
        <v>3.9475499999999997E-2</v>
      </c>
      <c r="DF103">
        <v>32654.3</v>
      </c>
      <c r="DG103">
        <v>27506.1</v>
      </c>
      <c r="DH103">
        <v>31178</v>
      </c>
      <c r="DI103">
        <v>28057.5</v>
      </c>
      <c r="DJ103">
        <v>37483.4</v>
      </c>
      <c r="DK103">
        <v>38304</v>
      </c>
      <c r="DL103">
        <v>44364.7</v>
      </c>
      <c r="DM103">
        <v>42501</v>
      </c>
      <c r="DN103">
        <v>1.4804999999999999</v>
      </c>
      <c r="DO103">
        <v>2.0763199999999999</v>
      </c>
      <c r="DP103">
        <v>0.119049</v>
      </c>
      <c r="DQ103">
        <v>0.183564</v>
      </c>
      <c r="DR103">
        <v>25.0273</v>
      </c>
      <c r="DS103">
        <v>24.958300000000001</v>
      </c>
      <c r="DT103">
        <v>62.7</v>
      </c>
      <c r="DU103">
        <v>24.6</v>
      </c>
      <c r="DV103">
        <v>19.722300000000001</v>
      </c>
      <c r="DW103">
        <v>61.720100000000002</v>
      </c>
      <c r="DX103">
        <v>37.411900000000003</v>
      </c>
      <c r="DY103">
        <v>1</v>
      </c>
      <c r="DZ103">
        <v>-0.16566600000000001</v>
      </c>
      <c r="EA103">
        <v>-0.74195500000000003</v>
      </c>
      <c r="EB103">
        <v>20.189699999999998</v>
      </c>
      <c r="EC103">
        <v>5.2421499999999996</v>
      </c>
      <c r="ED103">
        <v>12.039899999999999</v>
      </c>
      <c r="EE103">
        <v>5.0175000000000001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1.8687400000000001</v>
      </c>
      <c r="EL103">
        <v>1.8644099999999999</v>
      </c>
      <c r="EM103">
        <v>1.8690500000000001</v>
      </c>
      <c r="EN103">
        <v>1.86707</v>
      </c>
      <c r="EO103">
        <v>1.8632200000000001</v>
      </c>
      <c r="EP103">
        <v>1.8641799999999999</v>
      </c>
      <c r="EQ103">
        <v>1.8700399999999999</v>
      </c>
      <c r="ER103">
        <v>1.86924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-1.161</v>
      </c>
      <c r="FG103">
        <v>0.18290000000000001</v>
      </c>
      <c r="FH103">
        <v>-0.81947142863283695</v>
      </c>
      <c r="FI103">
        <v>-6.1462078757559423E-4</v>
      </c>
      <c r="FJ103">
        <v>-1.8861989874597051E-7</v>
      </c>
      <c r="FK103">
        <v>1.1980462299894961E-10</v>
      </c>
      <c r="FL103">
        <v>0.18283500000000069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22.1</v>
      </c>
      <c r="FU103">
        <v>22.2</v>
      </c>
      <c r="FV103">
        <v>1.7700199999999999</v>
      </c>
      <c r="FW103">
        <v>2.5549300000000001</v>
      </c>
      <c r="FX103">
        <v>1.5490699999999999</v>
      </c>
      <c r="FY103">
        <v>2.34375</v>
      </c>
      <c r="FZ103">
        <v>1.50146</v>
      </c>
      <c r="GA103">
        <v>2.3730500000000001</v>
      </c>
      <c r="GB103">
        <v>30.2864</v>
      </c>
      <c r="GC103">
        <v>23.982399999999998</v>
      </c>
      <c r="GD103">
        <v>19</v>
      </c>
      <c r="GE103">
        <v>280.80599999999998</v>
      </c>
      <c r="GF103">
        <v>606.19000000000005</v>
      </c>
      <c r="GG103">
        <v>25.552499999999998</v>
      </c>
      <c r="GH103">
        <v>25.3491</v>
      </c>
      <c r="GI103">
        <v>30</v>
      </c>
      <c r="GJ103">
        <v>25.472799999999999</v>
      </c>
      <c r="GK103">
        <v>25.4436</v>
      </c>
      <c r="GL103">
        <v>35.382800000000003</v>
      </c>
      <c r="GM103">
        <v>68.683300000000003</v>
      </c>
      <c r="GN103">
        <v>73.093999999999994</v>
      </c>
      <c r="GO103">
        <v>25.577400000000001</v>
      </c>
      <c r="GP103">
        <v>800</v>
      </c>
      <c r="GQ103">
        <v>5.8450300000000004</v>
      </c>
      <c r="GR103">
        <v>99.750399999999999</v>
      </c>
      <c r="GS103">
        <v>99.447299999999998</v>
      </c>
    </row>
    <row r="104" spans="1:201" x14ac:dyDescent="0.25">
      <c r="A104">
        <v>88</v>
      </c>
      <c r="B104">
        <v>1690374756</v>
      </c>
      <c r="C104">
        <v>936.5</v>
      </c>
      <c r="D104" t="s">
        <v>509</v>
      </c>
      <c r="E104" t="s">
        <v>510</v>
      </c>
      <c r="F104" t="s">
        <v>330</v>
      </c>
      <c r="H104">
        <v>1690374756</v>
      </c>
      <c r="I104">
        <f t="shared" si="30"/>
        <v>1.8858102809181973E-3</v>
      </c>
      <c r="J104">
        <f t="shared" si="31"/>
        <v>1.8858102809181974</v>
      </c>
      <c r="K104">
        <f t="shared" si="32"/>
        <v>29.212252482010499</v>
      </c>
      <c r="L104">
        <f t="shared" si="33"/>
        <v>498.625</v>
      </c>
      <c r="M104">
        <f t="shared" si="34"/>
        <v>131.94293681921135</v>
      </c>
      <c r="N104">
        <f t="shared" si="35"/>
        <v>13.036896841502509</v>
      </c>
      <c r="O104">
        <f t="shared" si="36"/>
        <v>49.267682259499999</v>
      </c>
      <c r="P104">
        <f t="shared" si="37"/>
        <v>0.13373558731484453</v>
      </c>
      <c r="Q104">
        <f t="shared" si="38"/>
        <v>2.2465105590745824</v>
      </c>
      <c r="R104">
        <f t="shared" si="39"/>
        <v>0.1294649056714377</v>
      </c>
      <c r="S104">
        <f t="shared" si="40"/>
        <v>8.1287909128923183E-2</v>
      </c>
      <c r="T104">
        <f t="shared" si="41"/>
        <v>276.11345860781904</v>
      </c>
      <c r="U104">
        <f t="shared" si="42"/>
        <v>27.938348456861888</v>
      </c>
      <c r="V104">
        <f t="shared" si="43"/>
        <v>27.938348456861888</v>
      </c>
      <c r="W104">
        <f t="shared" si="44"/>
        <v>3.781222112396244</v>
      </c>
      <c r="X104">
        <f t="shared" si="45"/>
        <v>68.744124187034615</v>
      </c>
      <c r="Y104">
        <f t="shared" si="46"/>
        <v>2.3869024896047994</v>
      </c>
      <c r="Z104">
        <f t="shared" si="47"/>
        <v>3.4721549191763179</v>
      </c>
      <c r="AA104">
        <f t="shared" si="48"/>
        <v>1.3943196227914445</v>
      </c>
      <c r="AB104">
        <f t="shared" si="49"/>
        <v>-83.164233388492505</v>
      </c>
      <c r="AC104">
        <f t="shared" si="50"/>
        <v>-176.11755772339436</v>
      </c>
      <c r="AD104">
        <f t="shared" si="51"/>
        <v>-16.954654289372382</v>
      </c>
      <c r="AE104">
        <f t="shared" si="52"/>
        <v>-0.12298679344021934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52176.767948885034</v>
      </c>
      <c r="AK104">
        <f t="shared" si="56"/>
        <v>1799.99</v>
      </c>
      <c r="AL104">
        <f t="shared" si="57"/>
        <v>1499.10339260155</v>
      </c>
      <c r="AM104">
        <f t="shared" si="58"/>
        <v>0.83283984499999997</v>
      </c>
      <c r="AN104">
        <f t="shared" si="59"/>
        <v>0.15339721810000001</v>
      </c>
      <c r="AO104">
        <v>30</v>
      </c>
      <c r="AP104">
        <v>0.5</v>
      </c>
      <c r="AQ104" t="s">
        <v>331</v>
      </c>
      <c r="AR104">
        <v>2</v>
      </c>
      <c r="AS104">
        <v>1690374756</v>
      </c>
      <c r="AT104">
        <v>498.625</v>
      </c>
      <c r="AU104">
        <v>800.01</v>
      </c>
      <c r="AV104">
        <v>24.1572</v>
      </c>
      <c r="AW104">
        <v>5.7632399999999997</v>
      </c>
      <c r="AX104">
        <v>499.78399999999999</v>
      </c>
      <c r="AY104">
        <v>23.974299999999999</v>
      </c>
      <c r="AZ104">
        <v>300.14</v>
      </c>
      <c r="BA104">
        <v>98.706999999999994</v>
      </c>
      <c r="BB104">
        <v>0.10008400000000001</v>
      </c>
      <c r="BC104">
        <v>26.484200000000001</v>
      </c>
      <c r="BD104">
        <v>26.975200000000001</v>
      </c>
      <c r="BE104">
        <v>27.973800000000001</v>
      </c>
      <c r="BF104">
        <v>0</v>
      </c>
      <c r="BG104">
        <v>0</v>
      </c>
      <c r="BH104">
        <v>9978.75</v>
      </c>
      <c r="BI104">
        <v>1083.77</v>
      </c>
      <c r="BJ104">
        <v>1.4016500000000001</v>
      </c>
      <c r="BK104">
        <v>-301.38499999999999</v>
      </c>
      <c r="BL104">
        <v>510.96800000000002</v>
      </c>
      <c r="BM104">
        <v>804.64800000000002</v>
      </c>
      <c r="BN104">
        <v>18.393899999999999</v>
      </c>
      <c r="BO104">
        <v>800.01</v>
      </c>
      <c r="BP104">
        <v>5.7632399999999997</v>
      </c>
      <c r="BQ104">
        <v>2.3844799999999999</v>
      </c>
      <c r="BR104">
        <v>0.56887200000000004</v>
      </c>
      <c r="BS104">
        <v>20.258800000000001</v>
      </c>
      <c r="BT104">
        <v>-1.0387</v>
      </c>
      <c r="BU104">
        <v>1799.99</v>
      </c>
      <c r="BV104">
        <v>0.91000199999999998</v>
      </c>
      <c r="BW104">
        <v>3.4000700000000002E-2</v>
      </c>
      <c r="BX104">
        <v>2.19975E-2</v>
      </c>
      <c r="BY104">
        <v>3.3999799999999997E-2</v>
      </c>
      <c r="BZ104">
        <v>25</v>
      </c>
      <c r="CA104">
        <v>33528.300000000003</v>
      </c>
      <c r="CB104">
        <v>1690373417</v>
      </c>
      <c r="CC104" t="s">
        <v>332</v>
      </c>
      <c r="CD104">
        <v>1690373417</v>
      </c>
      <c r="CE104">
        <v>1690373415</v>
      </c>
      <c r="CF104">
        <v>1</v>
      </c>
      <c r="CG104">
        <v>-1.319</v>
      </c>
      <c r="CH104">
        <v>0.01</v>
      </c>
      <c r="CI104">
        <v>-1.371</v>
      </c>
      <c r="CJ104">
        <v>0.183</v>
      </c>
      <c r="CK104">
        <v>800</v>
      </c>
      <c r="CL104">
        <v>21</v>
      </c>
      <c r="CM104">
        <v>0.09</v>
      </c>
      <c r="CN104">
        <v>7.0000000000000007E-2</v>
      </c>
      <c r="CO104">
        <v>-298.30057499999998</v>
      </c>
      <c r="CP104">
        <v>-17.745917448404889</v>
      </c>
      <c r="CQ104">
        <v>1.707555282963042</v>
      </c>
      <c r="CR104">
        <v>-1</v>
      </c>
      <c r="CS104">
        <v>18.122150000000001</v>
      </c>
      <c r="CT104">
        <v>1.486135834896787</v>
      </c>
      <c r="CU104">
        <v>0.14307980989643501</v>
      </c>
      <c r="CV104">
        <v>-1</v>
      </c>
      <c r="CW104">
        <v>0</v>
      </c>
      <c r="CX104">
        <v>0</v>
      </c>
      <c r="CY104" t="s">
        <v>333</v>
      </c>
      <c r="CZ104">
        <v>2.3654099999999998</v>
      </c>
      <c r="DA104">
        <v>2.7138599999999999</v>
      </c>
      <c r="DB104">
        <v>0.10552</v>
      </c>
      <c r="DC104">
        <v>0.145842</v>
      </c>
      <c r="DD104">
        <v>0.114263</v>
      </c>
      <c r="DE104">
        <v>3.8127000000000001E-2</v>
      </c>
      <c r="DF104">
        <v>32671</v>
      </c>
      <c r="DG104">
        <v>27506.5</v>
      </c>
      <c r="DH104">
        <v>31178.3</v>
      </c>
      <c r="DI104">
        <v>28057.599999999999</v>
      </c>
      <c r="DJ104">
        <v>37481.9</v>
      </c>
      <c r="DK104">
        <v>38358.199999999997</v>
      </c>
      <c r="DL104">
        <v>44364.9</v>
      </c>
      <c r="DM104">
        <v>42501.2</v>
      </c>
      <c r="DN104">
        <v>1.4810000000000001</v>
      </c>
      <c r="DO104">
        <v>2.0760000000000001</v>
      </c>
      <c r="DP104">
        <v>0.11876200000000001</v>
      </c>
      <c r="DQ104">
        <v>0.18409600000000001</v>
      </c>
      <c r="DR104">
        <v>25.029800000000002</v>
      </c>
      <c r="DS104">
        <v>24.9604</v>
      </c>
      <c r="DT104">
        <v>62.5</v>
      </c>
      <c r="DU104">
        <v>24.6</v>
      </c>
      <c r="DV104">
        <v>19.657499999999999</v>
      </c>
      <c r="DW104">
        <v>61.920099999999998</v>
      </c>
      <c r="DX104">
        <v>36.534500000000001</v>
      </c>
      <c r="DY104">
        <v>1</v>
      </c>
      <c r="DZ104">
        <v>-0.16561699999999999</v>
      </c>
      <c r="EA104">
        <v>-0.78601600000000005</v>
      </c>
      <c r="EB104">
        <v>20.189299999999999</v>
      </c>
      <c r="EC104">
        <v>5.2426000000000004</v>
      </c>
      <c r="ED104">
        <v>12.039899999999999</v>
      </c>
      <c r="EE104">
        <v>5.0173500000000004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1.8687400000000001</v>
      </c>
      <c r="EL104">
        <v>1.86436</v>
      </c>
      <c r="EM104">
        <v>1.86907</v>
      </c>
      <c r="EN104">
        <v>1.86707</v>
      </c>
      <c r="EO104">
        <v>1.86321</v>
      </c>
      <c r="EP104">
        <v>1.8641700000000001</v>
      </c>
      <c r="EQ104">
        <v>1.87005</v>
      </c>
      <c r="ER104">
        <v>1.8692299999999999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-1.159</v>
      </c>
      <c r="FG104">
        <v>0.18290000000000001</v>
      </c>
      <c r="FH104">
        <v>-0.81947142863283695</v>
      </c>
      <c r="FI104">
        <v>-6.1462078757559423E-4</v>
      </c>
      <c r="FJ104">
        <v>-1.8861989874597051E-7</v>
      </c>
      <c r="FK104">
        <v>1.1980462299894961E-10</v>
      </c>
      <c r="FL104">
        <v>0.18283500000000069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22.3</v>
      </c>
      <c r="FU104">
        <v>22.4</v>
      </c>
      <c r="FV104">
        <v>1.7687999999999999</v>
      </c>
      <c r="FW104">
        <v>2.5549300000000001</v>
      </c>
      <c r="FX104">
        <v>1.5490699999999999</v>
      </c>
      <c r="FY104">
        <v>2.34375</v>
      </c>
      <c r="FZ104">
        <v>1.50146</v>
      </c>
      <c r="GA104">
        <v>2.2680699999999998</v>
      </c>
      <c r="GB104">
        <v>30.3079</v>
      </c>
      <c r="GC104">
        <v>23.982399999999998</v>
      </c>
      <c r="GD104">
        <v>19</v>
      </c>
      <c r="GE104">
        <v>281.00700000000001</v>
      </c>
      <c r="GF104">
        <v>605.90200000000004</v>
      </c>
      <c r="GG104">
        <v>25.5962</v>
      </c>
      <c r="GH104">
        <v>25.347300000000001</v>
      </c>
      <c r="GI104">
        <v>30.0001</v>
      </c>
      <c r="GJ104">
        <v>25.470700000000001</v>
      </c>
      <c r="GK104">
        <v>25.442599999999999</v>
      </c>
      <c r="GL104">
        <v>35.376100000000001</v>
      </c>
      <c r="GM104">
        <v>69.575100000000006</v>
      </c>
      <c r="GN104">
        <v>72.294300000000007</v>
      </c>
      <c r="GO104">
        <v>25.6191</v>
      </c>
      <c r="GP104">
        <v>800</v>
      </c>
      <c r="GQ104">
        <v>5.5987099999999996</v>
      </c>
      <c r="GR104">
        <v>99.751000000000005</v>
      </c>
      <c r="GS104">
        <v>99.447699999999998</v>
      </c>
    </row>
    <row r="105" spans="1:201" x14ac:dyDescent="0.25">
      <c r="A105">
        <v>89</v>
      </c>
      <c r="B105">
        <v>1690374766</v>
      </c>
      <c r="C105">
        <v>946.5</v>
      </c>
      <c r="D105" t="s">
        <v>511</v>
      </c>
      <c r="E105" t="s">
        <v>512</v>
      </c>
      <c r="F105" t="s">
        <v>330</v>
      </c>
      <c r="H105">
        <v>1690374766</v>
      </c>
      <c r="I105">
        <f t="shared" si="30"/>
        <v>1.9112063381649482E-3</v>
      </c>
      <c r="J105">
        <f t="shared" si="31"/>
        <v>1.9112063381649482</v>
      </c>
      <c r="K105">
        <f t="shared" si="32"/>
        <v>29.482937061221378</v>
      </c>
      <c r="L105">
        <f t="shared" si="33"/>
        <v>495.892</v>
      </c>
      <c r="M105">
        <f t="shared" si="34"/>
        <v>131.08131740915113</v>
      </c>
      <c r="N105">
        <f t="shared" si="35"/>
        <v>12.951775258342471</v>
      </c>
      <c r="O105">
        <f t="shared" si="36"/>
        <v>48.997689856614002</v>
      </c>
      <c r="P105">
        <f t="shared" si="37"/>
        <v>0.13570658991137588</v>
      </c>
      <c r="Q105">
        <f t="shared" si="38"/>
        <v>2.2531887381522382</v>
      </c>
      <c r="R105">
        <f t="shared" si="39"/>
        <v>0.13132389819520834</v>
      </c>
      <c r="S105">
        <f t="shared" si="40"/>
        <v>8.2459413021098604E-2</v>
      </c>
      <c r="T105">
        <f t="shared" si="41"/>
        <v>276.11324154702487</v>
      </c>
      <c r="U105">
        <f t="shared" si="42"/>
        <v>27.935582088667648</v>
      </c>
      <c r="V105">
        <f t="shared" si="43"/>
        <v>27.935582088667648</v>
      </c>
      <c r="W105">
        <f t="shared" si="44"/>
        <v>3.7806120788883515</v>
      </c>
      <c r="X105">
        <f t="shared" si="45"/>
        <v>68.722926599989052</v>
      </c>
      <c r="Y105">
        <f t="shared" si="46"/>
        <v>2.3875174011303</v>
      </c>
      <c r="Z105">
        <f t="shared" si="47"/>
        <v>3.4741206744979927</v>
      </c>
      <c r="AA105">
        <f t="shared" si="48"/>
        <v>1.3930946777580515</v>
      </c>
      <c r="AB105">
        <f t="shared" si="49"/>
        <v>-84.284199513074213</v>
      </c>
      <c r="AC105">
        <f t="shared" si="50"/>
        <v>-175.13890948247504</v>
      </c>
      <c r="AD105">
        <f t="shared" si="51"/>
        <v>-16.811040844233549</v>
      </c>
      <c r="AE105">
        <f t="shared" si="52"/>
        <v>-0.1209082927579459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52435.167017217835</v>
      </c>
      <c r="AK105">
        <f t="shared" si="56"/>
        <v>1799.99</v>
      </c>
      <c r="AL105">
        <f t="shared" si="57"/>
        <v>1499.1041143975401</v>
      </c>
      <c r="AM105">
        <f t="shared" si="58"/>
        <v>0.83284024600000006</v>
      </c>
      <c r="AN105">
        <f t="shared" si="59"/>
        <v>0.15339709751</v>
      </c>
      <c r="AO105">
        <v>30</v>
      </c>
      <c r="AP105">
        <v>0.5</v>
      </c>
      <c r="AQ105" t="s">
        <v>331</v>
      </c>
      <c r="AR105">
        <v>2</v>
      </c>
      <c r="AS105">
        <v>1690374766</v>
      </c>
      <c r="AT105">
        <v>495.892</v>
      </c>
      <c r="AU105">
        <v>800.06100000000004</v>
      </c>
      <c r="AV105">
        <v>24.163399999999999</v>
      </c>
      <c r="AW105">
        <v>5.5216000000000003</v>
      </c>
      <c r="AX105">
        <v>497.04899999999998</v>
      </c>
      <c r="AY105">
        <v>23.980599999999999</v>
      </c>
      <c r="AZ105">
        <v>300.13600000000002</v>
      </c>
      <c r="BA105">
        <v>98.7072</v>
      </c>
      <c r="BB105">
        <v>9.9979499999999999E-2</v>
      </c>
      <c r="BC105">
        <v>26.4938</v>
      </c>
      <c r="BD105">
        <v>26.9709</v>
      </c>
      <c r="BE105">
        <v>27.9786</v>
      </c>
      <c r="BF105">
        <v>0</v>
      </c>
      <c r="BG105">
        <v>0</v>
      </c>
      <c r="BH105">
        <v>10030.6</v>
      </c>
      <c r="BI105">
        <v>1083.92</v>
      </c>
      <c r="BJ105">
        <v>1.4016500000000001</v>
      </c>
      <c r="BK105">
        <v>-304.16800000000001</v>
      </c>
      <c r="BL105">
        <v>508.17099999999999</v>
      </c>
      <c r="BM105">
        <v>804.50300000000004</v>
      </c>
      <c r="BN105">
        <v>18.6418</v>
      </c>
      <c r="BO105">
        <v>800.06100000000004</v>
      </c>
      <c r="BP105">
        <v>5.5216000000000003</v>
      </c>
      <c r="BQ105">
        <v>2.3851100000000001</v>
      </c>
      <c r="BR105">
        <v>0.54502200000000001</v>
      </c>
      <c r="BS105">
        <v>20.263000000000002</v>
      </c>
      <c r="BT105">
        <v>-1.6218999999999999</v>
      </c>
      <c r="BU105">
        <v>1799.99</v>
      </c>
      <c r="BV105">
        <v>0.91000700000000001</v>
      </c>
      <c r="BW105">
        <v>3.3998800000000003E-2</v>
      </c>
      <c r="BX105">
        <v>2.19963E-2</v>
      </c>
      <c r="BY105">
        <v>3.3997899999999998E-2</v>
      </c>
      <c r="BZ105">
        <v>25</v>
      </c>
      <c r="CA105">
        <v>33528.300000000003</v>
      </c>
      <c r="CB105">
        <v>1690373417</v>
      </c>
      <c r="CC105" t="s">
        <v>332</v>
      </c>
      <c r="CD105">
        <v>1690373417</v>
      </c>
      <c r="CE105">
        <v>1690373415</v>
      </c>
      <c r="CF105">
        <v>1</v>
      </c>
      <c r="CG105">
        <v>-1.319</v>
      </c>
      <c r="CH105">
        <v>0.01</v>
      </c>
      <c r="CI105">
        <v>-1.371</v>
      </c>
      <c r="CJ105">
        <v>0.183</v>
      </c>
      <c r="CK105">
        <v>800</v>
      </c>
      <c r="CL105">
        <v>21</v>
      </c>
      <c r="CM105">
        <v>0.09</v>
      </c>
      <c r="CN105">
        <v>7.0000000000000007E-2</v>
      </c>
      <c r="CO105">
        <v>-301.26709756097563</v>
      </c>
      <c r="CP105">
        <v>-16.985937282230189</v>
      </c>
      <c r="CQ105">
        <v>1.675353458227262</v>
      </c>
      <c r="CR105">
        <v>-1</v>
      </c>
      <c r="CS105">
        <v>18.377897560975612</v>
      </c>
      <c r="CT105">
        <v>1.5155038327526069</v>
      </c>
      <c r="CU105">
        <v>0.14951344745427059</v>
      </c>
      <c r="CV105">
        <v>-1</v>
      </c>
      <c r="CW105">
        <v>0</v>
      </c>
      <c r="CX105">
        <v>0</v>
      </c>
      <c r="CY105" t="s">
        <v>333</v>
      </c>
      <c r="CZ105">
        <v>2.3654099999999998</v>
      </c>
      <c r="DA105">
        <v>2.7138</v>
      </c>
      <c r="DB105">
        <v>0.105098</v>
      </c>
      <c r="DC105">
        <v>0.145844</v>
      </c>
      <c r="DD105">
        <v>0.114285</v>
      </c>
      <c r="DE105">
        <v>3.6808300000000002E-2</v>
      </c>
      <c r="DF105">
        <v>32686.7</v>
      </c>
      <c r="DG105">
        <v>27507.200000000001</v>
      </c>
      <c r="DH105">
        <v>31178.6</v>
      </c>
      <c r="DI105">
        <v>28058.400000000001</v>
      </c>
      <c r="DJ105">
        <v>37481.4</v>
      </c>
      <c r="DK105">
        <v>38412</v>
      </c>
      <c r="DL105">
        <v>44365.5</v>
      </c>
      <c r="DM105">
        <v>42502.5</v>
      </c>
      <c r="DN105">
        <v>1.4806699999999999</v>
      </c>
      <c r="DO105">
        <v>2.07545</v>
      </c>
      <c r="DP105">
        <v>0.11849800000000001</v>
      </c>
      <c r="DQ105">
        <v>0.184391</v>
      </c>
      <c r="DR105">
        <v>25.029800000000002</v>
      </c>
      <c r="DS105">
        <v>24.9604</v>
      </c>
      <c r="DT105">
        <v>62.1</v>
      </c>
      <c r="DU105">
        <v>24.6</v>
      </c>
      <c r="DV105">
        <v>19.532299999999999</v>
      </c>
      <c r="DW105">
        <v>61.820099999999996</v>
      </c>
      <c r="DX105">
        <v>36.590499999999999</v>
      </c>
      <c r="DY105">
        <v>1</v>
      </c>
      <c r="DZ105">
        <v>-0.165765</v>
      </c>
      <c r="EA105">
        <v>-0.75335200000000002</v>
      </c>
      <c r="EB105">
        <v>20.1892</v>
      </c>
      <c r="EC105">
        <v>5.2424499999999998</v>
      </c>
      <c r="ED105">
        <v>12.039899999999999</v>
      </c>
      <c r="EE105">
        <v>5.0172999999999996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1.8687400000000001</v>
      </c>
      <c r="EL105">
        <v>1.86439</v>
      </c>
      <c r="EM105">
        <v>1.8690500000000001</v>
      </c>
      <c r="EN105">
        <v>1.86707</v>
      </c>
      <c r="EO105">
        <v>1.8632200000000001</v>
      </c>
      <c r="EP105">
        <v>1.86419</v>
      </c>
      <c r="EQ105">
        <v>1.87002</v>
      </c>
      <c r="ER105">
        <v>1.8692200000000001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-1.157</v>
      </c>
      <c r="FG105">
        <v>0.18279999999999999</v>
      </c>
      <c r="FH105">
        <v>-0.81947142863283695</v>
      </c>
      <c r="FI105">
        <v>-6.1462078757559423E-4</v>
      </c>
      <c r="FJ105">
        <v>-1.8861989874597051E-7</v>
      </c>
      <c r="FK105">
        <v>1.1980462299894961E-10</v>
      </c>
      <c r="FL105">
        <v>0.18283500000000069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22.5</v>
      </c>
      <c r="FU105">
        <v>22.5</v>
      </c>
      <c r="FV105">
        <v>1.7687999999999999</v>
      </c>
      <c r="FW105">
        <v>2.5488300000000002</v>
      </c>
      <c r="FX105">
        <v>1.5490699999999999</v>
      </c>
      <c r="FY105">
        <v>2.34375</v>
      </c>
      <c r="FZ105">
        <v>1.50146</v>
      </c>
      <c r="GA105">
        <v>2.3938000000000001</v>
      </c>
      <c r="GB105">
        <v>30.2864</v>
      </c>
      <c r="GC105">
        <v>23.9999</v>
      </c>
      <c r="GD105">
        <v>19</v>
      </c>
      <c r="GE105">
        <v>280.86099999999999</v>
      </c>
      <c r="GF105">
        <v>605.41</v>
      </c>
      <c r="GG105">
        <v>25.630800000000001</v>
      </c>
      <c r="GH105">
        <v>25.3462</v>
      </c>
      <c r="GI105">
        <v>30</v>
      </c>
      <c r="GJ105">
        <v>25.468499999999999</v>
      </c>
      <c r="GK105">
        <v>25.4404</v>
      </c>
      <c r="GL105">
        <v>35.369300000000003</v>
      </c>
      <c r="GM105">
        <v>70.426500000000004</v>
      </c>
      <c r="GN105">
        <v>71.485100000000003</v>
      </c>
      <c r="GO105">
        <v>25.631</v>
      </c>
      <c r="GP105">
        <v>800</v>
      </c>
      <c r="GQ105">
        <v>5.3593799999999998</v>
      </c>
      <c r="GR105">
        <v>99.752200000000002</v>
      </c>
      <c r="GS105">
        <v>99.450699999999998</v>
      </c>
    </row>
    <row r="106" spans="1:201" x14ac:dyDescent="0.25">
      <c r="A106">
        <v>90</v>
      </c>
      <c r="B106">
        <v>1690374776</v>
      </c>
      <c r="C106">
        <v>956.5</v>
      </c>
      <c r="D106" t="s">
        <v>513</v>
      </c>
      <c r="E106" t="s">
        <v>514</v>
      </c>
      <c r="F106" t="s">
        <v>330</v>
      </c>
      <c r="H106">
        <v>1690374776</v>
      </c>
      <c r="I106">
        <f t="shared" si="30"/>
        <v>1.936212829511892E-3</v>
      </c>
      <c r="J106">
        <f t="shared" si="31"/>
        <v>1.9362128295118919</v>
      </c>
      <c r="K106">
        <f t="shared" si="32"/>
        <v>29.762749822280874</v>
      </c>
      <c r="L106">
        <f t="shared" si="33"/>
        <v>493.06</v>
      </c>
      <c r="M106">
        <f t="shared" si="34"/>
        <v>130.09475390936819</v>
      </c>
      <c r="N106">
        <f t="shared" si="35"/>
        <v>12.853796658055273</v>
      </c>
      <c r="O106">
        <f t="shared" si="36"/>
        <v>48.715976546109999</v>
      </c>
      <c r="P106">
        <f t="shared" si="37"/>
        <v>0.13774380719119614</v>
      </c>
      <c r="Q106">
        <f t="shared" si="38"/>
        <v>2.2517767330891507</v>
      </c>
      <c r="R106">
        <f t="shared" si="39"/>
        <v>0.13322816724466263</v>
      </c>
      <c r="S106">
        <f t="shared" si="40"/>
        <v>8.3660984802230498E-2</v>
      </c>
      <c r="T106">
        <f t="shared" si="41"/>
        <v>276.11307220396571</v>
      </c>
      <c r="U106">
        <f t="shared" si="42"/>
        <v>27.930310187918767</v>
      </c>
      <c r="V106">
        <f t="shared" si="43"/>
        <v>27.930310187918767</v>
      </c>
      <c r="W106">
        <f t="shared" si="44"/>
        <v>3.7794497685222872</v>
      </c>
      <c r="X106">
        <f t="shared" si="45"/>
        <v>68.738076086278696</v>
      </c>
      <c r="Y106">
        <f t="shared" si="46"/>
        <v>2.3883534617567999</v>
      </c>
      <c r="Z106">
        <f t="shared" si="47"/>
        <v>3.4745712969315359</v>
      </c>
      <c r="AA106">
        <f t="shared" si="48"/>
        <v>1.3910963067654873</v>
      </c>
      <c r="AB106">
        <f t="shared" si="49"/>
        <v>-85.386985781474436</v>
      </c>
      <c r="AC106">
        <f t="shared" si="50"/>
        <v>-174.12208302095482</v>
      </c>
      <c r="AD106">
        <f t="shared" si="51"/>
        <v>-16.723661516293038</v>
      </c>
      <c r="AE106">
        <f t="shared" si="52"/>
        <v>-0.11965811475656096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52379.65130921649</v>
      </c>
      <c r="AK106">
        <f t="shared" si="56"/>
        <v>1799.99</v>
      </c>
      <c r="AL106">
        <f t="shared" si="57"/>
        <v>1499.1053779905199</v>
      </c>
      <c r="AM106">
        <f t="shared" si="58"/>
        <v>0.83284094799999997</v>
      </c>
      <c r="AN106">
        <f t="shared" si="59"/>
        <v>0.15339700343000001</v>
      </c>
      <c r="AO106">
        <v>30</v>
      </c>
      <c r="AP106">
        <v>0.5</v>
      </c>
      <c r="AQ106" t="s">
        <v>331</v>
      </c>
      <c r="AR106">
        <v>2</v>
      </c>
      <c r="AS106">
        <v>1690374776</v>
      </c>
      <c r="AT106">
        <v>493.06</v>
      </c>
      <c r="AU106">
        <v>800.09500000000003</v>
      </c>
      <c r="AV106">
        <v>24.172799999999999</v>
      </c>
      <c r="AW106">
        <v>5.2872700000000004</v>
      </c>
      <c r="AX106">
        <v>494.21499999999997</v>
      </c>
      <c r="AY106">
        <v>23.99</v>
      </c>
      <c r="AZ106">
        <v>300.13600000000002</v>
      </c>
      <c r="BA106">
        <v>98.703400000000002</v>
      </c>
      <c r="BB106">
        <v>9.9943500000000005E-2</v>
      </c>
      <c r="BC106">
        <v>26.495999999999999</v>
      </c>
      <c r="BD106">
        <v>26.993600000000001</v>
      </c>
      <c r="BE106">
        <v>27.977599999999999</v>
      </c>
      <c r="BF106">
        <v>0</v>
      </c>
      <c r="BG106">
        <v>0</v>
      </c>
      <c r="BH106">
        <v>10020</v>
      </c>
      <c r="BI106">
        <v>1083.98</v>
      </c>
      <c r="BJ106">
        <v>1.4016500000000001</v>
      </c>
      <c r="BK106">
        <v>-307.03500000000003</v>
      </c>
      <c r="BL106">
        <v>505.274</v>
      </c>
      <c r="BM106">
        <v>804.34799999999996</v>
      </c>
      <c r="BN106">
        <v>18.8856</v>
      </c>
      <c r="BO106">
        <v>800.09500000000003</v>
      </c>
      <c r="BP106">
        <v>5.2872700000000004</v>
      </c>
      <c r="BQ106">
        <v>2.3859400000000002</v>
      </c>
      <c r="BR106">
        <v>0.521872</v>
      </c>
      <c r="BS106">
        <v>20.268699999999999</v>
      </c>
      <c r="BT106">
        <v>-2.2100300000000002</v>
      </c>
      <c r="BU106">
        <v>1799.99</v>
      </c>
      <c r="BV106">
        <v>0.91001299999999996</v>
      </c>
      <c r="BW106">
        <v>3.3996699999999998E-2</v>
      </c>
      <c r="BX106">
        <v>2.1994900000000001E-2</v>
      </c>
      <c r="BY106">
        <v>3.3995699999999997E-2</v>
      </c>
      <c r="BZ106">
        <v>25</v>
      </c>
      <c r="CA106">
        <v>33528.300000000003</v>
      </c>
      <c r="CB106">
        <v>1690373417</v>
      </c>
      <c r="CC106" t="s">
        <v>332</v>
      </c>
      <c r="CD106">
        <v>1690373417</v>
      </c>
      <c r="CE106">
        <v>1690373415</v>
      </c>
      <c r="CF106">
        <v>1</v>
      </c>
      <c r="CG106">
        <v>-1.319</v>
      </c>
      <c r="CH106">
        <v>0.01</v>
      </c>
      <c r="CI106">
        <v>-1.371</v>
      </c>
      <c r="CJ106">
        <v>0.183</v>
      </c>
      <c r="CK106">
        <v>800</v>
      </c>
      <c r="CL106">
        <v>21</v>
      </c>
      <c r="CM106">
        <v>0.09</v>
      </c>
      <c r="CN106">
        <v>7.0000000000000007E-2</v>
      </c>
      <c r="CO106">
        <v>-304.07048780487798</v>
      </c>
      <c r="CP106">
        <v>-16.888348432055551</v>
      </c>
      <c r="CQ106">
        <v>1.665639101277627</v>
      </c>
      <c r="CR106">
        <v>-1</v>
      </c>
      <c r="CS106">
        <v>18.625509756097561</v>
      </c>
      <c r="CT106">
        <v>1.4635087108014111</v>
      </c>
      <c r="CU106">
        <v>0.144352457893659</v>
      </c>
      <c r="CV106">
        <v>-1</v>
      </c>
      <c r="CW106">
        <v>0</v>
      </c>
      <c r="CX106">
        <v>0</v>
      </c>
      <c r="CY106" t="s">
        <v>333</v>
      </c>
      <c r="CZ106">
        <v>2.36538</v>
      </c>
      <c r="DA106">
        <v>2.7137500000000001</v>
      </c>
      <c r="DB106">
        <v>0.104656</v>
      </c>
      <c r="DC106">
        <v>0.145839</v>
      </c>
      <c r="DD106">
        <v>0.114312</v>
      </c>
      <c r="DE106">
        <v>3.5511899999999999E-2</v>
      </c>
      <c r="DF106">
        <v>32703</v>
      </c>
      <c r="DG106">
        <v>27507.3</v>
      </c>
      <c r="DH106">
        <v>31178.7</v>
      </c>
      <c r="DI106">
        <v>28058.3</v>
      </c>
      <c r="DJ106">
        <v>37480.199999999997</v>
      </c>
      <c r="DK106">
        <v>38464</v>
      </c>
      <c r="DL106">
        <v>44365.5</v>
      </c>
      <c r="DM106">
        <v>42502.6</v>
      </c>
      <c r="DN106">
        <v>1.48105</v>
      </c>
      <c r="DO106">
        <v>2.0748199999999999</v>
      </c>
      <c r="DP106">
        <v>0.119884</v>
      </c>
      <c r="DQ106">
        <v>0.18420800000000001</v>
      </c>
      <c r="DR106">
        <v>25.029900000000001</v>
      </c>
      <c r="DS106">
        <v>24.962499999999999</v>
      </c>
      <c r="DT106">
        <v>61.8</v>
      </c>
      <c r="DU106">
        <v>24.6</v>
      </c>
      <c r="DV106">
        <v>19.442399999999999</v>
      </c>
      <c r="DW106">
        <v>62.120100000000001</v>
      </c>
      <c r="DX106">
        <v>37.524000000000001</v>
      </c>
      <c r="DY106">
        <v>1</v>
      </c>
      <c r="DZ106">
        <v>-0.16602600000000001</v>
      </c>
      <c r="EA106">
        <v>-0.76202099999999995</v>
      </c>
      <c r="EB106">
        <v>20.189</v>
      </c>
      <c r="EC106">
        <v>5.2428999999999997</v>
      </c>
      <c r="ED106">
        <v>12.039899999999999</v>
      </c>
      <c r="EE106">
        <v>5.0178000000000003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1.8687400000000001</v>
      </c>
      <c r="EL106">
        <v>1.86443</v>
      </c>
      <c r="EM106">
        <v>1.8690500000000001</v>
      </c>
      <c r="EN106">
        <v>1.86707</v>
      </c>
      <c r="EO106">
        <v>1.8632200000000001</v>
      </c>
      <c r="EP106">
        <v>1.86419</v>
      </c>
      <c r="EQ106">
        <v>1.8700300000000001</v>
      </c>
      <c r="ER106">
        <v>1.86927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-1.155</v>
      </c>
      <c r="FG106">
        <v>0.18279999999999999</v>
      </c>
      <c r="FH106">
        <v>-0.81947142863283695</v>
      </c>
      <c r="FI106">
        <v>-6.1462078757559423E-4</v>
      </c>
      <c r="FJ106">
        <v>-1.8861989874597051E-7</v>
      </c>
      <c r="FK106">
        <v>1.1980462299894961E-10</v>
      </c>
      <c r="FL106">
        <v>0.18283500000000069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22.6</v>
      </c>
      <c r="FU106">
        <v>22.7</v>
      </c>
      <c r="FV106">
        <v>1.7687999999999999</v>
      </c>
      <c r="FW106">
        <v>2.5537100000000001</v>
      </c>
      <c r="FX106">
        <v>1.5490699999999999</v>
      </c>
      <c r="FY106">
        <v>2.34375</v>
      </c>
      <c r="FZ106">
        <v>1.50146</v>
      </c>
      <c r="GA106">
        <v>2.34863</v>
      </c>
      <c r="GB106">
        <v>30.3079</v>
      </c>
      <c r="GC106">
        <v>23.982399999999998</v>
      </c>
      <c r="GD106">
        <v>19</v>
      </c>
      <c r="GE106">
        <v>281.01799999999997</v>
      </c>
      <c r="GF106">
        <v>604.85500000000002</v>
      </c>
      <c r="GG106">
        <v>25.645199999999999</v>
      </c>
      <c r="GH106">
        <v>25.344799999999999</v>
      </c>
      <c r="GI106">
        <v>29.9999</v>
      </c>
      <c r="GJ106">
        <v>25.468399999999999</v>
      </c>
      <c r="GK106">
        <v>25.438300000000002</v>
      </c>
      <c r="GL106">
        <v>35.365299999999998</v>
      </c>
      <c r="GM106">
        <v>71.301400000000001</v>
      </c>
      <c r="GN106">
        <v>70.659499999999994</v>
      </c>
      <c r="GO106">
        <v>25.654299999999999</v>
      </c>
      <c r="GP106">
        <v>800</v>
      </c>
      <c r="GQ106">
        <v>5.1164199999999997</v>
      </c>
      <c r="GR106">
        <v>99.752200000000002</v>
      </c>
      <c r="GS106">
        <v>99.450800000000001</v>
      </c>
    </row>
    <row r="107" spans="1:201" x14ac:dyDescent="0.25">
      <c r="A107">
        <v>91</v>
      </c>
      <c r="B107">
        <v>1690374786.0999999</v>
      </c>
      <c r="C107">
        <v>966.59999990463257</v>
      </c>
      <c r="D107" t="s">
        <v>515</v>
      </c>
      <c r="E107" t="s">
        <v>516</v>
      </c>
      <c r="F107" t="s">
        <v>330</v>
      </c>
      <c r="H107">
        <v>1690374786.0999999</v>
      </c>
      <c r="I107">
        <f t="shared" si="30"/>
        <v>1.9632123276227867E-3</v>
      </c>
      <c r="J107">
        <f t="shared" si="31"/>
        <v>1.9632123276227866</v>
      </c>
      <c r="K107">
        <f t="shared" si="32"/>
        <v>30.047199860965087</v>
      </c>
      <c r="L107">
        <f t="shared" si="33"/>
        <v>490.21899999999999</v>
      </c>
      <c r="M107">
        <f t="shared" si="34"/>
        <v>129.38791236603896</v>
      </c>
      <c r="N107">
        <f t="shared" si="35"/>
        <v>12.784079133865838</v>
      </c>
      <c r="O107">
        <f t="shared" si="36"/>
        <v>48.435733866663</v>
      </c>
      <c r="P107">
        <f t="shared" si="37"/>
        <v>0.13995459451395423</v>
      </c>
      <c r="Q107">
        <f t="shared" si="38"/>
        <v>2.2447790552971831</v>
      </c>
      <c r="R107">
        <f t="shared" si="39"/>
        <v>0.13528147555999451</v>
      </c>
      <c r="S107">
        <f t="shared" si="40"/>
        <v>8.4957784614117279E-2</v>
      </c>
      <c r="T107">
        <f t="shared" si="41"/>
        <v>276.11264881031792</v>
      </c>
      <c r="U107">
        <f t="shared" si="42"/>
        <v>27.924509271732905</v>
      </c>
      <c r="V107">
        <f t="shared" si="43"/>
        <v>27.924509271732905</v>
      </c>
      <c r="W107">
        <f t="shared" si="44"/>
        <v>3.7781711849591675</v>
      </c>
      <c r="X107">
        <f t="shared" si="45"/>
        <v>68.762279350889187</v>
      </c>
      <c r="Y107">
        <f t="shared" si="46"/>
        <v>2.3890676570045999</v>
      </c>
      <c r="Z107">
        <f t="shared" si="47"/>
        <v>3.4743869452223239</v>
      </c>
      <c r="AA107">
        <f t="shared" si="48"/>
        <v>1.3891035279545676</v>
      </c>
      <c r="AB107">
        <f t="shared" si="49"/>
        <v>-86.577663648164901</v>
      </c>
      <c r="AC107">
        <f t="shared" si="50"/>
        <v>-172.98786540668794</v>
      </c>
      <c r="AD107">
        <f t="shared" si="51"/>
        <v>-16.665959535481075</v>
      </c>
      <c r="AE107">
        <f t="shared" si="52"/>
        <v>-0.11883978001600326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52107.497515457209</v>
      </c>
      <c r="AK107">
        <f t="shared" si="56"/>
        <v>1799.99</v>
      </c>
      <c r="AL107">
        <f t="shared" si="57"/>
        <v>1499.10555438954</v>
      </c>
      <c r="AM107">
        <f t="shared" si="58"/>
        <v>0.83284104599999997</v>
      </c>
      <c r="AN107">
        <f t="shared" si="59"/>
        <v>0.15339676821000001</v>
      </c>
      <c r="AO107">
        <v>30</v>
      </c>
      <c r="AP107">
        <v>0.5</v>
      </c>
      <c r="AQ107" t="s">
        <v>331</v>
      </c>
      <c r="AR107">
        <v>2</v>
      </c>
      <c r="AS107">
        <v>1690374786.0999999</v>
      </c>
      <c r="AT107">
        <v>490.21899999999999</v>
      </c>
      <c r="AU107">
        <v>800.06200000000001</v>
      </c>
      <c r="AV107">
        <v>24.1798</v>
      </c>
      <c r="AW107">
        <v>5.0380099999999999</v>
      </c>
      <c r="AX107">
        <v>491.37099999999998</v>
      </c>
      <c r="AY107">
        <v>23.997</v>
      </c>
      <c r="AZ107">
        <v>300.245</v>
      </c>
      <c r="BA107">
        <v>98.7042</v>
      </c>
      <c r="BB107">
        <v>0.100077</v>
      </c>
      <c r="BC107">
        <v>26.495100000000001</v>
      </c>
      <c r="BD107">
        <v>26.985399999999998</v>
      </c>
      <c r="BE107">
        <v>27.957699999999999</v>
      </c>
      <c r="BF107">
        <v>0</v>
      </c>
      <c r="BG107">
        <v>0</v>
      </c>
      <c r="BH107">
        <v>9965.6200000000008</v>
      </c>
      <c r="BI107">
        <v>1084.01</v>
      </c>
      <c r="BJ107">
        <v>1.4016500000000001</v>
      </c>
      <c r="BK107">
        <v>-309.84300000000002</v>
      </c>
      <c r="BL107">
        <v>502.36599999999999</v>
      </c>
      <c r="BM107">
        <v>804.11300000000006</v>
      </c>
      <c r="BN107">
        <v>19.1418</v>
      </c>
      <c r="BO107">
        <v>800.06200000000001</v>
      </c>
      <c r="BP107">
        <v>5.0380099999999999</v>
      </c>
      <c r="BQ107">
        <v>2.3866499999999999</v>
      </c>
      <c r="BR107">
        <v>0.49727199999999999</v>
      </c>
      <c r="BS107">
        <v>20.273499999999999</v>
      </c>
      <c r="BT107">
        <v>-2.8608799999999999</v>
      </c>
      <c r="BU107">
        <v>1799.99</v>
      </c>
      <c r="BV107">
        <v>0.91001900000000002</v>
      </c>
      <c r="BW107">
        <v>3.3994200000000002E-2</v>
      </c>
      <c r="BX107">
        <v>2.19933E-2</v>
      </c>
      <c r="BY107">
        <v>3.3993299999999997E-2</v>
      </c>
      <c r="BZ107">
        <v>25</v>
      </c>
      <c r="CA107">
        <v>33528.400000000001</v>
      </c>
      <c r="CB107">
        <v>1690373417</v>
      </c>
      <c r="CC107" t="s">
        <v>332</v>
      </c>
      <c r="CD107">
        <v>1690373417</v>
      </c>
      <c r="CE107">
        <v>1690373415</v>
      </c>
      <c r="CF107">
        <v>1</v>
      </c>
      <c r="CG107">
        <v>-1.319</v>
      </c>
      <c r="CH107">
        <v>0.01</v>
      </c>
      <c r="CI107">
        <v>-1.371</v>
      </c>
      <c r="CJ107">
        <v>0.183</v>
      </c>
      <c r="CK107">
        <v>800</v>
      </c>
      <c r="CL107">
        <v>21</v>
      </c>
      <c r="CM107">
        <v>0.09</v>
      </c>
      <c r="CN107">
        <v>7.0000000000000007E-2</v>
      </c>
      <c r="CO107">
        <v>-306.95021951219508</v>
      </c>
      <c r="CP107">
        <v>-16.93959520407487</v>
      </c>
      <c r="CQ107">
        <v>1.6221040613847</v>
      </c>
      <c r="CR107">
        <v>-1</v>
      </c>
      <c r="CS107">
        <v>18.881873170731708</v>
      </c>
      <c r="CT107">
        <v>1.520428066480721</v>
      </c>
      <c r="CU107">
        <v>0.14558625642785841</v>
      </c>
      <c r="CV107">
        <v>-1</v>
      </c>
      <c r="CW107">
        <v>0</v>
      </c>
      <c r="CX107">
        <v>0</v>
      </c>
      <c r="CY107" t="s">
        <v>333</v>
      </c>
      <c r="CZ107">
        <v>2.3657300000000001</v>
      </c>
      <c r="DA107">
        <v>2.7138399999999998</v>
      </c>
      <c r="DB107">
        <v>0.104216</v>
      </c>
      <c r="DC107">
        <v>0.14583199999999999</v>
      </c>
      <c r="DD107">
        <v>0.11433599999999999</v>
      </c>
      <c r="DE107">
        <v>3.4116899999999999E-2</v>
      </c>
      <c r="DF107">
        <v>32718.6</v>
      </c>
      <c r="DG107">
        <v>27507.7</v>
      </c>
      <c r="DH107">
        <v>31178.3</v>
      </c>
      <c r="DI107">
        <v>28058.6</v>
      </c>
      <c r="DJ107">
        <v>37478.9</v>
      </c>
      <c r="DK107">
        <v>38520.199999999997</v>
      </c>
      <c r="DL107">
        <v>44365.3</v>
      </c>
      <c r="DM107">
        <v>42503</v>
      </c>
      <c r="DN107">
        <v>1.48132</v>
      </c>
      <c r="DO107">
        <v>2.0745</v>
      </c>
      <c r="DP107">
        <v>0.11915000000000001</v>
      </c>
      <c r="DQ107">
        <v>0.18285999999999999</v>
      </c>
      <c r="DR107">
        <v>25.0336</v>
      </c>
      <c r="DS107">
        <v>24.964600000000001</v>
      </c>
      <c r="DT107">
        <v>61.5</v>
      </c>
      <c r="DU107">
        <v>24.7</v>
      </c>
      <c r="DV107">
        <v>19.458500000000001</v>
      </c>
      <c r="DW107">
        <v>62.010100000000001</v>
      </c>
      <c r="DX107">
        <v>36.8309</v>
      </c>
      <c r="DY107">
        <v>1</v>
      </c>
      <c r="DZ107">
        <v>-0.16573399999999999</v>
      </c>
      <c r="EA107">
        <v>-0.74580900000000006</v>
      </c>
      <c r="EB107">
        <v>20.189499999999999</v>
      </c>
      <c r="EC107">
        <v>5.2430500000000002</v>
      </c>
      <c r="ED107">
        <v>12.039899999999999</v>
      </c>
      <c r="EE107">
        <v>5.0176999999999996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1.8687400000000001</v>
      </c>
      <c r="EL107">
        <v>1.8643799999999999</v>
      </c>
      <c r="EM107">
        <v>1.8690599999999999</v>
      </c>
      <c r="EN107">
        <v>1.86707</v>
      </c>
      <c r="EO107">
        <v>1.8632200000000001</v>
      </c>
      <c r="EP107">
        <v>1.86419</v>
      </c>
      <c r="EQ107">
        <v>1.8700399999999999</v>
      </c>
      <c r="ER107">
        <v>1.86924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-1.1519999999999999</v>
      </c>
      <c r="FG107">
        <v>0.18279999999999999</v>
      </c>
      <c r="FH107">
        <v>-0.81947142863283695</v>
      </c>
      <c r="FI107">
        <v>-6.1462078757559423E-4</v>
      </c>
      <c r="FJ107">
        <v>-1.8861989874597051E-7</v>
      </c>
      <c r="FK107">
        <v>1.1980462299894961E-10</v>
      </c>
      <c r="FL107">
        <v>0.18283500000000069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22.8</v>
      </c>
      <c r="FU107">
        <v>22.9</v>
      </c>
      <c r="FV107">
        <v>1.7687999999999999</v>
      </c>
      <c r="FW107">
        <v>2.5585900000000001</v>
      </c>
      <c r="FX107">
        <v>1.5490699999999999</v>
      </c>
      <c r="FY107">
        <v>2.34375</v>
      </c>
      <c r="FZ107">
        <v>1.50146</v>
      </c>
      <c r="GA107">
        <v>2.2936999999999999</v>
      </c>
      <c r="GB107">
        <v>30.3294</v>
      </c>
      <c r="GC107">
        <v>23.982399999999998</v>
      </c>
      <c r="GD107">
        <v>19</v>
      </c>
      <c r="GE107">
        <v>281.125</v>
      </c>
      <c r="GF107">
        <v>604.55499999999995</v>
      </c>
      <c r="GG107">
        <v>25.6614</v>
      </c>
      <c r="GH107">
        <v>25.342700000000001</v>
      </c>
      <c r="GI107">
        <v>30.000299999999999</v>
      </c>
      <c r="GJ107">
        <v>25.4664</v>
      </c>
      <c r="GK107">
        <v>25.436199999999999</v>
      </c>
      <c r="GL107">
        <v>35.359000000000002</v>
      </c>
      <c r="GM107">
        <v>72.143600000000006</v>
      </c>
      <c r="GN107">
        <v>69.439300000000003</v>
      </c>
      <c r="GO107">
        <v>25.659099999999999</v>
      </c>
      <c r="GP107">
        <v>800</v>
      </c>
      <c r="GQ107">
        <v>4.8613400000000002</v>
      </c>
      <c r="GR107">
        <v>99.751499999999993</v>
      </c>
      <c r="GS107">
        <v>99.451700000000002</v>
      </c>
    </row>
    <row r="108" spans="1:201" x14ac:dyDescent="0.25">
      <c r="A108">
        <v>92</v>
      </c>
      <c r="B108">
        <v>1690374796.0999999</v>
      </c>
      <c r="C108">
        <v>976.59999990463257</v>
      </c>
      <c r="D108" t="s">
        <v>517</v>
      </c>
      <c r="E108" t="s">
        <v>518</v>
      </c>
      <c r="F108" t="s">
        <v>330</v>
      </c>
      <c r="H108">
        <v>1690374796.0999999</v>
      </c>
      <c r="I108">
        <f t="shared" si="30"/>
        <v>1.9877592111171402E-3</v>
      </c>
      <c r="J108">
        <f t="shared" si="31"/>
        <v>1.9877592111171403</v>
      </c>
      <c r="K108">
        <f t="shared" si="32"/>
        <v>30.299361581508442</v>
      </c>
      <c r="L108">
        <f t="shared" si="33"/>
        <v>487.54399999999998</v>
      </c>
      <c r="M108">
        <f t="shared" si="34"/>
        <v>128.76988953681058</v>
      </c>
      <c r="N108">
        <f t="shared" si="35"/>
        <v>12.723141643236513</v>
      </c>
      <c r="O108">
        <f t="shared" si="36"/>
        <v>48.171908756176002</v>
      </c>
      <c r="P108">
        <f t="shared" si="37"/>
        <v>0.14198136598108832</v>
      </c>
      <c r="Q108">
        <f t="shared" si="38"/>
        <v>2.2514787346380158</v>
      </c>
      <c r="R108">
        <f t="shared" si="39"/>
        <v>0.13718820379744279</v>
      </c>
      <c r="S108">
        <f t="shared" si="40"/>
        <v>8.6159793824123074E-2</v>
      </c>
      <c r="T108">
        <f t="shared" si="41"/>
        <v>276.11255877481813</v>
      </c>
      <c r="U108">
        <f t="shared" si="42"/>
        <v>27.917377601999284</v>
      </c>
      <c r="V108">
        <f t="shared" si="43"/>
        <v>27.917377601999284</v>
      </c>
      <c r="W108">
        <f t="shared" si="44"/>
        <v>3.7765998063662929</v>
      </c>
      <c r="X108">
        <f t="shared" si="45"/>
        <v>68.759303588145286</v>
      </c>
      <c r="Y108">
        <f t="shared" si="46"/>
        <v>2.3896544706170002</v>
      </c>
      <c r="Z108">
        <f t="shared" si="47"/>
        <v>3.4753907412014535</v>
      </c>
      <c r="AA108">
        <f t="shared" si="48"/>
        <v>1.3869453357492927</v>
      </c>
      <c r="AB108">
        <f t="shared" si="49"/>
        <v>-87.66018121026589</v>
      </c>
      <c r="AC108">
        <f t="shared" si="50"/>
        <v>-172.04373340546806</v>
      </c>
      <c r="AD108">
        <f t="shared" si="51"/>
        <v>-16.525492445288229</v>
      </c>
      <c r="AE108">
        <f t="shared" si="52"/>
        <v>-0.11684828620406051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52367.378102910334</v>
      </c>
      <c r="AK108">
        <f t="shared" si="56"/>
        <v>1799.99</v>
      </c>
      <c r="AL108">
        <f t="shared" si="57"/>
        <v>1499.10681978251</v>
      </c>
      <c r="AM108">
        <f t="shared" si="58"/>
        <v>0.83284174899999996</v>
      </c>
      <c r="AN108">
        <f t="shared" si="59"/>
        <v>0.15339671819</v>
      </c>
      <c r="AO108">
        <v>30</v>
      </c>
      <c r="AP108">
        <v>0.5</v>
      </c>
      <c r="AQ108" t="s">
        <v>331</v>
      </c>
      <c r="AR108">
        <v>2</v>
      </c>
      <c r="AS108">
        <v>1690374796.0999999</v>
      </c>
      <c r="AT108">
        <v>487.54399999999998</v>
      </c>
      <c r="AU108">
        <v>800.10900000000004</v>
      </c>
      <c r="AV108">
        <v>24.185500000000001</v>
      </c>
      <c r="AW108">
        <v>4.7960900000000004</v>
      </c>
      <c r="AX108">
        <v>488.69499999999999</v>
      </c>
      <c r="AY108">
        <v>24.002600000000001</v>
      </c>
      <c r="AZ108">
        <v>300.11500000000001</v>
      </c>
      <c r="BA108">
        <v>98.705200000000005</v>
      </c>
      <c r="BB108">
        <v>0.100054</v>
      </c>
      <c r="BC108">
        <v>26.5</v>
      </c>
      <c r="BD108">
        <v>26.996099999999998</v>
      </c>
      <c r="BE108">
        <v>27.954000000000001</v>
      </c>
      <c r="BF108">
        <v>0</v>
      </c>
      <c r="BG108">
        <v>0</v>
      </c>
      <c r="BH108">
        <v>10017.5</v>
      </c>
      <c r="BI108">
        <v>1084.04</v>
      </c>
      <c r="BJ108">
        <v>1.4016500000000001</v>
      </c>
      <c r="BK108">
        <v>-312.565</v>
      </c>
      <c r="BL108">
        <v>499.62799999999999</v>
      </c>
      <c r="BM108">
        <v>803.96500000000003</v>
      </c>
      <c r="BN108">
        <v>19.389399999999998</v>
      </c>
      <c r="BO108">
        <v>800.10900000000004</v>
      </c>
      <c r="BP108">
        <v>4.7960900000000004</v>
      </c>
      <c r="BQ108">
        <v>2.3872300000000002</v>
      </c>
      <c r="BR108">
        <v>0.47339999999999999</v>
      </c>
      <c r="BS108">
        <v>20.2774</v>
      </c>
      <c r="BT108">
        <v>-3.5204300000000002</v>
      </c>
      <c r="BU108">
        <v>1799.99</v>
      </c>
      <c r="BV108">
        <v>0.91002400000000006</v>
      </c>
      <c r="BW108">
        <v>3.3992500000000002E-2</v>
      </c>
      <c r="BX108">
        <v>2.19922E-2</v>
      </c>
      <c r="BY108">
        <v>3.3991500000000001E-2</v>
      </c>
      <c r="BZ108">
        <v>25</v>
      </c>
      <c r="CA108">
        <v>33528.5</v>
      </c>
      <c r="CB108">
        <v>1690373417</v>
      </c>
      <c r="CC108" t="s">
        <v>332</v>
      </c>
      <c r="CD108">
        <v>1690373417</v>
      </c>
      <c r="CE108">
        <v>1690373415</v>
      </c>
      <c r="CF108">
        <v>1</v>
      </c>
      <c r="CG108">
        <v>-1.319</v>
      </c>
      <c r="CH108">
        <v>0.01</v>
      </c>
      <c r="CI108">
        <v>-1.371</v>
      </c>
      <c r="CJ108">
        <v>0.183</v>
      </c>
      <c r="CK108">
        <v>800</v>
      </c>
      <c r="CL108">
        <v>21</v>
      </c>
      <c r="CM108">
        <v>0.09</v>
      </c>
      <c r="CN108">
        <v>7.0000000000000007E-2</v>
      </c>
      <c r="CO108">
        <v>-309.69221951219509</v>
      </c>
      <c r="CP108">
        <v>-16.73752211689024</v>
      </c>
      <c r="CQ108">
        <v>1.646074228717689</v>
      </c>
      <c r="CR108">
        <v>-1</v>
      </c>
      <c r="CS108">
        <v>19.128492682926829</v>
      </c>
      <c r="CT108">
        <v>1.4947380882899659</v>
      </c>
      <c r="CU108">
        <v>0.1470075697242037</v>
      </c>
      <c r="CV108">
        <v>-1</v>
      </c>
      <c r="CW108">
        <v>0</v>
      </c>
      <c r="CX108">
        <v>0</v>
      </c>
      <c r="CY108" t="s">
        <v>333</v>
      </c>
      <c r="CZ108">
        <v>2.3652799999999998</v>
      </c>
      <c r="DA108">
        <v>2.7138599999999999</v>
      </c>
      <c r="DB108">
        <v>0.103801</v>
      </c>
      <c r="DC108">
        <v>0.14583399999999999</v>
      </c>
      <c r="DD108">
        <v>0.114357</v>
      </c>
      <c r="DE108">
        <v>3.27444E-2</v>
      </c>
      <c r="DF108">
        <v>32734.2</v>
      </c>
      <c r="DG108">
        <v>27507.599999999999</v>
      </c>
      <c r="DH108">
        <v>31178.7</v>
      </c>
      <c r="DI108">
        <v>28058.5</v>
      </c>
      <c r="DJ108">
        <v>37478.300000000003</v>
      </c>
      <c r="DK108">
        <v>38575</v>
      </c>
      <c r="DL108">
        <v>44365.7</v>
      </c>
      <c r="DM108">
        <v>42502.9</v>
      </c>
      <c r="DN108">
        <v>1.4818199999999999</v>
      </c>
      <c r="DO108">
        <v>2.0739000000000001</v>
      </c>
      <c r="DP108">
        <v>0.119612</v>
      </c>
      <c r="DQ108">
        <v>0.18246499999999999</v>
      </c>
      <c r="DR108">
        <v>25.036799999999999</v>
      </c>
      <c r="DS108">
        <v>24.967300000000002</v>
      </c>
      <c r="DT108">
        <v>61.1</v>
      </c>
      <c r="DU108">
        <v>24.7</v>
      </c>
      <c r="DV108">
        <v>19.334900000000001</v>
      </c>
      <c r="DW108">
        <v>62.030099999999997</v>
      </c>
      <c r="DX108">
        <v>37.463900000000002</v>
      </c>
      <c r="DY108">
        <v>1</v>
      </c>
      <c r="DZ108">
        <v>-0.166209</v>
      </c>
      <c r="EA108">
        <v>-0.76462699999999995</v>
      </c>
      <c r="EB108">
        <v>20.189299999999999</v>
      </c>
      <c r="EC108">
        <v>5.2421499999999996</v>
      </c>
      <c r="ED108">
        <v>12.039899999999999</v>
      </c>
      <c r="EE108">
        <v>5.0174500000000002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1.8687400000000001</v>
      </c>
      <c r="EL108">
        <v>1.86439</v>
      </c>
      <c r="EM108">
        <v>1.8690599999999999</v>
      </c>
      <c r="EN108">
        <v>1.86707</v>
      </c>
      <c r="EO108">
        <v>1.86321</v>
      </c>
      <c r="EP108">
        <v>1.8641799999999999</v>
      </c>
      <c r="EQ108">
        <v>1.8700300000000001</v>
      </c>
      <c r="ER108">
        <v>1.8692299999999999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-1.151</v>
      </c>
      <c r="FG108">
        <v>0.18290000000000001</v>
      </c>
      <c r="FH108">
        <v>-0.81947142863283695</v>
      </c>
      <c r="FI108">
        <v>-6.1462078757559423E-4</v>
      </c>
      <c r="FJ108">
        <v>-1.8861989874597051E-7</v>
      </c>
      <c r="FK108">
        <v>1.1980462299894961E-10</v>
      </c>
      <c r="FL108">
        <v>0.18283500000000069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23</v>
      </c>
      <c r="FU108">
        <v>23</v>
      </c>
      <c r="FV108">
        <v>1.7675799999999999</v>
      </c>
      <c r="FW108">
        <v>2.5488300000000002</v>
      </c>
      <c r="FX108">
        <v>1.5490699999999999</v>
      </c>
      <c r="FY108">
        <v>2.34375</v>
      </c>
      <c r="FZ108">
        <v>1.50146</v>
      </c>
      <c r="GA108">
        <v>2.33887</v>
      </c>
      <c r="GB108">
        <v>30.3294</v>
      </c>
      <c r="GC108">
        <v>23.991199999999999</v>
      </c>
      <c r="GD108">
        <v>19</v>
      </c>
      <c r="GE108">
        <v>281.32600000000002</v>
      </c>
      <c r="GF108">
        <v>604.04</v>
      </c>
      <c r="GG108">
        <v>25.668399999999998</v>
      </c>
      <c r="GH108">
        <v>25.340499999999999</v>
      </c>
      <c r="GI108">
        <v>30.0001</v>
      </c>
      <c r="GJ108">
        <v>25.464300000000001</v>
      </c>
      <c r="GK108">
        <v>25.435600000000001</v>
      </c>
      <c r="GL108">
        <v>35.349800000000002</v>
      </c>
      <c r="GM108">
        <v>73.020300000000006</v>
      </c>
      <c r="GN108">
        <v>68.689300000000003</v>
      </c>
      <c r="GO108">
        <v>25.673999999999999</v>
      </c>
      <c r="GP108">
        <v>800</v>
      </c>
      <c r="GQ108">
        <v>4.6144999999999996</v>
      </c>
      <c r="GR108">
        <v>99.752600000000001</v>
      </c>
      <c r="GS108">
        <v>99.451499999999996</v>
      </c>
    </row>
    <row r="109" spans="1:201" x14ac:dyDescent="0.25">
      <c r="A109">
        <v>93</v>
      </c>
      <c r="B109">
        <v>1690374806.0999999</v>
      </c>
      <c r="C109">
        <v>986.59999990463257</v>
      </c>
      <c r="D109" t="s">
        <v>519</v>
      </c>
      <c r="E109" t="s">
        <v>520</v>
      </c>
      <c r="F109" t="s">
        <v>330</v>
      </c>
      <c r="H109">
        <v>1690374806.0999999</v>
      </c>
      <c r="I109">
        <f t="shared" si="30"/>
        <v>2.0123226809817089E-3</v>
      </c>
      <c r="J109">
        <f t="shared" si="31"/>
        <v>2.012322680981709</v>
      </c>
      <c r="K109">
        <f t="shared" si="32"/>
        <v>30.558433692664845</v>
      </c>
      <c r="L109">
        <f t="shared" si="33"/>
        <v>484.83800000000002</v>
      </c>
      <c r="M109">
        <f t="shared" si="34"/>
        <v>127.4241088617522</v>
      </c>
      <c r="N109">
        <f t="shared" si="35"/>
        <v>12.590657781405371</v>
      </c>
      <c r="O109">
        <f t="shared" si="36"/>
        <v>47.906392220046605</v>
      </c>
      <c r="P109">
        <f t="shared" si="37"/>
        <v>0.14378465286866243</v>
      </c>
      <c r="Q109">
        <f t="shared" si="38"/>
        <v>2.2517739824207492</v>
      </c>
      <c r="R109">
        <f t="shared" si="39"/>
        <v>0.13887185040474995</v>
      </c>
      <c r="S109">
        <f t="shared" si="40"/>
        <v>8.7222318241656271E-2</v>
      </c>
      <c r="T109">
        <f t="shared" si="41"/>
        <v>276.11393000400005</v>
      </c>
      <c r="U109">
        <f t="shared" si="42"/>
        <v>27.919359295794301</v>
      </c>
      <c r="V109">
        <f t="shared" si="43"/>
        <v>27.919359295794301</v>
      </c>
      <c r="W109">
        <f t="shared" si="44"/>
        <v>3.7770363918011967</v>
      </c>
      <c r="X109">
        <f t="shared" si="45"/>
        <v>68.725335588996202</v>
      </c>
      <c r="Y109">
        <f t="shared" si="46"/>
        <v>2.3899246357421102</v>
      </c>
      <c r="Z109">
        <f t="shared" si="47"/>
        <v>3.4775015869471684</v>
      </c>
      <c r="AA109">
        <f t="shared" si="48"/>
        <v>1.3871117560590864</v>
      </c>
      <c r="AB109">
        <f t="shared" si="49"/>
        <v>-88.74343023129336</v>
      </c>
      <c r="AC109">
        <f t="shared" si="50"/>
        <v>-171.05647163626398</v>
      </c>
      <c r="AD109">
        <f t="shared" si="51"/>
        <v>-16.429514722623871</v>
      </c>
      <c r="AE109">
        <f t="shared" si="52"/>
        <v>-0.11548658618116292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52377.168323308884</v>
      </c>
      <c r="AK109">
        <f t="shared" si="56"/>
        <v>1800</v>
      </c>
      <c r="AL109">
        <f t="shared" si="57"/>
        <v>1499.1112043999999</v>
      </c>
      <c r="AM109">
        <f t="shared" si="58"/>
        <v>0.83283955799999998</v>
      </c>
      <c r="AN109">
        <f t="shared" si="59"/>
        <v>0.15339662778000002</v>
      </c>
      <c r="AO109">
        <v>30</v>
      </c>
      <c r="AP109">
        <v>0.5</v>
      </c>
      <c r="AQ109" t="s">
        <v>331</v>
      </c>
      <c r="AR109">
        <v>2</v>
      </c>
      <c r="AS109">
        <v>1690374806.0999999</v>
      </c>
      <c r="AT109">
        <v>484.83800000000002</v>
      </c>
      <c r="AU109">
        <v>800.01599999999996</v>
      </c>
      <c r="AV109">
        <v>24.1873</v>
      </c>
      <c r="AW109">
        <v>4.5609400000000004</v>
      </c>
      <c r="AX109">
        <v>485.98700000000002</v>
      </c>
      <c r="AY109">
        <v>24.0045</v>
      </c>
      <c r="AZ109">
        <v>300.15499999999997</v>
      </c>
      <c r="BA109">
        <v>98.709100000000007</v>
      </c>
      <c r="BB109">
        <v>9.9970699999999996E-2</v>
      </c>
      <c r="BC109">
        <v>26.510300000000001</v>
      </c>
      <c r="BD109">
        <v>26.9894</v>
      </c>
      <c r="BE109">
        <v>27.934200000000001</v>
      </c>
      <c r="BF109">
        <v>0</v>
      </c>
      <c r="BG109">
        <v>0</v>
      </c>
      <c r="BH109">
        <v>10019.4</v>
      </c>
      <c r="BI109">
        <v>1084.1600000000001</v>
      </c>
      <c r="BJ109">
        <v>1.4016500000000001</v>
      </c>
      <c r="BK109">
        <v>-315.178</v>
      </c>
      <c r="BL109">
        <v>496.85500000000002</v>
      </c>
      <c r="BM109">
        <v>803.68100000000004</v>
      </c>
      <c r="BN109">
        <v>19.6264</v>
      </c>
      <c r="BO109">
        <v>800.01599999999996</v>
      </c>
      <c r="BP109">
        <v>4.5609400000000004</v>
      </c>
      <c r="BQ109">
        <v>2.3875099999999998</v>
      </c>
      <c r="BR109">
        <v>0.450206</v>
      </c>
      <c r="BS109">
        <v>20.279299999999999</v>
      </c>
      <c r="BT109">
        <v>-4.1901200000000003</v>
      </c>
      <c r="BU109">
        <v>1800</v>
      </c>
      <c r="BV109">
        <v>0.91001399999999999</v>
      </c>
      <c r="BW109">
        <v>3.4006500000000002E-2</v>
      </c>
      <c r="BX109">
        <v>2.19904E-2</v>
      </c>
      <c r="BY109">
        <v>3.39888E-2</v>
      </c>
      <c r="BZ109">
        <v>25</v>
      </c>
      <c r="CA109">
        <v>33528.400000000001</v>
      </c>
      <c r="CB109">
        <v>1690373417</v>
      </c>
      <c r="CC109" t="s">
        <v>332</v>
      </c>
      <c r="CD109">
        <v>1690373417</v>
      </c>
      <c r="CE109">
        <v>1690373415</v>
      </c>
      <c r="CF109">
        <v>1</v>
      </c>
      <c r="CG109">
        <v>-1.319</v>
      </c>
      <c r="CH109">
        <v>0.01</v>
      </c>
      <c r="CI109">
        <v>-1.371</v>
      </c>
      <c r="CJ109">
        <v>0.183</v>
      </c>
      <c r="CK109">
        <v>800</v>
      </c>
      <c r="CL109">
        <v>21</v>
      </c>
      <c r="CM109">
        <v>0.09</v>
      </c>
      <c r="CN109">
        <v>7.0000000000000007E-2</v>
      </c>
      <c r="CO109">
        <v>-312.14941463414641</v>
      </c>
      <c r="CP109">
        <v>-16.069108013937289</v>
      </c>
      <c r="CQ109">
        <v>1.5846513654522669</v>
      </c>
      <c r="CR109">
        <v>-1</v>
      </c>
      <c r="CS109">
        <v>19.349436585365851</v>
      </c>
      <c r="CT109">
        <v>1.4505972125435611</v>
      </c>
      <c r="CU109">
        <v>0.14308319557737359</v>
      </c>
      <c r="CV109">
        <v>-1</v>
      </c>
      <c r="CW109">
        <v>0</v>
      </c>
      <c r="CX109">
        <v>0</v>
      </c>
      <c r="CY109" t="s">
        <v>333</v>
      </c>
      <c r="CZ109">
        <v>2.3653900000000001</v>
      </c>
      <c r="DA109">
        <v>2.7137799999999999</v>
      </c>
      <c r="DB109">
        <v>0.103382</v>
      </c>
      <c r="DC109">
        <v>0.14582400000000001</v>
      </c>
      <c r="DD109">
        <v>0.114368</v>
      </c>
      <c r="DE109">
        <v>3.1393200000000003E-2</v>
      </c>
      <c r="DF109">
        <v>32748.799999999999</v>
      </c>
      <c r="DG109">
        <v>27508.799999999999</v>
      </c>
      <c r="DH109">
        <v>31178</v>
      </c>
      <c r="DI109">
        <v>28059.4</v>
      </c>
      <c r="DJ109">
        <v>37477.1</v>
      </c>
      <c r="DK109">
        <v>38630.400000000001</v>
      </c>
      <c r="DL109">
        <v>44364.9</v>
      </c>
      <c r="DM109">
        <v>42504.4</v>
      </c>
      <c r="DN109">
        <v>1.4820500000000001</v>
      </c>
      <c r="DO109">
        <v>2.0733000000000001</v>
      </c>
      <c r="DP109">
        <v>0.118949</v>
      </c>
      <c r="DQ109">
        <v>0.181034</v>
      </c>
      <c r="DR109">
        <v>25.041</v>
      </c>
      <c r="DS109">
        <v>24.9709</v>
      </c>
      <c r="DT109">
        <v>60.7</v>
      </c>
      <c r="DU109">
        <v>24.7</v>
      </c>
      <c r="DV109">
        <v>19.207799999999999</v>
      </c>
      <c r="DW109">
        <v>61.540100000000002</v>
      </c>
      <c r="DX109">
        <v>36.674700000000001</v>
      </c>
      <c r="DY109">
        <v>1</v>
      </c>
      <c r="DZ109">
        <v>-0.16613600000000001</v>
      </c>
      <c r="EA109">
        <v>-0.78071299999999999</v>
      </c>
      <c r="EB109">
        <v>20.189299999999999</v>
      </c>
      <c r="EC109">
        <v>5.2423000000000002</v>
      </c>
      <c r="ED109">
        <v>12.039899999999999</v>
      </c>
      <c r="EE109">
        <v>5.0174500000000002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1.8687400000000001</v>
      </c>
      <c r="EL109">
        <v>1.86442</v>
      </c>
      <c r="EM109">
        <v>1.8691</v>
      </c>
      <c r="EN109">
        <v>1.8670800000000001</v>
      </c>
      <c r="EO109">
        <v>1.86324</v>
      </c>
      <c r="EP109">
        <v>1.8642000000000001</v>
      </c>
      <c r="EQ109">
        <v>1.87005</v>
      </c>
      <c r="ER109">
        <v>1.8692599999999999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-1.149</v>
      </c>
      <c r="FG109">
        <v>0.18279999999999999</v>
      </c>
      <c r="FH109">
        <v>-0.81947142863283695</v>
      </c>
      <c r="FI109">
        <v>-6.1462078757559423E-4</v>
      </c>
      <c r="FJ109">
        <v>-1.8861989874597051E-7</v>
      </c>
      <c r="FK109">
        <v>1.1980462299894961E-10</v>
      </c>
      <c r="FL109">
        <v>0.18283500000000069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23.2</v>
      </c>
      <c r="FU109">
        <v>23.2</v>
      </c>
      <c r="FV109">
        <v>1.7675799999999999</v>
      </c>
      <c r="FW109">
        <v>2.5549300000000001</v>
      </c>
      <c r="FX109">
        <v>1.5490699999999999</v>
      </c>
      <c r="FY109">
        <v>2.34375</v>
      </c>
      <c r="FZ109">
        <v>1.50146</v>
      </c>
      <c r="GA109">
        <v>2.3877000000000002</v>
      </c>
      <c r="GB109">
        <v>30.3294</v>
      </c>
      <c r="GC109">
        <v>23.982399999999998</v>
      </c>
      <c r="GD109">
        <v>19</v>
      </c>
      <c r="GE109">
        <v>281.41199999999998</v>
      </c>
      <c r="GF109">
        <v>603.51400000000001</v>
      </c>
      <c r="GG109">
        <v>25.683800000000002</v>
      </c>
      <c r="GH109">
        <v>25.3384</v>
      </c>
      <c r="GI109">
        <v>30</v>
      </c>
      <c r="GJ109">
        <v>25.462199999999999</v>
      </c>
      <c r="GK109">
        <v>25.434000000000001</v>
      </c>
      <c r="GL109">
        <v>35.3444</v>
      </c>
      <c r="GM109">
        <v>73.884699999999995</v>
      </c>
      <c r="GN109">
        <v>67.554100000000005</v>
      </c>
      <c r="GO109">
        <v>25.6981</v>
      </c>
      <c r="GP109">
        <v>800</v>
      </c>
      <c r="GQ109">
        <v>4.3752000000000004</v>
      </c>
      <c r="GR109">
        <v>99.750699999999995</v>
      </c>
      <c r="GS109">
        <v>99.454899999999995</v>
      </c>
    </row>
    <row r="110" spans="1:201" x14ac:dyDescent="0.25">
      <c r="A110">
        <v>94</v>
      </c>
      <c r="B110">
        <v>1690374816.0999999</v>
      </c>
      <c r="C110">
        <v>996.59999990463257</v>
      </c>
      <c r="D110" t="s">
        <v>521</v>
      </c>
      <c r="E110" t="s">
        <v>522</v>
      </c>
      <c r="F110" t="s">
        <v>330</v>
      </c>
      <c r="H110">
        <v>1690374816.0999999</v>
      </c>
      <c r="I110">
        <f t="shared" si="30"/>
        <v>2.0380550380149267E-3</v>
      </c>
      <c r="J110">
        <f t="shared" si="31"/>
        <v>2.0380550380149267</v>
      </c>
      <c r="K110">
        <f t="shared" si="32"/>
        <v>30.831688515225789</v>
      </c>
      <c r="L110">
        <f t="shared" si="33"/>
        <v>482.202</v>
      </c>
      <c r="M110">
        <f t="shared" si="34"/>
        <v>126.71090845147509</v>
      </c>
      <c r="N110">
        <f t="shared" si="35"/>
        <v>12.519806383376407</v>
      </c>
      <c r="O110">
        <f t="shared" si="36"/>
        <v>47.644482637332004</v>
      </c>
      <c r="P110">
        <f t="shared" si="37"/>
        <v>0.14591958108317554</v>
      </c>
      <c r="Q110">
        <f t="shared" si="38"/>
        <v>2.2487537897298524</v>
      </c>
      <c r="R110">
        <f t="shared" si="39"/>
        <v>0.14085602639297201</v>
      </c>
      <c r="S110">
        <f t="shared" si="40"/>
        <v>8.8475318435155381E-2</v>
      </c>
      <c r="T110">
        <f t="shared" si="41"/>
        <v>276.11652445200002</v>
      </c>
      <c r="U110">
        <f t="shared" si="42"/>
        <v>27.912861593157878</v>
      </c>
      <c r="V110">
        <f t="shared" si="43"/>
        <v>27.912861593157878</v>
      </c>
      <c r="W110">
        <f t="shared" si="44"/>
        <v>3.7756050524275366</v>
      </c>
      <c r="X110">
        <f t="shared" si="45"/>
        <v>68.743055606727708</v>
      </c>
      <c r="Y110">
        <f t="shared" si="46"/>
        <v>2.3905831250502003</v>
      </c>
      <c r="Z110">
        <f t="shared" si="47"/>
        <v>3.4775630846648604</v>
      </c>
      <c r="AA110">
        <f t="shared" si="48"/>
        <v>1.3850219273773363</v>
      </c>
      <c r="AB110">
        <f t="shared" si="49"/>
        <v>-89.878227176458267</v>
      </c>
      <c r="AC110">
        <f t="shared" si="50"/>
        <v>-170.00292386322656</v>
      </c>
      <c r="AD110">
        <f t="shared" si="51"/>
        <v>-16.349746905607674</v>
      </c>
      <c r="AE110">
        <f t="shared" si="52"/>
        <v>-0.11437349329247581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52259.419937263032</v>
      </c>
      <c r="AK110">
        <f t="shared" si="56"/>
        <v>1800</v>
      </c>
      <c r="AL110">
        <f t="shared" si="57"/>
        <v>1499.1124931999998</v>
      </c>
      <c r="AM110">
        <f t="shared" si="58"/>
        <v>0.83284027399999994</v>
      </c>
      <c r="AN110">
        <f t="shared" si="59"/>
        <v>0.15339806914000001</v>
      </c>
      <c r="AO110">
        <v>30</v>
      </c>
      <c r="AP110">
        <v>0.5</v>
      </c>
      <c r="AQ110" t="s">
        <v>331</v>
      </c>
      <c r="AR110">
        <v>2</v>
      </c>
      <c r="AS110">
        <v>1690374816.0999999</v>
      </c>
      <c r="AT110">
        <v>482.202</v>
      </c>
      <c r="AU110">
        <v>800.12599999999998</v>
      </c>
      <c r="AV110">
        <v>24.194700000000001</v>
      </c>
      <c r="AW110">
        <v>4.3210300000000004</v>
      </c>
      <c r="AX110">
        <v>483.34899999999999</v>
      </c>
      <c r="AY110">
        <v>24.011900000000001</v>
      </c>
      <c r="AZ110">
        <v>300.20800000000003</v>
      </c>
      <c r="BA110">
        <v>98.706000000000003</v>
      </c>
      <c r="BB110">
        <v>0.100066</v>
      </c>
      <c r="BC110">
        <v>26.5106</v>
      </c>
      <c r="BD110">
        <v>26.970600000000001</v>
      </c>
      <c r="BE110">
        <v>27.945399999999999</v>
      </c>
      <c r="BF110">
        <v>0</v>
      </c>
      <c r="BG110">
        <v>0</v>
      </c>
      <c r="BH110">
        <v>9996.25</v>
      </c>
      <c r="BI110">
        <v>1084.22</v>
      </c>
      <c r="BJ110">
        <v>1.4016500000000001</v>
      </c>
      <c r="BK110">
        <v>-317.92399999999998</v>
      </c>
      <c r="BL110">
        <v>494.15800000000002</v>
      </c>
      <c r="BM110">
        <v>803.59799999999996</v>
      </c>
      <c r="BN110">
        <v>19.873699999999999</v>
      </c>
      <c r="BO110">
        <v>800.12599999999998</v>
      </c>
      <c r="BP110">
        <v>4.3210300000000004</v>
      </c>
      <c r="BQ110">
        <v>2.3881700000000001</v>
      </c>
      <c r="BR110">
        <v>0.42651099999999997</v>
      </c>
      <c r="BS110">
        <v>20.283799999999999</v>
      </c>
      <c r="BT110">
        <v>-4.9066700000000001</v>
      </c>
      <c r="BU110">
        <v>1800</v>
      </c>
      <c r="BV110">
        <v>0.90999600000000003</v>
      </c>
      <c r="BW110">
        <v>3.4007900000000001E-2</v>
      </c>
      <c r="BX110">
        <v>2.20092E-2</v>
      </c>
      <c r="BY110">
        <v>3.3986799999999998E-2</v>
      </c>
      <c r="BZ110">
        <v>25</v>
      </c>
      <c r="CA110">
        <v>33528.199999999997</v>
      </c>
      <c r="CB110">
        <v>1690373417</v>
      </c>
      <c r="CC110" t="s">
        <v>332</v>
      </c>
      <c r="CD110">
        <v>1690373417</v>
      </c>
      <c r="CE110">
        <v>1690373415</v>
      </c>
      <c r="CF110">
        <v>1</v>
      </c>
      <c r="CG110">
        <v>-1.319</v>
      </c>
      <c r="CH110">
        <v>0.01</v>
      </c>
      <c r="CI110">
        <v>-1.371</v>
      </c>
      <c r="CJ110">
        <v>0.183</v>
      </c>
      <c r="CK110">
        <v>800</v>
      </c>
      <c r="CL110">
        <v>21</v>
      </c>
      <c r="CM110">
        <v>0.09</v>
      </c>
      <c r="CN110">
        <v>7.0000000000000007E-2</v>
      </c>
      <c r="CO110">
        <v>-315.03179999999998</v>
      </c>
      <c r="CP110">
        <v>-16.161050656659921</v>
      </c>
      <c r="CQ110">
        <v>1.5550569796634479</v>
      </c>
      <c r="CR110">
        <v>-1</v>
      </c>
      <c r="CS110">
        <v>19.609665</v>
      </c>
      <c r="CT110">
        <v>1.443726078799225</v>
      </c>
      <c r="CU110">
        <v>0.1389218981118529</v>
      </c>
      <c r="CV110">
        <v>-1</v>
      </c>
      <c r="CW110">
        <v>0</v>
      </c>
      <c r="CX110">
        <v>0</v>
      </c>
      <c r="CY110" t="s">
        <v>333</v>
      </c>
      <c r="CZ110">
        <v>2.36558</v>
      </c>
      <c r="DA110">
        <v>2.7138499999999999</v>
      </c>
      <c r="DB110">
        <v>0.102967</v>
      </c>
      <c r="DC110">
        <v>0.14582899999999999</v>
      </c>
      <c r="DD110">
        <v>0.11439000000000001</v>
      </c>
      <c r="DE110">
        <v>2.9993300000000001E-2</v>
      </c>
      <c r="DF110">
        <v>32764.2</v>
      </c>
      <c r="DG110">
        <v>27508.5</v>
      </c>
      <c r="DH110">
        <v>31178.2</v>
      </c>
      <c r="DI110">
        <v>28059.3</v>
      </c>
      <c r="DJ110">
        <v>37476.199999999997</v>
      </c>
      <c r="DK110">
        <v>38686.1</v>
      </c>
      <c r="DL110">
        <v>44364.9</v>
      </c>
      <c r="DM110">
        <v>42504.1</v>
      </c>
      <c r="DN110">
        <v>1.4818</v>
      </c>
      <c r="DO110">
        <v>2.073</v>
      </c>
      <c r="DP110">
        <v>0.117578</v>
      </c>
      <c r="DQ110">
        <v>0.181593</v>
      </c>
      <c r="DR110">
        <v>25.044599999999999</v>
      </c>
      <c r="DS110">
        <v>24.972999999999999</v>
      </c>
      <c r="DT110">
        <v>60.3</v>
      </c>
      <c r="DU110">
        <v>24.7</v>
      </c>
      <c r="DV110">
        <v>19.081299999999999</v>
      </c>
      <c r="DW110">
        <v>62.310099999999998</v>
      </c>
      <c r="DX110">
        <v>36.482399999999998</v>
      </c>
      <c r="DY110">
        <v>1</v>
      </c>
      <c r="DZ110">
        <v>-0.16625300000000001</v>
      </c>
      <c r="EA110">
        <v>-0.788717</v>
      </c>
      <c r="EB110">
        <v>20.1891</v>
      </c>
      <c r="EC110">
        <v>5.2418500000000003</v>
      </c>
      <c r="ED110">
        <v>12.039899999999999</v>
      </c>
      <c r="EE110">
        <v>5.0170000000000003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1.8687400000000001</v>
      </c>
      <c r="EL110">
        <v>1.8644099999999999</v>
      </c>
      <c r="EM110">
        <v>1.8690800000000001</v>
      </c>
      <c r="EN110">
        <v>1.8670800000000001</v>
      </c>
      <c r="EO110">
        <v>1.86324</v>
      </c>
      <c r="EP110">
        <v>1.8642099999999999</v>
      </c>
      <c r="EQ110">
        <v>1.87008</v>
      </c>
      <c r="ER110">
        <v>1.8692500000000001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-1.147</v>
      </c>
      <c r="FG110">
        <v>0.18279999999999999</v>
      </c>
      <c r="FH110">
        <v>-0.81947142863283695</v>
      </c>
      <c r="FI110">
        <v>-6.1462078757559423E-4</v>
      </c>
      <c r="FJ110">
        <v>-1.8861989874597051E-7</v>
      </c>
      <c r="FK110">
        <v>1.1980462299894961E-10</v>
      </c>
      <c r="FL110">
        <v>0.18283500000000069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23.3</v>
      </c>
      <c r="FU110">
        <v>23.4</v>
      </c>
      <c r="FV110">
        <v>1.7675799999999999</v>
      </c>
      <c r="FW110">
        <v>2.5573700000000001</v>
      </c>
      <c r="FX110">
        <v>1.5490699999999999</v>
      </c>
      <c r="FY110">
        <v>2.34375</v>
      </c>
      <c r="FZ110">
        <v>1.50146</v>
      </c>
      <c r="GA110">
        <v>2.32666</v>
      </c>
      <c r="GB110">
        <v>30.350899999999999</v>
      </c>
      <c r="GC110">
        <v>23.982399999999998</v>
      </c>
      <c r="GD110">
        <v>19</v>
      </c>
      <c r="GE110">
        <v>281.30099999999999</v>
      </c>
      <c r="GF110">
        <v>603.23599999999999</v>
      </c>
      <c r="GG110">
        <v>25.708400000000001</v>
      </c>
      <c r="GH110">
        <v>25.337700000000002</v>
      </c>
      <c r="GI110">
        <v>30.0001</v>
      </c>
      <c r="GJ110">
        <v>25.460899999999999</v>
      </c>
      <c r="GK110">
        <v>25.431899999999999</v>
      </c>
      <c r="GL110">
        <v>35.331800000000001</v>
      </c>
      <c r="GM110">
        <v>75.077399999999997</v>
      </c>
      <c r="GN110">
        <v>66.785899999999998</v>
      </c>
      <c r="GO110">
        <v>25.713699999999999</v>
      </c>
      <c r="GP110">
        <v>800</v>
      </c>
      <c r="GQ110">
        <v>4.1240300000000003</v>
      </c>
      <c r="GR110">
        <v>99.750900000000001</v>
      </c>
      <c r="GS110">
        <v>99.454300000000003</v>
      </c>
    </row>
    <row r="111" spans="1:201" x14ac:dyDescent="0.25">
      <c r="A111">
        <v>95</v>
      </c>
      <c r="B111">
        <v>1690374826.0999999</v>
      </c>
      <c r="C111">
        <v>1006.599999904633</v>
      </c>
      <c r="D111" t="s">
        <v>523</v>
      </c>
      <c r="E111" t="s">
        <v>524</v>
      </c>
      <c r="F111" t="s">
        <v>330</v>
      </c>
      <c r="H111">
        <v>1690374826.0999999</v>
      </c>
      <c r="I111">
        <f t="shared" si="30"/>
        <v>2.0640621753034803E-3</v>
      </c>
      <c r="J111">
        <f t="shared" si="31"/>
        <v>2.0640621753034805</v>
      </c>
      <c r="K111">
        <f t="shared" si="32"/>
        <v>31.078032601138897</v>
      </c>
      <c r="L111">
        <f t="shared" si="33"/>
        <v>479.529</v>
      </c>
      <c r="M111">
        <f t="shared" si="34"/>
        <v>126.52955077533628</v>
      </c>
      <c r="N111">
        <f t="shared" si="35"/>
        <v>12.502003261026973</v>
      </c>
      <c r="O111">
        <f t="shared" si="36"/>
        <v>47.380814086677297</v>
      </c>
      <c r="P111">
        <f t="shared" si="37"/>
        <v>0.14818078109667038</v>
      </c>
      <c r="Q111">
        <f t="shared" si="38"/>
        <v>2.2544703180979209</v>
      </c>
      <c r="R111">
        <f t="shared" si="39"/>
        <v>0.14297483066811084</v>
      </c>
      <c r="S111">
        <f t="shared" si="40"/>
        <v>8.981176581467909E-2</v>
      </c>
      <c r="T111">
        <f t="shared" si="41"/>
        <v>276.11497943736993</v>
      </c>
      <c r="U111">
        <f t="shared" si="42"/>
        <v>27.903185354083249</v>
      </c>
      <c r="V111">
        <f t="shared" si="43"/>
        <v>27.903185354083249</v>
      </c>
      <c r="W111">
        <f t="shared" si="44"/>
        <v>3.7734744097439097</v>
      </c>
      <c r="X111">
        <f t="shared" si="45"/>
        <v>68.761768302569038</v>
      </c>
      <c r="Y111">
        <f t="shared" si="46"/>
        <v>2.3915439948715398</v>
      </c>
      <c r="Z111">
        <f t="shared" si="47"/>
        <v>3.4780140969443165</v>
      </c>
      <c r="AA111">
        <f t="shared" si="48"/>
        <v>1.3819304148723699</v>
      </c>
      <c r="AB111">
        <f t="shared" si="49"/>
        <v>-91.025141930883478</v>
      </c>
      <c r="AC111">
        <f t="shared" si="50"/>
        <v>-168.99161235992091</v>
      </c>
      <c r="AD111">
        <f t="shared" si="51"/>
        <v>-16.210668185597807</v>
      </c>
      <c r="AE111">
        <f t="shared" si="52"/>
        <v>-0.11244303903225727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52481.824028165684</v>
      </c>
      <c r="AK111">
        <f t="shared" si="56"/>
        <v>1799.99</v>
      </c>
      <c r="AL111">
        <f t="shared" si="57"/>
        <v>1499.10406939779</v>
      </c>
      <c r="AM111">
        <f t="shared" si="58"/>
        <v>0.83284022099999999</v>
      </c>
      <c r="AN111">
        <f t="shared" si="59"/>
        <v>0.15339806301</v>
      </c>
      <c r="AO111">
        <v>30</v>
      </c>
      <c r="AP111">
        <v>0.5</v>
      </c>
      <c r="AQ111" t="s">
        <v>331</v>
      </c>
      <c r="AR111">
        <v>2</v>
      </c>
      <c r="AS111">
        <v>1690374826.0999999</v>
      </c>
      <c r="AT111">
        <v>479.529</v>
      </c>
      <c r="AU111">
        <v>800.00199999999995</v>
      </c>
      <c r="AV111">
        <v>24.2042</v>
      </c>
      <c r="AW111">
        <v>4.0760500000000004</v>
      </c>
      <c r="AX111">
        <v>480.67399999999998</v>
      </c>
      <c r="AY111">
        <v>24.0214</v>
      </c>
      <c r="AZ111">
        <v>300.19200000000001</v>
      </c>
      <c r="BA111">
        <v>98.706999999999994</v>
      </c>
      <c r="BB111">
        <v>9.9983699999999995E-2</v>
      </c>
      <c r="BC111">
        <v>26.512799999999999</v>
      </c>
      <c r="BD111">
        <v>26.984100000000002</v>
      </c>
      <c r="BE111">
        <v>27.963799999999999</v>
      </c>
      <c r="BF111">
        <v>0</v>
      </c>
      <c r="BG111">
        <v>0</v>
      </c>
      <c r="BH111">
        <v>10040.6</v>
      </c>
      <c r="BI111">
        <v>1084.32</v>
      </c>
      <c r="BJ111">
        <v>1.4016500000000001</v>
      </c>
      <c r="BK111">
        <v>-320.47300000000001</v>
      </c>
      <c r="BL111">
        <v>491.423</v>
      </c>
      <c r="BM111">
        <v>803.27599999999995</v>
      </c>
      <c r="BN111">
        <v>20.1282</v>
      </c>
      <c r="BO111">
        <v>800.00199999999995</v>
      </c>
      <c r="BP111">
        <v>4.0760500000000004</v>
      </c>
      <c r="BQ111">
        <v>2.3891200000000001</v>
      </c>
      <c r="BR111">
        <v>0.40233400000000002</v>
      </c>
      <c r="BS111">
        <v>20.290199999999999</v>
      </c>
      <c r="BT111">
        <v>-5.6752200000000004</v>
      </c>
      <c r="BU111">
        <v>1799.99</v>
      </c>
      <c r="BV111">
        <v>0.90999399999999997</v>
      </c>
      <c r="BW111">
        <v>3.4005899999999999E-2</v>
      </c>
      <c r="BX111">
        <v>2.2008799999999999E-2</v>
      </c>
      <c r="BY111">
        <v>3.3991300000000002E-2</v>
      </c>
      <c r="BZ111">
        <v>25</v>
      </c>
      <c r="CA111">
        <v>33528.1</v>
      </c>
      <c r="CB111">
        <v>1690373417</v>
      </c>
      <c r="CC111" t="s">
        <v>332</v>
      </c>
      <c r="CD111">
        <v>1690373417</v>
      </c>
      <c r="CE111">
        <v>1690373415</v>
      </c>
      <c r="CF111">
        <v>1</v>
      </c>
      <c r="CG111">
        <v>-1.319</v>
      </c>
      <c r="CH111">
        <v>0.01</v>
      </c>
      <c r="CI111">
        <v>-1.371</v>
      </c>
      <c r="CJ111">
        <v>0.183</v>
      </c>
      <c r="CK111">
        <v>800</v>
      </c>
      <c r="CL111">
        <v>21</v>
      </c>
      <c r="CM111">
        <v>0.09</v>
      </c>
      <c r="CN111">
        <v>7.0000000000000007E-2</v>
      </c>
      <c r="CO111">
        <v>-317.71477499999997</v>
      </c>
      <c r="CP111">
        <v>-15.9463902439023</v>
      </c>
      <c r="CQ111">
        <v>1.5345744440642159</v>
      </c>
      <c r="CR111">
        <v>-1</v>
      </c>
      <c r="CS111">
        <v>19.854420000000001</v>
      </c>
      <c r="CT111">
        <v>1.4839362101313021</v>
      </c>
      <c r="CU111">
        <v>0.1427735255570865</v>
      </c>
      <c r="CV111">
        <v>-1</v>
      </c>
      <c r="CW111">
        <v>0</v>
      </c>
      <c r="CX111">
        <v>0</v>
      </c>
      <c r="CY111" t="s">
        <v>333</v>
      </c>
      <c r="CZ111">
        <v>2.36551</v>
      </c>
      <c r="DA111">
        <v>2.7138100000000001</v>
      </c>
      <c r="DB111">
        <v>0.102549</v>
      </c>
      <c r="DC111">
        <v>0.145811</v>
      </c>
      <c r="DD111">
        <v>0.114423</v>
      </c>
      <c r="DE111">
        <v>2.8544099999999999E-2</v>
      </c>
      <c r="DF111">
        <v>32779.699999999997</v>
      </c>
      <c r="DG111">
        <v>27509.3</v>
      </c>
      <c r="DH111">
        <v>31178.5</v>
      </c>
      <c r="DI111">
        <v>28059.599999999999</v>
      </c>
      <c r="DJ111">
        <v>37475.300000000003</v>
      </c>
      <c r="DK111">
        <v>38744.5</v>
      </c>
      <c r="DL111">
        <v>44365.7</v>
      </c>
      <c r="DM111">
        <v>42504.6</v>
      </c>
      <c r="DN111">
        <v>1.48197</v>
      </c>
      <c r="DO111">
        <v>2.0728</v>
      </c>
      <c r="DP111">
        <v>0.11827799999999999</v>
      </c>
      <c r="DQ111">
        <v>0.182591</v>
      </c>
      <c r="DR111">
        <v>25.046700000000001</v>
      </c>
      <c r="DS111">
        <v>24.975100000000001</v>
      </c>
      <c r="DT111">
        <v>59.9</v>
      </c>
      <c r="DU111">
        <v>24.7</v>
      </c>
      <c r="DV111">
        <v>18.955200000000001</v>
      </c>
      <c r="DW111">
        <v>61.640099999999997</v>
      </c>
      <c r="DX111">
        <v>37.259599999999999</v>
      </c>
      <c r="DY111">
        <v>1</v>
      </c>
      <c r="DZ111">
        <v>-0.16627800000000001</v>
      </c>
      <c r="EA111">
        <v>-0.81739600000000001</v>
      </c>
      <c r="EB111">
        <v>20.188800000000001</v>
      </c>
      <c r="EC111">
        <v>5.2424499999999998</v>
      </c>
      <c r="ED111">
        <v>12.039899999999999</v>
      </c>
      <c r="EE111">
        <v>5.0172499999999998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1.8687400000000001</v>
      </c>
      <c r="EL111">
        <v>1.8644000000000001</v>
      </c>
      <c r="EM111">
        <v>1.86907</v>
      </c>
      <c r="EN111">
        <v>1.8670800000000001</v>
      </c>
      <c r="EO111">
        <v>1.8632299999999999</v>
      </c>
      <c r="EP111">
        <v>1.86419</v>
      </c>
      <c r="EQ111">
        <v>1.8700300000000001</v>
      </c>
      <c r="ER111">
        <v>1.8692500000000001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-1.145</v>
      </c>
      <c r="FG111">
        <v>0.18279999999999999</v>
      </c>
      <c r="FH111">
        <v>-0.81947142863283695</v>
      </c>
      <c r="FI111">
        <v>-6.1462078757559423E-4</v>
      </c>
      <c r="FJ111">
        <v>-1.8861989874597051E-7</v>
      </c>
      <c r="FK111">
        <v>1.1980462299894961E-10</v>
      </c>
      <c r="FL111">
        <v>0.18283500000000069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23.5</v>
      </c>
      <c r="FU111">
        <v>23.5</v>
      </c>
      <c r="FV111">
        <v>1.7663599999999999</v>
      </c>
      <c r="FW111">
        <v>2.5549300000000001</v>
      </c>
      <c r="FX111">
        <v>1.5490699999999999</v>
      </c>
      <c r="FY111">
        <v>2.34375</v>
      </c>
      <c r="FZ111">
        <v>1.50146</v>
      </c>
      <c r="GA111">
        <v>2.2705099999999998</v>
      </c>
      <c r="GB111">
        <v>30.350899999999999</v>
      </c>
      <c r="GC111">
        <v>23.991199999999999</v>
      </c>
      <c r="GD111">
        <v>19</v>
      </c>
      <c r="GE111">
        <v>281.37</v>
      </c>
      <c r="GF111">
        <v>603.04200000000003</v>
      </c>
      <c r="GG111">
        <v>25.733599999999999</v>
      </c>
      <c r="GH111">
        <v>25.336300000000001</v>
      </c>
      <c r="GI111">
        <v>30.0001</v>
      </c>
      <c r="GJ111">
        <v>25.459800000000001</v>
      </c>
      <c r="GK111">
        <v>25.4298</v>
      </c>
      <c r="GL111">
        <v>35.332299999999996</v>
      </c>
      <c r="GM111">
        <v>76.295500000000004</v>
      </c>
      <c r="GN111">
        <v>65.618899999999996</v>
      </c>
      <c r="GO111">
        <v>25.7394</v>
      </c>
      <c r="GP111">
        <v>800</v>
      </c>
      <c r="GQ111">
        <v>3.8759100000000002</v>
      </c>
      <c r="GR111">
        <v>99.752200000000002</v>
      </c>
      <c r="GS111">
        <v>99.455299999999994</v>
      </c>
    </row>
    <row r="112" spans="1:201" x14ac:dyDescent="0.25">
      <c r="A112">
        <v>96</v>
      </c>
      <c r="B112">
        <v>1690374836.0999999</v>
      </c>
      <c r="C112">
        <v>1016.599999904633</v>
      </c>
      <c r="D112" t="s">
        <v>525</v>
      </c>
      <c r="E112" t="s">
        <v>526</v>
      </c>
      <c r="F112" t="s">
        <v>330</v>
      </c>
      <c r="H112">
        <v>1690374836.0999999</v>
      </c>
      <c r="I112">
        <f t="shared" si="30"/>
        <v>2.0905956317173236E-3</v>
      </c>
      <c r="J112">
        <f t="shared" si="31"/>
        <v>2.0905956317173238</v>
      </c>
      <c r="K112">
        <f t="shared" si="32"/>
        <v>31.327096363747586</v>
      </c>
      <c r="L112">
        <f t="shared" si="33"/>
        <v>476.92599999999999</v>
      </c>
      <c r="M112">
        <f t="shared" si="34"/>
        <v>125.6722768358603</v>
      </c>
      <c r="N112">
        <f t="shared" si="35"/>
        <v>12.417387107280085</v>
      </c>
      <c r="O112">
        <f t="shared" si="36"/>
        <v>47.123955359395403</v>
      </c>
      <c r="P112">
        <f t="shared" si="37"/>
        <v>0.15017573762566394</v>
      </c>
      <c r="Q112">
        <f t="shared" si="38"/>
        <v>2.2511126188756405</v>
      </c>
      <c r="R112">
        <f t="shared" si="39"/>
        <v>0.14482372218485476</v>
      </c>
      <c r="S112">
        <f t="shared" si="40"/>
        <v>9.0979793006865595E-2</v>
      </c>
      <c r="T112">
        <f t="shared" si="41"/>
        <v>276.11505784493431</v>
      </c>
      <c r="U112">
        <f t="shared" si="42"/>
        <v>27.906065466486069</v>
      </c>
      <c r="V112">
        <f t="shared" si="43"/>
        <v>27.906065466486069</v>
      </c>
      <c r="W112">
        <f t="shared" si="44"/>
        <v>3.7741084814182653</v>
      </c>
      <c r="X112">
        <f t="shared" si="45"/>
        <v>68.743275684406541</v>
      </c>
      <c r="Y112">
        <f t="shared" si="46"/>
        <v>2.3922823355908505</v>
      </c>
      <c r="Z112">
        <f t="shared" si="47"/>
        <v>3.4800237721774825</v>
      </c>
      <c r="AA112">
        <f t="shared" si="48"/>
        <v>1.3818261458274148</v>
      </c>
      <c r="AB112">
        <f t="shared" si="49"/>
        <v>-92.195267358733972</v>
      </c>
      <c r="AC112">
        <f t="shared" si="50"/>
        <v>-167.90011312870914</v>
      </c>
      <c r="AD112">
        <f t="shared" si="51"/>
        <v>-16.131009494085156</v>
      </c>
      <c r="AE112">
        <f t="shared" si="52"/>
        <v>-0.11133213659397256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52349.216797581437</v>
      </c>
      <c r="AK112">
        <f t="shared" si="56"/>
        <v>1799.99</v>
      </c>
      <c r="AL112">
        <f t="shared" si="57"/>
        <v>1499.10165021123</v>
      </c>
      <c r="AM112">
        <f t="shared" si="58"/>
        <v>0.83283887699999992</v>
      </c>
      <c r="AN112">
        <f t="shared" si="59"/>
        <v>0.15339810657</v>
      </c>
      <c r="AO112">
        <v>30</v>
      </c>
      <c r="AP112">
        <v>0.5</v>
      </c>
      <c r="AQ112" t="s">
        <v>331</v>
      </c>
      <c r="AR112">
        <v>2</v>
      </c>
      <c r="AS112">
        <v>1690374836.0999999</v>
      </c>
      <c r="AT112">
        <v>476.92599999999999</v>
      </c>
      <c r="AU112">
        <v>800.06200000000001</v>
      </c>
      <c r="AV112">
        <v>24.211500000000001</v>
      </c>
      <c r="AW112">
        <v>3.8183699999999998</v>
      </c>
      <c r="AX112">
        <v>478.07</v>
      </c>
      <c r="AY112">
        <v>24.028700000000001</v>
      </c>
      <c r="AZ112">
        <v>300.09800000000001</v>
      </c>
      <c r="BA112">
        <v>98.707700000000003</v>
      </c>
      <c r="BB112">
        <v>9.9987900000000005E-2</v>
      </c>
      <c r="BC112">
        <v>26.522600000000001</v>
      </c>
      <c r="BD112">
        <v>27.0105</v>
      </c>
      <c r="BE112">
        <v>27.931000000000001</v>
      </c>
      <c r="BF112">
        <v>0</v>
      </c>
      <c r="BG112">
        <v>0</v>
      </c>
      <c r="BH112">
        <v>10014.4</v>
      </c>
      <c r="BI112">
        <v>1084.31</v>
      </c>
      <c r="BJ112">
        <v>1.4016500000000001</v>
      </c>
      <c r="BK112">
        <v>-323.13600000000002</v>
      </c>
      <c r="BL112">
        <v>488.76</v>
      </c>
      <c r="BM112">
        <v>803.12900000000002</v>
      </c>
      <c r="BN112">
        <v>20.3931</v>
      </c>
      <c r="BO112">
        <v>800.06200000000001</v>
      </c>
      <c r="BP112">
        <v>3.8183699999999998</v>
      </c>
      <c r="BQ112">
        <v>2.3898600000000001</v>
      </c>
      <c r="BR112">
        <v>0.37690299999999999</v>
      </c>
      <c r="BS112">
        <v>20.295200000000001</v>
      </c>
      <c r="BT112">
        <v>-6.5292599999999998</v>
      </c>
      <c r="BU112">
        <v>1799.99</v>
      </c>
      <c r="BV112">
        <v>0.90997799999999995</v>
      </c>
      <c r="BW112">
        <v>3.4004100000000002E-2</v>
      </c>
      <c r="BX112">
        <v>2.2007599999999999E-2</v>
      </c>
      <c r="BY112">
        <v>3.4010499999999999E-2</v>
      </c>
      <c r="BZ112">
        <v>25</v>
      </c>
      <c r="CA112">
        <v>33528.1</v>
      </c>
      <c r="CB112">
        <v>1690373417</v>
      </c>
      <c r="CC112" t="s">
        <v>332</v>
      </c>
      <c r="CD112">
        <v>1690373417</v>
      </c>
      <c r="CE112">
        <v>1690373415</v>
      </c>
      <c r="CF112">
        <v>1</v>
      </c>
      <c r="CG112">
        <v>-1.319</v>
      </c>
      <c r="CH112">
        <v>0.01</v>
      </c>
      <c r="CI112">
        <v>-1.371</v>
      </c>
      <c r="CJ112">
        <v>0.183</v>
      </c>
      <c r="CK112">
        <v>800</v>
      </c>
      <c r="CL112">
        <v>21</v>
      </c>
      <c r="CM112">
        <v>0.09</v>
      </c>
      <c r="CN112">
        <v>7.0000000000000007E-2</v>
      </c>
      <c r="CO112">
        <v>-320.341475</v>
      </c>
      <c r="CP112">
        <v>-15.56572232645359</v>
      </c>
      <c r="CQ112">
        <v>1.497743051853359</v>
      </c>
      <c r="CR112">
        <v>-1</v>
      </c>
      <c r="CS112">
        <v>20.1067325</v>
      </c>
      <c r="CT112">
        <v>1.544804127579686</v>
      </c>
      <c r="CU112">
        <v>0.14862824830344351</v>
      </c>
      <c r="CV112">
        <v>-1</v>
      </c>
      <c r="CW112">
        <v>0</v>
      </c>
      <c r="CX112">
        <v>0</v>
      </c>
      <c r="CY112" t="s">
        <v>333</v>
      </c>
      <c r="CZ112">
        <v>2.3652299999999999</v>
      </c>
      <c r="DA112">
        <v>2.7137899999999999</v>
      </c>
      <c r="DB112">
        <v>0.10213999999999999</v>
      </c>
      <c r="DC112">
        <v>0.145815</v>
      </c>
      <c r="DD112">
        <v>0.11444799999999999</v>
      </c>
      <c r="DE112">
        <v>2.69958E-2</v>
      </c>
      <c r="DF112">
        <v>32794.5</v>
      </c>
      <c r="DG112">
        <v>27509.5</v>
      </c>
      <c r="DH112">
        <v>31178.3</v>
      </c>
      <c r="DI112">
        <v>28059.8</v>
      </c>
      <c r="DJ112">
        <v>37474</v>
      </c>
      <c r="DK112">
        <v>38806.800000000003</v>
      </c>
      <c r="DL112">
        <v>44365.5</v>
      </c>
      <c r="DM112">
        <v>42504.9</v>
      </c>
      <c r="DN112">
        <v>1.4823200000000001</v>
      </c>
      <c r="DO112">
        <v>2.0723699999999998</v>
      </c>
      <c r="DP112">
        <v>0.11976100000000001</v>
      </c>
      <c r="DQ112">
        <v>0.180446</v>
      </c>
      <c r="DR112">
        <v>25.0488</v>
      </c>
      <c r="DS112">
        <v>24.9773</v>
      </c>
      <c r="DT112">
        <v>59.5</v>
      </c>
      <c r="DU112">
        <v>24.7</v>
      </c>
      <c r="DV112">
        <v>18.826599999999999</v>
      </c>
      <c r="DW112">
        <v>61.720100000000002</v>
      </c>
      <c r="DX112">
        <v>37.5321</v>
      </c>
      <c r="DY112">
        <v>1</v>
      </c>
      <c r="DZ112">
        <v>-0.16639699999999999</v>
      </c>
      <c r="EA112">
        <v>-0.66221399999999997</v>
      </c>
      <c r="EB112">
        <v>20.189599999999999</v>
      </c>
      <c r="EC112">
        <v>5.2423000000000002</v>
      </c>
      <c r="ED112">
        <v>12.039899999999999</v>
      </c>
      <c r="EE112">
        <v>5.0173500000000004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1.8687400000000001</v>
      </c>
      <c r="EL112">
        <v>1.86442</v>
      </c>
      <c r="EM112">
        <v>1.86907</v>
      </c>
      <c r="EN112">
        <v>1.86707</v>
      </c>
      <c r="EO112">
        <v>1.86324</v>
      </c>
      <c r="EP112">
        <v>1.8641799999999999</v>
      </c>
      <c r="EQ112">
        <v>1.8700399999999999</v>
      </c>
      <c r="ER112">
        <v>1.8692200000000001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-1.1439999999999999</v>
      </c>
      <c r="FG112">
        <v>0.18279999999999999</v>
      </c>
      <c r="FH112">
        <v>-0.81947142863283695</v>
      </c>
      <c r="FI112">
        <v>-6.1462078757559423E-4</v>
      </c>
      <c r="FJ112">
        <v>-1.8861989874597051E-7</v>
      </c>
      <c r="FK112">
        <v>1.1980462299894961E-10</v>
      </c>
      <c r="FL112">
        <v>0.18283500000000069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23.7</v>
      </c>
      <c r="FU112">
        <v>23.7</v>
      </c>
      <c r="FV112">
        <v>1.7663599999999999</v>
      </c>
      <c r="FW112">
        <v>2.5500500000000001</v>
      </c>
      <c r="FX112">
        <v>1.5490699999999999</v>
      </c>
      <c r="FY112">
        <v>2.34375</v>
      </c>
      <c r="FZ112">
        <v>1.50146</v>
      </c>
      <c r="GA112">
        <v>2.34619</v>
      </c>
      <c r="GB112">
        <v>30.350899999999999</v>
      </c>
      <c r="GC112">
        <v>23.9999</v>
      </c>
      <c r="GD112">
        <v>19</v>
      </c>
      <c r="GE112">
        <v>281.50799999999998</v>
      </c>
      <c r="GF112">
        <v>602.65800000000002</v>
      </c>
      <c r="GG112">
        <v>25.749300000000002</v>
      </c>
      <c r="GH112">
        <v>25.334199999999999</v>
      </c>
      <c r="GI112">
        <v>30</v>
      </c>
      <c r="GJ112">
        <v>25.457899999999999</v>
      </c>
      <c r="GK112">
        <v>25.427700000000002</v>
      </c>
      <c r="GL112">
        <v>35.327199999999998</v>
      </c>
      <c r="GM112">
        <v>77.453100000000006</v>
      </c>
      <c r="GN112">
        <v>64.837299999999999</v>
      </c>
      <c r="GO112">
        <v>25.643999999999998</v>
      </c>
      <c r="GP112">
        <v>800</v>
      </c>
      <c r="GQ112">
        <v>3.6259199999999998</v>
      </c>
      <c r="GR112">
        <v>99.751800000000003</v>
      </c>
      <c r="GS112">
        <v>99.456199999999995</v>
      </c>
    </row>
    <row r="113" spans="1:201" x14ac:dyDescent="0.25">
      <c r="A113">
        <v>97</v>
      </c>
      <c r="B113">
        <v>1690374846.0999999</v>
      </c>
      <c r="C113">
        <v>1026.599999904633</v>
      </c>
      <c r="D113" t="s">
        <v>527</v>
      </c>
      <c r="E113" t="s">
        <v>528</v>
      </c>
      <c r="F113" t="s">
        <v>330</v>
      </c>
      <c r="H113">
        <v>1690374846.0999999</v>
      </c>
      <c r="I113">
        <f t="shared" si="30"/>
        <v>2.1149340353293221E-3</v>
      </c>
      <c r="J113">
        <f t="shared" si="31"/>
        <v>2.114934035329322</v>
      </c>
      <c r="K113">
        <f t="shared" si="32"/>
        <v>31.577799865268549</v>
      </c>
      <c r="L113">
        <f t="shared" si="33"/>
        <v>474.35899999999998</v>
      </c>
      <c r="M113">
        <f t="shared" si="34"/>
        <v>124.53687175897353</v>
      </c>
      <c r="N113">
        <f t="shared" si="35"/>
        <v>12.306118579612146</v>
      </c>
      <c r="O113">
        <f t="shared" si="36"/>
        <v>46.873813520898999</v>
      </c>
      <c r="P113">
        <f t="shared" si="37"/>
        <v>0.15206253384966731</v>
      </c>
      <c r="Q113">
        <f t="shared" si="38"/>
        <v>2.2441136956236507</v>
      </c>
      <c r="R113">
        <f t="shared" si="39"/>
        <v>0.14656139123022938</v>
      </c>
      <c r="S113">
        <f t="shared" si="40"/>
        <v>9.2078544769688866E-2</v>
      </c>
      <c r="T113">
        <f t="shared" si="41"/>
        <v>276.11477848648633</v>
      </c>
      <c r="U113">
        <f t="shared" si="42"/>
        <v>27.902803481804483</v>
      </c>
      <c r="V113">
        <f t="shared" si="43"/>
        <v>27.902803481804483</v>
      </c>
      <c r="W113">
        <f t="shared" si="44"/>
        <v>3.7733903455614608</v>
      </c>
      <c r="X113">
        <f t="shared" si="45"/>
        <v>68.729709975965832</v>
      </c>
      <c r="Y113">
        <f t="shared" si="46"/>
        <v>2.3919371295781997</v>
      </c>
      <c r="Z113">
        <f t="shared" si="47"/>
        <v>3.4802083850123022</v>
      </c>
      <c r="AA113">
        <f t="shared" si="48"/>
        <v>1.3814532159832611</v>
      </c>
      <c r="AB113">
        <f t="shared" si="49"/>
        <v>-93.268590958023111</v>
      </c>
      <c r="AC113">
        <f t="shared" si="50"/>
        <v>-166.87455941531024</v>
      </c>
      <c r="AD113">
        <f t="shared" si="51"/>
        <v>-16.08229103908911</v>
      </c>
      <c r="AE113">
        <f t="shared" si="52"/>
        <v>-0.1106629259361398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52076.933710681937</v>
      </c>
      <c r="AK113">
        <f t="shared" si="56"/>
        <v>1799.99</v>
      </c>
      <c r="AL113">
        <f t="shared" si="57"/>
        <v>1499.10158721158</v>
      </c>
      <c r="AM113">
        <f t="shared" si="58"/>
        <v>0.83283884199999991</v>
      </c>
      <c r="AN113">
        <f t="shared" si="59"/>
        <v>0.15339795137000001</v>
      </c>
      <c r="AO113">
        <v>30</v>
      </c>
      <c r="AP113">
        <v>0.5</v>
      </c>
      <c r="AQ113" t="s">
        <v>331</v>
      </c>
      <c r="AR113">
        <v>2</v>
      </c>
      <c r="AS113">
        <v>1690374846.0999999</v>
      </c>
      <c r="AT113">
        <v>474.35899999999998</v>
      </c>
      <c r="AU113">
        <v>800.02499999999998</v>
      </c>
      <c r="AV113">
        <v>24.206199999999999</v>
      </c>
      <c r="AW113">
        <v>3.57795</v>
      </c>
      <c r="AX113">
        <v>475.50099999999998</v>
      </c>
      <c r="AY113">
        <v>24.023399999999999</v>
      </c>
      <c r="AZ113">
        <v>300.13299999999998</v>
      </c>
      <c r="BA113">
        <v>98.715000000000003</v>
      </c>
      <c r="BB113">
        <v>0.100061</v>
      </c>
      <c r="BC113">
        <v>26.523499999999999</v>
      </c>
      <c r="BD113">
        <v>26.999600000000001</v>
      </c>
      <c r="BE113">
        <v>27.9343</v>
      </c>
      <c r="BF113">
        <v>0</v>
      </c>
      <c r="BG113">
        <v>0</v>
      </c>
      <c r="BH113">
        <v>9959.3799999999992</v>
      </c>
      <c r="BI113">
        <v>1084.42</v>
      </c>
      <c r="BJ113">
        <v>1.4016500000000001</v>
      </c>
      <c r="BK113">
        <v>-325.666</v>
      </c>
      <c r="BL113">
        <v>486.12599999999998</v>
      </c>
      <c r="BM113">
        <v>802.89800000000002</v>
      </c>
      <c r="BN113">
        <v>20.628299999999999</v>
      </c>
      <c r="BO113">
        <v>800.02499999999998</v>
      </c>
      <c r="BP113">
        <v>3.57795</v>
      </c>
      <c r="BQ113">
        <v>2.3895200000000001</v>
      </c>
      <c r="BR113">
        <v>0.35319699999999998</v>
      </c>
      <c r="BS113">
        <v>20.292899999999999</v>
      </c>
      <c r="BT113">
        <v>-7.3728100000000003</v>
      </c>
      <c r="BU113">
        <v>1799.99</v>
      </c>
      <c r="BV113">
        <v>0.90998000000000001</v>
      </c>
      <c r="BW113">
        <v>3.4001799999999999E-2</v>
      </c>
      <c r="BX113">
        <v>2.2006100000000001E-2</v>
      </c>
      <c r="BY113">
        <v>3.4012100000000003E-2</v>
      </c>
      <c r="BZ113">
        <v>25</v>
      </c>
      <c r="CA113">
        <v>33528.1</v>
      </c>
      <c r="CB113">
        <v>1690373417</v>
      </c>
      <c r="CC113" t="s">
        <v>332</v>
      </c>
      <c r="CD113">
        <v>1690373417</v>
      </c>
      <c r="CE113">
        <v>1690373415</v>
      </c>
      <c r="CF113">
        <v>1</v>
      </c>
      <c r="CG113">
        <v>-1.319</v>
      </c>
      <c r="CH113">
        <v>0.01</v>
      </c>
      <c r="CI113">
        <v>-1.371</v>
      </c>
      <c r="CJ113">
        <v>0.183</v>
      </c>
      <c r="CK113">
        <v>800</v>
      </c>
      <c r="CL113">
        <v>21</v>
      </c>
      <c r="CM113">
        <v>0.09</v>
      </c>
      <c r="CN113">
        <v>7.0000000000000007E-2</v>
      </c>
      <c r="CO113">
        <v>-322.91537499999998</v>
      </c>
      <c r="CP113">
        <v>-15.41622889305755</v>
      </c>
      <c r="CQ113">
        <v>1.4837702262732619</v>
      </c>
      <c r="CR113">
        <v>-1</v>
      </c>
      <c r="CS113">
        <v>20.364744999999999</v>
      </c>
      <c r="CT113">
        <v>1.539831894934296</v>
      </c>
      <c r="CU113">
        <v>0.14821852271224389</v>
      </c>
      <c r="CV113">
        <v>-1</v>
      </c>
      <c r="CW113">
        <v>0</v>
      </c>
      <c r="CX113">
        <v>0</v>
      </c>
      <c r="CY113" t="s">
        <v>333</v>
      </c>
      <c r="CZ113">
        <v>2.3653200000000001</v>
      </c>
      <c r="DA113">
        <v>2.7138200000000001</v>
      </c>
      <c r="DB113">
        <v>0.101743</v>
      </c>
      <c r="DC113">
        <v>0.145817</v>
      </c>
      <c r="DD113">
        <v>0.114439</v>
      </c>
      <c r="DE113">
        <v>2.5529699999999999E-2</v>
      </c>
      <c r="DF113">
        <v>32809.5</v>
      </c>
      <c r="DG113">
        <v>27509.599999999999</v>
      </c>
      <c r="DH113">
        <v>31178.799999999999</v>
      </c>
      <c r="DI113">
        <v>28060.1</v>
      </c>
      <c r="DJ113">
        <v>37474.800000000003</v>
      </c>
      <c r="DK113">
        <v>38865.599999999999</v>
      </c>
      <c r="DL113">
        <v>44366</v>
      </c>
      <c r="DM113">
        <v>42505.1</v>
      </c>
      <c r="DN113">
        <v>1.4820500000000001</v>
      </c>
      <c r="DO113">
        <v>2.0717300000000001</v>
      </c>
      <c r="DP113">
        <v>0.119098</v>
      </c>
      <c r="DQ113">
        <v>0.180393</v>
      </c>
      <c r="DR113">
        <v>25.0488</v>
      </c>
      <c r="DS113">
        <v>24.9815</v>
      </c>
      <c r="DT113">
        <v>59.1</v>
      </c>
      <c r="DU113">
        <v>24.7</v>
      </c>
      <c r="DV113">
        <v>18.699100000000001</v>
      </c>
      <c r="DW113">
        <v>62.280099999999997</v>
      </c>
      <c r="DX113">
        <v>36.566499999999998</v>
      </c>
      <c r="DY113">
        <v>1</v>
      </c>
      <c r="DZ113">
        <v>-0.166908</v>
      </c>
      <c r="EA113">
        <v>-0.69046799999999997</v>
      </c>
      <c r="EB113">
        <v>20.189599999999999</v>
      </c>
      <c r="EC113">
        <v>5.24125</v>
      </c>
      <c r="ED113">
        <v>12.039899999999999</v>
      </c>
      <c r="EE113">
        <v>5.0173500000000004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1.8687400000000001</v>
      </c>
      <c r="EL113">
        <v>1.86442</v>
      </c>
      <c r="EM113">
        <v>1.8690599999999999</v>
      </c>
      <c r="EN113">
        <v>1.86707</v>
      </c>
      <c r="EO113">
        <v>1.86324</v>
      </c>
      <c r="EP113">
        <v>1.86419</v>
      </c>
      <c r="EQ113">
        <v>1.87002</v>
      </c>
      <c r="ER113">
        <v>1.86924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-1.1419999999999999</v>
      </c>
      <c r="FG113">
        <v>0.18279999999999999</v>
      </c>
      <c r="FH113">
        <v>-0.81947142863283695</v>
      </c>
      <c r="FI113">
        <v>-6.1462078757559423E-4</v>
      </c>
      <c r="FJ113">
        <v>-1.8861989874597051E-7</v>
      </c>
      <c r="FK113">
        <v>1.1980462299894961E-10</v>
      </c>
      <c r="FL113">
        <v>0.18283500000000069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23.8</v>
      </c>
      <c r="FU113">
        <v>23.9</v>
      </c>
      <c r="FV113">
        <v>1.7663599999999999</v>
      </c>
      <c r="FW113">
        <v>2.5512700000000001</v>
      </c>
      <c r="FX113">
        <v>1.5490699999999999</v>
      </c>
      <c r="FY113">
        <v>2.34375</v>
      </c>
      <c r="FZ113">
        <v>1.50146</v>
      </c>
      <c r="GA113">
        <v>2.34741</v>
      </c>
      <c r="GB113">
        <v>30.372399999999999</v>
      </c>
      <c r="GC113">
        <v>23.991199999999999</v>
      </c>
      <c r="GD113">
        <v>19</v>
      </c>
      <c r="GE113">
        <v>281.38299999999998</v>
      </c>
      <c r="GF113">
        <v>602.08399999999995</v>
      </c>
      <c r="GG113">
        <v>25.651299999999999</v>
      </c>
      <c r="GH113">
        <v>25.332000000000001</v>
      </c>
      <c r="GI113">
        <v>30</v>
      </c>
      <c r="GJ113">
        <v>25.4558</v>
      </c>
      <c r="GK113">
        <v>25.425599999999999</v>
      </c>
      <c r="GL113">
        <v>35.321899999999999</v>
      </c>
      <c r="GM113">
        <v>78.3185</v>
      </c>
      <c r="GN113">
        <v>63.6539</v>
      </c>
      <c r="GO113">
        <v>25.679300000000001</v>
      </c>
      <c r="GP113">
        <v>800</v>
      </c>
      <c r="GQ113">
        <v>3.3841800000000002</v>
      </c>
      <c r="GR113">
        <v>99.753100000000003</v>
      </c>
      <c r="GS113">
        <v>99.456800000000001</v>
      </c>
    </row>
    <row r="114" spans="1:201" x14ac:dyDescent="0.25">
      <c r="A114">
        <v>98</v>
      </c>
      <c r="B114">
        <v>1690374856.0999999</v>
      </c>
      <c r="C114">
        <v>1036.599999904633</v>
      </c>
      <c r="D114" t="s">
        <v>529</v>
      </c>
      <c r="E114" t="s">
        <v>530</v>
      </c>
      <c r="F114" t="s">
        <v>330</v>
      </c>
      <c r="H114">
        <v>1690374856.0999999</v>
      </c>
      <c r="I114">
        <f t="shared" si="30"/>
        <v>2.1420880006099673E-3</v>
      </c>
      <c r="J114">
        <f t="shared" si="31"/>
        <v>2.1420880006099674</v>
      </c>
      <c r="K114">
        <f t="shared" si="32"/>
        <v>31.84083768820555</v>
      </c>
      <c r="L114">
        <f t="shared" si="33"/>
        <v>471.80500000000001</v>
      </c>
      <c r="M114">
        <f t="shared" si="34"/>
        <v>124.28052219940474</v>
      </c>
      <c r="N114">
        <f t="shared" si="35"/>
        <v>12.279771674822255</v>
      </c>
      <c r="O114">
        <f t="shared" si="36"/>
        <v>46.617583934381507</v>
      </c>
      <c r="P114">
        <f t="shared" si="37"/>
        <v>0.15441612374723815</v>
      </c>
      <c r="Q114">
        <f t="shared" si="38"/>
        <v>2.2442497227577309</v>
      </c>
      <c r="R114">
        <f t="shared" si="39"/>
        <v>0.14874711751453429</v>
      </c>
      <c r="S114">
        <f t="shared" si="40"/>
        <v>9.3458946304962265E-2</v>
      </c>
      <c r="T114">
        <f t="shared" si="41"/>
        <v>276.11598711599999</v>
      </c>
      <c r="U114">
        <f t="shared" si="42"/>
        <v>27.890507348615738</v>
      </c>
      <c r="V114">
        <f t="shared" si="43"/>
        <v>27.890507348615738</v>
      </c>
      <c r="W114">
        <f t="shared" si="44"/>
        <v>3.7706843860498318</v>
      </c>
      <c r="X114">
        <f t="shared" si="45"/>
        <v>68.748915748732344</v>
      </c>
      <c r="Y114">
        <f t="shared" si="46"/>
        <v>2.39215428849832</v>
      </c>
      <c r="Z114">
        <f t="shared" si="47"/>
        <v>3.4795520226694321</v>
      </c>
      <c r="AA114">
        <f t="shared" si="48"/>
        <v>1.3785300975515118</v>
      </c>
      <c r="AB114">
        <f t="shared" si="49"/>
        <v>-94.466080826899557</v>
      </c>
      <c r="AC114">
        <f t="shared" si="50"/>
        <v>-165.78411526490174</v>
      </c>
      <c r="AD114">
        <f t="shared" si="51"/>
        <v>-15.974994639665701</v>
      </c>
      <c r="AE114">
        <f t="shared" si="52"/>
        <v>-0.10920361546698132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52082.604008739712</v>
      </c>
      <c r="AK114">
        <f t="shared" si="56"/>
        <v>1800</v>
      </c>
      <c r="AL114">
        <f t="shared" si="57"/>
        <v>1499.1105096000001</v>
      </c>
      <c r="AM114">
        <f t="shared" si="58"/>
        <v>0.83283917200000002</v>
      </c>
      <c r="AN114">
        <f t="shared" si="59"/>
        <v>0.15339777061999998</v>
      </c>
      <c r="AO114">
        <v>30</v>
      </c>
      <c r="AP114">
        <v>0.5</v>
      </c>
      <c r="AQ114" t="s">
        <v>331</v>
      </c>
      <c r="AR114">
        <v>2</v>
      </c>
      <c r="AS114">
        <v>1690374856.0999999</v>
      </c>
      <c r="AT114">
        <v>471.80500000000001</v>
      </c>
      <c r="AU114">
        <v>800.06600000000003</v>
      </c>
      <c r="AV114">
        <v>24.2104</v>
      </c>
      <c r="AW114">
        <v>3.3242799999999999</v>
      </c>
      <c r="AX114">
        <v>472.94499999999999</v>
      </c>
      <c r="AY114">
        <v>24.0275</v>
      </c>
      <c r="AZ114">
        <v>300.23200000000003</v>
      </c>
      <c r="BA114">
        <v>98.706900000000005</v>
      </c>
      <c r="BB114">
        <v>9.9988300000000002E-2</v>
      </c>
      <c r="BC114">
        <v>26.520299999999999</v>
      </c>
      <c r="BD114">
        <v>26.961099999999998</v>
      </c>
      <c r="BE114">
        <v>27.930900000000001</v>
      </c>
      <c r="BF114">
        <v>0</v>
      </c>
      <c r="BG114">
        <v>0</v>
      </c>
      <c r="BH114">
        <v>9961.25</v>
      </c>
      <c r="BI114">
        <v>1084.3900000000001</v>
      </c>
      <c r="BJ114">
        <v>1.4016500000000001</v>
      </c>
      <c r="BK114">
        <v>-328.26100000000002</v>
      </c>
      <c r="BL114">
        <v>483.51100000000002</v>
      </c>
      <c r="BM114">
        <v>802.73400000000004</v>
      </c>
      <c r="BN114">
        <v>20.886099999999999</v>
      </c>
      <c r="BO114">
        <v>800.06600000000003</v>
      </c>
      <c r="BP114">
        <v>3.3242799999999999</v>
      </c>
      <c r="BQ114">
        <v>2.3897300000000001</v>
      </c>
      <c r="BR114">
        <v>0.328129</v>
      </c>
      <c r="BS114">
        <v>20.2943</v>
      </c>
      <c r="BT114">
        <v>-8.3214600000000001</v>
      </c>
      <c r="BU114">
        <v>1800</v>
      </c>
      <c r="BV114">
        <v>0.90998599999999996</v>
      </c>
      <c r="BW114">
        <v>3.3999399999999999E-2</v>
      </c>
      <c r="BX114">
        <v>2.2004599999999999E-2</v>
      </c>
      <c r="BY114">
        <v>3.40098E-2</v>
      </c>
      <c r="BZ114">
        <v>25</v>
      </c>
      <c r="CA114">
        <v>33528.199999999997</v>
      </c>
      <c r="CB114">
        <v>1690373417</v>
      </c>
      <c r="CC114" t="s">
        <v>332</v>
      </c>
      <c r="CD114">
        <v>1690373417</v>
      </c>
      <c r="CE114">
        <v>1690373415</v>
      </c>
      <c r="CF114">
        <v>1</v>
      </c>
      <c r="CG114">
        <v>-1.319</v>
      </c>
      <c r="CH114">
        <v>0.01</v>
      </c>
      <c r="CI114">
        <v>-1.371</v>
      </c>
      <c r="CJ114">
        <v>0.183</v>
      </c>
      <c r="CK114">
        <v>800</v>
      </c>
      <c r="CL114">
        <v>21</v>
      </c>
      <c r="CM114">
        <v>0.09</v>
      </c>
      <c r="CN114">
        <v>7.0000000000000007E-2</v>
      </c>
      <c r="CO114">
        <v>-325.50385</v>
      </c>
      <c r="CP114">
        <v>-15.40944090056222</v>
      </c>
      <c r="CQ114">
        <v>1.484388620779606</v>
      </c>
      <c r="CR114">
        <v>-1</v>
      </c>
      <c r="CS114">
        <v>20.61495</v>
      </c>
      <c r="CT114">
        <v>1.4523984990618579</v>
      </c>
      <c r="CU114">
        <v>0.13977016491368949</v>
      </c>
      <c r="CV114">
        <v>-1</v>
      </c>
      <c r="CW114">
        <v>0</v>
      </c>
      <c r="CX114">
        <v>0</v>
      </c>
      <c r="CY114" t="s">
        <v>333</v>
      </c>
      <c r="CZ114">
        <v>2.3656799999999998</v>
      </c>
      <c r="DA114">
        <v>2.7137500000000001</v>
      </c>
      <c r="DB114">
        <v>0.101331</v>
      </c>
      <c r="DC114">
        <v>0.14580499999999999</v>
      </c>
      <c r="DD114">
        <v>0.11444500000000001</v>
      </c>
      <c r="DE114">
        <v>2.3953599999999999E-2</v>
      </c>
      <c r="DF114">
        <v>32824.699999999997</v>
      </c>
      <c r="DG114">
        <v>27510.400000000001</v>
      </c>
      <c r="DH114">
        <v>31179</v>
      </c>
      <c r="DI114">
        <v>28060.5</v>
      </c>
      <c r="DJ114">
        <v>37474.800000000003</v>
      </c>
      <c r="DK114">
        <v>38929.199999999997</v>
      </c>
      <c r="DL114">
        <v>44366.400000000001</v>
      </c>
      <c r="DM114">
        <v>42505.7</v>
      </c>
      <c r="DN114">
        <v>1.48258</v>
      </c>
      <c r="DO114">
        <v>2.0715699999999999</v>
      </c>
      <c r="DP114">
        <v>0.116572</v>
      </c>
      <c r="DQ114">
        <v>0.17993899999999999</v>
      </c>
      <c r="DR114">
        <v>25.051600000000001</v>
      </c>
      <c r="DS114">
        <v>24.985600000000002</v>
      </c>
      <c r="DT114">
        <v>58.7</v>
      </c>
      <c r="DU114">
        <v>24.7</v>
      </c>
      <c r="DV114">
        <v>18.5745</v>
      </c>
      <c r="DW114">
        <v>61.880099999999999</v>
      </c>
      <c r="DX114">
        <v>36.718800000000002</v>
      </c>
      <c r="DY114">
        <v>1</v>
      </c>
      <c r="DZ114">
        <v>-0.16672500000000001</v>
      </c>
      <c r="EA114">
        <v>-0.76831400000000005</v>
      </c>
      <c r="EB114">
        <v>20.189299999999999</v>
      </c>
      <c r="EC114">
        <v>5.2411000000000003</v>
      </c>
      <c r="ED114">
        <v>12.039899999999999</v>
      </c>
      <c r="EE114">
        <v>5.0171999999999999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1.8687400000000001</v>
      </c>
      <c r="EL114">
        <v>1.8644400000000001</v>
      </c>
      <c r="EM114">
        <v>1.8690599999999999</v>
      </c>
      <c r="EN114">
        <v>1.8670800000000001</v>
      </c>
      <c r="EO114">
        <v>1.86324</v>
      </c>
      <c r="EP114">
        <v>1.86422</v>
      </c>
      <c r="EQ114">
        <v>1.8700399999999999</v>
      </c>
      <c r="ER114">
        <v>1.86924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-1.1399999999999999</v>
      </c>
      <c r="FG114">
        <v>0.18290000000000001</v>
      </c>
      <c r="FH114">
        <v>-0.81947142863283695</v>
      </c>
      <c r="FI114">
        <v>-6.1462078757559423E-4</v>
      </c>
      <c r="FJ114">
        <v>-1.8861989874597051E-7</v>
      </c>
      <c r="FK114">
        <v>1.1980462299894961E-10</v>
      </c>
      <c r="FL114">
        <v>0.18283500000000069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24</v>
      </c>
      <c r="FU114">
        <v>24</v>
      </c>
      <c r="FV114">
        <v>1.7663599999999999</v>
      </c>
      <c r="FW114">
        <v>2.5573700000000001</v>
      </c>
      <c r="FX114">
        <v>1.5490699999999999</v>
      </c>
      <c r="FY114">
        <v>2.34375</v>
      </c>
      <c r="FZ114">
        <v>1.50146</v>
      </c>
      <c r="GA114">
        <v>2.2949199999999998</v>
      </c>
      <c r="GB114">
        <v>30.393899999999999</v>
      </c>
      <c r="GC114">
        <v>23.991199999999999</v>
      </c>
      <c r="GD114">
        <v>19</v>
      </c>
      <c r="GE114">
        <v>281.59500000000003</v>
      </c>
      <c r="GF114">
        <v>601.94399999999996</v>
      </c>
      <c r="GG114">
        <v>25.679600000000001</v>
      </c>
      <c r="GH114">
        <v>25.332000000000001</v>
      </c>
      <c r="GI114">
        <v>30</v>
      </c>
      <c r="GJ114">
        <v>25.453600000000002</v>
      </c>
      <c r="GK114">
        <v>25.424399999999999</v>
      </c>
      <c r="GL114">
        <v>35.315399999999997</v>
      </c>
      <c r="GM114">
        <v>79.566299999999998</v>
      </c>
      <c r="GN114">
        <v>62.858600000000003</v>
      </c>
      <c r="GO114">
        <v>25.695</v>
      </c>
      <c r="GP114">
        <v>800</v>
      </c>
      <c r="GQ114">
        <v>3.1347100000000001</v>
      </c>
      <c r="GR114">
        <v>99.753799999999998</v>
      </c>
      <c r="GS114">
        <v>99.458200000000005</v>
      </c>
    </row>
    <row r="115" spans="1:201" x14ac:dyDescent="0.25">
      <c r="A115">
        <v>99</v>
      </c>
      <c r="B115">
        <v>1690374866.0999999</v>
      </c>
      <c r="C115">
        <v>1046.599999904633</v>
      </c>
      <c r="D115" t="s">
        <v>531</v>
      </c>
      <c r="E115" t="s">
        <v>532</v>
      </c>
      <c r="F115" t="s">
        <v>330</v>
      </c>
      <c r="H115">
        <v>1690374866.0999999</v>
      </c>
      <c r="I115">
        <f t="shared" si="30"/>
        <v>2.1654527689231426E-3</v>
      </c>
      <c r="J115">
        <f t="shared" si="31"/>
        <v>2.1654527689231426</v>
      </c>
      <c r="K115">
        <f t="shared" si="32"/>
        <v>32.083622927125255</v>
      </c>
      <c r="L115">
        <f t="shared" si="33"/>
        <v>469.33699999999999</v>
      </c>
      <c r="M115">
        <f t="shared" si="34"/>
        <v>123.58963422727936</v>
      </c>
      <c r="N115">
        <f t="shared" si="35"/>
        <v>12.211659162305859</v>
      </c>
      <c r="O115">
        <f t="shared" si="36"/>
        <v>46.374305677766003</v>
      </c>
      <c r="P115">
        <f t="shared" si="37"/>
        <v>0.15642798455254947</v>
      </c>
      <c r="Q115">
        <f t="shared" si="38"/>
        <v>2.2547285579634933</v>
      </c>
      <c r="R115">
        <f t="shared" si="39"/>
        <v>0.15063923497343085</v>
      </c>
      <c r="S115">
        <f t="shared" si="40"/>
        <v>9.4651770274268743E-2</v>
      </c>
      <c r="T115">
        <f t="shared" si="41"/>
        <v>276.11426505733874</v>
      </c>
      <c r="U115">
        <f t="shared" si="42"/>
        <v>27.878738749523279</v>
      </c>
      <c r="V115">
        <f t="shared" si="43"/>
        <v>27.878738749523279</v>
      </c>
      <c r="W115">
        <f t="shared" si="44"/>
        <v>3.7680961046363168</v>
      </c>
      <c r="X115">
        <f t="shared" si="45"/>
        <v>68.737082768975171</v>
      </c>
      <c r="Y115">
        <f t="shared" si="46"/>
        <v>2.3919963246030003</v>
      </c>
      <c r="Z115">
        <f t="shared" si="47"/>
        <v>3.4799212131863118</v>
      </c>
      <c r="AA115">
        <f t="shared" si="48"/>
        <v>1.3760997800333166</v>
      </c>
      <c r="AB115">
        <f t="shared" si="49"/>
        <v>-95.49646710951059</v>
      </c>
      <c r="AC115">
        <f t="shared" si="50"/>
        <v>-164.90883610749898</v>
      </c>
      <c r="AD115">
        <f t="shared" si="51"/>
        <v>-15.816011421746238</v>
      </c>
      <c r="AE115">
        <f t="shared" si="52"/>
        <v>-0.10704958141707266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52490.294511913133</v>
      </c>
      <c r="AK115">
        <f t="shared" si="56"/>
        <v>1799.99</v>
      </c>
      <c r="AL115">
        <f t="shared" si="57"/>
        <v>1499.1030290035701</v>
      </c>
      <c r="AM115">
        <f t="shared" si="58"/>
        <v>0.83283964300000002</v>
      </c>
      <c r="AN115">
        <f t="shared" si="59"/>
        <v>0.15339766613000003</v>
      </c>
      <c r="AO115">
        <v>30</v>
      </c>
      <c r="AP115">
        <v>0.5</v>
      </c>
      <c r="AQ115" t="s">
        <v>331</v>
      </c>
      <c r="AR115">
        <v>2</v>
      </c>
      <c r="AS115">
        <v>1690374866.0999999</v>
      </c>
      <c r="AT115">
        <v>469.33699999999999</v>
      </c>
      <c r="AU115">
        <v>800.12699999999995</v>
      </c>
      <c r="AV115">
        <v>24.208500000000001</v>
      </c>
      <c r="AW115">
        <v>3.0915699999999999</v>
      </c>
      <c r="AX115">
        <v>470.47500000000002</v>
      </c>
      <c r="AY115">
        <v>24.025700000000001</v>
      </c>
      <c r="AZ115">
        <v>300.19</v>
      </c>
      <c r="BA115">
        <v>98.708100000000002</v>
      </c>
      <c r="BB115">
        <v>0.100018</v>
      </c>
      <c r="BC115">
        <v>26.522099999999998</v>
      </c>
      <c r="BD115">
        <v>26.962</v>
      </c>
      <c r="BE115">
        <v>27.947099999999999</v>
      </c>
      <c r="BF115">
        <v>0</v>
      </c>
      <c r="BG115">
        <v>0</v>
      </c>
      <c r="BH115">
        <v>10042.5</v>
      </c>
      <c r="BI115">
        <v>1084.46</v>
      </c>
      <c r="BJ115">
        <v>1.4016500000000001</v>
      </c>
      <c r="BK115">
        <v>-330.79</v>
      </c>
      <c r="BL115">
        <v>480.98099999999999</v>
      </c>
      <c r="BM115">
        <v>802.60799999999995</v>
      </c>
      <c r="BN115">
        <v>21.116900000000001</v>
      </c>
      <c r="BO115">
        <v>800.12699999999995</v>
      </c>
      <c r="BP115">
        <v>3.0915699999999999</v>
      </c>
      <c r="BQ115">
        <v>2.38957</v>
      </c>
      <c r="BR115">
        <v>0.30516300000000002</v>
      </c>
      <c r="BS115">
        <v>20.293299999999999</v>
      </c>
      <c r="BT115">
        <v>-9.2489600000000003</v>
      </c>
      <c r="BU115">
        <v>1799.99</v>
      </c>
      <c r="BV115">
        <v>0.90999099999999999</v>
      </c>
      <c r="BW115">
        <v>3.3997600000000003E-2</v>
      </c>
      <c r="BX115">
        <v>2.2003399999999999E-2</v>
      </c>
      <c r="BY115">
        <v>3.4007900000000001E-2</v>
      </c>
      <c r="BZ115">
        <v>25</v>
      </c>
      <c r="CA115">
        <v>33528.199999999997</v>
      </c>
      <c r="CB115">
        <v>1690373417</v>
      </c>
      <c r="CC115" t="s">
        <v>332</v>
      </c>
      <c r="CD115">
        <v>1690373417</v>
      </c>
      <c r="CE115">
        <v>1690373415</v>
      </c>
      <c r="CF115">
        <v>1</v>
      </c>
      <c r="CG115">
        <v>-1.319</v>
      </c>
      <c r="CH115">
        <v>0.01</v>
      </c>
      <c r="CI115">
        <v>-1.371</v>
      </c>
      <c r="CJ115">
        <v>0.183</v>
      </c>
      <c r="CK115">
        <v>800</v>
      </c>
      <c r="CL115">
        <v>21</v>
      </c>
      <c r="CM115">
        <v>0.09</v>
      </c>
      <c r="CN115">
        <v>7.0000000000000007E-2</v>
      </c>
      <c r="CO115">
        <v>-328.07637499999998</v>
      </c>
      <c r="CP115">
        <v>-14.98902439024322</v>
      </c>
      <c r="CQ115">
        <v>1.44453116421038</v>
      </c>
      <c r="CR115">
        <v>-1</v>
      </c>
      <c r="CS115">
        <v>20.856475</v>
      </c>
      <c r="CT115">
        <v>1.447130206378979</v>
      </c>
      <c r="CU115">
        <v>0.13929386158406271</v>
      </c>
      <c r="CV115">
        <v>-1</v>
      </c>
      <c r="CW115">
        <v>0</v>
      </c>
      <c r="CX115">
        <v>0</v>
      </c>
      <c r="CY115" t="s">
        <v>333</v>
      </c>
      <c r="CZ115">
        <v>2.36558</v>
      </c>
      <c r="DA115">
        <v>2.7138499999999999</v>
      </c>
      <c r="DB115">
        <v>0.100941</v>
      </c>
      <c r="DC115">
        <v>0.14581</v>
      </c>
      <c r="DD115">
        <v>0.11444</v>
      </c>
      <c r="DE115">
        <v>2.2485399999999999E-2</v>
      </c>
      <c r="DF115">
        <v>32839.199999999997</v>
      </c>
      <c r="DG115">
        <v>27510.6</v>
      </c>
      <c r="DH115">
        <v>31179.200000000001</v>
      </c>
      <c r="DI115">
        <v>28060.799999999999</v>
      </c>
      <c r="DJ115">
        <v>37475.1</v>
      </c>
      <c r="DK115">
        <v>38988.400000000001</v>
      </c>
      <c r="DL115">
        <v>44366.400000000001</v>
      </c>
      <c r="DM115">
        <v>42506.2</v>
      </c>
      <c r="DN115">
        <v>1.48302</v>
      </c>
      <c r="DO115">
        <v>2.0710999999999999</v>
      </c>
      <c r="DP115">
        <v>0.11654200000000001</v>
      </c>
      <c r="DQ115">
        <v>0.18093000000000001</v>
      </c>
      <c r="DR115">
        <v>25.053000000000001</v>
      </c>
      <c r="DS115">
        <v>24.985600000000002</v>
      </c>
      <c r="DT115">
        <v>58.2</v>
      </c>
      <c r="DU115">
        <v>24.7</v>
      </c>
      <c r="DV115">
        <v>18.414100000000001</v>
      </c>
      <c r="DW115">
        <v>61.210099999999997</v>
      </c>
      <c r="DX115">
        <v>37.556100000000001</v>
      </c>
      <c r="DY115">
        <v>1</v>
      </c>
      <c r="DZ115">
        <v>-0.166743</v>
      </c>
      <c r="EA115">
        <v>-0.83314299999999997</v>
      </c>
      <c r="EB115">
        <v>20.188800000000001</v>
      </c>
      <c r="EC115">
        <v>5.2409499999999998</v>
      </c>
      <c r="ED115">
        <v>12.039899999999999</v>
      </c>
      <c r="EE115">
        <v>5.0172999999999996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1.8687400000000001</v>
      </c>
      <c r="EL115">
        <v>1.8644000000000001</v>
      </c>
      <c r="EM115">
        <v>1.8690500000000001</v>
      </c>
      <c r="EN115">
        <v>1.86707</v>
      </c>
      <c r="EO115">
        <v>1.86324</v>
      </c>
      <c r="EP115">
        <v>1.86419</v>
      </c>
      <c r="EQ115">
        <v>1.8700300000000001</v>
      </c>
      <c r="ER115">
        <v>1.8692299999999999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-1.1379999999999999</v>
      </c>
      <c r="FG115">
        <v>0.18279999999999999</v>
      </c>
      <c r="FH115">
        <v>-0.81947142863283695</v>
      </c>
      <c r="FI115">
        <v>-6.1462078757559423E-4</v>
      </c>
      <c r="FJ115">
        <v>-1.8861989874597051E-7</v>
      </c>
      <c r="FK115">
        <v>1.1980462299894961E-10</v>
      </c>
      <c r="FL115">
        <v>0.18283500000000069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24.2</v>
      </c>
      <c r="FU115">
        <v>24.2</v>
      </c>
      <c r="FV115">
        <v>1.7663599999999999</v>
      </c>
      <c r="FW115">
        <v>2.5512700000000001</v>
      </c>
      <c r="FX115">
        <v>1.5490699999999999</v>
      </c>
      <c r="FY115">
        <v>2.34375</v>
      </c>
      <c r="FZ115">
        <v>1.50146</v>
      </c>
      <c r="GA115">
        <v>2.34131</v>
      </c>
      <c r="GB115">
        <v>30.393899999999999</v>
      </c>
      <c r="GC115">
        <v>23.991199999999999</v>
      </c>
      <c r="GD115">
        <v>19</v>
      </c>
      <c r="GE115">
        <v>281.78399999999999</v>
      </c>
      <c r="GF115">
        <v>601.53099999999995</v>
      </c>
      <c r="GG115">
        <v>25.719200000000001</v>
      </c>
      <c r="GH115">
        <v>25.329899999999999</v>
      </c>
      <c r="GI115">
        <v>30.0002</v>
      </c>
      <c r="GJ115">
        <v>25.453399999999998</v>
      </c>
      <c r="GK115">
        <v>25.423500000000001</v>
      </c>
      <c r="GL115">
        <v>35.306800000000003</v>
      </c>
      <c r="GM115">
        <v>80.7089</v>
      </c>
      <c r="GN115">
        <v>61.654000000000003</v>
      </c>
      <c r="GO115">
        <v>25.737300000000001</v>
      </c>
      <c r="GP115">
        <v>800</v>
      </c>
      <c r="GQ115">
        <v>2.8928799999999999</v>
      </c>
      <c r="GR115">
        <v>99.754099999999994</v>
      </c>
      <c r="GS115">
        <v>99.459400000000002</v>
      </c>
    </row>
    <row r="116" spans="1:201" x14ac:dyDescent="0.25">
      <c r="A116">
        <v>100</v>
      </c>
      <c r="B116">
        <v>1690374876.0999999</v>
      </c>
      <c r="C116">
        <v>1056.599999904633</v>
      </c>
      <c r="D116" t="s">
        <v>533</v>
      </c>
      <c r="E116" t="s">
        <v>534</v>
      </c>
      <c r="F116" t="s">
        <v>330</v>
      </c>
      <c r="H116">
        <v>1690374876.0999999</v>
      </c>
      <c r="I116">
        <f t="shared" si="30"/>
        <v>2.1895764145041996E-3</v>
      </c>
      <c r="J116">
        <f t="shared" si="31"/>
        <v>2.1895764145041996</v>
      </c>
      <c r="K116">
        <f t="shared" si="32"/>
        <v>32.285666906977738</v>
      </c>
      <c r="L116">
        <f t="shared" si="33"/>
        <v>466.899</v>
      </c>
      <c r="M116">
        <f t="shared" si="34"/>
        <v>122.79425877537288</v>
      </c>
      <c r="N116">
        <f t="shared" si="35"/>
        <v>12.133012118527622</v>
      </c>
      <c r="O116">
        <f t="shared" si="36"/>
        <v>46.133192883970203</v>
      </c>
      <c r="P116">
        <f t="shared" si="37"/>
        <v>0.1582292259626816</v>
      </c>
      <c r="Q116">
        <f t="shared" si="38"/>
        <v>2.2507909743704957</v>
      </c>
      <c r="R116">
        <f t="shared" si="39"/>
        <v>0.15229917032933041</v>
      </c>
      <c r="S116">
        <f t="shared" si="40"/>
        <v>9.5701256586534458E-2</v>
      </c>
      <c r="T116">
        <f t="shared" si="41"/>
        <v>276.11560071000002</v>
      </c>
      <c r="U116">
        <f t="shared" si="42"/>
        <v>27.882900130227522</v>
      </c>
      <c r="V116">
        <f t="shared" si="43"/>
        <v>27.882900130227522</v>
      </c>
      <c r="W116">
        <f t="shared" si="44"/>
        <v>3.7690111446264947</v>
      </c>
      <c r="X116">
        <f t="shared" si="45"/>
        <v>68.718673094383249</v>
      </c>
      <c r="Y116">
        <f t="shared" si="46"/>
        <v>2.3927655706167203</v>
      </c>
      <c r="Z116">
        <f t="shared" si="47"/>
        <v>3.4819728945148887</v>
      </c>
      <c r="AA116">
        <f t="shared" si="48"/>
        <v>1.3762455740097743</v>
      </c>
      <c r="AB116">
        <f t="shared" si="49"/>
        <v>-96.560319879635202</v>
      </c>
      <c r="AC116">
        <f t="shared" si="50"/>
        <v>-163.91235958067435</v>
      </c>
      <c r="AD116">
        <f t="shared" si="51"/>
        <v>-15.749057084806815</v>
      </c>
      <c r="AE116">
        <f t="shared" si="52"/>
        <v>-0.10613583511630509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52335.026609248911</v>
      </c>
      <c r="AK116">
        <f t="shared" si="56"/>
        <v>1800</v>
      </c>
      <c r="AL116">
        <f t="shared" si="57"/>
        <v>1499.1124949999999</v>
      </c>
      <c r="AM116">
        <f t="shared" si="58"/>
        <v>0.83284027499999991</v>
      </c>
      <c r="AN116">
        <f t="shared" si="59"/>
        <v>0.15339755595000001</v>
      </c>
      <c r="AO116">
        <v>30</v>
      </c>
      <c r="AP116">
        <v>0.5</v>
      </c>
      <c r="AQ116" t="s">
        <v>331</v>
      </c>
      <c r="AR116">
        <v>2</v>
      </c>
      <c r="AS116">
        <v>1690374876.0999999</v>
      </c>
      <c r="AT116">
        <v>466.899</v>
      </c>
      <c r="AU116">
        <v>799.98099999999999</v>
      </c>
      <c r="AV116">
        <v>24.2164</v>
      </c>
      <c r="AW116">
        <v>2.85073</v>
      </c>
      <c r="AX116">
        <v>468.036</v>
      </c>
      <c r="AY116">
        <v>24.0336</v>
      </c>
      <c r="AZ116">
        <v>299.99799999999999</v>
      </c>
      <c r="BA116">
        <v>98.707700000000003</v>
      </c>
      <c r="BB116">
        <v>9.9949800000000005E-2</v>
      </c>
      <c r="BC116">
        <v>26.5321</v>
      </c>
      <c r="BD116">
        <v>26.986000000000001</v>
      </c>
      <c r="BE116">
        <v>27.940100000000001</v>
      </c>
      <c r="BF116">
        <v>0</v>
      </c>
      <c r="BG116">
        <v>0</v>
      </c>
      <c r="BH116">
        <v>10011.9</v>
      </c>
      <c r="BI116">
        <v>1084.46</v>
      </c>
      <c r="BJ116">
        <v>1.4016500000000001</v>
      </c>
      <c r="BK116">
        <v>-333.08199999999999</v>
      </c>
      <c r="BL116">
        <v>478.48700000000002</v>
      </c>
      <c r="BM116">
        <v>802.26800000000003</v>
      </c>
      <c r="BN116">
        <v>21.3657</v>
      </c>
      <c r="BO116">
        <v>799.98099999999999</v>
      </c>
      <c r="BP116">
        <v>2.85073</v>
      </c>
      <c r="BQ116">
        <v>2.3903400000000001</v>
      </c>
      <c r="BR116">
        <v>0.281389</v>
      </c>
      <c r="BS116">
        <v>20.298500000000001</v>
      </c>
      <c r="BT116">
        <v>-10.276999999999999</v>
      </c>
      <c r="BU116">
        <v>1800</v>
      </c>
      <c r="BV116">
        <v>0.90999699999999994</v>
      </c>
      <c r="BW116">
        <v>3.3995400000000002E-2</v>
      </c>
      <c r="BX116">
        <v>2.2002000000000001E-2</v>
      </c>
      <c r="BY116">
        <v>3.40057E-2</v>
      </c>
      <c r="BZ116">
        <v>25</v>
      </c>
      <c r="CA116">
        <v>33528.300000000003</v>
      </c>
      <c r="CB116">
        <v>1690373417</v>
      </c>
      <c r="CC116" t="s">
        <v>332</v>
      </c>
      <c r="CD116">
        <v>1690373417</v>
      </c>
      <c r="CE116">
        <v>1690373415</v>
      </c>
      <c r="CF116">
        <v>1</v>
      </c>
      <c r="CG116">
        <v>-1.319</v>
      </c>
      <c r="CH116">
        <v>0.01</v>
      </c>
      <c r="CI116">
        <v>-1.371</v>
      </c>
      <c r="CJ116">
        <v>0.183</v>
      </c>
      <c r="CK116">
        <v>800</v>
      </c>
      <c r="CL116">
        <v>21</v>
      </c>
      <c r="CM116">
        <v>0.09</v>
      </c>
      <c r="CN116">
        <v>7.0000000000000007E-2</v>
      </c>
      <c r="CO116">
        <v>-330.38629268292681</v>
      </c>
      <c r="CP116">
        <v>-14.76773519163843</v>
      </c>
      <c r="CQ116">
        <v>1.4583907643885361</v>
      </c>
      <c r="CR116">
        <v>-1</v>
      </c>
      <c r="CS116">
        <v>21.08238048780488</v>
      </c>
      <c r="CT116">
        <v>1.457195121951228</v>
      </c>
      <c r="CU116">
        <v>0.14376489482877219</v>
      </c>
      <c r="CV116">
        <v>-1</v>
      </c>
      <c r="CW116">
        <v>0</v>
      </c>
      <c r="CX116">
        <v>0</v>
      </c>
      <c r="CY116" t="s">
        <v>333</v>
      </c>
      <c r="CZ116">
        <v>2.3649100000000001</v>
      </c>
      <c r="DA116">
        <v>2.7137500000000001</v>
      </c>
      <c r="DB116">
        <v>0.100554</v>
      </c>
      <c r="DC116">
        <v>0.145788</v>
      </c>
      <c r="DD116">
        <v>0.114466</v>
      </c>
      <c r="DE116">
        <v>2.094E-2</v>
      </c>
      <c r="DF116">
        <v>32853.699999999997</v>
      </c>
      <c r="DG116">
        <v>27511.200000000001</v>
      </c>
      <c r="DH116">
        <v>31179.5</v>
      </c>
      <c r="DI116">
        <v>28060.7</v>
      </c>
      <c r="DJ116">
        <v>37474.6</v>
      </c>
      <c r="DK116">
        <v>39050.199999999997</v>
      </c>
      <c r="DL116">
        <v>44367.3</v>
      </c>
      <c r="DM116">
        <v>42506.1</v>
      </c>
      <c r="DN116">
        <v>1.4826299999999999</v>
      </c>
      <c r="DO116">
        <v>2.0708700000000002</v>
      </c>
      <c r="DP116">
        <v>0.117809</v>
      </c>
      <c r="DQ116">
        <v>0.18033399999999999</v>
      </c>
      <c r="DR116">
        <v>25.0563</v>
      </c>
      <c r="DS116">
        <v>24.988399999999999</v>
      </c>
      <c r="DT116">
        <v>57.9</v>
      </c>
      <c r="DU116">
        <v>24.7</v>
      </c>
      <c r="DV116">
        <v>18.3184</v>
      </c>
      <c r="DW116">
        <v>61.740099999999998</v>
      </c>
      <c r="DX116">
        <v>37.179499999999997</v>
      </c>
      <c r="DY116">
        <v>1</v>
      </c>
      <c r="DZ116">
        <v>-0.16688500000000001</v>
      </c>
      <c r="EA116">
        <v>-0.84856200000000004</v>
      </c>
      <c r="EB116">
        <v>20.188800000000001</v>
      </c>
      <c r="EC116">
        <v>5.2411000000000003</v>
      </c>
      <c r="ED116">
        <v>12.039899999999999</v>
      </c>
      <c r="EE116">
        <v>5.0172499999999998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1.8687400000000001</v>
      </c>
      <c r="EL116">
        <v>1.8644000000000001</v>
      </c>
      <c r="EM116">
        <v>1.86907</v>
      </c>
      <c r="EN116">
        <v>1.8670899999999999</v>
      </c>
      <c r="EO116">
        <v>1.8632500000000001</v>
      </c>
      <c r="EP116">
        <v>1.8642099999999999</v>
      </c>
      <c r="EQ116">
        <v>1.8700399999999999</v>
      </c>
      <c r="ER116">
        <v>1.86924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-1.137</v>
      </c>
      <c r="FG116">
        <v>0.18279999999999999</v>
      </c>
      <c r="FH116">
        <v>-0.81947142863283695</v>
      </c>
      <c r="FI116">
        <v>-6.1462078757559423E-4</v>
      </c>
      <c r="FJ116">
        <v>-1.8861989874597051E-7</v>
      </c>
      <c r="FK116">
        <v>1.1980462299894961E-10</v>
      </c>
      <c r="FL116">
        <v>0.18283500000000069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24.3</v>
      </c>
      <c r="FU116">
        <v>24.4</v>
      </c>
      <c r="FV116">
        <v>1.7651399999999999</v>
      </c>
      <c r="FW116">
        <v>2.5512700000000001</v>
      </c>
      <c r="FX116">
        <v>1.5490699999999999</v>
      </c>
      <c r="FY116">
        <v>2.34375</v>
      </c>
      <c r="FZ116">
        <v>1.50146</v>
      </c>
      <c r="GA116">
        <v>2.36084</v>
      </c>
      <c r="GB116">
        <v>30.393899999999999</v>
      </c>
      <c r="GC116">
        <v>23.991199999999999</v>
      </c>
      <c r="GD116">
        <v>19</v>
      </c>
      <c r="GE116">
        <v>281.60700000000003</v>
      </c>
      <c r="GF116">
        <v>601.31700000000001</v>
      </c>
      <c r="GG116">
        <v>25.7621</v>
      </c>
      <c r="GH116">
        <v>25.3291</v>
      </c>
      <c r="GI116">
        <v>30</v>
      </c>
      <c r="GJ116">
        <v>25.451499999999999</v>
      </c>
      <c r="GK116">
        <v>25.421299999999999</v>
      </c>
      <c r="GL116">
        <v>35.3018</v>
      </c>
      <c r="GM116">
        <v>81.899699999999996</v>
      </c>
      <c r="GN116">
        <v>60.84</v>
      </c>
      <c r="GO116">
        <v>25.768599999999999</v>
      </c>
      <c r="GP116">
        <v>800</v>
      </c>
      <c r="GQ116">
        <v>2.63741</v>
      </c>
      <c r="GR116">
        <v>99.755700000000004</v>
      </c>
      <c r="GS116">
        <v>99.459100000000007</v>
      </c>
    </row>
    <row r="117" spans="1:201" x14ac:dyDescent="0.25">
      <c r="A117">
        <v>101</v>
      </c>
      <c r="B117">
        <v>1690374886.0999999</v>
      </c>
      <c r="C117">
        <v>1066.599999904633</v>
      </c>
      <c r="D117" t="s">
        <v>535</v>
      </c>
      <c r="E117" t="s">
        <v>536</v>
      </c>
      <c r="F117" t="s">
        <v>330</v>
      </c>
      <c r="H117">
        <v>1690374886.0999999</v>
      </c>
      <c r="I117">
        <f t="shared" si="30"/>
        <v>2.2164361187665539E-3</v>
      </c>
      <c r="J117">
        <f t="shared" si="31"/>
        <v>2.2164361187665538</v>
      </c>
      <c r="K117">
        <f t="shared" si="32"/>
        <v>32.561922464277686</v>
      </c>
      <c r="L117">
        <f t="shared" si="33"/>
        <v>464.46</v>
      </c>
      <c r="M117">
        <f t="shared" si="34"/>
        <v>121.93272799374492</v>
      </c>
      <c r="N117">
        <f t="shared" si="35"/>
        <v>12.047680488706295</v>
      </c>
      <c r="O117">
        <f t="shared" si="36"/>
        <v>45.891417110519996</v>
      </c>
      <c r="P117">
        <f t="shared" si="37"/>
        <v>0.16037476699232089</v>
      </c>
      <c r="Q117">
        <f t="shared" si="38"/>
        <v>2.2538910426552596</v>
      </c>
      <c r="R117">
        <f t="shared" si="39"/>
        <v>0.15429416266693693</v>
      </c>
      <c r="S117">
        <f t="shared" si="40"/>
        <v>9.6960961037650978E-2</v>
      </c>
      <c r="T117">
        <f t="shared" si="41"/>
        <v>276.11542223999993</v>
      </c>
      <c r="U117">
        <f t="shared" si="42"/>
        <v>27.88069276950365</v>
      </c>
      <c r="V117">
        <f t="shared" si="43"/>
        <v>27.88069276950365</v>
      </c>
      <c r="W117">
        <f t="shared" si="44"/>
        <v>3.7685257471245497</v>
      </c>
      <c r="X117">
        <f t="shared" si="45"/>
        <v>68.703908997294462</v>
      </c>
      <c r="Y117">
        <f t="shared" si="46"/>
        <v>2.3934361011031999</v>
      </c>
      <c r="Z117">
        <f t="shared" si="47"/>
        <v>3.4836971229649434</v>
      </c>
      <c r="AA117">
        <f t="shared" si="48"/>
        <v>1.3750896460213498</v>
      </c>
      <c r="AB117">
        <f t="shared" si="49"/>
        <v>-97.744832837605031</v>
      </c>
      <c r="AC117">
        <f t="shared" si="50"/>
        <v>-162.84920077912523</v>
      </c>
      <c r="AD117">
        <f t="shared" si="51"/>
        <v>-15.625867494335868</v>
      </c>
      <c r="AE117">
        <f t="shared" si="52"/>
        <v>-0.10447887106619191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52454.350649229702</v>
      </c>
      <c r="AK117">
        <f t="shared" si="56"/>
        <v>1800</v>
      </c>
      <c r="AL117">
        <f t="shared" si="57"/>
        <v>1499.1130619999999</v>
      </c>
      <c r="AM117">
        <f t="shared" si="58"/>
        <v>0.83284058999999999</v>
      </c>
      <c r="AN117">
        <f t="shared" si="59"/>
        <v>0.15339745679999997</v>
      </c>
      <c r="AO117">
        <v>30</v>
      </c>
      <c r="AP117">
        <v>0.5</v>
      </c>
      <c r="AQ117" t="s">
        <v>331</v>
      </c>
      <c r="AR117">
        <v>2</v>
      </c>
      <c r="AS117">
        <v>1690374886.0999999</v>
      </c>
      <c r="AT117">
        <v>464.46</v>
      </c>
      <c r="AU117">
        <v>800.13199999999995</v>
      </c>
      <c r="AV117">
        <v>24.223600000000001</v>
      </c>
      <c r="AW117">
        <v>2.6116999999999999</v>
      </c>
      <c r="AX117">
        <v>465.59500000000003</v>
      </c>
      <c r="AY117">
        <v>24.040800000000001</v>
      </c>
      <c r="AZ117">
        <v>300.21600000000001</v>
      </c>
      <c r="BA117">
        <v>98.7059</v>
      </c>
      <c r="BB117">
        <v>0.100062</v>
      </c>
      <c r="BC117">
        <v>26.540500000000002</v>
      </c>
      <c r="BD117">
        <v>26.99</v>
      </c>
      <c r="BE117">
        <v>27.924499999999998</v>
      </c>
      <c r="BF117">
        <v>0</v>
      </c>
      <c r="BG117">
        <v>0</v>
      </c>
      <c r="BH117">
        <v>10036.200000000001</v>
      </c>
      <c r="BI117">
        <v>1084.5899999999999</v>
      </c>
      <c r="BJ117">
        <v>1.4016500000000001</v>
      </c>
      <c r="BK117">
        <v>-335.67200000000003</v>
      </c>
      <c r="BL117">
        <v>475.99</v>
      </c>
      <c r="BM117">
        <v>802.22699999999998</v>
      </c>
      <c r="BN117">
        <v>21.611899999999999</v>
      </c>
      <c r="BO117">
        <v>800.13199999999995</v>
      </c>
      <c r="BP117">
        <v>2.6116999999999999</v>
      </c>
      <c r="BQ117">
        <v>2.3910100000000001</v>
      </c>
      <c r="BR117">
        <v>0.25779000000000002</v>
      </c>
      <c r="BS117">
        <v>20.303000000000001</v>
      </c>
      <c r="BT117">
        <v>-11.377000000000001</v>
      </c>
      <c r="BU117">
        <v>1800</v>
      </c>
      <c r="BV117">
        <v>0.91000099999999995</v>
      </c>
      <c r="BW117">
        <v>3.3993900000000001E-2</v>
      </c>
      <c r="BX117">
        <v>2.2001E-2</v>
      </c>
      <c r="BY117">
        <v>3.4004199999999998E-2</v>
      </c>
      <c r="BZ117">
        <v>25</v>
      </c>
      <c r="CA117">
        <v>33528.300000000003</v>
      </c>
      <c r="CB117">
        <v>1690373417</v>
      </c>
      <c r="CC117" t="s">
        <v>332</v>
      </c>
      <c r="CD117">
        <v>1690373417</v>
      </c>
      <c r="CE117">
        <v>1690373415</v>
      </c>
      <c r="CF117">
        <v>1</v>
      </c>
      <c r="CG117">
        <v>-1.319</v>
      </c>
      <c r="CH117">
        <v>0.01</v>
      </c>
      <c r="CI117">
        <v>-1.371</v>
      </c>
      <c r="CJ117">
        <v>0.183</v>
      </c>
      <c r="CK117">
        <v>800</v>
      </c>
      <c r="CL117">
        <v>21</v>
      </c>
      <c r="CM117">
        <v>0.09</v>
      </c>
      <c r="CN117">
        <v>7.0000000000000007E-2</v>
      </c>
      <c r="CO117">
        <v>-332.82885365853662</v>
      </c>
      <c r="CP117">
        <v>-14.540655052264579</v>
      </c>
      <c r="CQ117">
        <v>1.435653952478483</v>
      </c>
      <c r="CR117">
        <v>-1</v>
      </c>
      <c r="CS117">
        <v>21.32828536585366</v>
      </c>
      <c r="CT117">
        <v>1.4922397212543479</v>
      </c>
      <c r="CU117">
        <v>0.14714564306715491</v>
      </c>
      <c r="CV117">
        <v>-1</v>
      </c>
      <c r="CW117">
        <v>0</v>
      </c>
      <c r="CX117">
        <v>0</v>
      </c>
      <c r="CY117" t="s">
        <v>333</v>
      </c>
      <c r="CZ117">
        <v>2.3656700000000002</v>
      </c>
      <c r="DA117">
        <v>2.7138900000000001</v>
      </c>
      <c r="DB117">
        <v>0.100164</v>
      </c>
      <c r="DC117">
        <v>0.14579900000000001</v>
      </c>
      <c r="DD117">
        <v>0.11448899999999999</v>
      </c>
      <c r="DE117">
        <v>1.9379E-2</v>
      </c>
      <c r="DF117">
        <v>32868.300000000003</v>
      </c>
      <c r="DG117">
        <v>27511.1</v>
      </c>
      <c r="DH117">
        <v>31179.8</v>
      </c>
      <c r="DI117">
        <v>28061.1</v>
      </c>
      <c r="DJ117">
        <v>37473.9</v>
      </c>
      <c r="DK117">
        <v>39113.1</v>
      </c>
      <c r="DL117">
        <v>44367.6</v>
      </c>
      <c r="DM117">
        <v>42506.6</v>
      </c>
      <c r="DN117">
        <v>1.48315</v>
      </c>
      <c r="DO117">
        <v>2.07023</v>
      </c>
      <c r="DP117">
        <v>0.117868</v>
      </c>
      <c r="DQ117">
        <v>0.179149</v>
      </c>
      <c r="DR117">
        <v>25.0594</v>
      </c>
      <c r="DS117">
        <v>24.992000000000001</v>
      </c>
      <c r="DT117">
        <v>57.4</v>
      </c>
      <c r="DU117">
        <v>24.7</v>
      </c>
      <c r="DV117">
        <v>18.162500000000001</v>
      </c>
      <c r="DW117">
        <v>61.5501</v>
      </c>
      <c r="DX117">
        <v>36.534500000000001</v>
      </c>
      <c r="DY117">
        <v>1</v>
      </c>
      <c r="DZ117">
        <v>-0.166959</v>
      </c>
      <c r="EA117">
        <v>-0.80763300000000005</v>
      </c>
      <c r="EB117">
        <v>20.189</v>
      </c>
      <c r="EC117">
        <v>5.2409499999999998</v>
      </c>
      <c r="ED117">
        <v>12.039899999999999</v>
      </c>
      <c r="EE117">
        <v>5.0172999999999996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1.8687499999999999</v>
      </c>
      <c r="EL117">
        <v>1.86442</v>
      </c>
      <c r="EM117">
        <v>1.86907</v>
      </c>
      <c r="EN117">
        <v>1.8670800000000001</v>
      </c>
      <c r="EO117">
        <v>1.8632500000000001</v>
      </c>
      <c r="EP117">
        <v>1.8642099999999999</v>
      </c>
      <c r="EQ117">
        <v>1.8700399999999999</v>
      </c>
      <c r="ER117">
        <v>1.8692299999999999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-1.135</v>
      </c>
      <c r="FG117">
        <v>0.18279999999999999</v>
      </c>
      <c r="FH117">
        <v>-0.81947142863283695</v>
      </c>
      <c r="FI117">
        <v>-6.1462078757559423E-4</v>
      </c>
      <c r="FJ117">
        <v>-1.8861989874597051E-7</v>
      </c>
      <c r="FK117">
        <v>1.1980462299894961E-10</v>
      </c>
      <c r="FL117">
        <v>0.18283500000000069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24.5</v>
      </c>
      <c r="FU117">
        <v>24.5</v>
      </c>
      <c r="FV117">
        <v>1.7651399999999999</v>
      </c>
      <c r="FW117">
        <v>2.5561500000000001</v>
      </c>
      <c r="FX117">
        <v>1.5490699999999999</v>
      </c>
      <c r="FY117">
        <v>2.34375</v>
      </c>
      <c r="FZ117">
        <v>1.50146</v>
      </c>
      <c r="GA117">
        <v>2.31934</v>
      </c>
      <c r="GB117">
        <v>30.393899999999999</v>
      </c>
      <c r="GC117">
        <v>23.982399999999998</v>
      </c>
      <c r="GD117">
        <v>19</v>
      </c>
      <c r="GE117">
        <v>281.81799999999998</v>
      </c>
      <c r="GF117">
        <v>600.74400000000003</v>
      </c>
      <c r="GG117">
        <v>25.7805</v>
      </c>
      <c r="GH117">
        <v>25.3278</v>
      </c>
      <c r="GI117">
        <v>30</v>
      </c>
      <c r="GJ117">
        <v>25.449400000000001</v>
      </c>
      <c r="GK117">
        <v>25.4192</v>
      </c>
      <c r="GL117">
        <v>35.292000000000002</v>
      </c>
      <c r="GM117">
        <v>83.458600000000004</v>
      </c>
      <c r="GN117">
        <v>59.638100000000001</v>
      </c>
      <c r="GO117">
        <v>25.7867</v>
      </c>
      <c r="GP117">
        <v>800</v>
      </c>
      <c r="GQ117">
        <v>2.3879999999999999</v>
      </c>
      <c r="GR117">
        <v>99.756600000000006</v>
      </c>
      <c r="GS117">
        <v>99.460400000000007</v>
      </c>
    </row>
    <row r="118" spans="1:201" x14ac:dyDescent="0.25">
      <c r="A118">
        <v>102</v>
      </c>
      <c r="B118">
        <v>1690374896.0999999</v>
      </c>
      <c r="C118">
        <v>1076.599999904633</v>
      </c>
      <c r="D118" t="s">
        <v>537</v>
      </c>
      <c r="E118" t="s">
        <v>538</v>
      </c>
      <c r="F118" t="s">
        <v>330</v>
      </c>
      <c r="H118">
        <v>1690374896.0999999</v>
      </c>
      <c r="I118">
        <f t="shared" si="30"/>
        <v>2.2405862112931819E-3</v>
      </c>
      <c r="J118">
        <f t="shared" si="31"/>
        <v>2.240586211293182</v>
      </c>
      <c r="K118">
        <f t="shared" si="32"/>
        <v>32.791924388899695</v>
      </c>
      <c r="L118">
        <f t="shared" si="33"/>
        <v>462.02300000000002</v>
      </c>
      <c r="M118">
        <f t="shared" si="34"/>
        <v>120.9052871136703</v>
      </c>
      <c r="N118">
        <f t="shared" si="35"/>
        <v>11.946133219641194</v>
      </c>
      <c r="O118">
        <f t="shared" si="36"/>
        <v>45.650512399421999</v>
      </c>
      <c r="P118">
        <f t="shared" si="37"/>
        <v>0.16225327065863501</v>
      </c>
      <c r="Q118">
        <f t="shared" si="38"/>
        <v>2.2441526716827198</v>
      </c>
      <c r="R118">
        <f t="shared" si="39"/>
        <v>0.15600647947206708</v>
      </c>
      <c r="S118">
        <f t="shared" si="40"/>
        <v>9.8045260233039694E-2</v>
      </c>
      <c r="T118">
        <f t="shared" si="41"/>
        <v>276.11221329843056</v>
      </c>
      <c r="U118">
        <f t="shared" si="42"/>
        <v>27.88073916068679</v>
      </c>
      <c r="V118">
        <f t="shared" si="43"/>
        <v>27.88073916068679</v>
      </c>
      <c r="W118">
        <f t="shared" si="44"/>
        <v>3.768535947961027</v>
      </c>
      <c r="X118">
        <f t="shared" si="45"/>
        <v>68.700907655981482</v>
      </c>
      <c r="Y118">
        <f t="shared" si="46"/>
        <v>2.3937265107924</v>
      </c>
      <c r="Z118">
        <f t="shared" si="47"/>
        <v>3.4842720314248843</v>
      </c>
      <c r="AA118">
        <f t="shared" si="48"/>
        <v>1.374809437168627</v>
      </c>
      <c r="AB118">
        <f t="shared" si="49"/>
        <v>-98.809851918029324</v>
      </c>
      <c r="AC118">
        <f t="shared" si="50"/>
        <v>-161.81242919151251</v>
      </c>
      <c r="AD118">
        <f t="shared" si="51"/>
        <v>-15.593983473993223</v>
      </c>
      <c r="AE118">
        <f t="shared" si="52"/>
        <v>-0.10405128510447526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52074.809627708404</v>
      </c>
      <c r="AK118">
        <f t="shared" si="56"/>
        <v>1799.98</v>
      </c>
      <c r="AL118">
        <f t="shared" si="57"/>
        <v>1499.0978037726597</v>
      </c>
      <c r="AM118">
        <f t="shared" si="58"/>
        <v>0.83284136699999989</v>
      </c>
      <c r="AN118">
        <f t="shared" si="59"/>
        <v>0.15339737846999998</v>
      </c>
      <c r="AO118">
        <v>30</v>
      </c>
      <c r="AP118">
        <v>0.5</v>
      </c>
      <c r="AQ118" t="s">
        <v>331</v>
      </c>
      <c r="AR118">
        <v>2</v>
      </c>
      <c r="AS118">
        <v>1690374896.0999999</v>
      </c>
      <c r="AT118">
        <v>462.02300000000002</v>
      </c>
      <c r="AU118">
        <v>800.15</v>
      </c>
      <c r="AV118">
        <v>24.226600000000001</v>
      </c>
      <c r="AW118">
        <v>2.3728799999999999</v>
      </c>
      <c r="AX118">
        <v>463.15499999999997</v>
      </c>
      <c r="AY118">
        <v>24.043800000000001</v>
      </c>
      <c r="AZ118">
        <v>300.12799999999999</v>
      </c>
      <c r="BA118">
        <v>98.705699999999993</v>
      </c>
      <c r="BB118">
        <v>0.10001400000000001</v>
      </c>
      <c r="BC118">
        <v>26.543299999999999</v>
      </c>
      <c r="BD118">
        <v>26.993300000000001</v>
      </c>
      <c r="BE118">
        <v>27.930399999999999</v>
      </c>
      <c r="BF118">
        <v>0</v>
      </c>
      <c r="BG118">
        <v>0</v>
      </c>
      <c r="BH118">
        <v>9960.6200000000008</v>
      </c>
      <c r="BI118">
        <v>1084.5999999999999</v>
      </c>
      <c r="BJ118">
        <v>1.4016500000000001</v>
      </c>
      <c r="BK118">
        <v>-338.12799999999999</v>
      </c>
      <c r="BL118">
        <v>473.49400000000003</v>
      </c>
      <c r="BM118">
        <v>802.053</v>
      </c>
      <c r="BN118">
        <v>21.8538</v>
      </c>
      <c r="BO118">
        <v>800.15</v>
      </c>
      <c r="BP118">
        <v>2.3728799999999999</v>
      </c>
      <c r="BQ118">
        <v>2.3913099999999998</v>
      </c>
      <c r="BR118">
        <v>0.23421700000000001</v>
      </c>
      <c r="BS118">
        <v>20.305</v>
      </c>
      <c r="BT118">
        <v>-12.5694</v>
      </c>
      <c r="BU118">
        <v>1799.98</v>
      </c>
      <c r="BV118">
        <v>0.91000700000000001</v>
      </c>
      <c r="BW118">
        <v>3.3991800000000003E-2</v>
      </c>
      <c r="BX118">
        <v>2.1999600000000001E-2</v>
      </c>
      <c r="BY118">
        <v>3.40021E-2</v>
      </c>
      <c r="BZ118">
        <v>25</v>
      </c>
      <c r="CA118">
        <v>33528.199999999997</v>
      </c>
      <c r="CB118">
        <v>1690373417</v>
      </c>
      <c r="CC118" t="s">
        <v>332</v>
      </c>
      <c r="CD118">
        <v>1690373417</v>
      </c>
      <c r="CE118">
        <v>1690373415</v>
      </c>
      <c r="CF118">
        <v>1</v>
      </c>
      <c r="CG118">
        <v>-1.319</v>
      </c>
      <c r="CH118">
        <v>0.01</v>
      </c>
      <c r="CI118">
        <v>-1.371</v>
      </c>
      <c r="CJ118">
        <v>0.183</v>
      </c>
      <c r="CK118">
        <v>800</v>
      </c>
      <c r="CL118">
        <v>21</v>
      </c>
      <c r="CM118">
        <v>0.09</v>
      </c>
      <c r="CN118">
        <v>7.0000000000000007E-2</v>
      </c>
      <c r="CO118">
        <v>-335.24953658536577</v>
      </c>
      <c r="CP118">
        <v>-14.75023693379813</v>
      </c>
      <c r="CQ118">
        <v>1.4559485902469229</v>
      </c>
      <c r="CR118">
        <v>-1</v>
      </c>
      <c r="CS118">
        <v>21.573921951219511</v>
      </c>
      <c r="CT118">
        <v>1.463404181184681</v>
      </c>
      <c r="CU118">
        <v>0.14430692310048529</v>
      </c>
      <c r="CV118">
        <v>-1</v>
      </c>
      <c r="CW118">
        <v>0</v>
      </c>
      <c r="CX118">
        <v>0</v>
      </c>
      <c r="CY118" t="s">
        <v>333</v>
      </c>
      <c r="CZ118">
        <v>2.36537</v>
      </c>
      <c r="DA118">
        <v>2.7137699999999998</v>
      </c>
      <c r="DB118">
        <v>9.9774399999999999E-2</v>
      </c>
      <c r="DC118">
        <v>0.14579700000000001</v>
      </c>
      <c r="DD118">
        <v>0.114499</v>
      </c>
      <c r="DE118">
        <v>1.7790799999999999E-2</v>
      </c>
      <c r="DF118">
        <v>32882.199999999997</v>
      </c>
      <c r="DG118">
        <v>27511.599999999999</v>
      </c>
      <c r="DH118">
        <v>31179.5</v>
      </c>
      <c r="DI118">
        <v>28061.5</v>
      </c>
      <c r="DJ118">
        <v>37473.199999999997</v>
      </c>
      <c r="DK118">
        <v>39177.199999999997</v>
      </c>
      <c r="DL118">
        <v>44367.3</v>
      </c>
      <c r="DM118">
        <v>42507.199999999997</v>
      </c>
      <c r="DN118">
        <v>1.48315</v>
      </c>
      <c r="DO118">
        <v>2.07002</v>
      </c>
      <c r="DP118">
        <v>0.11806899999999999</v>
      </c>
      <c r="DQ118">
        <v>0.17932100000000001</v>
      </c>
      <c r="DR118">
        <v>25.0594</v>
      </c>
      <c r="DS118">
        <v>24.995200000000001</v>
      </c>
      <c r="DT118">
        <v>57</v>
      </c>
      <c r="DU118">
        <v>24.8</v>
      </c>
      <c r="DV118">
        <v>18.144300000000001</v>
      </c>
      <c r="DW118">
        <v>61.930100000000003</v>
      </c>
      <c r="DX118">
        <v>37.548099999999998</v>
      </c>
      <c r="DY118">
        <v>1</v>
      </c>
      <c r="DZ118">
        <v>-0.16705300000000001</v>
      </c>
      <c r="EA118">
        <v>-0.82287900000000003</v>
      </c>
      <c r="EB118">
        <v>20.189</v>
      </c>
      <c r="EC118">
        <v>5.2409499999999998</v>
      </c>
      <c r="ED118">
        <v>12.039899999999999</v>
      </c>
      <c r="EE118">
        <v>5.0174500000000002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1.8687400000000001</v>
      </c>
      <c r="EL118">
        <v>1.8643799999999999</v>
      </c>
      <c r="EM118">
        <v>1.8690599999999999</v>
      </c>
      <c r="EN118">
        <v>1.8670800000000001</v>
      </c>
      <c r="EO118">
        <v>1.86324</v>
      </c>
      <c r="EP118">
        <v>1.86422</v>
      </c>
      <c r="EQ118">
        <v>1.8700300000000001</v>
      </c>
      <c r="ER118">
        <v>1.8692200000000001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-1.1319999999999999</v>
      </c>
      <c r="FG118">
        <v>0.18279999999999999</v>
      </c>
      <c r="FH118">
        <v>-0.81947142863283695</v>
      </c>
      <c r="FI118">
        <v>-6.1462078757559423E-4</v>
      </c>
      <c r="FJ118">
        <v>-1.8861989874597051E-7</v>
      </c>
      <c r="FK118">
        <v>1.1980462299894961E-10</v>
      </c>
      <c r="FL118">
        <v>0.18283500000000069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24.7</v>
      </c>
      <c r="FU118">
        <v>24.7</v>
      </c>
      <c r="FV118">
        <v>1.7651399999999999</v>
      </c>
      <c r="FW118">
        <v>2.5549300000000001</v>
      </c>
      <c r="FX118">
        <v>1.5490699999999999</v>
      </c>
      <c r="FY118">
        <v>2.34375</v>
      </c>
      <c r="FZ118">
        <v>1.50146</v>
      </c>
      <c r="GA118">
        <v>2.2900399999999999</v>
      </c>
      <c r="GB118">
        <v>30.393899999999999</v>
      </c>
      <c r="GC118">
        <v>23.991199999999999</v>
      </c>
      <c r="GD118">
        <v>19</v>
      </c>
      <c r="GE118">
        <v>281.81799999999998</v>
      </c>
      <c r="GF118">
        <v>600.56799999999998</v>
      </c>
      <c r="GG118">
        <v>25.799399999999999</v>
      </c>
      <c r="GH118">
        <v>25.325600000000001</v>
      </c>
      <c r="GI118">
        <v>30</v>
      </c>
      <c r="GJ118">
        <v>25.449400000000001</v>
      </c>
      <c r="GK118">
        <v>25.418600000000001</v>
      </c>
      <c r="GL118">
        <v>35.287199999999999</v>
      </c>
      <c r="GM118">
        <v>84.731999999999999</v>
      </c>
      <c r="GN118">
        <v>58.8035</v>
      </c>
      <c r="GO118">
        <v>25.799499999999998</v>
      </c>
      <c r="GP118">
        <v>800</v>
      </c>
      <c r="GQ118">
        <v>2.13652</v>
      </c>
      <c r="GR118">
        <v>99.755799999999994</v>
      </c>
      <c r="GS118">
        <v>99.461699999999993</v>
      </c>
    </row>
    <row r="119" spans="1:201" x14ac:dyDescent="0.25">
      <c r="A119">
        <v>103</v>
      </c>
      <c r="B119">
        <v>1690374906.0999999</v>
      </c>
      <c r="C119">
        <v>1086.599999904633</v>
      </c>
      <c r="D119" t="s">
        <v>539</v>
      </c>
      <c r="E119" t="s">
        <v>540</v>
      </c>
      <c r="F119" t="s">
        <v>330</v>
      </c>
      <c r="H119">
        <v>1690374906.0999999</v>
      </c>
      <c r="I119">
        <f t="shared" si="30"/>
        <v>2.2656873267755673E-3</v>
      </c>
      <c r="J119">
        <f t="shared" si="31"/>
        <v>2.2656873267755673</v>
      </c>
      <c r="K119">
        <f t="shared" si="32"/>
        <v>32.994441368271055</v>
      </c>
      <c r="L119">
        <f t="shared" si="33"/>
        <v>459.66500000000002</v>
      </c>
      <c r="M119">
        <f t="shared" si="34"/>
        <v>120.89143865094439</v>
      </c>
      <c r="N119">
        <f t="shared" si="35"/>
        <v>11.945097242958608</v>
      </c>
      <c r="O119">
        <f t="shared" si="36"/>
        <v>45.418792144895001</v>
      </c>
      <c r="P119">
        <f t="shared" si="37"/>
        <v>0.16445463303775387</v>
      </c>
      <c r="Q119">
        <f t="shared" si="38"/>
        <v>2.2470125833092167</v>
      </c>
      <c r="R119">
        <f t="shared" si="39"/>
        <v>0.15804861061274444</v>
      </c>
      <c r="S119">
        <f t="shared" si="40"/>
        <v>9.9335145626556917E-2</v>
      </c>
      <c r="T119">
        <f t="shared" si="41"/>
        <v>276.11509545000001</v>
      </c>
      <c r="U119">
        <f t="shared" si="42"/>
        <v>27.871466092290056</v>
      </c>
      <c r="V119">
        <f t="shared" si="43"/>
        <v>27.871466092290056</v>
      </c>
      <c r="W119">
        <f t="shared" si="44"/>
        <v>3.766497395921184</v>
      </c>
      <c r="X119">
        <f t="shared" si="45"/>
        <v>68.712016337257651</v>
      </c>
      <c r="Y119">
        <f t="shared" si="46"/>
        <v>2.3941982244141</v>
      </c>
      <c r="Z119">
        <f t="shared" si="47"/>
        <v>3.4843952368719764</v>
      </c>
      <c r="AA119">
        <f t="shared" si="48"/>
        <v>1.372299171507084</v>
      </c>
      <c r="AB119">
        <f t="shared" si="49"/>
        <v>-99.916811110802513</v>
      </c>
      <c r="AC119">
        <f t="shared" si="50"/>
        <v>-160.82260750684117</v>
      </c>
      <c r="AD119">
        <f t="shared" si="51"/>
        <v>-15.478195719202366</v>
      </c>
      <c r="AE119">
        <f t="shared" si="52"/>
        <v>-0.1025188868460134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52185.920914790477</v>
      </c>
      <c r="AK119">
        <f t="shared" si="56"/>
        <v>1800</v>
      </c>
      <c r="AL119">
        <f t="shared" si="57"/>
        <v>1499.1116939999999</v>
      </c>
      <c r="AM119">
        <f t="shared" si="58"/>
        <v>0.83283982999999995</v>
      </c>
      <c r="AN119">
        <f t="shared" si="59"/>
        <v>0.15339727524999999</v>
      </c>
      <c r="AO119">
        <v>30</v>
      </c>
      <c r="AP119">
        <v>0.5</v>
      </c>
      <c r="AQ119" t="s">
        <v>331</v>
      </c>
      <c r="AR119">
        <v>2</v>
      </c>
      <c r="AS119">
        <v>1690374906.0999999</v>
      </c>
      <c r="AT119">
        <v>459.66500000000002</v>
      </c>
      <c r="AU119">
        <v>799.96500000000003</v>
      </c>
      <c r="AV119">
        <v>24.230699999999999</v>
      </c>
      <c r="AW119">
        <v>2.1266500000000002</v>
      </c>
      <c r="AX119">
        <v>460.79599999999999</v>
      </c>
      <c r="AY119">
        <v>24.047799999999999</v>
      </c>
      <c r="AZ119">
        <v>300.05200000000002</v>
      </c>
      <c r="BA119">
        <v>98.708399999999997</v>
      </c>
      <c r="BB119">
        <v>0.100063</v>
      </c>
      <c r="BC119">
        <v>26.543900000000001</v>
      </c>
      <c r="BD119">
        <v>26.997800000000002</v>
      </c>
      <c r="BE119">
        <v>27.914100000000001</v>
      </c>
      <c r="BF119">
        <v>0</v>
      </c>
      <c r="BG119">
        <v>0</v>
      </c>
      <c r="BH119">
        <v>9982.5</v>
      </c>
      <c r="BI119">
        <v>1084.78</v>
      </c>
      <c r="BJ119">
        <v>1.4016500000000001</v>
      </c>
      <c r="BK119">
        <v>-340.29899999999998</v>
      </c>
      <c r="BL119">
        <v>471.08</v>
      </c>
      <c r="BM119">
        <v>801.66899999999998</v>
      </c>
      <c r="BN119">
        <v>22.103999999999999</v>
      </c>
      <c r="BO119">
        <v>799.96500000000003</v>
      </c>
      <c r="BP119">
        <v>2.1266500000000002</v>
      </c>
      <c r="BQ119">
        <v>2.3917700000000002</v>
      </c>
      <c r="BR119">
        <v>0.20991799999999999</v>
      </c>
      <c r="BS119">
        <v>20.308199999999999</v>
      </c>
      <c r="BT119">
        <v>-13.9163</v>
      </c>
      <c r="BU119">
        <v>1800</v>
      </c>
      <c r="BV119">
        <v>0.91000099999999995</v>
      </c>
      <c r="BW119">
        <v>3.4000099999999998E-2</v>
      </c>
      <c r="BX119">
        <v>2.1998500000000001E-2</v>
      </c>
      <c r="BY119">
        <v>3.4000299999999997E-2</v>
      </c>
      <c r="BZ119">
        <v>25</v>
      </c>
      <c r="CA119">
        <v>33528.400000000001</v>
      </c>
      <c r="CB119">
        <v>1690373417</v>
      </c>
      <c r="CC119" t="s">
        <v>332</v>
      </c>
      <c r="CD119">
        <v>1690373417</v>
      </c>
      <c r="CE119">
        <v>1690373415</v>
      </c>
      <c r="CF119">
        <v>1</v>
      </c>
      <c r="CG119">
        <v>-1.319</v>
      </c>
      <c r="CH119">
        <v>0.01</v>
      </c>
      <c r="CI119">
        <v>-1.371</v>
      </c>
      <c r="CJ119">
        <v>0.183</v>
      </c>
      <c r="CK119">
        <v>800</v>
      </c>
      <c r="CL119">
        <v>21</v>
      </c>
      <c r="CM119">
        <v>0.09</v>
      </c>
      <c r="CN119">
        <v>7.0000000000000007E-2</v>
      </c>
      <c r="CO119">
        <v>-337.83929999999998</v>
      </c>
      <c r="CP119">
        <v>-14.046889305814879</v>
      </c>
      <c r="CQ119">
        <v>1.352303242619793</v>
      </c>
      <c r="CR119">
        <v>-1</v>
      </c>
      <c r="CS119">
        <v>21.836767500000001</v>
      </c>
      <c r="CT119">
        <v>1.477930581613458</v>
      </c>
      <c r="CU119">
        <v>0.1421853831930345</v>
      </c>
      <c r="CV119">
        <v>-1</v>
      </c>
      <c r="CW119">
        <v>0</v>
      </c>
      <c r="CX119">
        <v>0</v>
      </c>
      <c r="CY119" t="s">
        <v>333</v>
      </c>
      <c r="CZ119">
        <v>2.3651599999999999</v>
      </c>
      <c r="DA119">
        <v>2.7138399999999998</v>
      </c>
      <c r="DB119">
        <v>9.9400199999999994E-2</v>
      </c>
      <c r="DC119">
        <v>0.14577399999999999</v>
      </c>
      <c r="DD119">
        <v>0.11451600000000001</v>
      </c>
      <c r="DE119">
        <v>1.6122399999999999E-2</v>
      </c>
      <c r="DF119">
        <v>32896.199999999997</v>
      </c>
      <c r="DG119">
        <v>27512.400000000001</v>
      </c>
      <c r="DH119">
        <v>31179.9</v>
      </c>
      <c r="DI119">
        <v>28061.599999999999</v>
      </c>
      <c r="DJ119">
        <v>37472.800000000003</v>
      </c>
      <c r="DK119">
        <v>39244</v>
      </c>
      <c r="DL119">
        <v>44367.8</v>
      </c>
      <c r="DM119">
        <v>42507.3</v>
      </c>
      <c r="DN119">
        <v>1.48325</v>
      </c>
      <c r="DO119">
        <v>2.0695299999999999</v>
      </c>
      <c r="DP119">
        <v>0.118211</v>
      </c>
      <c r="DQ119">
        <v>0.178032</v>
      </c>
      <c r="DR119">
        <v>25.061499999999999</v>
      </c>
      <c r="DS119">
        <v>24.9999</v>
      </c>
      <c r="DT119">
        <v>56.6</v>
      </c>
      <c r="DU119">
        <v>24.8</v>
      </c>
      <c r="DV119">
        <v>18.017199999999999</v>
      </c>
      <c r="DW119">
        <v>61.950099999999999</v>
      </c>
      <c r="DX119">
        <v>37.548099999999998</v>
      </c>
      <c r="DY119">
        <v>1</v>
      </c>
      <c r="DZ119">
        <v>-0.16739599999999999</v>
      </c>
      <c r="EA119">
        <v>-0.80717899999999998</v>
      </c>
      <c r="EB119">
        <v>20.1889</v>
      </c>
      <c r="EC119">
        <v>5.2408000000000001</v>
      </c>
      <c r="ED119">
        <v>12.039899999999999</v>
      </c>
      <c r="EE119">
        <v>5.0172499999999998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1.8687400000000001</v>
      </c>
      <c r="EL119">
        <v>1.86443</v>
      </c>
      <c r="EM119">
        <v>1.8690599999999999</v>
      </c>
      <c r="EN119">
        <v>1.86707</v>
      </c>
      <c r="EO119">
        <v>1.8632500000000001</v>
      </c>
      <c r="EP119">
        <v>1.8642000000000001</v>
      </c>
      <c r="EQ119">
        <v>1.8700300000000001</v>
      </c>
      <c r="ER119">
        <v>1.86924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-1.131</v>
      </c>
      <c r="FG119">
        <v>0.18290000000000001</v>
      </c>
      <c r="FH119">
        <v>-0.81947142863283695</v>
      </c>
      <c r="FI119">
        <v>-6.1462078757559423E-4</v>
      </c>
      <c r="FJ119">
        <v>-1.8861989874597051E-7</v>
      </c>
      <c r="FK119">
        <v>1.1980462299894961E-10</v>
      </c>
      <c r="FL119">
        <v>0.18283500000000069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24.8</v>
      </c>
      <c r="FU119">
        <v>24.9</v>
      </c>
      <c r="FV119">
        <v>1.7651399999999999</v>
      </c>
      <c r="FW119">
        <v>2.5537100000000001</v>
      </c>
      <c r="FX119">
        <v>1.5490699999999999</v>
      </c>
      <c r="FY119">
        <v>2.34375</v>
      </c>
      <c r="FZ119">
        <v>1.50146</v>
      </c>
      <c r="GA119">
        <v>2.3327599999999999</v>
      </c>
      <c r="GB119">
        <v>30.415400000000002</v>
      </c>
      <c r="GC119">
        <v>23.991199999999999</v>
      </c>
      <c r="GD119">
        <v>19</v>
      </c>
      <c r="GE119">
        <v>281.851</v>
      </c>
      <c r="GF119">
        <v>600.12900000000002</v>
      </c>
      <c r="GG119">
        <v>25.8065</v>
      </c>
      <c r="GH119">
        <v>25.325600000000001</v>
      </c>
      <c r="GI119">
        <v>30.0001</v>
      </c>
      <c r="GJ119">
        <v>25.447199999999999</v>
      </c>
      <c r="GK119">
        <v>25.417000000000002</v>
      </c>
      <c r="GL119">
        <v>35.286900000000003</v>
      </c>
      <c r="GM119">
        <v>86.323899999999995</v>
      </c>
      <c r="GN119">
        <v>57.595999999999997</v>
      </c>
      <c r="GO119">
        <v>25.810500000000001</v>
      </c>
      <c r="GP119">
        <v>800</v>
      </c>
      <c r="GQ119">
        <v>1.88476</v>
      </c>
      <c r="GR119">
        <v>99.756900000000002</v>
      </c>
      <c r="GS119">
        <v>99.462000000000003</v>
      </c>
    </row>
    <row r="120" spans="1:201" x14ac:dyDescent="0.25">
      <c r="A120">
        <v>104</v>
      </c>
      <c r="B120">
        <v>1690374916.0999999</v>
      </c>
      <c r="C120">
        <v>1096.599999904633</v>
      </c>
      <c r="D120" t="s">
        <v>541</v>
      </c>
      <c r="E120" t="s">
        <v>542</v>
      </c>
      <c r="F120" t="s">
        <v>330</v>
      </c>
      <c r="H120">
        <v>1690374916.0999999</v>
      </c>
      <c r="I120">
        <f t="shared" si="30"/>
        <v>2.2904924446180736E-3</v>
      </c>
      <c r="J120">
        <f t="shared" si="31"/>
        <v>2.2904924446180734</v>
      </c>
      <c r="K120">
        <f t="shared" si="32"/>
        <v>33.233975986818393</v>
      </c>
      <c r="L120">
        <f t="shared" si="33"/>
        <v>457.31</v>
      </c>
      <c r="M120">
        <f t="shared" si="34"/>
        <v>119.9458809736595</v>
      </c>
      <c r="N120">
        <f t="shared" si="35"/>
        <v>11.851650594105852</v>
      </c>
      <c r="O120">
        <f t="shared" si="36"/>
        <v>45.186031310076999</v>
      </c>
      <c r="P120">
        <f t="shared" si="37"/>
        <v>0.16638978274655664</v>
      </c>
      <c r="Q120">
        <f t="shared" si="38"/>
        <v>2.2508773109319473</v>
      </c>
      <c r="R120">
        <f t="shared" si="39"/>
        <v>0.15984612206273949</v>
      </c>
      <c r="S120">
        <f t="shared" si="40"/>
        <v>0.10047030550146535</v>
      </c>
      <c r="T120">
        <f t="shared" si="41"/>
        <v>276.11368643255327</v>
      </c>
      <c r="U120">
        <f t="shared" si="42"/>
        <v>27.868037630644853</v>
      </c>
      <c r="V120">
        <f t="shared" si="43"/>
        <v>27.868037630644853</v>
      </c>
      <c r="W120">
        <f t="shared" si="44"/>
        <v>3.7657439411103484</v>
      </c>
      <c r="X120">
        <f t="shared" si="45"/>
        <v>68.678877930273472</v>
      </c>
      <c r="Y120">
        <f t="shared" si="46"/>
        <v>2.3940168244926299</v>
      </c>
      <c r="Z120">
        <f t="shared" si="47"/>
        <v>3.4858123729440744</v>
      </c>
      <c r="AA120">
        <f t="shared" si="48"/>
        <v>1.3717271166177185</v>
      </c>
      <c r="AB120">
        <f t="shared" si="49"/>
        <v>-101.01071680765705</v>
      </c>
      <c r="AC120">
        <f t="shared" si="50"/>
        <v>-159.84586123386865</v>
      </c>
      <c r="AD120">
        <f t="shared" si="51"/>
        <v>-15.358040614322375</v>
      </c>
      <c r="AE120">
        <f t="shared" si="52"/>
        <v>-0.1009322232947909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52335.13770555122</v>
      </c>
      <c r="AK120">
        <f t="shared" si="56"/>
        <v>1799.99</v>
      </c>
      <c r="AL120">
        <f t="shared" si="57"/>
        <v>1499.10195620953</v>
      </c>
      <c r="AM120">
        <f t="shared" si="58"/>
        <v>0.832839047</v>
      </c>
      <c r="AN120">
        <f t="shared" si="59"/>
        <v>0.15339734466999999</v>
      </c>
      <c r="AO120">
        <v>30</v>
      </c>
      <c r="AP120">
        <v>0.5</v>
      </c>
      <c r="AQ120" t="s">
        <v>331</v>
      </c>
      <c r="AR120">
        <v>2</v>
      </c>
      <c r="AS120">
        <v>1690374916.0999999</v>
      </c>
      <c r="AT120">
        <v>457.31</v>
      </c>
      <c r="AU120">
        <v>800.06500000000005</v>
      </c>
      <c r="AV120">
        <v>24.228899999999999</v>
      </c>
      <c r="AW120">
        <v>1.8828100000000001</v>
      </c>
      <c r="AX120">
        <v>458.43900000000002</v>
      </c>
      <c r="AY120">
        <v>24.045999999999999</v>
      </c>
      <c r="AZ120">
        <v>300.05200000000002</v>
      </c>
      <c r="BA120">
        <v>98.708399999999997</v>
      </c>
      <c r="BB120">
        <v>9.9916699999999997E-2</v>
      </c>
      <c r="BC120">
        <v>26.550799999999999</v>
      </c>
      <c r="BD120">
        <v>26.996200000000002</v>
      </c>
      <c r="BE120">
        <v>27.909300000000002</v>
      </c>
      <c r="BF120">
        <v>0</v>
      </c>
      <c r="BG120">
        <v>0</v>
      </c>
      <c r="BH120">
        <v>10012.5</v>
      </c>
      <c r="BI120">
        <v>1084.92</v>
      </c>
      <c r="BJ120">
        <v>1.4016500000000001</v>
      </c>
      <c r="BK120">
        <v>-342.755</v>
      </c>
      <c r="BL120">
        <v>468.66500000000002</v>
      </c>
      <c r="BM120">
        <v>801.57399999999996</v>
      </c>
      <c r="BN120">
        <v>22.346</v>
      </c>
      <c r="BO120">
        <v>800.06500000000005</v>
      </c>
      <c r="BP120">
        <v>1.8828100000000001</v>
      </c>
      <c r="BQ120">
        <v>2.3915899999999999</v>
      </c>
      <c r="BR120">
        <v>0.18584999999999999</v>
      </c>
      <c r="BS120">
        <v>20.306999999999999</v>
      </c>
      <c r="BT120">
        <v>-15.395200000000001</v>
      </c>
      <c r="BU120">
        <v>1799.99</v>
      </c>
      <c r="BV120">
        <v>0.909995</v>
      </c>
      <c r="BW120">
        <v>3.4008799999999999E-2</v>
      </c>
      <c r="BX120">
        <v>2.1997599999999999E-2</v>
      </c>
      <c r="BY120">
        <v>3.3998899999999999E-2</v>
      </c>
      <c r="BZ120">
        <v>25</v>
      </c>
      <c r="CA120">
        <v>33528.199999999997</v>
      </c>
      <c r="CB120">
        <v>1690373417</v>
      </c>
      <c r="CC120" t="s">
        <v>332</v>
      </c>
      <c r="CD120">
        <v>1690373417</v>
      </c>
      <c r="CE120">
        <v>1690373415</v>
      </c>
      <c r="CF120">
        <v>1</v>
      </c>
      <c r="CG120">
        <v>-1.319</v>
      </c>
      <c r="CH120">
        <v>0.01</v>
      </c>
      <c r="CI120">
        <v>-1.371</v>
      </c>
      <c r="CJ120">
        <v>0.183</v>
      </c>
      <c r="CK120">
        <v>800</v>
      </c>
      <c r="CL120">
        <v>21</v>
      </c>
      <c r="CM120">
        <v>0.09</v>
      </c>
      <c r="CN120">
        <v>7.0000000000000007E-2</v>
      </c>
      <c r="CO120">
        <v>-340.23145000000011</v>
      </c>
      <c r="CP120">
        <v>-14.418529080674491</v>
      </c>
      <c r="CQ120">
        <v>1.388615820700599</v>
      </c>
      <c r="CR120">
        <v>-1</v>
      </c>
      <c r="CS120">
        <v>22.0844375</v>
      </c>
      <c r="CT120">
        <v>1.489424015009386</v>
      </c>
      <c r="CU120">
        <v>0.14328903776545479</v>
      </c>
      <c r="CV120">
        <v>-1</v>
      </c>
      <c r="CW120">
        <v>0</v>
      </c>
      <c r="CX120">
        <v>0</v>
      </c>
      <c r="CY120" t="s">
        <v>333</v>
      </c>
      <c r="CZ120">
        <v>2.3651300000000002</v>
      </c>
      <c r="DA120">
        <v>2.7137199999999999</v>
      </c>
      <c r="DB120">
        <v>9.9022600000000002E-2</v>
      </c>
      <c r="DC120">
        <v>0.14578199999999999</v>
      </c>
      <c r="DD120">
        <v>0.11451</v>
      </c>
      <c r="DE120">
        <v>1.44362E-2</v>
      </c>
      <c r="DF120">
        <v>32910.1</v>
      </c>
      <c r="DG120">
        <v>27512.799999999999</v>
      </c>
      <c r="DH120">
        <v>31180</v>
      </c>
      <c r="DI120">
        <v>28062.3</v>
      </c>
      <c r="DJ120">
        <v>37473.199999999997</v>
      </c>
      <c r="DK120">
        <v>39312.300000000003</v>
      </c>
      <c r="DL120">
        <v>44368.1</v>
      </c>
      <c r="DM120">
        <v>42508.2</v>
      </c>
      <c r="DN120">
        <v>1.48325</v>
      </c>
      <c r="DO120">
        <v>2.0691000000000002</v>
      </c>
      <c r="DP120">
        <v>0.11798699999999999</v>
      </c>
      <c r="DQ120">
        <v>0.17751800000000001</v>
      </c>
      <c r="DR120">
        <v>25.063600000000001</v>
      </c>
      <c r="DS120">
        <v>25.003599999999999</v>
      </c>
      <c r="DT120">
        <v>56.2</v>
      </c>
      <c r="DU120">
        <v>24.8</v>
      </c>
      <c r="DV120">
        <v>17.8901</v>
      </c>
      <c r="DW120">
        <v>61.760100000000001</v>
      </c>
      <c r="DX120">
        <v>36.666699999999999</v>
      </c>
      <c r="DY120">
        <v>1</v>
      </c>
      <c r="DZ120">
        <v>-0.167383</v>
      </c>
      <c r="EA120">
        <v>-0.80962100000000004</v>
      </c>
      <c r="EB120">
        <v>20.188700000000001</v>
      </c>
      <c r="EC120">
        <v>5.2406499999999996</v>
      </c>
      <c r="ED120">
        <v>12.039899999999999</v>
      </c>
      <c r="EE120">
        <v>5.0171000000000001</v>
      </c>
      <c r="EF120">
        <v>3.2879700000000001</v>
      </c>
      <c r="EG120">
        <v>9999</v>
      </c>
      <c r="EH120">
        <v>9999</v>
      </c>
      <c r="EI120">
        <v>9999</v>
      </c>
      <c r="EJ120">
        <v>999.9</v>
      </c>
      <c r="EK120">
        <v>1.8687400000000001</v>
      </c>
      <c r="EL120">
        <v>1.86439</v>
      </c>
      <c r="EM120">
        <v>1.8690599999999999</v>
      </c>
      <c r="EN120">
        <v>1.86707</v>
      </c>
      <c r="EO120">
        <v>1.86324</v>
      </c>
      <c r="EP120">
        <v>1.8642000000000001</v>
      </c>
      <c r="EQ120">
        <v>1.8700300000000001</v>
      </c>
      <c r="ER120">
        <v>1.8692299999999999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-1.129</v>
      </c>
      <c r="FG120">
        <v>0.18290000000000001</v>
      </c>
      <c r="FH120">
        <v>-0.81947142863283695</v>
      </c>
      <c r="FI120">
        <v>-6.1462078757559423E-4</v>
      </c>
      <c r="FJ120">
        <v>-1.8861989874597051E-7</v>
      </c>
      <c r="FK120">
        <v>1.1980462299894961E-10</v>
      </c>
      <c r="FL120">
        <v>0.18283500000000069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25</v>
      </c>
      <c r="FU120">
        <v>25</v>
      </c>
      <c r="FV120">
        <v>1.7639199999999999</v>
      </c>
      <c r="FW120">
        <v>2.5537100000000001</v>
      </c>
      <c r="FX120">
        <v>1.5490699999999999</v>
      </c>
      <c r="FY120">
        <v>2.34375</v>
      </c>
      <c r="FZ120">
        <v>1.50146</v>
      </c>
      <c r="GA120">
        <v>2.36572</v>
      </c>
      <c r="GB120">
        <v>30.436900000000001</v>
      </c>
      <c r="GC120">
        <v>23.991199999999999</v>
      </c>
      <c r="GD120">
        <v>19</v>
      </c>
      <c r="GE120">
        <v>281.84100000000001</v>
      </c>
      <c r="GF120">
        <v>599.74699999999996</v>
      </c>
      <c r="GG120">
        <v>25.8157</v>
      </c>
      <c r="GH120">
        <v>25.323499999999999</v>
      </c>
      <c r="GI120">
        <v>30.0001</v>
      </c>
      <c r="GJ120">
        <v>25.4451</v>
      </c>
      <c r="GK120">
        <v>25.414999999999999</v>
      </c>
      <c r="GL120">
        <v>35.275599999999997</v>
      </c>
      <c r="GM120">
        <v>87.976699999999994</v>
      </c>
      <c r="GN120">
        <v>56.477600000000002</v>
      </c>
      <c r="GO120">
        <v>25.819400000000002</v>
      </c>
      <c r="GP120">
        <v>800</v>
      </c>
      <c r="GQ120">
        <v>1.72048</v>
      </c>
      <c r="GR120">
        <v>99.757499999999993</v>
      </c>
      <c r="GS120">
        <v>99.464299999999994</v>
      </c>
    </row>
    <row r="121" spans="1:201" x14ac:dyDescent="0.25">
      <c r="A121">
        <v>105</v>
      </c>
      <c r="B121">
        <v>1690374926.0999999</v>
      </c>
      <c r="C121">
        <v>1106.599999904633</v>
      </c>
      <c r="D121" t="s">
        <v>543</v>
      </c>
      <c r="E121" t="s">
        <v>544</v>
      </c>
      <c r="F121" t="s">
        <v>330</v>
      </c>
      <c r="H121">
        <v>1690374926.0999999</v>
      </c>
      <c r="I121">
        <f t="shared" si="30"/>
        <v>2.3099430658535644E-3</v>
      </c>
      <c r="J121">
        <f t="shared" si="31"/>
        <v>2.3099430658535645</v>
      </c>
      <c r="K121">
        <f t="shared" si="32"/>
        <v>33.473684579468248</v>
      </c>
      <c r="L121">
        <f t="shared" si="33"/>
        <v>455.03100000000001</v>
      </c>
      <c r="M121">
        <f t="shared" si="34"/>
        <v>118.23925441059983</v>
      </c>
      <c r="N121">
        <f t="shared" si="35"/>
        <v>11.682986969305398</v>
      </c>
      <c r="O121">
        <f t="shared" si="36"/>
        <v>44.960713513712996</v>
      </c>
      <c r="P121">
        <f t="shared" si="37"/>
        <v>0.16791459284011956</v>
      </c>
      <c r="Q121">
        <f t="shared" si="38"/>
        <v>2.2483765716693931</v>
      </c>
      <c r="R121">
        <f t="shared" si="39"/>
        <v>0.16124593843644763</v>
      </c>
      <c r="S121">
        <f t="shared" si="40"/>
        <v>0.10135579583236833</v>
      </c>
      <c r="T121">
        <f t="shared" si="41"/>
        <v>276.11345063386329</v>
      </c>
      <c r="U121">
        <f t="shared" si="42"/>
        <v>27.867508615052007</v>
      </c>
      <c r="V121">
        <f t="shared" si="43"/>
        <v>27.867508615052007</v>
      </c>
      <c r="W121">
        <f t="shared" si="44"/>
        <v>3.7656276938746691</v>
      </c>
      <c r="X121">
        <f t="shared" si="45"/>
        <v>68.667427293316024</v>
      </c>
      <c r="Y121">
        <f t="shared" si="46"/>
        <v>2.3942666093244998</v>
      </c>
      <c r="Z121">
        <f t="shared" si="47"/>
        <v>3.4867574098812262</v>
      </c>
      <c r="AA121">
        <f t="shared" si="48"/>
        <v>1.3713610845501694</v>
      </c>
      <c r="AB121">
        <f t="shared" si="49"/>
        <v>-101.86848920414219</v>
      </c>
      <c r="AC121">
        <f t="shared" si="50"/>
        <v>-159.04656050097745</v>
      </c>
      <c r="AD121">
        <f t="shared" si="51"/>
        <v>-15.298550598290362</v>
      </c>
      <c r="AE121">
        <f t="shared" si="52"/>
        <v>-0.10014966954670967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52236.968327016024</v>
      </c>
      <c r="AK121">
        <f t="shared" si="56"/>
        <v>1799.99</v>
      </c>
      <c r="AL121">
        <f t="shared" si="57"/>
        <v>1499.1022622078299</v>
      </c>
      <c r="AM121">
        <f t="shared" si="58"/>
        <v>0.83283921699999997</v>
      </c>
      <c r="AN121">
        <f t="shared" si="59"/>
        <v>0.15339721367</v>
      </c>
      <c r="AO121">
        <v>30</v>
      </c>
      <c r="AP121">
        <v>0.5</v>
      </c>
      <c r="AQ121" t="s">
        <v>331</v>
      </c>
      <c r="AR121">
        <v>2</v>
      </c>
      <c r="AS121">
        <v>1690374926.0999999</v>
      </c>
      <c r="AT121">
        <v>455.03100000000001</v>
      </c>
      <c r="AU121">
        <v>800.03499999999997</v>
      </c>
      <c r="AV121">
        <v>24.2315</v>
      </c>
      <c r="AW121">
        <v>1.7077199999999999</v>
      </c>
      <c r="AX121">
        <v>456.15899999999999</v>
      </c>
      <c r="AY121">
        <v>24.0487</v>
      </c>
      <c r="AZ121">
        <v>300.21199999999999</v>
      </c>
      <c r="BA121">
        <v>98.707999999999998</v>
      </c>
      <c r="BB121">
        <v>0.100023</v>
      </c>
      <c r="BC121">
        <v>26.555399999999999</v>
      </c>
      <c r="BD121">
        <v>26.997599999999998</v>
      </c>
      <c r="BE121">
        <v>27.907299999999999</v>
      </c>
      <c r="BF121">
        <v>0</v>
      </c>
      <c r="BG121">
        <v>0</v>
      </c>
      <c r="BH121">
        <v>9993.1200000000008</v>
      </c>
      <c r="BI121">
        <v>1085</v>
      </c>
      <c r="BJ121">
        <v>1.4016500000000001</v>
      </c>
      <c r="BK121">
        <v>-345.00299999999999</v>
      </c>
      <c r="BL121">
        <v>466.33100000000002</v>
      </c>
      <c r="BM121">
        <v>801.40300000000002</v>
      </c>
      <c r="BN121">
        <v>22.523800000000001</v>
      </c>
      <c r="BO121">
        <v>800.03499999999997</v>
      </c>
      <c r="BP121">
        <v>1.7077199999999999</v>
      </c>
      <c r="BQ121">
        <v>2.3918400000000002</v>
      </c>
      <c r="BR121">
        <v>0.16856599999999999</v>
      </c>
      <c r="BS121">
        <v>20.308700000000002</v>
      </c>
      <c r="BT121">
        <v>-16.566700000000001</v>
      </c>
      <c r="BU121">
        <v>1799.99</v>
      </c>
      <c r="BV121">
        <v>0.909999</v>
      </c>
      <c r="BW121">
        <v>3.4007200000000001E-2</v>
      </c>
      <c r="BX121">
        <v>2.1996600000000002E-2</v>
      </c>
      <c r="BY121">
        <v>3.3997300000000001E-2</v>
      </c>
      <c r="BZ121">
        <v>25</v>
      </c>
      <c r="CA121">
        <v>33528.300000000003</v>
      </c>
      <c r="CB121">
        <v>1690373417</v>
      </c>
      <c r="CC121" t="s">
        <v>332</v>
      </c>
      <c r="CD121">
        <v>1690373417</v>
      </c>
      <c r="CE121">
        <v>1690373415</v>
      </c>
      <c r="CF121">
        <v>1</v>
      </c>
      <c r="CG121">
        <v>-1.319</v>
      </c>
      <c r="CH121">
        <v>0.01</v>
      </c>
      <c r="CI121">
        <v>-1.371</v>
      </c>
      <c r="CJ121">
        <v>0.183</v>
      </c>
      <c r="CK121">
        <v>800</v>
      </c>
      <c r="CL121">
        <v>21</v>
      </c>
      <c r="CM121">
        <v>0.09</v>
      </c>
      <c r="CN121">
        <v>7.0000000000000007E-2</v>
      </c>
      <c r="CO121">
        <v>-342.38129268292693</v>
      </c>
      <c r="CP121">
        <v>-13.72609756097577</v>
      </c>
      <c r="CQ121">
        <v>1.3555372842422491</v>
      </c>
      <c r="CR121">
        <v>-1</v>
      </c>
      <c r="CS121">
        <v>22.300880487804879</v>
      </c>
      <c r="CT121">
        <v>1.3116815331010161</v>
      </c>
      <c r="CU121">
        <v>0.12978494072420921</v>
      </c>
      <c r="CV121">
        <v>-1</v>
      </c>
      <c r="CW121">
        <v>0</v>
      </c>
      <c r="CX121">
        <v>0</v>
      </c>
      <c r="CY121" t="s">
        <v>333</v>
      </c>
      <c r="CZ121">
        <v>2.3656899999999998</v>
      </c>
      <c r="DA121">
        <v>2.7138100000000001</v>
      </c>
      <c r="DB121">
        <v>9.8655699999999999E-2</v>
      </c>
      <c r="DC121">
        <v>0.14577499999999999</v>
      </c>
      <c r="DD121">
        <v>0.114519</v>
      </c>
      <c r="DE121">
        <v>1.3203599999999999E-2</v>
      </c>
      <c r="DF121">
        <v>32923.699999999997</v>
      </c>
      <c r="DG121">
        <v>27513.599999999999</v>
      </c>
      <c r="DH121">
        <v>31180.2</v>
      </c>
      <c r="DI121">
        <v>28062.799999999999</v>
      </c>
      <c r="DJ121">
        <v>37473.1</v>
      </c>
      <c r="DK121">
        <v>39362.5</v>
      </c>
      <c r="DL121">
        <v>44368.4</v>
      </c>
      <c r="DM121">
        <v>42509.1</v>
      </c>
      <c r="DN121">
        <v>1.4835</v>
      </c>
      <c r="DO121">
        <v>2.0689000000000002</v>
      </c>
      <c r="DP121">
        <v>0.11797199999999999</v>
      </c>
      <c r="DQ121">
        <v>0.17733099999999999</v>
      </c>
      <c r="DR121">
        <v>25.065300000000001</v>
      </c>
      <c r="DS121">
        <v>25.0046</v>
      </c>
      <c r="DT121">
        <v>55.8</v>
      </c>
      <c r="DU121">
        <v>24.8</v>
      </c>
      <c r="DV121">
        <v>17.759599999999999</v>
      </c>
      <c r="DW121">
        <v>61.780099999999997</v>
      </c>
      <c r="DX121">
        <v>37.131399999999999</v>
      </c>
      <c r="DY121">
        <v>1</v>
      </c>
      <c r="DZ121">
        <v>-0.16736999999999999</v>
      </c>
      <c r="EA121">
        <v>-0.82555800000000001</v>
      </c>
      <c r="EB121">
        <v>20.189</v>
      </c>
      <c r="EC121">
        <v>5.2409499999999998</v>
      </c>
      <c r="ED121">
        <v>12.039899999999999</v>
      </c>
      <c r="EE121">
        <v>5.0170000000000003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1.8687499999999999</v>
      </c>
      <c r="EL121">
        <v>1.8643799999999999</v>
      </c>
      <c r="EM121">
        <v>1.86907</v>
      </c>
      <c r="EN121">
        <v>1.86707</v>
      </c>
      <c r="EO121">
        <v>1.86324</v>
      </c>
      <c r="EP121">
        <v>1.8642000000000001</v>
      </c>
      <c r="EQ121">
        <v>1.87002</v>
      </c>
      <c r="ER121">
        <v>1.8692299999999999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-1.1279999999999999</v>
      </c>
      <c r="FG121">
        <v>0.18279999999999999</v>
      </c>
      <c r="FH121">
        <v>-0.81947142863283695</v>
      </c>
      <c r="FI121">
        <v>-6.1462078757559423E-4</v>
      </c>
      <c r="FJ121">
        <v>-1.8861989874597051E-7</v>
      </c>
      <c r="FK121">
        <v>1.1980462299894961E-10</v>
      </c>
      <c r="FL121">
        <v>0.18283500000000069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25.2</v>
      </c>
      <c r="FU121">
        <v>25.2</v>
      </c>
      <c r="FV121">
        <v>1.7639199999999999</v>
      </c>
      <c r="FW121">
        <v>2.5634800000000002</v>
      </c>
      <c r="FX121">
        <v>1.5490699999999999</v>
      </c>
      <c r="FY121">
        <v>2.34375</v>
      </c>
      <c r="FZ121">
        <v>1.50146</v>
      </c>
      <c r="GA121">
        <v>2.2936999999999999</v>
      </c>
      <c r="GB121">
        <v>30.436900000000001</v>
      </c>
      <c r="GC121">
        <v>23.982399999999998</v>
      </c>
      <c r="GD121">
        <v>19</v>
      </c>
      <c r="GE121">
        <v>281.94400000000002</v>
      </c>
      <c r="GF121">
        <v>599.55399999999997</v>
      </c>
      <c r="GG121">
        <v>25.825399999999998</v>
      </c>
      <c r="GH121">
        <v>25.322700000000001</v>
      </c>
      <c r="GI121">
        <v>30.0001</v>
      </c>
      <c r="GJ121">
        <v>25.444400000000002</v>
      </c>
      <c r="GK121">
        <v>25.4129</v>
      </c>
      <c r="GL121">
        <v>35.271599999999999</v>
      </c>
      <c r="GM121">
        <v>89.254900000000006</v>
      </c>
      <c r="GN121">
        <v>55.322000000000003</v>
      </c>
      <c r="GO121">
        <v>25.8369</v>
      </c>
      <c r="GP121">
        <v>800</v>
      </c>
      <c r="GQ121">
        <v>1.4902</v>
      </c>
      <c r="GR121">
        <v>99.758099999999999</v>
      </c>
      <c r="GS121">
        <v>99.466300000000004</v>
      </c>
    </row>
    <row r="122" spans="1:201" x14ac:dyDescent="0.25">
      <c r="A122">
        <v>106</v>
      </c>
      <c r="B122">
        <v>1690374936.0999999</v>
      </c>
      <c r="C122">
        <v>1116.599999904633</v>
      </c>
      <c r="D122" t="s">
        <v>545</v>
      </c>
      <c r="E122" t="s">
        <v>546</v>
      </c>
      <c r="F122" t="s">
        <v>330</v>
      </c>
      <c r="H122">
        <v>1690374936.0999999</v>
      </c>
      <c r="I122">
        <f t="shared" si="30"/>
        <v>2.3301078894203174E-3</v>
      </c>
      <c r="J122">
        <f t="shared" si="31"/>
        <v>2.3301078894203173</v>
      </c>
      <c r="K122">
        <f t="shared" si="32"/>
        <v>33.675322090160016</v>
      </c>
      <c r="L122">
        <f t="shared" si="33"/>
        <v>452.81400000000002</v>
      </c>
      <c r="M122">
        <f t="shared" si="34"/>
        <v>117.45172193079831</v>
      </c>
      <c r="N122">
        <f t="shared" si="35"/>
        <v>11.604878577719653</v>
      </c>
      <c r="O122">
        <f t="shared" si="36"/>
        <v>44.740523186094002</v>
      </c>
      <c r="P122">
        <f t="shared" si="37"/>
        <v>0.16971497478633851</v>
      </c>
      <c r="Q122">
        <f t="shared" si="38"/>
        <v>2.2425340406042005</v>
      </c>
      <c r="R122">
        <f t="shared" si="39"/>
        <v>0.16288869603982881</v>
      </c>
      <c r="S122">
        <f t="shared" si="40"/>
        <v>0.10239587056938618</v>
      </c>
      <c r="T122">
        <f t="shared" si="41"/>
        <v>276.11468935200003</v>
      </c>
      <c r="U122">
        <f t="shared" si="42"/>
        <v>27.86362555684671</v>
      </c>
      <c r="V122">
        <f t="shared" si="43"/>
        <v>27.86362555684671</v>
      </c>
      <c r="W122">
        <f t="shared" si="44"/>
        <v>3.7647745165938193</v>
      </c>
      <c r="X122">
        <f t="shared" si="45"/>
        <v>68.702041372002782</v>
      </c>
      <c r="Y122">
        <f t="shared" si="46"/>
        <v>2.3954311705719</v>
      </c>
      <c r="Z122">
        <f t="shared" si="47"/>
        <v>3.4866957702192494</v>
      </c>
      <c r="AA122">
        <f t="shared" si="48"/>
        <v>1.3693433460219193</v>
      </c>
      <c r="AB122">
        <f t="shared" si="49"/>
        <v>-102.757757923436</v>
      </c>
      <c r="AC122">
        <f t="shared" si="50"/>
        <v>-158.20007927521084</v>
      </c>
      <c r="AD122">
        <f t="shared" si="51"/>
        <v>-15.256454606733548</v>
      </c>
      <c r="AE122">
        <f t="shared" si="52"/>
        <v>-9.9602453380356337E-2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52009.902031908256</v>
      </c>
      <c r="AK122">
        <f t="shared" si="56"/>
        <v>1800</v>
      </c>
      <c r="AL122">
        <f t="shared" si="57"/>
        <v>1499.1103242000002</v>
      </c>
      <c r="AM122">
        <f t="shared" si="58"/>
        <v>0.83283906900000004</v>
      </c>
      <c r="AN122">
        <f t="shared" si="59"/>
        <v>0.15339704964</v>
      </c>
      <c r="AO122">
        <v>30</v>
      </c>
      <c r="AP122">
        <v>0.5</v>
      </c>
      <c r="AQ122" t="s">
        <v>331</v>
      </c>
      <c r="AR122">
        <v>2</v>
      </c>
      <c r="AS122">
        <v>1690374936.0999999</v>
      </c>
      <c r="AT122">
        <v>452.81400000000002</v>
      </c>
      <c r="AU122">
        <v>800.02800000000002</v>
      </c>
      <c r="AV122">
        <v>24.2439</v>
      </c>
      <c r="AW122">
        <v>1.5136400000000001</v>
      </c>
      <c r="AX122">
        <v>453.94</v>
      </c>
      <c r="AY122">
        <v>24.0611</v>
      </c>
      <c r="AZ122">
        <v>300.07799999999997</v>
      </c>
      <c r="BA122">
        <v>98.705500000000001</v>
      </c>
      <c r="BB122">
        <v>0.100021</v>
      </c>
      <c r="BC122">
        <v>26.555099999999999</v>
      </c>
      <c r="BD122">
        <v>26.986899999999999</v>
      </c>
      <c r="BE122">
        <v>27.923999999999999</v>
      </c>
      <c r="BF122">
        <v>0</v>
      </c>
      <c r="BG122">
        <v>0</v>
      </c>
      <c r="BH122">
        <v>9948.1200000000008</v>
      </c>
      <c r="BI122">
        <v>1085.1400000000001</v>
      </c>
      <c r="BJ122">
        <v>1.4016500000000001</v>
      </c>
      <c r="BK122">
        <v>-347.21300000000002</v>
      </c>
      <c r="BL122">
        <v>464.065</v>
      </c>
      <c r="BM122">
        <v>801.24</v>
      </c>
      <c r="BN122">
        <v>22.7303</v>
      </c>
      <c r="BO122">
        <v>800.02800000000002</v>
      </c>
      <c r="BP122">
        <v>1.5136400000000001</v>
      </c>
      <c r="BQ122">
        <v>2.3930099999999999</v>
      </c>
      <c r="BR122">
        <v>0.14940500000000001</v>
      </c>
      <c r="BS122">
        <v>20.316500000000001</v>
      </c>
      <c r="BT122">
        <v>-17.9983</v>
      </c>
      <c r="BU122">
        <v>1800</v>
      </c>
      <c r="BV122">
        <v>0.91000199999999998</v>
      </c>
      <c r="BW122">
        <v>3.4005899999999999E-2</v>
      </c>
      <c r="BX122">
        <v>2.19957E-2</v>
      </c>
      <c r="BY122">
        <v>3.3995999999999998E-2</v>
      </c>
      <c r="BZ122">
        <v>25</v>
      </c>
      <c r="CA122">
        <v>33528.400000000001</v>
      </c>
      <c r="CB122">
        <v>1690373417</v>
      </c>
      <c r="CC122" t="s">
        <v>332</v>
      </c>
      <c r="CD122">
        <v>1690373417</v>
      </c>
      <c r="CE122">
        <v>1690373415</v>
      </c>
      <c r="CF122">
        <v>1</v>
      </c>
      <c r="CG122">
        <v>-1.319</v>
      </c>
      <c r="CH122">
        <v>0.01</v>
      </c>
      <c r="CI122">
        <v>-1.371</v>
      </c>
      <c r="CJ122">
        <v>0.183</v>
      </c>
      <c r="CK122">
        <v>800</v>
      </c>
      <c r="CL122">
        <v>21</v>
      </c>
      <c r="CM122">
        <v>0.09</v>
      </c>
      <c r="CN122">
        <v>7.0000000000000007E-2</v>
      </c>
      <c r="CO122">
        <v>-344.81920000000002</v>
      </c>
      <c r="CP122">
        <v>-13.64508067542214</v>
      </c>
      <c r="CQ122">
        <v>1.3128972960593679</v>
      </c>
      <c r="CR122">
        <v>-1</v>
      </c>
      <c r="CS122">
        <v>22.517655000000001</v>
      </c>
      <c r="CT122">
        <v>1.109085928705366</v>
      </c>
      <c r="CU122">
        <v>0.1068523302272814</v>
      </c>
      <c r="CV122">
        <v>-1</v>
      </c>
      <c r="CW122">
        <v>0</v>
      </c>
      <c r="CX122">
        <v>0</v>
      </c>
      <c r="CY122" t="s">
        <v>333</v>
      </c>
      <c r="CZ122">
        <v>2.3652199999999999</v>
      </c>
      <c r="DA122">
        <v>2.7137600000000002</v>
      </c>
      <c r="DB122">
        <v>9.82962E-2</v>
      </c>
      <c r="DC122">
        <v>0.14576600000000001</v>
      </c>
      <c r="DD122">
        <v>0.11455799999999999</v>
      </c>
      <c r="DE122">
        <v>1.1814399999999999E-2</v>
      </c>
      <c r="DF122">
        <v>32937.599999999999</v>
      </c>
      <c r="DG122">
        <v>27514.400000000001</v>
      </c>
      <c r="DH122">
        <v>31180.9</v>
      </c>
      <c r="DI122">
        <v>28063.4</v>
      </c>
      <c r="DJ122">
        <v>37472.199999999997</v>
      </c>
      <c r="DK122">
        <v>39418.800000000003</v>
      </c>
      <c r="DL122">
        <v>44369.4</v>
      </c>
      <c r="DM122">
        <v>42509.9</v>
      </c>
      <c r="DN122">
        <v>1.4835700000000001</v>
      </c>
      <c r="DO122">
        <v>2.0684200000000001</v>
      </c>
      <c r="DP122">
        <v>0.117287</v>
      </c>
      <c r="DQ122">
        <v>0.178285</v>
      </c>
      <c r="DR122">
        <v>25.0657</v>
      </c>
      <c r="DS122">
        <v>25.005700000000001</v>
      </c>
      <c r="DT122">
        <v>55.5</v>
      </c>
      <c r="DU122">
        <v>24.8</v>
      </c>
      <c r="DV122">
        <v>17.666699999999999</v>
      </c>
      <c r="DW122">
        <v>61.920099999999998</v>
      </c>
      <c r="DX122">
        <v>37.668300000000002</v>
      </c>
      <c r="DY122">
        <v>1</v>
      </c>
      <c r="DZ122">
        <v>-0.167467</v>
      </c>
      <c r="EA122">
        <v>-0.82950699999999999</v>
      </c>
      <c r="EB122">
        <v>20.188800000000001</v>
      </c>
      <c r="EC122">
        <v>5.2411000000000003</v>
      </c>
      <c r="ED122">
        <v>12.039899999999999</v>
      </c>
      <c r="EE122">
        <v>5.0174000000000003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1.8687400000000001</v>
      </c>
      <c r="EL122">
        <v>1.86439</v>
      </c>
      <c r="EM122">
        <v>1.86907</v>
      </c>
      <c r="EN122">
        <v>1.8670800000000001</v>
      </c>
      <c r="EO122">
        <v>1.8632500000000001</v>
      </c>
      <c r="EP122">
        <v>1.86422</v>
      </c>
      <c r="EQ122">
        <v>1.87005</v>
      </c>
      <c r="ER122">
        <v>1.8692500000000001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-1.1259999999999999</v>
      </c>
      <c r="FG122">
        <v>0.18279999999999999</v>
      </c>
      <c r="FH122">
        <v>-0.81947142863283695</v>
      </c>
      <c r="FI122">
        <v>-6.1462078757559423E-4</v>
      </c>
      <c r="FJ122">
        <v>-1.8861989874597051E-7</v>
      </c>
      <c r="FK122">
        <v>1.1980462299894961E-10</v>
      </c>
      <c r="FL122">
        <v>0.18283500000000069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25.3</v>
      </c>
      <c r="FU122">
        <v>25.4</v>
      </c>
      <c r="FV122">
        <v>1.7639199999999999</v>
      </c>
      <c r="FW122">
        <v>2.5512700000000001</v>
      </c>
      <c r="FX122">
        <v>1.5490699999999999</v>
      </c>
      <c r="FY122">
        <v>2.34497</v>
      </c>
      <c r="FZ122">
        <v>1.50146</v>
      </c>
      <c r="GA122">
        <v>2.3754900000000001</v>
      </c>
      <c r="GB122">
        <v>30.458400000000001</v>
      </c>
      <c r="GC122">
        <v>23.991199999999999</v>
      </c>
      <c r="GD122">
        <v>19</v>
      </c>
      <c r="GE122">
        <v>281.96899999999999</v>
      </c>
      <c r="GF122">
        <v>599.14800000000002</v>
      </c>
      <c r="GG122">
        <v>25.8415</v>
      </c>
      <c r="GH122">
        <v>25.321400000000001</v>
      </c>
      <c r="GI122">
        <v>30.0001</v>
      </c>
      <c r="GJ122">
        <v>25.443000000000001</v>
      </c>
      <c r="GK122">
        <v>25.412199999999999</v>
      </c>
      <c r="GL122">
        <v>35.267800000000001</v>
      </c>
      <c r="GM122">
        <v>91.072900000000004</v>
      </c>
      <c r="GN122">
        <v>54.192399999999999</v>
      </c>
      <c r="GO122">
        <v>25.849299999999999</v>
      </c>
      <c r="GP122">
        <v>800</v>
      </c>
      <c r="GQ122">
        <v>1.2523</v>
      </c>
      <c r="GR122">
        <v>99.760300000000001</v>
      </c>
      <c r="GS122">
        <v>99.468199999999996</v>
      </c>
    </row>
    <row r="123" spans="1:201" x14ac:dyDescent="0.25">
      <c r="A123">
        <v>107</v>
      </c>
      <c r="B123">
        <v>1690374946.0999999</v>
      </c>
      <c r="C123">
        <v>1126.599999904633</v>
      </c>
      <c r="D123" t="s">
        <v>547</v>
      </c>
      <c r="E123" t="s">
        <v>548</v>
      </c>
      <c r="F123" t="s">
        <v>330</v>
      </c>
      <c r="H123">
        <v>1690374946.0999999</v>
      </c>
      <c r="I123">
        <f t="shared" si="30"/>
        <v>2.3536296433061899E-3</v>
      </c>
      <c r="J123">
        <f t="shared" si="31"/>
        <v>2.3536296433061898</v>
      </c>
      <c r="K123">
        <f t="shared" si="32"/>
        <v>33.910424336911973</v>
      </c>
      <c r="L123">
        <f t="shared" si="33"/>
        <v>450.56</v>
      </c>
      <c r="M123">
        <f t="shared" si="34"/>
        <v>117.03655367703861</v>
      </c>
      <c r="N123">
        <f t="shared" si="35"/>
        <v>11.5642375627575</v>
      </c>
      <c r="O123">
        <f t="shared" si="36"/>
        <v>44.519278059519998</v>
      </c>
      <c r="P123">
        <f t="shared" si="37"/>
        <v>0.17190234651300143</v>
      </c>
      <c r="Q123">
        <f t="shared" si="38"/>
        <v>2.2466140156888907</v>
      </c>
      <c r="R123">
        <f t="shared" si="39"/>
        <v>0.16491503056074039</v>
      </c>
      <c r="S123">
        <f t="shared" si="40"/>
        <v>0.10367601065298113</v>
      </c>
      <c r="T123">
        <f t="shared" si="41"/>
        <v>276.11457033599999</v>
      </c>
      <c r="U123">
        <f t="shared" si="42"/>
        <v>27.855436888911331</v>
      </c>
      <c r="V123">
        <f t="shared" si="43"/>
        <v>27.855436888911331</v>
      </c>
      <c r="W123">
        <f t="shared" si="44"/>
        <v>3.7629758727567841</v>
      </c>
      <c r="X123">
        <f t="shared" si="45"/>
        <v>68.732714443226541</v>
      </c>
      <c r="Y123">
        <f t="shared" si="46"/>
        <v>2.3967548567354999</v>
      </c>
      <c r="Z123">
        <f t="shared" si="47"/>
        <v>3.4870656224631253</v>
      </c>
      <c r="AA123">
        <f t="shared" si="48"/>
        <v>1.3662210160212842</v>
      </c>
      <c r="AB123">
        <f t="shared" si="49"/>
        <v>-103.79506726980297</v>
      </c>
      <c r="AC123">
        <f t="shared" si="50"/>
        <v>-157.27808004057385</v>
      </c>
      <c r="AD123">
        <f t="shared" si="51"/>
        <v>-15.139509644653542</v>
      </c>
      <c r="AE123">
        <f t="shared" si="52"/>
        <v>-9.8086619030368638E-2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52168.163923822671</v>
      </c>
      <c r="AK123">
        <f t="shared" si="56"/>
        <v>1800</v>
      </c>
      <c r="AL123">
        <f t="shared" si="57"/>
        <v>1499.1114636</v>
      </c>
      <c r="AM123">
        <f t="shared" si="58"/>
        <v>0.83283970200000002</v>
      </c>
      <c r="AN123">
        <f t="shared" si="59"/>
        <v>0.15339698352</v>
      </c>
      <c r="AO123">
        <v>30</v>
      </c>
      <c r="AP123">
        <v>0.5</v>
      </c>
      <c r="AQ123" t="s">
        <v>331</v>
      </c>
      <c r="AR123">
        <v>2</v>
      </c>
      <c r="AS123">
        <v>1690374946.0999999</v>
      </c>
      <c r="AT123">
        <v>450.56</v>
      </c>
      <c r="AU123">
        <v>800.00900000000001</v>
      </c>
      <c r="AV123">
        <v>24.256499999999999</v>
      </c>
      <c r="AW123">
        <v>1.3081700000000001</v>
      </c>
      <c r="AX123">
        <v>451.68400000000003</v>
      </c>
      <c r="AY123">
        <v>24.073699999999999</v>
      </c>
      <c r="AZ123">
        <v>300.22300000000001</v>
      </c>
      <c r="BA123">
        <v>98.708699999999993</v>
      </c>
      <c r="BB123">
        <v>0.100067</v>
      </c>
      <c r="BC123">
        <v>26.556899999999999</v>
      </c>
      <c r="BD123">
        <v>27.002300000000002</v>
      </c>
      <c r="BE123">
        <v>27.908000000000001</v>
      </c>
      <c r="BF123">
        <v>0</v>
      </c>
      <c r="BG123">
        <v>0</v>
      </c>
      <c r="BH123">
        <v>9979.3799999999992</v>
      </c>
      <c r="BI123">
        <v>1085.22</v>
      </c>
      <c r="BJ123">
        <v>1.4016500000000001</v>
      </c>
      <c r="BK123">
        <v>-349.44900000000001</v>
      </c>
      <c r="BL123">
        <v>461.76100000000002</v>
      </c>
      <c r="BM123">
        <v>801.05700000000002</v>
      </c>
      <c r="BN123">
        <v>22.948399999999999</v>
      </c>
      <c r="BO123">
        <v>800.00900000000001</v>
      </c>
      <c r="BP123">
        <v>1.3081700000000001</v>
      </c>
      <c r="BQ123">
        <v>2.3943300000000001</v>
      </c>
      <c r="BR123">
        <v>0.12912699999999999</v>
      </c>
      <c r="BS123">
        <v>20.325500000000002</v>
      </c>
      <c r="BT123">
        <v>-19.704599999999999</v>
      </c>
      <c r="BU123">
        <v>1800</v>
      </c>
      <c r="BV123">
        <v>0.91000700000000001</v>
      </c>
      <c r="BW123">
        <v>3.4004100000000002E-2</v>
      </c>
      <c r="BX123">
        <v>2.19946E-2</v>
      </c>
      <c r="BY123">
        <v>3.3994200000000002E-2</v>
      </c>
      <c r="BZ123">
        <v>25</v>
      </c>
      <c r="CA123">
        <v>33528.400000000001</v>
      </c>
      <c r="CB123">
        <v>1690373417</v>
      </c>
      <c r="CC123" t="s">
        <v>332</v>
      </c>
      <c r="CD123">
        <v>1690373417</v>
      </c>
      <c r="CE123">
        <v>1690373415</v>
      </c>
      <c r="CF123">
        <v>1</v>
      </c>
      <c r="CG123">
        <v>-1.319</v>
      </c>
      <c r="CH123">
        <v>0.01</v>
      </c>
      <c r="CI123">
        <v>-1.371</v>
      </c>
      <c r="CJ123">
        <v>0.183</v>
      </c>
      <c r="CK123">
        <v>800</v>
      </c>
      <c r="CL123">
        <v>21</v>
      </c>
      <c r="CM123">
        <v>0.09</v>
      </c>
      <c r="CN123">
        <v>7.0000000000000007E-2</v>
      </c>
      <c r="CO123">
        <v>-347.07044999999999</v>
      </c>
      <c r="CP123">
        <v>-13.377433395871901</v>
      </c>
      <c r="CQ123">
        <v>1.2872215805757781</v>
      </c>
      <c r="CR123">
        <v>-1</v>
      </c>
      <c r="CS123">
        <v>22.715927499999999</v>
      </c>
      <c r="CT123">
        <v>1.277600375234518</v>
      </c>
      <c r="CU123">
        <v>0.1229203176604665</v>
      </c>
      <c r="CV123">
        <v>-1</v>
      </c>
      <c r="CW123">
        <v>0</v>
      </c>
      <c r="CX123">
        <v>0</v>
      </c>
      <c r="CY123" t="s">
        <v>333</v>
      </c>
      <c r="CZ123">
        <v>2.3657300000000001</v>
      </c>
      <c r="DA123">
        <v>2.7138399999999998</v>
      </c>
      <c r="DB123">
        <v>9.7935599999999998E-2</v>
      </c>
      <c r="DC123">
        <v>0.14576500000000001</v>
      </c>
      <c r="DD123">
        <v>0.114604</v>
      </c>
      <c r="DE123">
        <v>1.0317099999999999E-2</v>
      </c>
      <c r="DF123">
        <v>32950.800000000003</v>
      </c>
      <c r="DG123">
        <v>27514</v>
      </c>
      <c r="DH123">
        <v>31180.9</v>
      </c>
      <c r="DI123">
        <v>28063</v>
      </c>
      <c r="DJ123">
        <v>37470.1</v>
      </c>
      <c r="DK123">
        <v>39478.199999999997</v>
      </c>
      <c r="DL123">
        <v>44369.4</v>
      </c>
      <c r="DM123">
        <v>42509.4</v>
      </c>
      <c r="DN123">
        <v>1.48417</v>
      </c>
      <c r="DO123">
        <v>2.0680999999999998</v>
      </c>
      <c r="DP123">
        <v>0.118233</v>
      </c>
      <c r="DQ123">
        <v>0.17724899999999999</v>
      </c>
      <c r="DR123">
        <v>25.0657</v>
      </c>
      <c r="DS123">
        <v>25.006699999999999</v>
      </c>
      <c r="DT123">
        <v>55</v>
      </c>
      <c r="DU123">
        <v>24.8</v>
      </c>
      <c r="DV123">
        <v>17.5047</v>
      </c>
      <c r="DW123">
        <v>61.820099999999996</v>
      </c>
      <c r="DX123">
        <v>36.5625</v>
      </c>
      <c r="DY123">
        <v>1</v>
      </c>
      <c r="DZ123">
        <v>-0.16766</v>
      </c>
      <c r="EA123">
        <v>-0.82853200000000005</v>
      </c>
      <c r="EB123">
        <v>20.1889</v>
      </c>
      <c r="EC123">
        <v>5.2409499999999998</v>
      </c>
      <c r="ED123">
        <v>12.039899999999999</v>
      </c>
      <c r="EE123">
        <v>5.0174000000000003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1.8687400000000001</v>
      </c>
      <c r="EL123">
        <v>1.8644099999999999</v>
      </c>
      <c r="EM123">
        <v>1.8690500000000001</v>
      </c>
      <c r="EN123">
        <v>1.86707</v>
      </c>
      <c r="EO123">
        <v>1.8632500000000001</v>
      </c>
      <c r="EP123">
        <v>1.8642000000000001</v>
      </c>
      <c r="EQ123">
        <v>1.8700600000000001</v>
      </c>
      <c r="ER123">
        <v>1.86924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-1.1240000000000001</v>
      </c>
      <c r="FG123">
        <v>0.18279999999999999</v>
      </c>
      <c r="FH123">
        <v>-0.81947142863283695</v>
      </c>
      <c r="FI123">
        <v>-6.1462078757559423E-4</v>
      </c>
      <c r="FJ123">
        <v>-1.8861989874597051E-7</v>
      </c>
      <c r="FK123">
        <v>1.1980462299894961E-10</v>
      </c>
      <c r="FL123">
        <v>0.18283500000000069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25.5</v>
      </c>
      <c r="FU123">
        <v>25.5</v>
      </c>
      <c r="FV123">
        <v>1.7639199999999999</v>
      </c>
      <c r="FW123">
        <v>2.5549300000000001</v>
      </c>
      <c r="FX123">
        <v>1.5490699999999999</v>
      </c>
      <c r="FY123">
        <v>2.34497</v>
      </c>
      <c r="FZ123">
        <v>1.50146</v>
      </c>
      <c r="GA123">
        <v>2.35229</v>
      </c>
      <c r="GB123">
        <v>30.458400000000001</v>
      </c>
      <c r="GC123">
        <v>23.982399999999998</v>
      </c>
      <c r="GD123">
        <v>19</v>
      </c>
      <c r="GE123">
        <v>282.21199999999999</v>
      </c>
      <c r="GF123">
        <v>598.85699999999997</v>
      </c>
      <c r="GG123">
        <v>25.855399999999999</v>
      </c>
      <c r="GH123">
        <v>25.319199999999999</v>
      </c>
      <c r="GI123">
        <v>29.9999</v>
      </c>
      <c r="GJ123">
        <v>25.440799999999999</v>
      </c>
      <c r="GK123">
        <v>25.410799999999998</v>
      </c>
      <c r="GL123">
        <v>35.269100000000002</v>
      </c>
      <c r="GM123">
        <v>93.4559</v>
      </c>
      <c r="GN123">
        <v>53.435899999999997</v>
      </c>
      <c r="GO123">
        <v>25.854900000000001</v>
      </c>
      <c r="GP123">
        <v>800</v>
      </c>
      <c r="GQ123">
        <v>1.0117</v>
      </c>
      <c r="GR123">
        <v>99.760300000000001</v>
      </c>
      <c r="GS123">
        <v>99.466899999999995</v>
      </c>
    </row>
    <row r="124" spans="1:201" x14ac:dyDescent="0.25">
      <c r="A124">
        <v>108</v>
      </c>
      <c r="B124">
        <v>1690374956.0999999</v>
      </c>
      <c r="C124">
        <v>1136.599999904633</v>
      </c>
      <c r="D124" t="s">
        <v>549</v>
      </c>
      <c r="E124" t="s">
        <v>550</v>
      </c>
      <c r="F124" t="s">
        <v>330</v>
      </c>
      <c r="H124">
        <v>1690374956.0999999</v>
      </c>
      <c r="I124">
        <f t="shared" si="30"/>
        <v>2.3737412788098749E-3</v>
      </c>
      <c r="J124">
        <f t="shared" si="31"/>
        <v>2.3737412788098751</v>
      </c>
      <c r="K124">
        <f t="shared" si="32"/>
        <v>34.115545686910146</v>
      </c>
      <c r="L124">
        <f t="shared" si="33"/>
        <v>448.40899999999999</v>
      </c>
      <c r="M124">
        <f t="shared" si="34"/>
        <v>116.00765234107907</v>
      </c>
      <c r="N124">
        <f t="shared" si="35"/>
        <v>11.462694318383383</v>
      </c>
      <c r="O124">
        <f t="shared" si="36"/>
        <v>44.307208989108005</v>
      </c>
      <c r="P124">
        <f t="shared" si="37"/>
        <v>0.17357619622828532</v>
      </c>
      <c r="Q124">
        <f t="shared" si="38"/>
        <v>2.2459831450623859</v>
      </c>
      <c r="R124">
        <f t="shared" si="39"/>
        <v>0.1664532625074476</v>
      </c>
      <c r="S124">
        <f t="shared" si="40"/>
        <v>0.10464889954555343</v>
      </c>
      <c r="T124">
        <f t="shared" si="41"/>
        <v>276.11280693943939</v>
      </c>
      <c r="U124">
        <f t="shared" si="42"/>
        <v>27.856063343588016</v>
      </c>
      <c r="V124">
        <f t="shared" si="43"/>
        <v>27.856063343588016</v>
      </c>
      <c r="W124">
        <f t="shared" si="44"/>
        <v>3.7631134472598626</v>
      </c>
      <c r="X124">
        <f t="shared" si="45"/>
        <v>68.738518866278469</v>
      </c>
      <c r="Y124">
        <f t="shared" si="46"/>
        <v>2.3979461605596004</v>
      </c>
      <c r="Z124">
        <f t="shared" si="47"/>
        <v>3.4885042623983242</v>
      </c>
      <c r="AA124">
        <f t="shared" si="48"/>
        <v>1.3651672867002622</v>
      </c>
      <c r="AB124">
        <f t="shared" si="49"/>
        <v>-104.68199039551548</v>
      </c>
      <c r="AC124">
        <f t="shared" si="50"/>
        <v>-156.46217129581927</v>
      </c>
      <c r="AD124">
        <f t="shared" si="51"/>
        <v>-15.06577451864238</v>
      </c>
      <c r="AE124">
        <f t="shared" si="52"/>
        <v>-9.7129270537749335E-2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52142.44207164846</v>
      </c>
      <c r="AK124">
        <f t="shared" si="56"/>
        <v>1799.99</v>
      </c>
      <c r="AL124">
        <f t="shared" si="57"/>
        <v>1499.10383539909</v>
      </c>
      <c r="AM124">
        <f t="shared" si="58"/>
        <v>0.832840091</v>
      </c>
      <c r="AN124">
        <f t="shared" si="59"/>
        <v>0.15339685606</v>
      </c>
      <c r="AO124">
        <v>30</v>
      </c>
      <c r="AP124">
        <v>0.5</v>
      </c>
      <c r="AQ124" t="s">
        <v>331</v>
      </c>
      <c r="AR124">
        <v>2</v>
      </c>
      <c r="AS124">
        <v>1690374956.0999999</v>
      </c>
      <c r="AT124">
        <v>448.40899999999999</v>
      </c>
      <c r="AU124">
        <v>800.02099999999996</v>
      </c>
      <c r="AV124">
        <v>24.2683</v>
      </c>
      <c r="AW124">
        <v>1.1193</v>
      </c>
      <c r="AX124">
        <v>449.53199999999998</v>
      </c>
      <c r="AY124">
        <v>24.0855</v>
      </c>
      <c r="AZ124">
        <v>300.16000000000003</v>
      </c>
      <c r="BA124">
        <v>98.709800000000001</v>
      </c>
      <c r="BB124">
        <v>0.100012</v>
      </c>
      <c r="BC124">
        <v>26.5639</v>
      </c>
      <c r="BD124">
        <v>27.010300000000001</v>
      </c>
      <c r="BE124">
        <v>27.916499999999999</v>
      </c>
      <c r="BF124">
        <v>0</v>
      </c>
      <c r="BG124">
        <v>0</v>
      </c>
      <c r="BH124">
        <v>9974.3799999999992</v>
      </c>
      <c r="BI124">
        <v>1085.31</v>
      </c>
      <c r="BJ124">
        <v>1.4016500000000001</v>
      </c>
      <c r="BK124">
        <v>-351.613</v>
      </c>
      <c r="BL124">
        <v>459.56200000000001</v>
      </c>
      <c r="BM124">
        <v>800.91800000000001</v>
      </c>
      <c r="BN124">
        <v>23.149000000000001</v>
      </c>
      <c r="BO124">
        <v>800.02099999999996</v>
      </c>
      <c r="BP124">
        <v>1.1193</v>
      </c>
      <c r="BQ124">
        <v>2.3955199999999999</v>
      </c>
      <c r="BR124">
        <v>0.110486</v>
      </c>
      <c r="BS124">
        <v>20.333500000000001</v>
      </c>
      <c r="BT124">
        <v>-21.4999</v>
      </c>
      <c r="BU124">
        <v>1799.99</v>
      </c>
      <c r="BV124">
        <v>0.91001200000000004</v>
      </c>
      <c r="BW124">
        <v>3.4002200000000003E-2</v>
      </c>
      <c r="BX124">
        <v>2.19933E-2</v>
      </c>
      <c r="BY124">
        <v>3.3992399999999999E-2</v>
      </c>
      <c r="BZ124">
        <v>25</v>
      </c>
      <c r="CA124">
        <v>33528.300000000003</v>
      </c>
      <c r="CB124">
        <v>1690373417</v>
      </c>
      <c r="CC124" t="s">
        <v>332</v>
      </c>
      <c r="CD124">
        <v>1690373417</v>
      </c>
      <c r="CE124">
        <v>1690373415</v>
      </c>
      <c r="CF124">
        <v>1</v>
      </c>
      <c r="CG124">
        <v>-1.319</v>
      </c>
      <c r="CH124">
        <v>0.01</v>
      </c>
      <c r="CI124">
        <v>-1.371</v>
      </c>
      <c r="CJ124">
        <v>0.183</v>
      </c>
      <c r="CK124">
        <v>800</v>
      </c>
      <c r="CL124">
        <v>21</v>
      </c>
      <c r="CM124">
        <v>0.09</v>
      </c>
      <c r="CN124">
        <v>7.0000000000000007E-2</v>
      </c>
      <c r="CO124">
        <v>-349.11804878048781</v>
      </c>
      <c r="CP124">
        <v>-13.25287108013957</v>
      </c>
      <c r="CQ124">
        <v>1.307210919425158</v>
      </c>
      <c r="CR124">
        <v>-1</v>
      </c>
      <c r="CS124">
        <v>22.91329268292683</v>
      </c>
      <c r="CT124">
        <v>1.2847860627177721</v>
      </c>
      <c r="CU124">
        <v>0.12670069280085491</v>
      </c>
      <c r="CV124">
        <v>-1</v>
      </c>
      <c r="CW124">
        <v>0</v>
      </c>
      <c r="CX124">
        <v>0</v>
      </c>
      <c r="CY124" t="s">
        <v>333</v>
      </c>
      <c r="CZ124">
        <v>2.3655200000000001</v>
      </c>
      <c r="DA124">
        <v>2.7137799999999999</v>
      </c>
      <c r="DB124">
        <v>9.7588599999999998E-2</v>
      </c>
      <c r="DC124">
        <v>0.14576600000000001</v>
      </c>
      <c r="DD124">
        <v>0.114645</v>
      </c>
      <c r="DE124">
        <v>8.9147199999999992E-3</v>
      </c>
      <c r="DF124">
        <v>32963.599999999999</v>
      </c>
      <c r="DG124">
        <v>27514.7</v>
      </c>
      <c r="DH124">
        <v>31181</v>
      </c>
      <c r="DI124">
        <v>28063.7</v>
      </c>
      <c r="DJ124">
        <v>37468.699999999997</v>
      </c>
      <c r="DK124">
        <v>39535.5</v>
      </c>
      <c r="DL124">
        <v>44369.8</v>
      </c>
      <c r="DM124">
        <v>42510.6</v>
      </c>
      <c r="DN124">
        <v>1.4839199999999999</v>
      </c>
      <c r="DO124">
        <v>2.0678000000000001</v>
      </c>
      <c r="DP124">
        <v>0.118591</v>
      </c>
      <c r="DQ124">
        <v>0.17754</v>
      </c>
      <c r="DR124">
        <v>25.067799999999998</v>
      </c>
      <c r="DS124">
        <v>25.010400000000001</v>
      </c>
      <c r="DT124">
        <v>54.5</v>
      </c>
      <c r="DU124">
        <v>24.8</v>
      </c>
      <c r="DV124">
        <v>17.347200000000001</v>
      </c>
      <c r="DW124">
        <v>62.0501</v>
      </c>
      <c r="DX124">
        <v>37.423900000000003</v>
      </c>
      <c r="DY124">
        <v>1</v>
      </c>
      <c r="DZ124">
        <v>-0.16769800000000001</v>
      </c>
      <c r="EA124">
        <v>-0.55506299999999997</v>
      </c>
      <c r="EB124">
        <v>20.189800000000002</v>
      </c>
      <c r="EC124">
        <v>5.2409499999999998</v>
      </c>
      <c r="ED124">
        <v>12.039899999999999</v>
      </c>
      <c r="EE124">
        <v>5.0168999999999997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1.8687400000000001</v>
      </c>
      <c r="EL124">
        <v>1.8644400000000001</v>
      </c>
      <c r="EM124">
        <v>1.8690599999999999</v>
      </c>
      <c r="EN124">
        <v>1.86707</v>
      </c>
      <c r="EO124">
        <v>1.86324</v>
      </c>
      <c r="EP124">
        <v>1.8642000000000001</v>
      </c>
      <c r="EQ124">
        <v>1.8700600000000001</v>
      </c>
      <c r="ER124">
        <v>1.86927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-1.123</v>
      </c>
      <c r="FG124">
        <v>0.18279999999999999</v>
      </c>
      <c r="FH124">
        <v>-0.81947142863283695</v>
      </c>
      <c r="FI124">
        <v>-6.1462078757559423E-4</v>
      </c>
      <c r="FJ124">
        <v>-1.8861989874597051E-7</v>
      </c>
      <c r="FK124">
        <v>1.1980462299894961E-10</v>
      </c>
      <c r="FL124">
        <v>0.18283500000000069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25.7</v>
      </c>
      <c r="FU124">
        <v>25.7</v>
      </c>
      <c r="FV124">
        <v>1.7639199999999999</v>
      </c>
      <c r="FW124">
        <v>2.5537100000000001</v>
      </c>
      <c r="FX124">
        <v>1.5490699999999999</v>
      </c>
      <c r="FY124">
        <v>2.34497</v>
      </c>
      <c r="FZ124">
        <v>1.50146</v>
      </c>
      <c r="GA124">
        <v>2.32422</v>
      </c>
      <c r="GB124">
        <v>30.458400000000001</v>
      </c>
      <c r="GC124">
        <v>23.991199999999999</v>
      </c>
      <c r="GD124">
        <v>19</v>
      </c>
      <c r="GE124">
        <v>282.10700000000003</v>
      </c>
      <c r="GF124">
        <v>598.57899999999995</v>
      </c>
      <c r="GG124">
        <v>25.7789</v>
      </c>
      <c r="GH124">
        <v>25.3185</v>
      </c>
      <c r="GI124">
        <v>29.9999</v>
      </c>
      <c r="GJ124">
        <v>25.440799999999999</v>
      </c>
      <c r="GK124">
        <v>25.4087</v>
      </c>
      <c r="GL124">
        <v>35.262799999999999</v>
      </c>
      <c r="GM124">
        <v>96.338200000000001</v>
      </c>
      <c r="GN124">
        <v>52.304099999999998</v>
      </c>
      <c r="GO124">
        <v>25.7788</v>
      </c>
      <c r="GP124">
        <v>800</v>
      </c>
      <c r="GQ124">
        <v>0.76901699999999995</v>
      </c>
      <c r="GR124">
        <v>99.760999999999996</v>
      </c>
      <c r="GS124">
        <v>99.4696</v>
      </c>
    </row>
    <row r="125" spans="1:201" x14ac:dyDescent="0.25">
      <c r="A125">
        <v>109</v>
      </c>
      <c r="B125">
        <v>1690374966.0999999</v>
      </c>
      <c r="C125">
        <v>1146.599999904633</v>
      </c>
      <c r="D125" t="s">
        <v>551</v>
      </c>
      <c r="E125" t="s">
        <v>552</v>
      </c>
      <c r="F125" t="s">
        <v>330</v>
      </c>
      <c r="H125">
        <v>1690374966.0999999</v>
      </c>
      <c r="I125">
        <f t="shared" si="30"/>
        <v>2.3884422075209216E-3</v>
      </c>
      <c r="J125">
        <f t="shared" si="31"/>
        <v>2.3884422075209217</v>
      </c>
      <c r="K125">
        <f t="shared" si="32"/>
        <v>34.337824224136867</v>
      </c>
      <c r="L125">
        <f t="shared" si="33"/>
        <v>446.30900000000003</v>
      </c>
      <c r="M125">
        <f t="shared" si="34"/>
        <v>115.20944334672384</v>
      </c>
      <c r="N125">
        <f t="shared" si="35"/>
        <v>11.383522510648413</v>
      </c>
      <c r="O125">
        <f t="shared" si="36"/>
        <v>44.098542624800011</v>
      </c>
      <c r="P125">
        <f t="shared" si="37"/>
        <v>0.17542456070758486</v>
      </c>
      <c r="Q125">
        <f t="shared" si="38"/>
        <v>2.2520719325888772</v>
      </c>
      <c r="R125">
        <f t="shared" si="39"/>
        <v>0.16817132275328883</v>
      </c>
      <c r="S125">
        <f t="shared" si="40"/>
        <v>0.10573376102702747</v>
      </c>
      <c r="T125">
        <f t="shared" si="41"/>
        <v>276.11257114074942</v>
      </c>
      <c r="U125">
        <f t="shared" si="42"/>
        <v>27.832814745950571</v>
      </c>
      <c r="V125">
        <f t="shared" si="43"/>
        <v>27.832814745950571</v>
      </c>
      <c r="W125">
        <f t="shared" si="44"/>
        <v>3.7580108071882887</v>
      </c>
      <c r="X125">
        <f t="shared" si="45"/>
        <v>68.813888621876558</v>
      </c>
      <c r="Y125">
        <f t="shared" si="46"/>
        <v>2.3984262113600003</v>
      </c>
      <c r="Z125">
        <f t="shared" si="47"/>
        <v>3.4853810173975823</v>
      </c>
      <c r="AA125">
        <f t="shared" si="48"/>
        <v>1.3595845958282884</v>
      </c>
      <c r="AB125">
        <f t="shared" si="49"/>
        <v>-105.33030135167265</v>
      </c>
      <c r="AC125">
        <f t="shared" si="50"/>
        <v>-155.9091251368271</v>
      </c>
      <c r="AD125">
        <f t="shared" si="51"/>
        <v>-14.969056261055277</v>
      </c>
      <c r="AE125">
        <f t="shared" si="52"/>
        <v>-9.5911608805607784E-2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52382.025335265098</v>
      </c>
      <c r="AK125">
        <f t="shared" si="56"/>
        <v>1799.99</v>
      </c>
      <c r="AL125">
        <f t="shared" si="57"/>
        <v>1499.1041413973901</v>
      </c>
      <c r="AM125">
        <f t="shared" si="58"/>
        <v>0.83284026100000008</v>
      </c>
      <c r="AN125">
        <f t="shared" si="59"/>
        <v>0.15339672506000002</v>
      </c>
      <c r="AO125">
        <v>30</v>
      </c>
      <c r="AP125">
        <v>0.5</v>
      </c>
      <c r="AQ125" t="s">
        <v>331</v>
      </c>
      <c r="AR125">
        <v>2</v>
      </c>
      <c r="AS125">
        <v>1690374966.0999999</v>
      </c>
      <c r="AT125">
        <v>446.30900000000003</v>
      </c>
      <c r="AU125">
        <v>800.28099999999995</v>
      </c>
      <c r="AV125">
        <v>24.273800000000001</v>
      </c>
      <c r="AW125">
        <v>0.97349300000000005</v>
      </c>
      <c r="AX125">
        <v>447.43099999999998</v>
      </c>
      <c r="AY125">
        <v>24.091000000000001</v>
      </c>
      <c r="AZ125">
        <v>300.05599999999998</v>
      </c>
      <c r="BA125">
        <v>98.707300000000004</v>
      </c>
      <c r="BB125">
        <v>9.9900000000000003E-2</v>
      </c>
      <c r="BC125">
        <v>26.5487</v>
      </c>
      <c r="BD125">
        <v>26.9954</v>
      </c>
      <c r="BE125">
        <v>27.8965</v>
      </c>
      <c r="BF125">
        <v>0</v>
      </c>
      <c r="BG125">
        <v>0</v>
      </c>
      <c r="BH125">
        <v>10021.9</v>
      </c>
      <c r="BI125">
        <v>1085.28</v>
      </c>
      <c r="BJ125">
        <v>1.4016500000000001</v>
      </c>
      <c r="BK125">
        <v>-353.97199999999998</v>
      </c>
      <c r="BL125">
        <v>457.41199999999998</v>
      </c>
      <c r="BM125">
        <v>801.06100000000004</v>
      </c>
      <c r="BN125">
        <v>23.3003</v>
      </c>
      <c r="BO125">
        <v>800.28099999999995</v>
      </c>
      <c r="BP125">
        <v>0.97349300000000005</v>
      </c>
      <c r="BQ125">
        <v>2.3959999999999999</v>
      </c>
      <c r="BR125">
        <v>9.6090900000000007E-2</v>
      </c>
      <c r="BS125">
        <v>20.3368</v>
      </c>
      <c r="BT125">
        <v>-23.082599999999999</v>
      </c>
      <c r="BU125">
        <v>1799.99</v>
      </c>
      <c r="BV125">
        <v>0.91001600000000005</v>
      </c>
      <c r="BW125">
        <v>3.4000599999999999E-2</v>
      </c>
      <c r="BX125">
        <v>2.1992299999999999E-2</v>
      </c>
      <c r="BY125">
        <v>3.3990800000000002E-2</v>
      </c>
      <c r="BZ125">
        <v>25</v>
      </c>
      <c r="CA125">
        <v>33528.400000000001</v>
      </c>
      <c r="CB125">
        <v>1690373417</v>
      </c>
      <c r="CC125" t="s">
        <v>332</v>
      </c>
      <c r="CD125">
        <v>1690373417</v>
      </c>
      <c r="CE125">
        <v>1690373415</v>
      </c>
      <c r="CF125">
        <v>1</v>
      </c>
      <c r="CG125">
        <v>-1.319</v>
      </c>
      <c r="CH125">
        <v>0.01</v>
      </c>
      <c r="CI125">
        <v>-1.371</v>
      </c>
      <c r="CJ125">
        <v>0.183</v>
      </c>
      <c r="CK125">
        <v>800</v>
      </c>
      <c r="CL125">
        <v>21</v>
      </c>
      <c r="CM125">
        <v>0.09</v>
      </c>
      <c r="CN125">
        <v>7.0000000000000007E-2</v>
      </c>
      <c r="CO125">
        <v>-351.474425</v>
      </c>
      <c r="CP125">
        <v>-13.05481801125628</v>
      </c>
      <c r="CQ125">
        <v>1.2561079150992529</v>
      </c>
      <c r="CR125">
        <v>-1</v>
      </c>
      <c r="CS125">
        <v>23.124974999999999</v>
      </c>
      <c r="CT125">
        <v>1.0568645403376851</v>
      </c>
      <c r="CU125">
        <v>0.1021962101792431</v>
      </c>
      <c r="CV125">
        <v>-1</v>
      </c>
      <c r="CW125">
        <v>0</v>
      </c>
      <c r="CX125">
        <v>0</v>
      </c>
      <c r="CY125" t="s">
        <v>333</v>
      </c>
      <c r="CZ125">
        <v>2.3652299999999999</v>
      </c>
      <c r="DA125">
        <v>2.7137099999999998</v>
      </c>
      <c r="DB125">
        <v>9.7245499999999999E-2</v>
      </c>
      <c r="DC125">
        <v>0.14579</v>
      </c>
      <c r="DD125">
        <v>0.114661</v>
      </c>
      <c r="DE125">
        <v>7.8128199999999998E-3</v>
      </c>
      <c r="DF125">
        <v>32976.199999999997</v>
      </c>
      <c r="DG125">
        <v>27514.3</v>
      </c>
      <c r="DH125">
        <v>31181.1</v>
      </c>
      <c r="DI125">
        <v>28064.2</v>
      </c>
      <c r="DJ125">
        <v>37468.1</v>
      </c>
      <c r="DK125">
        <v>39580.199999999997</v>
      </c>
      <c r="DL125">
        <v>44369.9</v>
      </c>
      <c r="DM125">
        <v>42511.199999999997</v>
      </c>
      <c r="DN125">
        <v>1.4840500000000001</v>
      </c>
      <c r="DO125">
        <v>2.06677</v>
      </c>
      <c r="DP125">
        <v>0.117809</v>
      </c>
      <c r="DQ125">
        <v>0.17616200000000001</v>
      </c>
      <c r="DR125">
        <v>25.0657</v>
      </c>
      <c r="DS125">
        <v>25.013000000000002</v>
      </c>
      <c r="DT125">
        <v>54</v>
      </c>
      <c r="DU125">
        <v>24.9</v>
      </c>
      <c r="DV125">
        <v>17.290099999999999</v>
      </c>
      <c r="DW125">
        <v>61.5901</v>
      </c>
      <c r="DX125">
        <v>37.075299999999999</v>
      </c>
      <c r="DY125">
        <v>1</v>
      </c>
      <c r="DZ125">
        <v>-0.16791700000000001</v>
      </c>
      <c r="EA125">
        <v>-0.73191700000000004</v>
      </c>
      <c r="EB125">
        <v>20.189299999999999</v>
      </c>
      <c r="EC125">
        <v>5.24125</v>
      </c>
      <c r="ED125">
        <v>12.039899999999999</v>
      </c>
      <c r="EE125">
        <v>5.0169499999999996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1.86876</v>
      </c>
      <c r="EL125">
        <v>1.86442</v>
      </c>
      <c r="EM125">
        <v>1.86907</v>
      </c>
      <c r="EN125">
        <v>1.8670800000000001</v>
      </c>
      <c r="EO125">
        <v>1.8632500000000001</v>
      </c>
      <c r="EP125">
        <v>1.8642300000000001</v>
      </c>
      <c r="EQ125">
        <v>1.8700600000000001</v>
      </c>
      <c r="ER125">
        <v>1.8692599999999999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-1.1220000000000001</v>
      </c>
      <c r="FG125">
        <v>0.18279999999999999</v>
      </c>
      <c r="FH125">
        <v>-0.81947142863283695</v>
      </c>
      <c r="FI125">
        <v>-6.1462078757559423E-4</v>
      </c>
      <c r="FJ125">
        <v>-1.8861989874597051E-7</v>
      </c>
      <c r="FK125">
        <v>1.1980462299894961E-10</v>
      </c>
      <c r="FL125">
        <v>0.18283500000000069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25.8</v>
      </c>
      <c r="FU125">
        <v>25.9</v>
      </c>
      <c r="FV125">
        <v>1.7626999999999999</v>
      </c>
      <c r="FW125">
        <v>2.5524900000000001</v>
      </c>
      <c r="FX125">
        <v>1.5490699999999999</v>
      </c>
      <c r="FY125">
        <v>2.34497</v>
      </c>
      <c r="FZ125">
        <v>1.50146</v>
      </c>
      <c r="GA125">
        <v>2.3571800000000001</v>
      </c>
      <c r="GB125">
        <v>30.48</v>
      </c>
      <c r="GC125">
        <v>23.991199999999999</v>
      </c>
      <c r="GD125">
        <v>19</v>
      </c>
      <c r="GE125">
        <v>282.15100000000001</v>
      </c>
      <c r="GF125">
        <v>597.71299999999997</v>
      </c>
      <c r="GG125">
        <v>25.763000000000002</v>
      </c>
      <c r="GH125">
        <v>25.3171</v>
      </c>
      <c r="GI125">
        <v>30.0002</v>
      </c>
      <c r="GJ125">
        <v>25.438700000000001</v>
      </c>
      <c r="GK125">
        <v>25.408000000000001</v>
      </c>
      <c r="GL125">
        <v>35.244100000000003</v>
      </c>
      <c r="GM125">
        <v>100</v>
      </c>
      <c r="GN125">
        <v>51.135899999999999</v>
      </c>
      <c r="GO125">
        <v>25.767600000000002</v>
      </c>
      <c r="GP125">
        <v>800</v>
      </c>
      <c r="GQ125">
        <v>0.52814099999999997</v>
      </c>
      <c r="GR125">
        <v>99.761200000000002</v>
      </c>
      <c r="GS125">
        <v>99.471199999999996</v>
      </c>
    </row>
    <row r="126" spans="1:201" x14ac:dyDescent="0.25">
      <c r="A126">
        <v>110</v>
      </c>
      <c r="B126">
        <v>1690374976.0999999</v>
      </c>
      <c r="C126">
        <v>1156.599999904633</v>
      </c>
      <c r="D126" t="s">
        <v>553</v>
      </c>
      <c r="E126" t="s">
        <v>554</v>
      </c>
      <c r="F126" t="s">
        <v>330</v>
      </c>
      <c r="H126">
        <v>1690374976.0999999</v>
      </c>
      <c r="I126">
        <f t="shared" si="30"/>
        <v>2.4424548693654305E-3</v>
      </c>
      <c r="J126">
        <f t="shared" si="31"/>
        <v>2.4424548693654304</v>
      </c>
      <c r="K126">
        <f t="shared" si="32"/>
        <v>34.517940131649013</v>
      </c>
      <c r="L126">
        <f t="shared" si="33"/>
        <v>444.24700000000001</v>
      </c>
      <c r="M126">
        <f t="shared" si="34"/>
        <v>119.06139181575722</v>
      </c>
      <c r="N126">
        <f t="shared" si="35"/>
        <v>11.7637152062737</v>
      </c>
      <c r="O126">
        <f t="shared" si="36"/>
        <v>43.893281520919004</v>
      </c>
      <c r="P126">
        <f t="shared" si="37"/>
        <v>0.17978709421836842</v>
      </c>
      <c r="Q126">
        <f t="shared" si="38"/>
        <v>2.2500051765478717</v>
      </c>
      <c r="R126">
        <f t="shared" si="39"/>
        <v>0.17217035859202132</v>
      </c>
      <c r="S126">
        <f t="shared" si="40"/>
        <v>0.10826391730711085</v>
      </c>
      <c r="T126">
        <f t="shared" si="41"/>
        <v>276.11258876265151</v>
      </c>
      <c r="U126">
        <f t="shared" si="42"/>
        <v>27.822059849944015</v>
      </c>
      <c r="V126">
        <f t="shared" si="43"/>
        <v>27.822059849944015</v>
      </c>
      <c r="W126">
        <f t="shared" si="44"/>
        <v>3.7556523481577448</v>
      </c>
      <c r="X126">
        <f t="shared" si="45"/>
        <v>68.76665359460614</v>
      </c>
      <c r="Y126">
        <f t="shared" si="46"/>
        <v>2.3976416153259001</v>
      </c>
      <c r="Z126">
        <f t="shared" si="47"/>
        <v>3.4866341315087115</v>
      </c>
      <c r="AA126">
        <f t="shared" si="48"/>
        <v>1.3580107328318447</v>
      </c>
      <c r="AB126">
        <f t="shared" si="49"/>
        <v>-107.71225973901548</v>
      </c>
      <c r="AC126">
        <f t="shared" si="50"/>
        <v>-153.72150798231522</v>
      </c>
      <c r="AD126">
        <f t="shared" si="51"/>
        <v>-14.772231658984584</v>
      </c>
      <c r="AE126">
        <f t="shared" si="52"/>
        <v>-9.3410617663778339E-2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52300.37185150486</v>
      </c>
      <c r="AK126">
        <f t="shared" si="56"/>
        <v>1799.99</v>
      </c>
      <c r="AL126">
        <f t="shared" si="57"/>
        <v>1499.1055435896001</v>
      </c>
      <c r="AM126">
        <f t="shared" si="58"/>
        <v>0.83284104000000003</v>
      </c>
      <c r="AN126">
        <f t="shared" si="59"/>
        <v>0.15339673485000002</v>
      </c>
      <c r="AO126">
        <v>30</v>
      </c>
      <c r="AP126">
        <v>0.5</v>
      </c>
      <c r="AQ126" t="s">
        <v>331</v>
      </c>
      <c r="AR126">
        <v>2</v>
      </c>
      <c r="AS126">
        <v>1690374976.0999999</v>
      </c>
      <c r="AT126">
        <v>444.24700000000001</v>
      </c>
      <c r="AU126">
        <v>800.06700000000001</v>
      </c>
      <c r="AV126">
        <v>24.2667</v>
      </c>
      <c r="AW126">
        <v>0.448907</v>
      </c>
      <c r="AX126">
        <v>445.36700000000002</v>
      </c>
      <c r="AY126">
        <v>24.0838</v>
      </c>
      <c r="AZ126">
        <v>300.17700000000002</v>
      </c>
      <c r="BA126">
        <v>98.703699999999998</v>
      </c>
      <c r="BB126">
        <v>0.100077</v>
      </c>
      <c r="BC126">
        <v>26.5548</v>
      </c>
      <c r="BD126">
        <v>26.986599999999999</v>
      </c>
      <c r="BE126">
        <v>27.914000000000001</v>
      </c>
      <c r="BF126">
        <v>0</v>
      </c>
      <c r="BG126">
        <v>0</v>
      </c>
      <c r="BH126">
        <v>10006.200000000001</v>
      </c>
      <c r="BI126">
        <v>1085.33</v>
      </c>
      <c r="BJ126">
        <v>1.4016500000000001</v>
      </c>
      <c r="BK126">
        <v>-355.82</v>
      </c>
      <c r="BL126">
        <v>455.29599999999999</v>
      </c>
      <c r="BM126">
        <v>800.42700000000002</v>
      </c>
      <c r="BN126">
        <v>23.817799999999998</v>
      </c>
      <c r="BO126">
        <v>800.06700000000001</v>
      </c>
      <c r="BP126">
        <v>0.448907</v>
      </c>
      <c r="BQ126">
        <v>2.3952100000000001</v>
      </c>
      <c r="BR126">
        <v>4.4308800000000002E-2</v>
      </c>
      <c r="BS126">
        <v>20.331399999999999</v>
      </c>
      <c r="BT126">
        <v>-31.461500000000001</v>
      </c>
      <c r="BU126">
        <v>1799.99</v>
      </c>
      <c r="BV126">
        <v>0.91002000000000005</v>
      </c>
      <c r="BW126">
        <v>3.3999300000000003E-2</v>
      </c>
      <c r="BX126">
        <v>2.1991500000000001E-2</v>
      </c>
      <c r="BY126">
        <v>3.3989499999999999E-2</v>
      </c>
      <c r="BZ126">
        <v>25</v>
      </c>
      <c r="CA126">
        <v>33528.400000000001</v>
      </c>
      <c r="CB126">
        <v>1690373417</v>
      </c>
      <c r="CC126" t="s">
        <v>332</v>
      </c>
      <c r="CD126">
        <v>1690373417</v>
      </c>
      <c r="CE126">
        <v>1690373415</v>
      </c>
      <c r="CF126">
        <v>1</v>
      </c>
      <c r="CG126">
        <v>-1.319</v>
      </c>
      <c r="CH126">
        <v>0.01</v>
      </c>
      <c r="CI126">
        <v>-1.371</v>
      </c>
      <c r="CJ126">
        <v>0.183</v>
      </c>
      <c r="CK126">
        <v>800</v>
      </c>
      <c r="CL126">
        <v>21</v>
      </c>
      <c r="CM126">
        <v>0.09</v>
      </c>
      <c r="CN126">
        <v>7.0000000000000007E-2</v>
      </c>
      <c r="CO126">
        <v>-353.584475</v>
      </c>
      <c r="CP126">
        <v>-12.06782363977419</v>
      </c>
      <c r="CQ126">
        <v>1.16914158653903</v>
      </c>
      <c r="CR126">
        <v>-1</v>
      </c>
      <c r="CS126">
        <v>23.407297499999999</v>
      </c>
      <c r="CT126">
        <v>2.3085061913695588</v>
      </c>
      <c r="CU126">
        <v>0.23458812894890921</v>
      </c>
      <c r="CV126">
        <v>-1</v>
      </c>
      <c r="CW126">
        <v>0</v>
      </c>
      <c r="CX126">
        <v>0</v>
      </c>
      <c r="CY126" t="s">
        <v>333</v>
      </c>
      <c r="CZ126">
        <v>2.3656199999999998</v>
      </c>
      <c r="DA126">
        <v>2.71387</v>
      </c>
      <c r="DB126">
        <v>9.6907099999999996E-2</v>
      </c>
      <c r="DC126">
        <v>0.14574999999999999</v>
      </c>
      <c r="DD126">
        <v>0.114633</v>
      </c>
      <c r="DE126">
        <v>3.7109500000000002E-3</v>
      </c>
      <c r="DF126">
        <v>32988.6</v>
      </c>
      <c r="DG126">
        <v>27515.599999999999</v>
      </c>
      <c r="DH126">
        <v>31181.1</v>
      </c>
      <c r="DI126">
        <v>28064.2</v>
      </c>
      <c r="DJ126">
        <v>37469.4</v>
      </c>
      <c r="DK126">
        <v>39744.199999999997</v>
      </c>
      <c r="DL126">
        <v>44370.1</v>
      </c>
      <c r="DM126">
        <v>42511.1</v>
      </c>
      <c r="DN126">
        <v>1.4841</v>
      </c>
      <c r="DO126">
        <v>2.0672999999999999</v>
      </c>
      <c r="DP126">
        <v>0.117272</v>
      </c>
      <c r="DQ126">
        <v>0.17736099999999999</v>
      </c>
      <c r="DR126">
        <v>25.0657</v>
      </c>
      <c r="DS126">
        <v>25.010899999999999</v>
      </c>
      <c r="DT126">
        <v>53.5</v>
      </c>
      <c r="DU126">
        <v>24.9</v>
      </c>
      <c r="DV126">
        <v>17.1312</v>
      </c>
      <c r="DW126">
        <v>61.9101</v>
      </c>
      <c r="DX126">
        <v>37.419899999999998</v>
      </c>
      <c r="DY126">
        <v>1</v>
      </c>
      <c r="DZ126">
        <v>-0.16795499999999999</v>
      </c>
      <c r="EA126">
        <v>-0.76578199999999996</v>
      </c>
      <c r="EB126">
        <v>20.1889</v>
      </c>
      <c r="EC126">
        <v>5.2413999999999996</v>
      </c>
      <c r="ED126">
        <v>12.039899999999999</v>
      </c>
      <c r="EE126">
        <v>5.0174000000000003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1.8687400000000001</v>
      </c>
      <c r="EL126">
        <v>1.86443</v>
      </c>
      <c r="EM126">
        <v>1.8690599999999999</v>
      </c>
      <c r="EN126">
        <v>1.86707</v>
      </c>
      <c r="EO126">
        <v>1.8632500000000001</v>
      </c>
      <c r="EP126">
        <v>1.86419</v>
      </c>
      <c r="EQ126">
        <v>1.8700399999999999</v>
      </c>
      <c r="ER126">
        <v>1.86924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-1.1200000000000001</v>
      </c>
      <c r="FG126">
        <v>0.18290000000000001</v>
      </c>
      <c r="FH126">
        <v>-0.81947142863283695</v>
      </c>
      <c r="FI126">
        <v>-6.1462078757559423E-4</v>
      </c>
      <c r="FJ126">
        <v>-1.8861989874597051E-7</v>
      </c>
      <c r="FK126">
        <v>1.1980462299894961E-10</v>
      </c>
      <c r="FL126">
        <v>0.18283500000000069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26</v>
      </c>
      <c r="FU126">
        <v>26</v>
      </c>
      <c r="FV126">
        <v>1.7626999999999999</v>
      </c>
      <c r="FW126">
        <v>2.5537100000000001</v>
      </c>
      <c r="FX126">
        <v>1.5490699999999999</v>
      </c>
      <c r="FY126">
        <v>2.34497</v>
      </c>
      <c r="FZ126">
        <v>1.50146</v>
      </c>
      <c r="GA126">
        <v>2.2936999999999999</v>
      </c>
      <c r="GB126">
        <v>30.48</v>
      </c>
      <c r="GC126">
        <v>23.982399999999998</v>
      </c>
      <c r="GD126">
        <v>19</v>
      </c>
      <c r="GE126">
        <v>282.16199999999998</v>
      </c>
      <c r="GF126">
        <v>598.08500000000004</v>
      </c>
      <c r="GG126">
        <v>25.767299999999999</v>
      </c>
      <c r="GH126">
        <v>25.3169</v>
      </c>
      <c r="GI126">
        <v>30</v>
      </c>
      <c r="GJ126">
        <v>25.436599999999999</v>
      </c>
      <c r="GK126">
        <v>25.4023</v>
      </c>
      <c r="GL126">
        <v>35.249299999999998</v>
      </c>
      <c r="GM126">
        <v>100</v>
      </c>
      <c r="GN126">
        <v>49.977499999999999</v>
      </c>
      <c r="GO126">
        <v>25.7713</v>
      </c>
      <c r="GP126">
        <v>800</v>
      </c>
      <c r="GQ126">
        <v>0.30296400000000001</v>
      </c>
      <c r="GR126">
        <v>99.761499999999998</v>
      </c>
      <c r="GS126">
        <v>99.471100000000007</v>
      </c>
    </row>
    <row r="127" spans="1:201" x14ac:dyDescent="0.25">
      <c r="A127">
        <v>111</v>
      </c>
      <c r="B127">
        <v>1690374986.0999999</v>
      </c>
      <c r="C127">
        <v>1166.599999904633</v>
      </c>
      <c r="D127" t="s">
        <v>555</v>
      </c>
      <c r="E127" t="s">
        <v>556</v>
      </c>
      <c r="F127" t="s">
        <v>330</v>
      </c>
      <c r="H127">
        <v>1690374986.0999999</v>
      </c>
      <c r="I127">
        <f t="shared" si="30"/>
        <v>2.4445870225459805E-3</v>
      </c>
      <c r="J127">
        <f t="shared" si="31"/>
        <v>2.4445870225459805</v>
      </c>
      <c r="K127">
        <f t="shared" si="32"/>
        <v>34.712792049346959</v>
      </c>
      <c r="L127">
        <f t="shared" si="33"/>
        <v>442.209</v>
      </c>
      <c r="M127">
        <f t="shared" si="34"/>
        <v>115.09349142320092</v>
      </c>
      <c r="N127">
        <f t="shared" si="35"/>
        <v>11.371755632940697</v>
      </c>
      <c r="O127">
        <f t="shared" si="36"/>
        <v>43.692242059079398</v>
      </c>
      <c r="P127">
        <f t="shared" si="37"/>
        <v>0.17967659769056435</v>
      </c>
      <c r="Q127">
        <f t="shared" si="38"/>
        <v>2.2502614913271288</v>
      </c>
      <c r="R127">
        <f t="shared" si="39"/>
        <v>0.17206983575892051</v>
      </c>
      <c r="S127">
        <f t="shared" si="40"/>
        <v>0.10820024835392397</v>
      </c>
      <c r="T127">
        <f t="shared" si="41"/>
        <v>276.11236320590461</v>
      </c>
      <c r="U127">
        <f t="shared" si="42"/>
        <v>27.818621747868782</v>
      </c>
      <c r="V127">
        <f t="shared" si="43"/>
        <v>27.818621747868782</v>
      </c>
      <c r="W127">
        <f t="shared" si="44"/>
        <v>3.7548986735016432</v>
      </c>
      <c r="X127">
        <f t="shared" si="45"/>
        <v>68.697772708199821</v>
      </c>
      <c r="Y127">
        <f t="shared" si="46"/>
        <v>2.3948730332240999</v>
      </c>
      <c r="Z127">
        <f t="shared" si="47"/>
        <v>3.4860999692035808</v>
      </c>
      <c r="AA127">
        <f t="shared" si="48"/>
        <v>1.3600256402775432</v>
      </c>
      <c r="AB127">
        <f t="shared" si="49"/>
        <v>-107.80628769427774</v>
      </c>
      <c r="AC127">
        <f t="shared" si="50"/>
        <v>-153.63734426644041</v>
      </c>
      <c r="AD127">
        <f t="shared" si="51"/>
        <v>-14.762016558549748</v>
      </c>
      <c r="AE127">
        <f t="shared" si="52"/>
        <v>-9.328531336328183E-2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52310.826121854479</v>
      </c>
      <c r="AK127">
        <f t="shared" si="56"/>
        <v>1799.99</v>
      </c>
      <c r="AL127">
        <f t="shared" si="57"/>
        <v>1499.1055597895099</v>
      </c>
      <c r="AM127">
        <f t="shared" si="58"/>
        <v>0.832841049</v>
      </c>
      <c r="AN127">
        <f t="shared" si="59"/>
        <v>0.15339660954000001</v>
      </c>
      <c r="AO127">
        <v>30</v>
      </c>
      <c r="AP127">
        <v>0.5</v>
      </c>
      <c r="AQ127" t="s">
        <v>331</v>
      </c>
      <c r="AR127">
        <v>2</v>
      </c>
      <c r="AS127">
        <v>1690374986.0999999</v>
      </c>
      <c r="AT127">
        <v>442.209</v>
      </c>
      <c r="AU127">
        <v>800.09699999999998</v>
      </c>
      <c r="AV127">
        <v>24.238499999999998</v>
      </c>
      <c r="AW127">
        <v>0.38850000000000001</v>
      </c>
      <c r="AX127">
        <v>443.32799999999997</v>
      </c>
      <c r="AY127">
        <v>24.055700000000002</v>
      </c>
      <c r="AZ127">
        <v>300.04199999999997</v>
      </c>
      <c r="BA127">
        <v>98.704599999999999</v>
      </c>
      <c r="BB127">
        <v>9.9906599999999998E-2</v>
      </c>
      <c r="BC127">
        <v>26.552199999999999</v>
      </c>
      <c r="BD127">
        <v>26.997399999999999</v>
      </c>
      <c r="BE127">
        <v>27.8672</v>
      </c>
      <c r="BF127">
        <v>0</v>
      </c>
      <c r="BG127">
        <v>0</v>
      </c>
      <c r="BH127">
        <v>10008.1</v>
      </c>
      <c r="BI127">
        <v>1085.4100000000001</v>
      </c>
      <c r="BJ127">
        <v>1.4016500000000001</v>
      </c>
      <c r="BK127">
        <v>-357.88799999999998</v>
      </c>
      <c r="BL127">
        <v>453.19400000000002</v>
      </c>
      <c r="BM127">
        <v>800.40800000000002</v>
      </c>
      <c r="BN127">
        <v>23.85</v>
      </c>
      <c r="BO127">
        <v>800.09699999999998</v>
      </c>
      <c r="BP127">
        <v>0.38850000000000001</v>
      </c>
      <c r="BQ127">
        <v>2.3924500000000002</v>
      </c>
      <c r="BR127">
        <v>3.8346699999999997E-2</v>
      </c>
      <c r="BS127">
        <v>20.312799999999999</v>
      </c>
      <c r="BT127">
        <v>-32.954799999999999</v>
      </c>
      <c r="BU127">
        <v>1799.99</v>
      </c>
      <c r="BV127">
        <v>0.91002300000000003</v>
      </c>
      <c r="BW127">
        <v>3.3998100000000003E-2</v>
      </c>
      <c r="BX127">
        <v>2.1990699999999998E-2</v>
      </c>
      <c r="BY127">
        <v>3.3988200000000003E-2</v>
      </c>
      <c r="BZ127">
        <v>25</v>
      </c>
      <c r="CA127">
        <v>33528.5</v>
      </c>
      <c r="CB127">
        <v>1690373417</v>
      </c>
      <c r="CC127" t="s">
        <v>332</v>
      </c>
      <c r="CD127">
        <v>1690373417</v>
      </c>
      <c r="CE127">
        <v>1690373415</v>
      </c>
      <c r="CF127">
        <v>1</v>
      </c>
      <c r="CG127">
        <v>-1.319</v>
      </c>
      <c r="CH127">
        <v>0.01</v>
      </c>
      <c r="CI127">
        <v>-1.371</v>
      </c>
      <c r="CJ127">
        <v>0.183</v>
      </c>
      <c r="CK127">
        <v>800</v>
      </c>
      <c r="CL127">
        <v>21</v>
      </c>
      <c r="CM127">
        <v>0.09</v>
      </c>
      <c r="CN127">
        <v>7.0000000000000007E-2</v>
      </c>
      <c r="CO127">
        <v>-355.48134146341471</v>
      </c>
      <c r="CP127">
        <v>-11.928689895470839</v>
      </c>
      <c r="CQ127">
        <v>1.183369777264994</v>
      </c>
      <c r="CR127">
        <v>-1</v>
      </c>
      <c r="CS127">
        <v>23.692248780487809</v>
      </c>
      <c r="CT127">
        <v>1.736644599303143</v>
      </c>
      <c r="CU127">
        <v>0.19635054407118241</v>
      </c>
      <c r="CV127">
        <v>-1</v>
      </c>
      <c r="CW127">
        <v>0</v>
      </c>
      <c r="CX127">
        <v>0</v>
      </c>
      <c r="CY127" t="s">
        <v>333</v>
      </c>
      <c r="CZ127">
        <v>2.36517</v>
      </c>
      <c r="DA127">
        <v>2.7136999999999998</v>
      </c>
      <c r="DB127">
        <v>9.6575800000000003E-2</v>
      </c>
      <c r="DC127">
        <v>0.14575299999999999</v>
      </c>
      <c r="DD127">
        <v>0.114541</v>
      </c>
      <c r="DE127">
        <v>3.2231400000000002E-3</v>
      </c>
      <c r="DF127">
        <v>33000.9</v>
      </c>
      <c r="DG127">
        <v>27515.200000000001</v>
      </c>
      <c r="DH127">
        <v>31181.3</v>
      </c>
      <c r="DI127">
        <v>28063.9</v>
      </c>
      <c r="DJ127">
        <v>37473.699999999997</v>
      </c>
      <c r="DK127">
        <v>39763.300000000003</v>
      </c>
      <c r="DL127">
        <v>44370.5</v>
      </c>
      <c r="DM127">
        <v>42510.6</v>
      </c>
      <c r="DN127">
        <v>1.48427</v>
      </c>
      <c r="DO127">
        <v>2.0671200000000001</v>
      </c>
      <c r="DP127">
        <v>0.117801</v>
      </c>
      <c r="DQ127">
        <v>0.17436599999999999</v>
      </c>
      <c r="DR127">
        <v>25.067799999999998</v>
      </c>
      <c r="DS127">
        <v>25.013000000000002</v>
      </c>
      <c r="DT127">
        <v>53</v>
      </c>
      <c r="DU127">
        <v>24.9</v>
      </c>
      <c r="DV127">
        <v>16.971399999999999</v>
      </c>
      <c r="DW127">
        <v>61.720100000000002</v>
      </c>
      <c r="DX127">
        <v>37.007199999999997</v>
      </c>
      <c r="DY127">
        <v>1</v>
      </c>
      <c r="DZ127">
        <v>-0.168013</v>
      </c>
      <c r="EA127">
        <v>-0.79483700000000002</v>
      </c>
      <c r="EB127">
        <v>20.188700000000001</v>
      </c>
      <c r="EC127">
        <v>5.24125</v>
      </c>
      <c r="ED127">
        <v>12.039899999999999</v>
      </c>
      <c r="EE127">
        <v>5.0168499999999998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1.8687400000000001</v>
      </c>
      <c r="EL127">
        <v>1.8644000000000001</v>
      </c>
      <c r="EM127">
        <v>1.8690599999999999</v>
      </c>
      <c r="EN127">
        <v>1.86707</v>
      </c>
      <c r="EO127">
        <v>1.86324</v>
      </c>
      <c r="EP127">
        <v>1.8642000000000001</v>
      </c>
      <c r="EQ127">
        <v>1.8700300000000001</v>
      </c>
      <c r="ER127">
        <v>1.8692200000000001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-1.119</v>
      </c>
      <c r="FG127">
        <v>0.18279999999999999</v>
      </c>
      <c r="FH127">
        <v>-0.81947142863283695</v>
      </c>
      <c r="FI127">
        <v>-6.1462078757559423E-4</v>
      </c>
      <c r="FJ127">
        <v>-1.8861989874597051E-7</v>
      </c>
      <c r="FK127">
        <v>1.1980462299894961E-10</v>
      </c>
      <c r="FL127">
        <v>0.18283500000000069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26.2</v>
      </c>
      <c r="FU127">
        <v>26.2</v>
      </c>
      <c r="FV127">
        <v>1.7626999999999999</v>
      </c>
      <c r="FW127">
        <v>2.5512700000000001</v>
      </c>
      <c r="FX127">
        <v>1.5490699999999999</v>
      </c>
      <c r="FY127">
        <v>2.34375</v>
      </c>
      <c r="FZ127">
        <v>1.50146</v>
      </c>
      <c r="GA127">
        <v>2.3962400000000001</v>
      </c>
      <c r="GB127">
        <v>30.48</v>
      </c>
      <c r="GC127">
        <v>23.991199999999999</v>
      </c>
      <c r="GD127">
        <v>19</v>
      </c>
      <c r="GE127">
        <v>282.226</v>
      </c>
      <c r="GF127">
        <v>597.96299999999997</v>
      </c>
      <c r="GG127">
        <v>25.778500000000001</v>
      </c>
      <c r="GH127">
        <v>25.315000000000001</v>
      </c>
      <c r="GI127">
        <v>30</v>
      </c>
      <c r="GJ127">
        <v>25.4345</v>
      </c>
      <c r="GK127">
        <v>25.404399999999999</v>
      </c>
      <c r="GL127">
        <v>35.246000000000002</v>
      </c>
      <c r="GM127">
        <v>100</v>
      </c>
      <c r="GN127">
        <v>48.823900000000002</v>
      </c>
      <c r="GO127">
        <v>25.789899999999999</v>
      </c>
      <c r="GP127">
        <v>800</v>
      </c>
      <c r="GQ127">
        <v>8.8838E-2</v>
      </c>
      <c r="GR127">
        <v>99.7624</v>
      </c>
      <c r="GS127">
        <v>99.469800000000006</v>
      </c>
    </row>
    <row r="128" spans="1:201" x14ac:dyDescent="0.25">
      <c r="A128">
        <v>112</v>
      </c>
      <c r="B128">
        <v>1690374996.0999999</v>
      </c>
      <c r="C128">
        <v>1176.599999904633</v>
      </c>
      <c r="D128" t="s">
        <v>557</v>
      </c>
      <c r="E128" t="s">
        <v>558</v>
      </c>
      <c r="F128" t="s">
        <v>330</v>
      </c>
      <c r="H128">
        <v>1690374996.0999999</v>
      </c>
      <c r="I128">
        <f t="shared" si="30"/>
        <v>2.4490449352043415E-3</v>
      </c>
      <c r="J128">
        <f t="shared" si="31"/>
        <v>2.4490449352043417</v>
      </c>
      <c r="K128">
        <f t="shared" si="32"/>
        <v>34.918090831702791</v>
      </c>
      <c r="L128">
        <f t="shared" si="33"/>
        <v>440.19600000000003</v>
      </c>
      <c r="M128">
        <f t="shared" si="34"/>
        <v>111.90874219882794</v>
      </c>
      <c r="N128">
        <f t="shared" si="35"/>
        <v>11.057305753257994</v>
      </c>
      <c r="O128">
        <f t="shared" si="36"/>
        <v>43.494204900572406</v>
      </c>
      <c r="P128">
        <f t="shared" si="37"/>
        <v>0.18007451499303342</v>
      </c>
      <c r="Q128">
        <f t="shared" si="38"/>
        <v>2.2461001431038263</v>
      </c>
      <c r="R128">
        <f t="shared" si="39"/>
        <v>0.17242128614143717</v>
      </c>
      <c r="S128">
        <f t="shared" si="40"/>
        <v>0.10842381069372069</v>
      </c>
      <c r="T128">
        <f t="shared" si="41"/>
        <v>276.11391450928625</v>
      </c>
      <c r="U128">
        <f t="shared" si="42"/>
        <v>27.821790356128091</v>
      </c>
      <c r="V128">
        <f t="shared" si="43"/>
        <v>27.821790356128091</v>
      </c>
      <c r="W128">
        <f t="shared" si="44"/>
        <v>3.755593267000505</v>
      </c>
      <c r="X128">
        <f t="shared" si="45"/>
        <v>68.715643597594479</v>
      </c>
      <c r="Y128">
        <f t="shared" si="46"/>
        <v>2.3958489650260102</v>
      </c>
      <c r="Z128">
        <f t="shared" si="47"/>
        <v>3.4866135854832936</v>
      </c>
      <c r="AA128">
        <f t="shared" si="48"/>
        <v>1.3597443019744948</v>
      </c>
      <c r="AB128">
        <f t="shared" si="49"/>
        <v>-108.00288164251147</v>
      </c>
      <c r="AC128">
        <f t="shared" si="50"/>
        <v>-153.43418979107841</v>
      </c>
      <c r="AD128">
        <f t="shared" si="51"/>
        <v>-14.770228610549951</v>
      </c>
      <c r="AE128">
        <f t="shared" si="52"/>
        <v>-9.3385534853581476E-2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52148.521436612107</v>
      </c>
      <c r="AK128">
        <f t="shared" si="56"/>
        <v>1799.99</v>
      </c>
      <c r="AL128">
        <f t="shared" si="57"/>
        <v>1499.1072229802699</v>
      </c>
      <c r="AM128">
        <f t="shared" si="58"/>
        <v>0.83284197299999996</v>
      </c>
      <c r="AN128">
        <f t="shared" si="59"/>
        <v>0.15339747138000001</v>
      </c>
      <c r="AO128">
        <v>30</v>
      </c>
      <c r="AP128">
        <v>0.5</v>
      </c>
      <c r="AQ128" t="s">
        <v>331</v>
      </c>
      <c r="AR128">
        <v>2</v>
      </c>
      <c r="AS128">
        <v>1690374996.0999999</v>
      </c>
      <c r="AT128">
        <v>440.19600000000003</v>
      </c>
      <c r="AU128">
        <v>799.99199999999996</v>
      </c>
      <c r="AV128">
        <v>24.247900000000001</v>
      </c>
      <c r="AW128">
        <v>0.36227999999999999</v>
      </c>
      <c r="AX128">
        <v>441.31299999999999</v>
      </c>
      <c r="AY128">
        <v>24.065000000000001</v>
      </c>
      <c r="AZ128">
        <v>300.13799999999998</v>
      </c>
      <c r="BA128">
        <v>98.706500000000005</v>
      </c>
      <c r="BB128">
        <v>9.9951899999999996E-2</v>
      </c>
      <c r="BC128">
        <v>26.5547</v>
      </c>
      <c r="BD128">
        <v>27.005400000000002</v>
      </c>
      <c r="BE128">
        <v>27.880400000000002</v>
      </c>
      <c r="BF128">
        <v>0</v>
      </c>
      <c r="BG128">
        <v>0</v>
      </c>
      <c r="BH128">
        <v>9975.6200000000008</v>
      </c>
      <c r="BI128">
        <v>1085.5899999999999</v>
      </c>
      <c r="BJ128">
        <v>1.4016500000000001</v>
      </c>
      <c r="BK128">
        <v>-359.79599999999999</v>
      </c>
      <c r="BL128">
        <v>451.13499999999999</v>
      </c>
      <c r="BM128">
        <v>800.28200000000004</v>
      </c>
      <c r="BN128">
        <v>23.8856</v>
      </c>
      <c r="BO128">
        <v>799.99199999999996</v>
      </c>
      <c r="BP128">
        <v>0.36227999999999999</v>
      </c>
      <c r="BQ128">
        <v>2.3934199999999999</v>
      </c>
      <c r="BR128">
        <v>3.5759399999999997E-2</v>
      </c>
      <c r="BS128">
        <v>20.319299999999998</v>
      </c>
      <c r="BT128">
        <v>-33.6691</v>
      </c>
      <c r="BU128">
        <v>1799.99</v>
      </c>
      <c r="BV128">
        <v>0.91001500000000002</v>
      </c>
      <c r="BW128">
        <v>3.3996600000000002E-2</v>
      </c>
      <c r="BX128">
        <v>2.2001900000000001E-2</v>
      </c>
      <c r="BY128">
        <v>3.3986799999999998E-2</v>
      </c>
      <c r="BZ128">
        <v>25</v>
      </c>
      <c r="CA128">
        <v>33528.300000000003</v>
      </c>
      <c r="CB128">
        <v>1690373417</v>
      </c>
      <c r="CC128" t="s">
        <v>332</v>
      </c>
      <c r="CD128">
        <v>1690373417</v>
      </c>
      <c r="CE128">
        <v>1690373415</v>
      </c>
      <c r="CF128">
        <v>1</v>
      </c>
      <c r="CG128">
        <v>-1.319</v>
      </c>
      <c r="CH128">
        <v>0.01</v>
      </c>
      <c r="CI128">
        <v>-1.371</v>
      </c>
      <c r="CJ128">
        <v>0.183</v>
      </c>
      <c r="CK128">
        <v>800</v>
      </c>
      <c r="CL128">
        <v>21</v>
      </c>
      <c r="CM128">
        <v>0.09</v>
      </c>
      <c r="CN128">
        <v>7.0000000000000007E-2</v>
      </c>
      <c r="CO128">
        <v>-357.67592500000001</v>
      </c>
      <c r="CP128">
        <v>-12.201917448404661</v>
      </c>
      <c r="CQ128">
        <v>1.174046259469788</v>
      </c>
      <c r="CR128">
        <v>-1</v>
      </c>
      <c r="CS128">
        <v>23.848602499999998</v>
      </c>
      <c r="CT128">
        <v>0.17901275797365071</v>
      </c>
      <c r="CU128">
        <v>1.7309700856745151E-2</v>
      </c>
      <c r="CV128">
        <v>-1</v>
      </c>
      <c r="CW128">
        <v>0</v>
      </c>
      <c r="CX128">
        <v>0</v>
      </c>
      <c r="CY128" t="s">
        <v>333</v>
      </c>
      <c r="CZ128">
        <v>2.36551</v>
      </c>
      <c r="DA128">
        <v>2.7137199999999999</v>
      </c>
      <c r="DB128">
        <v>9.6248700000000006E-2</v>
      </c>
      <c r="DC128">
        <v>0.14574300000000001</v>
      </c>
      <c r="DD128">
        <v>0.114574</v>
      </c>
      <c r="DE128">
        <v>3.0103700000000001E-3</v>
      </c>
      <c r="DF128">
        <v>33012.9</v>
      </c>
      <c r="DG128">
        <v>27515.4</v>
      </c>
      <c r="DH128">
        <v>31181.3</v>
      </c>
      <c r="DI128">
        <v>28063.7</v>
      </c>
      <c r="DJ128">
        <v>37472.199999999997</v>
      </c>
      <c r="DK128">
        <v>39771.5</v>
      </c>
      <c r="DL128">
        <v>44370.5</v>
      </c>
      <c r="DM128">
        <v>42510.3</v>
      </c>
      <c r="DN128">
        <v>1.4844200000000001</v>
      </c>
      <c r="DO128">
        <v>2.0668000000000002</v>
      </c>
      <c r="DP128">
        <v>0.118293</v>
      </c>
      <c r="DQ128">
        <v>0.175178</v>
      </c>
      <c r="DR128">
        <v>25.067799999999998</v>
      </c>
      <c r="DS128">
        <v>25.013000000000002</v>
      </c>
      <c r="DT128">
        <v>52.5</v>
      </c>
      <c r="DU128">
        <v>24.9</v>
      </c>
      <c r="DV128">
        <v>16.812200000000001</v>
      </c>
      <c r="DW128">
        <v>61.650100000000002</v>
      </c>
      <c r="DX128">
        <v>37.067300000000003</v>
      </c>
      <c r="DY128">
        <v>1</v>
      </c>
      <c r="DZ128">
        <v>-0.16821900000000001</v>
      </c>
      <c r="EA128">
        <v>-0.78329000000000004</v>
      </c>
      <c r="EB128">
        <v>20.188800000000001</v>
      </c>
      <c r="EC128">
        <v>5.2418500000000003</v>
      </c>
      <c r="ED128">
        <v>12.039899999999999</v>
      </c>
      <c r="EE128">
        <v>5.0171000000000001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1.8687499999999999</v>
      </c>
      <c r="EL128">
        <v>1.8644099999999999</v>
      </c>
      <c r="EM128">
        <v>1.8690500000000001</v>
      </c>
      <c r="EN128">
        <v>1.86707</v>
      </c>
      <c r="EO128">
        <v>1.8632500000000001</v>
      </c>
      <c r="EP128">
        <v>1.8642099999999999</v>
      </c>
      <c r="EQ128">
        <v>1.87008</v>
      </c>
      <c r="ER128">
        <v>1.8692200000000001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-1.117</v>
      </c>
      <c r="FG128">
        <v>0.18290000000000001</v>
      </c>
      <c r="FH128">
        <v>-0.81947142863283695</v>
      </c>
      <c r="FI128">
        <v>-6.1462078757559423E-4</v>
      </c>
      <c r="FJ128">
        <v>-1.8861989874597051E-7</v>
      </c>
      <c r="FK128">
        <v>1.1980462299894961E-10</v>
      </c>
      <c r="FL128">
        <v>0.18283500000000069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26.3</v>
      </c>
      <c r="FU128">
        <v>26.4</v>
      </c>
      <c r="FV128">
        <v>1.7626999999999999</v>
      </c>
      <c r="FW128">
        <v>2.5573700000000001</v>
      </c>
      <c r="FX128">
        <v>1.5490699999999999</v>
      </c>
      <c r="FY128">
        <v>2.34497</v>
      </c>
      <c r="FZ128">
        <v>1.50146</v>
      </c>
      <c r="GA128">
        <v>2.2717299999999998</v>
      </c>
      <c r="GB128">
        <v>30.5015</v>
      </c>
      <c r="GC128">
        <v>23.991199999999999</v>
      </c>
      <c r="GD128">
        <v>19</v>
      </c>
      <c r="GE128">
        <v>282.28899999999999</v>
      </c>
      <c r="GF128">
        <v>597.69000000000005</v>
      </c>
      <c r="GG128">
        <v>25.7928</v>
      </c>
      <c r="GH128">
        <v>25.3142</v>
      </c>
      <c r="GI128">
        <v>29.9999</v>
      </c>
      <c r="GJ128">
        <v>25.4345</v>
      </c>
      <c r="GK128">
        <v>25.404399999999999</v>
      </c>
      <c r="GL128">
        <v>35.246600000000001</v>
      </c>
      <c r="GM128">
        <v>100</v>
      </c>
      <c r="GN128">
        <v>47.630299999999998</v>
      </c>
      <c r="GO128">
        <v>25.795500000000001</v>
      </c>
      <c r="GP128">
        <v>800</v>
      </c>
      <c r="GQ128">
        <v>0</v>
      </c>
      <c r="GR128">
        <v>99.7624</v>
      </c>
      <c r="GS128">
        <v>99.469300000000004</v>
      </c>
    </row>
    <row r="129" spans="1:201" x14ac:dyDescent="0.25">
      <c r="A129">
        <v>113</v>
      </c>
      <c r="B129">
        <v>1690375006.0999999</v>
      </c>
      <c r="C129">
        <v>1186.599999904633</v>
      </c>
      <c r="D129" t="s">
        <v>559</v>
      </c>
      <c r="E129" t="s">
        <v>560</v>
      </c>
      <c r="F129" t="s">
        <v>330</v>
      </c>
      <c r="H129">
        <v>1690375006.0999999</v>
      </c>
      <c r="I129">
        <f t="shared" si="30"/>
        <v>2.4542461506697247E-3</v>
      </c>
      <c r="J129">
        <f t="shared" si="31"/>
        <v>2.4542461506697246</v>
      </c>
      <c r="K129">
        <f t="shared" si="32"/>
        <v>35.113460630038077</v>
      </c>
      <c r="L129">
        <f t="shared" si="33"/>
        <v>438.20299999999997</v>
      </c>
      <c r="M129">
        <f t="shared" si="34"/>
        <v>110.18387115158932</v>
      </c>
      <c r="N129">
        <f t="shared" si="35"/>
        <v>10.886866930682711</v>
      </c>
      <c r="O129">
        <f t="shared" si="36"/>
        <v>43.2972421441116</v>
      </c>
      <c r="P129">
        <f t="shared" si="37"/>
        <v>0.18122076238133619</v>
      </c>
      <c r="Q129">
        <f t="shared" si="38"/>
        <v>2.251661583392532</v>
      </c>
      <c r="R129">
        <f t="shared" si="39"/>
        <v>0.17349030635709128</v>
      </c>
      <c r="S129">
        <f t="shared" si="40"/>
        <v>0.10909851184434138</v>
      </c>
      <c r="T129">
        <f t="shared" si="41"/>
        <v>276.1149343296205</v>
      </c>
      <c r="U129">
        <f t="shared" si="42"/>
        <v>27.814419160212658</v>
      </c>
      <c r="V129">
        <f t="shared" si="43"/>
        <v>27.814419160212658</v>
      </c>
      <c r="W129">
        <f t="shared" si="44"/>
        <v>3.7539775933634418</v>
      </c>
      <c r="X129">
        <f t="shared" si="45"/>
        <v>68.839156849567132</v>
      </c>
      <c r="Y129">
        <f t="shared" si="46"/>
        <v>2.3997594004950002</v>
      </c>
      <c r="Z129">
        <f t="shared" si="47"/>
        <v>3.4860383396896446</v>
      </c>
      <c r="AA129">
        <f t="shared" si="48"/>
        <v>1.3542181928684416</v>
      </c>
      <c r="AB129">
        <f t="shared" si="49"/>
        <v>-108.23225524453485</v>
      </c>
      <c r="AC129">
        <f t="shared" si="50"/>
        <v>-153.25919473434499</v>
      </c>
      <c r="AD129">
        <f t="shared" si="51"/>
        <v>-14.71619462640718</v>
      </c>
      <c r="AE129">
        <f t="shared" si="52"/>
        <v>-9.2710275666519237E-2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52365.455603073904</v>
      </c>
      <c r="AK129">
        <f t="shared" si="56"/>
        <v>1799.99</v>
      </c>
      <c r="AL129">
        <f t="shared" si="57"/>
        <v>1499.1077215775001</v>
      </c>
      <c r="AM129">
        <f t="shared" si="58"/>
        <v>0.83284225000000001</v>
      </c>
      <c r="AN129">
        <f t="shared" si="59"/>
        <v>0.15339803795000001</v>
      </c>
      <c r="AO129">
        <v>30</v>
      </c>
      <c r="AP129">
        <v>0.5</v>
      </c>
      <c r="AQ129" t="s">
        <v>331</v>
      </c>
      <c r="AR129">
        <v>2</v>
      </c>
      <c r="AS129">
        <v>1690375006.0999999</v>
      </c>
      <c r="AT129">
        <v>438.20299999999997</v>
      </c>
      <c r="AU129">
        <v>800.01499999999999</v>
      </c>
      <c r="AV129">
        <v>24.287500000000001</v>
      </c>
      <c r="AW129">
        <v>0.346221</v>
      </c>
      <c r="AX129">
        <v>439.31900000000002</v>
      </c>
      <c r="AY129">
        <v>24.104600000000001</v>
      </c>
      <c r="AZ129">
        <v>300.06400000000002</v>
      </c>
      <c r="BA129">
        <v>98.706400000000002</v>
      </c>
      <c r="BB129">
        <v>9.9957199999999996E-2</v>
      </c>
      <c r="BC129">
        <v>26.5519</v>
      </c>
      <c r="BD129">
        <v>26.964600000000001</v>
      </c>
      <c r="BE129">
        <v>27.860399999999998</v>
      </c>
      <c r="BF129">
        <v>0</v>
      </c>
      <c r="BG129">
        <v>0</v>
      </c>
      <c r="BH129">
        <v>10018.799999999999</v>
      </c>
      <c r="BI129">
        <v>1085.7</v>
      </c>
      <c r="BJ129">
        <v>1.4016500000000001</v>
      </c>
      <c r="BK129">
        <v>-361.81200000000001</v>
      </c>
      <c r="BL129">
        <v>449.11099999999999</v>
      </c>
      <c r="BM129">
        <v>800.29200000000003</v>
      </c>
      <c r="BN129">
        <v>23.941299999999998</v>
      </c>
      <c r="BO129">
        <v>800.01499999999999</v>
      </c>
      <c r="BP129">
        <v>0.346221</v>
      </c>
      <c r="BQ129">
        <v>2.3973300000000002</v>
      </c>
      <c r="BR129">
        <v>3.4174200000000002E-2</v>
      </c>
      <c r="BS129">
        <v>20.345700000000001</v>
      </c>
      <c r="BT129">
        <v>-34.130099999999999</v>
      </c>
      <c r="BU129">
        <v>1799.99</v>
      </c>
      <c r="BV129">
        <v>0.91000700000000001</v>
      </c>
      <c r="BW129">
        <v>3.3994900000000002E-2</v>
      </c>
      <c r="BX129">
        <v>2.2009500000000001E-2</v>
      </c>
      <c r="BY129">
        <v>3.3988900000000002E-2</v>
      </c>
      <c r="BZ129">
        <v>25</v>
      </c>
      <c r="CA129">
        <v>33528.1</v>
      </c>
      <c r="CB129">
        <v>1690373417</v>
      </c>
      <c r="CC129" t="s">
        <v>332</v>
      </c>
      <c r="CD129">
        <v>1690373417</v>
      </c>
      <c r="CE129">
        <v>1690373415</v>
      </c>
      <c r="CF129">
        <v>1</v>
      </c>
      <c r="CG129">
        <v>-1.319</v>
      </c>
      <c r="CH129">
        <v>0.01</v>
      </c>
      <c r="CI129">
        <v>-1.371</v>
      </c>
      <c r="CJ129">
        <v>0.183</v>
      </c>
      <c r="CK129">
        <v>800</v>
      </c>
      <c r="CL129">
        <v>21</v>
      </c>
      <c r="CM129">
        <v>0.09</v>
      </c>
      <c r="CN129">
        <v>7.0000000000000007E-2</v>
      </c>
      <c r="CO129">
        <v>-359.66550000000001</v>
      </c>
      <c r="CP129">
        <v>-11.772675422138059</v>
      </c>
      <c r="CQ129">
        <v>1.132894589094678</v>
      </c>
      <c r="CR129">
        <v>-1</v>
      </c>
      <c r="CS129">
        <v>23.885200000000001</v>
      </c>
      <c r="CT129">
        <v>0.26459437148210252</v>
      </c>
      <c r="CU129">
        <v>2.5658390440555529E-2</v>
      </c>
      <c r="CV129">
        <v>-1</v>
      </c>
      <c r="CW129">
        <v>0</v>
      </c>
      <c r="CX129">
        <v>0</v>
      </c>
      <c r="CY129" t="s">
        <v>333</v>
      </c>
      <c r="CZ129">
        <v>2.3652700000000002</v>
      </c>
      <c r="DA129">
        <v>2.7137600000000002</v>
      </c>
      <c r="DB129">
        <v>9.5922800000000003E-2</v>
      </c>
      <c r="DC129">
        <v>0.14574599999999999</v>
      </c>
      <c r="DD129">
        <v>0.114706</v>
      </c>
      <c r="DE129">
        <v>2.8797100000000002E-3</v>
      </c>
      <c r="DF129">
        <v>33024.800000000003</v>
      </c>
      <c r="DG129">
        <v>27516</v>
      </c>
      <c r="DH129">
        <v>31181.3</v>
      </c>
      <c r="DI129">
        <v>28064.400000000001</v>
      </c>
      <c r="DJ129">
        <v>37466.400000000001</v>
      </c>
      <c r="DK129">
        <v>39777.800000000003</v>
      </c>
      <c r="DL129">
        <v>44370.3</v>
      </c>
      <c r="DM129">
        <v>42511.4</v>
      </c>
      <c r="DN129">
        <v>1.48465</v>
      </c>
      <c r="DO129">
        <v>2.0663999999999998</v>
      </c>
      <c r="DP129">
        <v>0.115797</v>
      </c>
      <c r="DQ129">
        <v>0.173822</v>
      </c>
      <c r="DR129">
        <v>25.067799999999998</v>
      </c>
      <c r="DS129">
        <v>25.0151</v>
      </c>
      <c r="DT129">
        <v>52</v>
      </c>
      <c r="DU129">
        <v>24.9</v>
      </c>
      <c r="DV129">
        <v>16.654</v>
      </c>
      <c r="DW129">
        <v>61.670099999999998</v>
      </c>
      <c r="DX129">
        <v>37.496000000000002</v>
      </c>
      <c r="DY129">
        <v>1</v>
      </c>
      <c r="DZ129">
        <v>-0.16814999999999999</v>
      </c>
      <c r="EA129">
        <v>-0.817056</v>
      </c>
      <c r="EB129">
        <v>20.188700000000001</v>
      </c>
      <c r="EC129">
        <v>5.2424499999999998</v>
      </c>
      <c r="ED129">
        <v>12.039899999999999</v>
      </c>
      <c r="EE129">
        <v>5.0172499999999998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1.86877</v>
      </c>
      <c r="EL129">
        <v>1.8644400000000001</v>
      </c>
      <c r="EM129">
        <v>1.86907</v>
      </c>
      <c r="EN129">
        <v>1.86707</v>
      </c>
      <c r="EO129">
        <v>1.86324</v>
      </c>
      <c r="EP129">
        <v>1.8642099999999999</v>
      </c>
      <c r="EQ129">
        <v>1.87008</v>
      </c>
      <c r="ER129">
        <v>1.8692599999999999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-1.1160000000000001</v>
      </c>
      <c r="FG129">
        <v>0.18290000000000001</v>
      </c>
      <c r="FH129">
        <v>-0.81947142863283695</v>
      </c>
      <c r="FI129">
        <v>-6.1462078757559423E-4</v>
      </c>
      <c r="FJ129">
        <v>-1.8861989874597051E-7</v>
      </c>
      <c r="FK129">
        <v>1.1980462299894961E-10</v>
      </c>
      <c r="FL129">
        <v>0.18283500000000069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26.5</v>
      </c>
      <c r="FU129">
        <v>26.5</v>
      </c>
      <c r="FV129">
        <v>1.7626999999999999</v>
      </c>
      <c r="FW129">
        <v>2.5524900000000001</v>
      </c>
      <c r="FX129">
        <v>1.5490699999999999</v>
      </c>
      <c r="FY129">
        <v>2.34375</v>
      </c>
      <c r="FZ129">
        <v>1.50146</v>
      </c>
      <c r="GA129">
        <v>2.3803700000000001</v>
      </c>
      <c r="GB129">
        <v>30.5015</v>
      </c>
      <c r="GC129">
        <v>23.991199999999999</v>
      </c>
      <c r="GD129">
        <v>19</v>
      </c>
      <c r="GE129">
        <v>282.38400000000001</v>
      </c>
      <c r="GF129">
        <v>597.33000000000004</v>
      </c>
      <c r="GG129">
        <v>25.801200000000001</v>
      </c>
      <c r="GH129">
        <v>25.312799999999999</v>
      </c>
      <c r="GI129">
        <v>30.0001</v>
      </c>
      <c r="GJ129">
        <v>25.4345</v>
      </c>
      <c r="GK129">
        <v>25.4023</v>
      </c>
      <c r="GL129">
        <v>35.2468</v>
      </c>
      <c r="GM129">
        <v>100</v>
      </c>
      <c r="GN129">
        <v>46.843200000000003</v>
      </c>
      <c r="GO129">
        <v>25.820499999999999</v>
      </c>
      <c r="GP129">
        <v>800</v>
      </c>
      <c r="GQ129">
        <v>0</v>
      </c>
      <c r="GR129">
        <v>99.762100000000004</v>
      </c>
      <c r="GS129">
        <v>99.471800000000002</v>
      </c>
    </row>
    <row r="130" spans="1:201" x14ac:dyDescent="0.25">
      <c r="A130">
        <v>114</v>
      </c>
      <c r="B130">
        <v>1690375016.0999999</v>
      </c>
      <c r="C130">
        <v>1196.599999904633</v>
      </c>
      <c r="D130" t="s">
        <v>561</v>
      </c>
      <c r="E130" t="s">
        <v>562</v>
      </c>
      <c r="F130" t="s">
        <v>330</v>
      </c>
      <c r="H130">
        <v>1690375016.0999999</v>
      </c>
      <c r="I130">
        <f t="shared" si="30"/>
        <v>2.4612344799041365E-3</v>
      </c>
      <c r="J130">
        <f t="shared" si="31"/>
        <v>2.4612344799041366</v>
      </c>
      <c r="K130">
        <f t="shared" si="32"/>
        <v>35.307698942098327</v>
      </c>
      <c r="L130">
        <f t="shared" si="33"/>
        <v>436.31700000000001</v>
      </c>
      <c r="M130">
        <f t="shared" si="34"/>
        <v>108.49643130397746</v>
      </c>
      <c r="N130">
        <f t="shared" si="35"/>
        <v>10.720389975579925</v>
      </c>
      <c r="O130">
        <f t="shared" si="36"/>
        <v>43.111910103937497</v>
      </c>
      <c r="P130">
        <f t="shared" si="37"/>
        <v>0.18234575455190877</v>
      </c>
      <c r="Q130">
        <f t="shared" si="38"/>
        <v>2.2509584233164937</v>
      </c>
      <c r="R130">
        <f t="shared" si="39"/>
        <v>0.174518917650588</v>
      </c>
      <c r="S130">
        <f t="shared" si="40"/>
        <v>0.10974953733479678</v>
      </c>
      <c r="T130">
        <f t="shared" si="41"/>
        <v>276.11630276399995</v>
      </c>
      <c r="U130">
        <f t="shared" si="42"/>
        <v>27.818564479323964</v>
      </c>
      <c r="V130">
        <f t="shared" si="43"/>
        <v>27.818564479323964</v>
      </c>
      <c r="W130">
        <f t="shared" si="44"/>
        <v>3.7548861206431563</v>
      </c>
      <c r="X130">
        <f t="shared" si="45"/>
        <v>68.959692290689105</v>
      </c>
      <c r="Y130">
        <f t="shared" si="46"/>
        <v>2.4048255981124997</v>
      </c>
      <c r="Z130">
        <f t="shared" si="47"/>
        <v>3.4872916601415835</v>
      </c>
      <c r="AA130">
        <f t="shared" si="48"/>
        <v>1.3500605225306566</v>
      </c>
      <c r="AB130">
        <f t="shared" si="49"/>
        <v>-108.54044056377242</v>
      </c>
      <c r="AC130">
        <f t="shared" si="50"/>
        <v>-152.97412649037136</v>
      </c>
      <c r="AD130">
        <f t="shared" si="51"/>
        <v>-14.694162489640281</v>
      </c>
      <c r="AE130">
        <f t="shared" si="52"/>
        <v>-9.2426779784119617E-2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52337.045835791025</v>
      </c>
      <c r="AK130">
        <f t="shared" si="56"/>
        <v>1800</v>
      </c>
      <c r="AL130">
        <f t="shared" si="57"/>
        <v>1499.1134454</v>
      </c>
      <c r="AM130">
        <f t="shared" si="58"/>
        <v>0.83284080299999996</v>
      </c>
      <c r="AN130">
        <f t="shared" si="59"/>
        <v>0.15339794597999998</v>
      </c>
      <c r="AO130">
        <v>30</v>
      </c>
      <c r="AP130">
        <v>0.5</v>
      </c>
      <c r="AQ130" t="s">
        <v>331</v>
      </c>
      <c r="AR130">
        <v>2</v>
      </c>
      <c r="AS130">
        <v>1690375016.0999999</v>
      </c>
      <c r="AT130">
        <v>436.31700000000001</v>
      </c>
      <c r="AU130">
        <v>799.99699999999996</v>
      </c>
      <c r="AV130">
        <v>24.338200000000001</v>
      </c>
      <c r="AW130">
        <v>0.33383699999999999</v>
      </c>
      <c r="AX130">
        <v>437.43200000000002</v>
      </c>
      <c r="AY130">
        <v>24.1554</v>
      </c>
      <c r="AZ130">
        <v>300.11200000000002</v>
      </c>
      <c r="BA130">
        <v>98.708699999999993</v>
      </c>
      <c r="BB130">
        <v>9.9987500000000007E-2</v>
      </c>
      <c r="BC130">
        <v>26.558</v>
      </c>
      <c r="BD130">
        <v>27.0017</v>
      </c>
      <c r="BE130">
        <v>27.880600000000001</v>
      </c>
      <c r="BF130">
        <v>0</v>
      </c>
      <c r="BG130">
        <v>0</v>
      </c>
      <c r="BH130">
        <v>10013.1</v>
      </c>
      <c r="BI130">
        <v>1085.6400000000001</v>
      </c>
      <c r="BJ130">
        <v>1.4016500000000001</v>
      </c>
      <c r="BK130">
        <v>-363.67899999999997</v>
      </c>
      <c r="BL130">
        <v>447.202</v>
      </c>
      <c r="BM130">
        <v>800.26400000000001</v>
      </c>
      <c r="BN130">
        <v>24.0044</v>
      </c>
      <c r="BO130">
        <v>799.99699999999996</v>
      </c>
      <c r="BP130">
        <v>0.33383699999999999</v>
      </c>
      <c r="BQ130">
        <v>2.4024000000000001</v>
      </c>
      <c r="BR130">
        <v>3.2952599999999999E-2</v>
      </c>
      <c r="BS130">
        <v>20.379899999999999</v>
      </c>
      <c r="BT130">
        <v>-34.498600000000003</v>
      </c>
      <c r="BU130">
        <v>1800</v>
      </c>
      <c r="BV130">
        <v>0.90999699999999994</v>
      </c>
      <c r="BW130">
        <v>3.3993900000000001E-2</v>
      </c>
      <c r="BX130">
        <v>2.2008900000000001E-2</v>
      </c>
      <c r="BY130">
        <v>3.3999799999999997E-2</v>
      </c>
      <c r="BZ130">
        <v>25</v>
      </c>
      <c r="CA130">
        <v>33528.199999999997</v>
      </c>
      <c r="CB130">
        <v>1690373417</v>
      </c>
      <c r="CC130" t="s">
        <v>332</v>
      </c>
      <c r="CD130">
        <v>1690373417</v>
      </c>
      <c r="CE130">
        <v>1690373415</v>
      </c>
      <c r="CF130">
        <v>1</v>
      </c>
      <c r="CG130">
        <v>-1.319</v>
      </c>
      <c r="CH130">
        <v>0.01</v>
      </c>
      <c r="CI130">
        <v>-1.371</v>
      </c>
      <c r="CJ130">
        <v>0.183</v>
      </c>
      <c r="CK130">
        <v>800</v>
      </c>
      <c r="CL130">
        <v>21</v>
      </c>
      <c r="CM130">
        <v>0.09</v>
      </c>
      <c r="CN130">
        <v>7.0000000000000007E-2</v>
      </c>
      <c r="CO130">
        <v>-361.61270000000002</v>
      </c>
      <c r="CP130">
        <v>-11.65866416510298</v>
      </c>
      <c r="CQ130">
        <v>1.122009362706035</v>
      </c>
      <c r="CR130">
        <v>-1</v>
      </c>
      <c r="CS130">
        <v>23.938210000000002</v>
      </c>
      <c r="CT130">
        <v>0.36643677298305061</v>
      </c>
      <c r="CU130">
        <v>3.5290415129323953E-2</v>
      </c>
      <c r="CV130">
        <v>-1</v>
      </c>
      <c r="CW130">
        <v>0</v>
      </c>
      <c r="CX130">
        <v>0</v>
      </c>
      <c r="CY130" t="s">
        <v>333</v>
      </c>
      <c r="CZ130">
        <v>2.3654199999999999</v>
      </c>
      <c r="DA130">
        <v>2.7137899999999999</v>
      </c>
      <c r="DB130">
        <v>9.5616099999999996E-2</v>
      </c>
      <c r="DC130">
        <v>0.14574599999999999</v>
      </c>
      <c r="DD130">
        <v>0.11487799999999999</v>
      </c>
      <c r="DE130">
        <v>2.77882E-3</v>
      </c>
      <c r="DF130">
        <v>33036.199999999997</v>
      </c>
      <c r="DG130">
        <v>27516.400000000001</v>
      </c>
      <c r="DH130">
        <v>31181.5</v>
      </c>
      <c r="DI130">
        <v>28064.799999999999</v>
      </c>
      <c r="DJ130">
        <v>37459.300000000003</v>
      </c>
      <c r="DK130">
        <v>39782.400000000001</v>
      </c>
      <c r="DL130">
        <v>44370.7</v>
      </c>
      <c r="DM130">
        <v>42512</v>
      </c>
      <c r="DN130">
        <v>1.48427</v>
      </c>
      <c r="DO130">
        <v>2.0659700000000001</v>
      </c>
      <c r="DP130">
        <v>0.117935</v>
      </c>
      <c r="DQ130">
        <v>0.17505899999999999</v>
      </c>
      <c r="DR130">
        <v>25.069900000000001</v>
      </c>
      <c r="DS130">
        <v>25.0151</v>
      </c>
      <c r="DT130">
        <v>51.5</v>
      </c>
      <c r="DU130">
        <v>24.9</v>
      </c>
      <c r="DV130">
        <v>16.491900000000001</v>
      </c>
      <c r="DW130">
        <v>61.690100000000001</v>
      </c>
      <c r="DX130">
        <v>36.806899999999999</v>
      </c>
      <c r="DY130">
        <v>1</v>
      </c>
      <c r="DZ130">
        <v>-0.168153</v>
      </c>
      <c r="EA130">
        <v>-0.86582499999999996</v>
      </c>
      <c r="EB130">
        <v>20.188500000000001</v>
      </c>
      <c r="EC130">
        <v>5.2423000000000002</v>
      </c>
      <c r="ED130">
        <v>12.039899999999999</v>
      </c>
      <c r="EE130">
        <v>5.01715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1.86876</v>
      </c>
      <c r="EL130">
        <v>1.8644099999999999</v>
      </c>
      <c r="EM130">
        <v>1.86907</v>
      </c>
      <c r="EN130">
        <v>1.86707</v>
      </c>
      <c r="EO130">
        <v>1.86324</v>
      </c>
      <c r="EP130">
        <v>1.8642000000000001</v>
      </c>
      <c r="EQ130">
        <v>1.87008</v>
      </c>
      <c r="ER130">
        <v>1.8692500000000001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-1.115</v>
      </c>
      <c r="FG130">
        <v>0.18279999999999999</v>
      </c>
      <c r="FH130">
        <v>-0.81947142863283695</v>
      </c>
      <c r="FI130">
        <v>-6.1462078757559423E-4</v>
      </c>
      <c r="FJ130">
        <v>-1.8861989874597051E-7</v>
      </c>
      <c r="FK130">
        <v>1.1980462299894961E-10</v>
      </c>
      <c r="FL130">
        <v>0.18283500000000069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26.7</v>
      </c>
      <c r="FU130">
        <v>26.7</v>
      </c>
      <c r="FV130">
        <v>1.7626999999999999</v>
      </c>
      <c r="FW130">
        <v>2.5598100000000001</v>
      </c>
      <c r="FX130">
        <v>1.5490699999999999</v>
      </c>
      <c r="FY130">
        <v>2.34375</v>
      </c>
      <c r="FZ130">
        <v>1.50146</v>
      </c>
      <c r="GA130">
        <v>2.3168899999999999</v>
      </c>
      <c r="GB130">
        <v>30.5015</v>
      </c>
      <c r="GC130">
        <v>23.982399999999998</v>
      </c>
      <c r="GD130">
        <v>19</v>
      </c>
      <c r="GE130">
        <v>282.21699999999998</v>
      </c>
      <c r="GF130">
        <v>596.97400000000005</v>
      </c>
      <c r="GG130">
        <v>25.840800000000002</v>
      </c>
      <c r="GH130">
        <v>25.3126</v>
      </c>
      <c r="GI130">
        <v>30.0001</v>
      </c>
      <c r="GJ130">
        <v>25.432300000000001</v>
      </c>
      <c r="GK130">
        <v>25.4023</v>
      </c>
      <c r="GL130">
        <v>35.246499999999997</v>
      </c>
      <c r="GM130">
        <v>100</v>
      </c>
      <c r="GN130">
        <v>45.589100000000002</v>
      </c>
      <c r="GO130">
        <v>25.847100000000001</v>
      </c>
      <c r="GP130">
        <v>800</v>
      </c>
      <c r="GQ130">
        <v>0</v>
      </c>
      <c r="GR130">
        <v>99.762799999999999</v>
      </c>
      <c r="GS130">
        <v>99.473200000000006</v>
      </c>
    </row>
    <row r="131" spans="1:201" x14ac:dyDescent="0.25">
      <c r="A131">
        <v>115</v>
      </c>
      <c r="B131">
        <v>1690375026.0999999</v>
      </c>
      <c r="C131">
        <v>1206.599999904633</v>
      </c>
      <c r="D131" t="s">
        <v>563</v>
      </c>
      <c r="E131" t="s">
        <v>564</v>
      </c>
      <c r="F131" t="s">
        <v>330</v>
      </c>
      <c r="H131">
        <v>1690375026.0999999</v>
      </c>
      <c r="I131">
        <f t="shared" si="30"/>
        <v>2.4681657320197235E-3</v>
      </c>
      <c r="J131">
        <f t="shared" si="31"/>
        <v>2.4681657320197234</v>
      </c>
      <c r="K131">
        <f t="shared" si="32"/>
        <v>35.471743838687281</v>
      </c>
      <c r="L131">
        <f t="shared" si="33"/>
        <v>434.589</v>
      </c>
      <c r="M131">
        <f t="shared" si="34"/>
        <v>107.1643853410004</v>
      </c>
      <c r="N131">
        <f t="shared" si="35"/>
        <v>10.588953134338068</v>
      </c>
      <c r="O131">
        <f t="shared" si="36"/>
        <v>42.9419021912517</v>
      </c>
      <c r="P131">
        <f t="shared" si="37"/>
        <v>0.1834444357610045</v>
      </c>
      <c r="Q131">
        <f t="shared" si="38"/>
        <v>2.2461510094948971</v>
      </c>
      <c r="R131">
        <f t="shared" si="39"/>
        <v>0.17550903773876511</v>
      </c>
      <c r="S131">
        <f t="shared" si="40"/>
        <v>0.11037750612237329</v>
      </c>
      <c r="T131">
        <f t="shared" si="41"/>
        <v>276.11498784332315</v>
      </c>
      <c r="U131">
        <f t="shared" si="42"/>
        <v>27.828102797444757</v>
      </c>
      <c r="V131">
        <f t="shared" si="43"/>
        <v>27.828102797444757</v>
      </c>
      <c r="W131">
        <f t="shared" si="44"/>
        <v>3.7569773571536276</v>
      </c>
      <c r="X131">
        <f t="shared" si="45"/>
        <v>69.092313130432885</v>
      </c>
      <c r="Y131">
        <f t="shared" si="46"/>
        <v>2.4107854176069301</v>
      </c>
      <c r="Z131">
        <f t="shared" si="47"/>
        <v>3.4892237766824148</v>
      </c>
      <c r="AA131">
        <f t="shared" si="48"/>
        <v>1.3461919395466975</v>
      </c>
      <c r="AB131">
        <f t="shared" si="49"/>
        <v>-108.84610878206981</v>
      </c>
      <c r="AC131">
        <f t="shared" si="50"/>
        <v>-152.66416636251199</v>
      </c>
      <c r="AD131">
        <f t="shared" si="51"/>
        <v>-14.697165585382864</v>
      </c>
      <c r="AE131">
        <f t="shared" si="52"/>
        <v>-9.2452886641524401E-2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52148.370984715191</v>
      </c>
      <c r="AK131">
        <f t="shared" si="56"/>
        <v>1799.99</v>
      </c>
      <c r="AL131">
        <f t="shared" si="57"/>
        <v>1499.1043249963698</v>
      </c>
      <c r="AM131">
        <f t="shared" si="58"/>
        <v>0.83284036299999986</v>
      </c>
      <c r="AN131">
        <f t="shared" si="59"/>
        <v>0.15339806767999997</v>
      </c>
      <c r="AO131">
        <v>30</v>
      </c>
      <c r="AP131">
        <v>0.5</v>
      </c>
      <c r="AQ131" t="s">
        <v>331</v>
      </c>
      <c r="AR131">
        <v>2</v>
      </c>
      <c r="AS131">
        <v>1690375026.0999999</v>
      </c>
      <c r="AT131">
        <v>434.589</v>
      </c>
      <c r="AU131">
        <v>799.95</v>
      </c>
      <c r="AV131">
        <v>24.398099999999999</v>
      </c>
      <c r="AW131">
        <v>0.32408500000000001</v>
      </c>
      <c r="AX131">
        <v>435.702</v>
      </c>
      <c r="AY131">
        <v>24.215199999999999</v>
      </c>
      <c r="AZ131">
        <v>300.06799999999998</v>
      </c>
      <c r="BA131">
        <v>98.710400000000007</v>
      </c>
      <c r="BB131">
        <v>9.9975300000000003E-2</v>
      </c>
      <c r="BC131">
        <v>26.567399999999999</v>
      </c>
      <c r="BD131">
        <v>27.001999999999999</v>
      </c>
      <c r="BE131">
        <v>27.8552</v>
      </c>
      <c r="BF131">
        <v>0</v>
      </c>
      <c r="BG131">
        <v>0</v>
      </c>
      <c r="BH131">
        <v>9975.6200000000008</v>
      </c>
      <c r="BI131">
        <v>1085.69</v>
      </c>
      <c r="BJ131">
        <v>1.4016500000000001</v>
      </c>
      <c r="BK131">
        <v>-365.36099999999999</v>
      </c>
      <c r="BL131">
        <v>445.45699999999999</v>
      </c>
      <c r="BM131">
        <v>800.20899999999995</v>
      </c>
      <c r="BN131">
        <v>24.074000000000002</v>
      </c>
      <c r="BO131">
        <v>799.95</v>
      </c>
      <c r="BP131">
        <v>0.32408500000000001</v>
      </c>
      <c r="BQ131">
        <v>2.4083399999999999</v>
      </c>
      <c r="BR131">
        <v>3.1990499999999998E-2</v>
      </c>
      <c r="BS131">
        <v>20.420000000000002</v>
      </c>
      <c r="BT131">
        <v>-34.797699999999999</v>
      </c>
      <c r="BU131">
        <v>1799.99</v>
      </c>
      <c r="BV131">
        <v>0.90998599999999996</v>
      </c>
      <c r="BW131">
        <v>3.3992500000000002E-2</v>
      </c>
      <c r="BX131">
        <v>2.20079E-2</v>
      </c>
      <c r="BY131">
        <v>3.4014000000000003E-2</v>
      </c>
      <c r="BZ131">
        <v>25</v>
      </c>
      <c r="CA131">
        <v>33528.199999999997</v>
      </c>
      <c r="CB131">
        <v>1690373417</v>
      </c>
      <c r="CC131" t="s">
        <v>332</v>
      </c>
      <c r="CD131">
        <v>1690373417</v>
      </c>
      <c r="CE131">
        <v>1690373415</v>
      </c>
      <c r="CF131">
        <v>1</v>
      </c>
      <c r="CG131">
        <v>-1.319</v>
      </c>
      <c r="CH131">
        <v>0.01</v>
      </c>
      <c r="CI131">
        <v>-1.371</v>
      </c>
      <c r="CJ131">
        <v>0.183</v>
      </c>
      <c r="CK131">
        <v>800</v>
      </c>
      <c r="CL131">
        <v>21</v>
      </c>
      <c r="CM131">
        <v>0.09</v>
      </c>
      <c r="CN131">
        <v>7.0000000000000007E-2</v>
      </c>
      <c r="CO131">
        <v>-363.52435000000003</v>
      </c>
      <c r="CP131">
        <v>-11.145613508443301</v>
      </c>
      <c r="CQ131">
        <v>1.0727542484185251</v>
      </c>
      <c r="CR131">
        <v>-1</v>
      </c>
      <c r="CS131">
        <v>24.00141</v>
      </c>
      <c r="CT131">
        <v>0.3912360225140169</v>
      </c>
      <c r="CU131">
        <v>3.768548659630138E-2</v>
      </c>
      <c r="CV131">
        <v>-1</v>
      </c>
      <c r="CW131">
        <v>0</v>
      </c>
      <c r="CX131">
        <v>0</v>
      </c>
      <c r="CY131" t="s">
        <v>333</v>
      </c>
      <c r="CZ131">
        <v>2.3652500000000001</v>
      </c>
      <c r="DA131">
        <v>2.71374</v>
      </c>
      <c r="DB131">
        <v>9.5334699999999994E-2</v>
      </c>
      <c r="DC131">
        <v>0.14574400000000001</v>
      </c>
      <c r="DD131">
        <v>0.115079</v>
      </c>
      <c r="DE131">
        <v>2.69929E-3</v>
      </c>
      <c r="DF131">
        <v>33046.6</v>
      </c>
      <c r="DG131">
        <v>27516.799999999999</v>
      </c>
      <c r="DH131">
        <v>31181.599999999999</v>
      </c>
      <c r="DI131">
        <v>28065.200000000001</v>
      </c>
      <c r="DJ131">
        <v>37450.6</v>
      </c>
      <c r="DK131">
        <v>39785.9</v>
      </c>
      <c r="DL131">
        <v>44370.7</v>
      </c>
      <c r="DM131">
        <v>42512.4</v>
      </c>
      <c r="DN131">
        <v>1.48458</v>
      </c>
      <c r="DO131">
        <v>2.0663800000000001</v>
      </c>
      <c r="DP131">
        <v>0.11808399999999999</v>
      </c>
      <c r="DQ131">
        <v>0.17350199999999999</v>
      </c>
      <c r="DR131">
        <v>25.067799999999998</v>
      </c>
      <c r="DS131">
        <v>25.0151</v>
      </c>
      <c r="DT131">
        <v>51.1</v>
      </c>
      <c r="DU131">
        <v>24.9</v>
      </c>
      <c r="DV131">
        <v>16.3627</v>
      </c>
      <c r="DW131">
        <v>61.920099999999998</v>
      </c>
      <c r="DX131">
        <v>37.700299999999999</v>
      </c>
      <c r="DY131">
        <v>1</v>
      </c>
      <c r="DZ131">
        <v>-0.168346</v>
      </c>
      <c r="EA131">
        <v>-0.70498400000000006</v>
      </c>
      <c r="EB131">
        <v>20.189299999999999</v>
      </c>
      <c r="EC131">
        <v>5.2416999999999998</v>
      </c>
      <c r="ED131">
        <v>12.039899999999999</v>
      </c>
      <c r="EE131">
        <v>5.0172499999999998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1.86876</v>
      </c>
      <c r="EL131">
        <v>1.8644099999999999</v>
      </c>
      <c r="EM131">
        <v>1.8690500000000001</v>
      </c>
      <c r="EN131">
        <v>1.86707</v>
      </c>
      <c r="EO131">
        <v>1.8632500000000001</v>
      </c>
      <c r="EP131">
        <v>1.8642300000000001</v>
      </c>
      <c r="EQ131">
        <v>1.87008</v>
      </c>
      <c r="ER131">
        <v>1.86921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-1.113</v>
      </c>
      <c r="FG131">
        <v>0.18290000000000001</v>
      </c>
      <c r="FH131">
        <v>-0.81947142863283695</v>
      </c>
      <c r="FI131">
        <v>-6.1462078757559423E-4</v>
      </c>
      <c r="FJ131">
        <v>-1.8861989874597051E-7</v>
      </c>
      <c r="FK131">
        <v>1.1980462299894961E-10</v>
      </c>
      <c r="FL131">
        <v>0.18283500000000069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26.8</v>
      </c>
      <c r="FU131">
        <v>26.9</v>
      </c>
      <c r="FV131">
        <v>1.7626999999999999</v>
      </c>
      <c r="FW131">
        <v>2.5561500000000001</v>
      </c>
      <c r="FX131">
        <v>1.5490699999999999</v>
      </c>
      <c r="FY131">
        <v>2.34375</v>
      </c>
      <c r="FZ131">
        <v>1.50024</v>
      </c>
      <c r="GA131">
        <v>2.33643</v>
      </c>
      <c r="GB131">
        <v>30.5015</v>
      </c>
      <c r="GC131">
        <v>23.991199999999999</v>
      </c>
      <c r="GD131">
        <v>19</v>
      </c>
      <c r="GE131">
        <v>282.34399999999999</v>
      </c>
      <c r="GF131">
        <v>597.30200000000002</v>
      </c>
      <c r="GG131">
        <v>25.820399999999999</v>
      </c>
      <c r="GH131">
        <v>25.310700000000001</v>
      </c>
      <c r="GI131">
        <v>30</v>
      </c>
      <c r="GJ131">
        <v>25.432300000000001</v>
      </c>
      <c r="GK131">
        <v>25.401700000000002</v>
      </c>
      <c r="GL131">
        <v>35.246699999999997</v>
      </c>
      <c r="GM131">
        <v>100</v>
      </c>
      <c r="GN131">
        <v>44.769599999999997</v>
      </c>
      <c r="GO131">
        <v>25.8184</v>
      </c>
      <c r="GP131">
        <v>800</v>
      </c>
      <c r="GQ131">
        <v>0</v>
      </c>
      <c r="GR131">
        <v>99.763000000000005</v>
      </c>
      <c r="GS131">
        <v>99.474400000000003</v>
      </c>
    </row>
    <row r="132" spans="1:201" x14ac:dyDescent="0.25">
      <c r="A132">
        <v>116</v>
      </c>
      <c r="B132">
        <v>1690375036.0999999</v>
      </c>
      <c r="C132">
        <v>1216.599999904633</v>
      </c>
      <c r="D132" t="s">
        <v>565</v>
      </c>
      <c r="E132" t="s">
        <v>566</v>
      </c>
      <c r="F132" t="s">
        <v>330</v>
      </c>
      <c r="H132">
        <v>1690375036.0999999</v>
      </c>
      <c r="I132">
        <f t="shared" si="30"/>
        <v>2.4754935196878401E-3</v>
      </c>
      <c r="J132">
        <f t="shared" si="31"/>
        <v>2.47549351968784</v>
      </c>
      <c r="K132">
        <f t="shared" si="32"/>
        <v>35.662174518683763</v>
      </c>
      <c r="L132">
        <f t="shared" si="33"/>
        <v>432.77499999999998</v>
      </c>
      <c r="M132">
        <f t="shared" si="34"/>
        <v>106.5328615013288</v>
      </c>
      <c r="N132">
        <f t="shared" si="35"/>
        <v>10.526197389486567</v>
      </c>
      <c r="O132">
        <f t="shared" si="36"/>
        <v>42.761219505759996</v>
      </c>
      <c r="P132">
        <f t="shared" si="37"/>
        <v>0.18511049250504005</v>
      </c>
      <c r="Q132">
        <f t="shared" si="38"/>
        <v>2.2546384906677521</v>
      </c>
      <c r="R132">
        <f t="shared" si="39"/>
        <v>0.17706269491271184</v>
      </c>
      <c r="S132">
        <f t="shared" si="40"/>
        <v>0.11135808894583787</v>
      </c>
      <c r="T132">
        <f t="shared" si="41"/>
        <v>276.11469471495167</v>
      </c>
      <c r="U132">
        <f t="shared" si="42"/>
        <v>27.818543502021605</v>
      </c>
      <c r="V132">
        <f t="shared" si="43"/>
        <v>27.818543502021605</v>
      </c>
      <c r="W132">
        <f t="shared" si="44"/>
        <v>3.7548815225765551</v>
      </c>
      <c r="X132">
        <f t="shared" si="45"/>
        <v>69.270753393658097</v>
      </c>
      <c r="Y132">
        <f t="shared" si="46"/>
        <v>2.41661286014656</v>
      </c>
      <c r="Z132">
        <f t="shared" si="47"/>
        <v>3.4886481548904404</v>
      </c>
      <c r="AA132">
        <f t="shared" si="48"/>
        <v>1.3382686624299951</v>
      </c>
      <c r="AB132">
        <f t="shared" si="49"/>
        <v>-109.16926421823375</v>
      </c>
      <c r="AC132">
        <f t="shared" si="50"/>
        <v>-152.41942872109331</v>
      </c>
      <c r="AD132">
        <f t="shared" si="51"/>
        <v>-14.617462859891067</v>
      </c>
      <c r="AE132">
        <f t="shared" si="52"/>
        <v>-9.1461084266484249E-2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52479.311603958107</v>
      </c>
      <c r="AK132">
        <f t="shared" si="56"/>
        <v>1799.99</v>
      </c>
      <c r="AL132">
        <f t="shared" si="57"/>
        <v>1499.1043699961199</v>
      </c>
      <c r="AM132">
        <f t="shared" si="58"/>
        <v>0.83284038799999993</v>
      </c>
      <c r="AN132">
        <f t="shared" si="59"/>
        <v>0.15339790482999999</v>
      </c>
      <c r="AO132">
        <v>30</v>
      </c>
      <c r="AP132">
        <v>0.5</v>
      </c>
      <c r="AQ132" t="s">
        <v>331</v>
      </c>
      <c r="AR132">
        <v>2</v>
      </c>
      <c r="AS132">
        <v>1690375036.0999999</v>
      </c>
      <c r="AT132">
        <v>432.77499999999998</v>
      </c>
      <c r="AU132">
        <v>799.995</v>
      </c>
      <c r="AV132">
        <v>24.457899999999999</v>
      </c>
      <c r="AW132">
        <v>0.31598300000000001</v>
      </c>
      <c r="AX132">
        <v>433.887</v>
      </c>
      <c r="AY132">
        <v>24.275099999999998</v>
      </c>
      <c r="AZ132">
        <v>300.09399999999999</v>
      </c>
      <c r="BA132">
        <v>98.707099999999997</v>
      </c>
      <c r="BB132">
        <v>9.9946400000000005E-2</v>
      </c>
      <c r="BC132">
        <v>26.564599999999999</v>
      </c>
      <c r="BD132">
        <v>26.972300000000001</v>
      </c>
      <c r="BE132">
        <v>27.872299999999999</v>
      </c>
      <c r="BF132">
        <v>0</v>
      </c>
      <c r="BG132">
        <v>0</v>
      </c>
      <c r="BH132">
        <v>10041.9</v>
      </c>
      <c r="BI132">
        <v>1085.82</v>
      </c>
      <c r="BJ132">
        <v>1.4016500000000001</v>
      </c>
      <c r="BK132">
        <v>-367.22</v>
      </c>
      <c r="BL132">
        <v>443.625</v>
      </c>
      <c r="BM132">
        <v>800.24800000000005</v>
      </c>
      <c r="BN132">
        <v>24.1419</v>
      </c>
      <c r="BO132">
        <v>799.995</v>
      </c>
      <c r="BP132">
        <v>0.31598300000000001</v>
      </c>
      <c r="BQ132">
        <v>2.4141699999999999</v>
      </c>
      <c r="BR132">
        <v>3.1189700000000001E-2</v>
      </c>
      <c r="BS132">
        <v>20.459099999999999</v>
      </c>
      <c r="BT132">
        <v>-35.052900000000001</v>
      </c>
      <c r="BU132">
        <v>1799.99</v>
      </c>
      <c r="BV132">
        <v>0.90998999999999997</v>
      </c>
      <c r="BW132">
        <v>3.3990800000000002E-2</v>
      </c>
      <c r="BX132">
        <v>2.2006899999999999E-2</v>
      </c>
      <c r="BY132">
        <v>3.4012300000000002E-2</v>
      </c>
      <c r="BZ132">
        <v>25</v>
      </c>
      <c r="CA132">
        <v>33528.199999999997</v>
      </c>
      <c r="CB132">
        <v>1690373417</v>
      </c>
      <c r="CC132" t="s">
        <v>332</v>
      </c>
      <c r="CD132">
        <v>1690373417</v>
      </c>
      <c r="CE132">
        <v>1690373415</v>
      </c>
      <c r="CF132">
        <v>1</v>
      </c>
      <c r="CG132">
        <v>-1.319</v>
      </c>
      <c r="CH132">
        <v>0.01</v>
      </c>
      <c r="CI132">
        <v>-1.371</v>
      </c>
      <c r="CJ132">
        <v>0.183</v>
      </c>
      <c r="CK132">
        <v>800</v>
      </c>
      <c r="CL132">
        <v>21</v>
      </c>
      <c r="CM132">
        <v>0.09</v>
      </c>
      <c r="CN132">
        <v>7.0000000000000007E-2</v>
      </c>
      <c r="CO132">
        <v>-365.32879999999989</v>
      </c>
      <c r="CP132">
        <v>-10.57109943714747</v>
      </c>
      <c r="CQ132">
        <v>1.017792321645236</v>
      </c>
      <c r="CR132">
        <v>-1</v>
      </c>
      <c r="CS132">
        <v>24.068104999999999</v>
      </c>
      <c r="CT132">
        <v>0.41512570356471301</v>
      </c>
      <c r="CU132">
        <v>3.9951564112059523E-2</v>
      </c>
      <c r="CV132">
        <v>-1</v>
      </c>
      <c r="CW132">
        <v>0</v>
      </c>
      <c r="CX132">
        <v>0</v>
      </c>
      <c r="CY132" t="s">
        <v>333</v>
      </c>
      <c r="CZ132">
        <v>2.3653599999999999</v>
      </c>
      <c r="DA132">
        <v>2.7137699999999998</v>
      </c>
      <c r="DB132">
        <v>9.5033400000000004E-2</v>
      </c>
      <c r="DC132">
        <v>0.14574500000000001</v>
      </c>
      <c r="DD132">
        <v>0.115274</v>
      </c>
      <c r="DE132">
        <v>2.6330199999999998E-3</v>
      </c>
      <c r="DF132">
        <v>33057.699999999997</v>
      </c>
      <c r="DG132">
        <v>27516.799999999999</v>
      </c>
      <c r="DH132">
        <v>31181.7</v>
      </c>
      <c r="DI132">
        <v>28065.200000000001</v>
      </c>
      <c r="DJ132">
        <v>37442.5</v>
      </c>
      <c r="DK132">
        <v>39788.800000000003</v>
      </c>
      <c r="DL132">
        <v>44371.1</v>
      </c>
      <c r="DM132">
        <v>42512.6</v>
      </c>
      <c r="DN132">
        <v>1.4848699999999999</v>
      </c>
      <c r="DO132">
        <v>2.0661</v>
      </c>
      <c r="DP132">
        <v>0.116229</v>
      </c>
      <c r="DQ132">
        <v>0.17441799999999999</v>
      </c>
      <c r="DR132">
        <v>25.0684</v>
      </c>
      <c r="DS132">
        <v>25.017199999999999</v>
      </c>
      <c r="DT132">
        <v>50.6</v>
      </c>
      <c r="DU132">
        <v>25</v>
      </c>
      <c r="DV132">
        <v>16.2987</v>
      </c>
      <c r="DW132">
        <v>61.760100000000001</v>
      </c>
      <c r="DX132">
        <v>36.698700000000002</v>
      </c>
      <c r="DY132">
        <v>1</v>
      </c>
      <c r="DZ132">
        <v>-0.16866900000000001</v>
      </c>
      <c r="EA132">
        <v>-0.79632400000000003</v>
      </c>
      <c r="EB132">
        <v>20.188700000000001</v>
      </c>
      <c r="EC132">
        <v>5.2421499999999996</v>
      </c>
      <c r="ED132">
        <v>12.039899999999999</v>
      </c>
      <c r="EE132">
        <v>5.0171999999999999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1.8687400000000001</v>
      </c>
      <c r="EL132">
        <v>1.86442</v>
      </c>
      <c r="EM132">
        <v>1.8690599999999999</v>
      </c>
      <c r="EN132">
        <v>1.86707</v>
      </c>
      <c r="EO132">
        <v>1.8632500000000001</v>
      </c>
      <c r="EP132">
        <v>1.8642000000000001</v>
      </c>
      <c r="EQ132">
        <v>1.8700600000000001</v>
      </c>
      <c r="ER132">
        <v>1.8692299999999999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-1.1120000000000001</v>
      </c>
      <c r="FG132">
        <v>0.18279999999999999</v>
      </c>
      <c r="FH132">
        <v>-0.81947142863283695</v>
      </c>
      <c r="FI132">
        <v>-6.1462078757559423E-4</v>
      </c>
      <c r="FJ132">
        <v>-1.8861989874597051E-7</v>
      </c>
      <c r="FK132">
        <v>1.1980462299894961E-10</v>
      </c>
      <c r="FL132">
        <v>0.18283500000000069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27</v>
      </c>
      <c r="FU132">
        <v>27</v>
      </c>
      <c r="FV132">
        <v>1.7626999999999999</v>
      </c>
      <c r="FW132">
        <v>2.5549300000000001</v>
      </c>
      <c r="FX132">
        <v>1.5490699999999999</v>
      </c>
      <c r="FY132">
        <v>2.34375</v>
      </c>
      <c r="FZ132">
        <v>1.50146</v>
      </c>
      <c r="GA132">
        <v>2.3852500000000001</v>
      </c>
      <c r="GB132">
        <v>30.523099999999999</v>
      </c>
      <c r="GC132">
        <v>23.982399999999998</v>
      </c>
      <c r="GD132">
        <v>19</v>
      </c>
      <c r="GE132">
        <v>282.47000000000003</v>
      </c>
      <c r="GF132">
        <v>597.053</v>
      </c>
      <c r="GG132">
        <v>25.817399999999999</v>
      </c>
      <c r="GH132">
        <v>25.310700000000001</v>
      </c>
      <c r="GI132">
        <v>30</v>
      </c>
      <c r="GJ132">
        <v>25.432300000000001</v>
      </c>
      <c r="GK132">
        <v>25.400200000000002</v>
      </c>
      <c r="GL132">
        <v>35.2453</v>
      </c>
      <c r="GM132">
        <v>100</v>
      </c>
      <c r="GN132">
        <v>43.540399999999998</v>
      </c>
      <c r="GO132">
        <v>25.834800000000001</v>
      </c>
      <c r="GP132">
        <v>800</v>
      </c>
      <c r="GQ132">
        <v>0</v>
      </c>
      <c r="GR132">
        <v>99.763599999999997</v>
      </c>
      <c r="GS132">
        <v>99.474699999999999</v>
      </c>
    </row>
    <row r="133" spans="1:201" x14ac:dyDescent="0.25">
      <c r="A133">
        <v>117</v>
      </c>
      <c r="B133">
        <v>1690375046.0999999</v>
      </c>
      <c r="C133">
        <v>1226.599999904633</v>
      </c>
      <c r="D133" t="s">
        <v>567</v>
      </c>
      <c r="E133" t="s">
        <v>568</v>
      </c>
      <c r="F133" t="s">
        <v>330</v>
      </c>
      <c r="H133">
        <v>1690375046.0999999</v>
      </c>
      <c r="I133">
        <f t="shared" si="30"/>
        <v>2.4841978825055982E-3</v>
      </c>
      <c r="J133">
        <f t="shared" si="31"/>
        <v>2.4841978825055984</v>
      </c>
      <c r="K133">
        <f t="shared" si="32"/>
        <v>35.847650622467746</v>
      </c>
      <c r="L133">
        <f t="shared" si="33"/>
        <v>431.13900000000001</v>
      </c>
      <c r="M133">
        <f t="shared" si="34"/>
        <v>105.67002952636703</v>
      </c>
      <c r="N133">
        <f t="shared" si="35"/>
        <v>10.441057169184877</v>
      </c>
      <c r="O133">
        <f t="shared" si="36"/>
        <v>42.600034910958001</v>
      </c>
      <c r="P133">
        <f t="shared" si="37"/>
        <v>0.18655218283397998</v>
      </c>
      <c r="Q133">
        <f t="shared" si="38"/>
        <v>2.2532775694659009</v>
      </c>
      <c r="R133">
        <f t="shared" si="39"/>
        <v>0.17837681187316545</v>
      </c>
      <c r="S133">
        <f t="shared" si="40"/>
        <v>0.11219017437072548</v>
      </c>
      <c r="T133">
        <f t="shared" si="41"/>
        <v>276.11469831493167</v>
      </c>
      <c r="U133">
        <f t="shared" si="42"/>
        <v>27.824740959400398</v>
      </c>
      <c r="V133">
        <f t="shared" si="43"/>
        <v>27.824740959400398</v>
      </c>
      <c r="W133">
        <f t="shared" si="44"/>
        <v>3.7562401722307572</v>
      </c>
      <c r="X133">
        <f t="shared" si="45"/>
        <v>69.425200431894353</v>
      </c>
      <c r="Y133">
        <f t="shared" si="46"/>
        <v>2.4232000263645999</v>
      </c>
      <c r="Z133">
        <f t="shared" si="47"/>
        <v>3.4903752690519672</v>
      </c>
      <c r="AA133">
        <f t="shared" si="48"/>
        <v>1.3330401458661574</v>
      </c>
      <c r="AB133">
        <f t="shared" si="49"/>
        <v>-109.55312661849688</v>
      </c>
      <c r="AC133">
        <f t="shared" si="50"/>
        <v>-152.05986489158599</v>
      </c>
      <c r="AD133">
        <f t="shared" si="51"/>
        <v>-14.592851527611481</v>
      </c>
      <c r="AE133">
        <f t="shared" si="52"/>
        <v>-9.1144722762663832E-2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52424.787587198822</v>
      </c>
      <c r="AK133">
        <f t="shared" si="56"/>
        <v>1799.99</v>
      </c>
      <c r="AL133">
        <f t="shared" si="57"/>
        <v>1499.10179601042</v>
      </c>
      <c r="AM133">
        <f t="shared" si="58"/>
        <v>0.83283895799999996</v>
      </c>
      <c r="AN133">
        <f t="shared" si="59"/>
        <v>0.15339790682999999</v>
      </c>
      <c r="AO133">
        <v>30</v>
      </c>
      <c r="AP133">
        <v>0.5</v>
      </c>
      <c r="AQ133" t="s">
        <v>331</v>
      </c>
      <c r="AR133">
        <v>2</v>
      </c>
      <c r="AS133">
        <v>1690375046.0999999</v>
      </c>
      <c r="AT133">
        <v>431.13900000000001</v>
      </c>
      <c r="AU133">
        <v>800.05899999999997</v>
      </c>
      <c r="AV133">
        <v>24.5243</v>
      </c>
      <c r="AW133">
        <v>0.30906899999999998</v>
      </c>
      <c r="AX133">
        <v>432.25</v>
      </c>
      <c r="AY133">
        <v>24.3415</v>
      </c>
      <c r="AZ133">
        <v>300.21699999999998</v>
      </c>
      <c r="BA133">
        <v>98.708100000000002</v>
      </c>
      <c r="BB133">
        <v>0.100022</v>
      </c>
      <c r="BC133">
        <v>26.573</v>
      </c>
      <c r="BD133">
        <v>26.9846</v>
      </c>
      <c r="BE133">
        <v>27.859100000000002</v>
      </c>
      <c r="BF133">
        <v>0</v>
      </c>
      <c r="BG133">
        <v>0</v>
      </c>
      <c r="BH133">
        <v>10031.200000000001</v>
      </c>
      <c r="BI133">
        <v>1085.94</v>
      </c>
      <c r="BJ133">
        <v>1.4016500000000001</v>
      </c>
      <c r="BK133">
        <v>-368.92</v>
      </c>
      <c r="BL133">
        <v>441.97800000000001</v>
      </c>
      <c r="BM133">
        <v>800.30700000000002</v>
      </c>
      <c r="BN133">
        <v>24.215199999999999</v>
      </c>
      <c r="BO133">
        <v>800.05899999999997</v>
      </c>
      <c r="BP133">
        <v>0.30906899999999998</v>
      </c>
      <c r="BQ133">
        <v>2.42075</v>
      </c>
      <c r="BR133">
        <v>3.0507599999999999E-2</v>
      </c>
      <c r="BS133">
        <v>20.5032</v>
      </c>
      <c r="BT133">
        <v>-35.274999999999999</v>
      </c>
      <c r="BU133">
        <v>1799.99</v>
      </c>
      <c r="BV133">
        <v>0.90998199999999996</v>
      </c>
      <c r="BW133">
        <v>3.4001099999999999E-2</v>
      </c>
      <c r="BX133">
        <v>2.2005899999999998E-2</v>
      </c>
      <c r="BY133">
        <v>3.4010899999999997E-2</v>
      </c>
      <c r="BZ133">
        <v>25</v>
      </c>
      <c r="CA133">
        <v>33528.1</v>
      </c>
      <c r="CB133">
        <v>1690373417</v>
      </c>
      <c r="CC133" t="s">
        <v>332</v>
      </c>
      <c r="CD133">
        <v>1690373417</v>
      </c>
      <c r="CE133">
        <v>1690373415</v>
      </c>
      <c r="CF133">
        <v>1</v>
      </c>
      <c r="CG133">
        <v>-1.319</v>
      </c>
      <c r="CH133">
        <v>0.01</v>
      </c>
      <c r="CI133">
        <v>-1.371</v>
      </c>
      <c r="CJ133">
        <v>0.183</v>
      </c>
      <c r="CK133">
        <v>800</v>
      </c>
      <c r="CL133">
        <v>21</v>
      </c>
      <c r="CM133">
        <v>0.09</v>
      </c>
      <c r="CN133">
        <v>7.0000000000000007E-2</v>
      </c>
      <c r="CO133">
        <v>-367.08227499999998</v>
      </c>
      <c r="CP133">
        <v>-10.726998123826849</v>
      </c>
      <c r="CQ133">
        <v>1.032281235601521</v>
      </c>
      <c r="CR133">
        <v>-1</v>
      </c>
      <c r="CS133">
        <v>24.137832499999998</v>
      </c>
      <c r="CT133">
        <v>0.42289418386490429</v>
      </c>
      <c r="CU133">
        <v>4.0688465119121831E-2</v>
      </c>
      <c r="CV133">
        <v>-1</v>
      </c>
      <c r="CW133">
        <v>0</v>
      </c>
      <c r="CX133">
        <v>0</v>
      </c>
      <c r="CY133" t="s">
        <v>333</v>
      </c>
      <c r="CZ133">
        <v>2.3657400000000002</v>
      </c>
      <c r="DA133">
        <v>2.7138399999999998</v>
      </c>
      <c r="DB133">
        <v>9.4765500000000003E-2</v>
      </c>
      <c r="DC133">
        <v>0.14575399999999999</v>
      </c>
      <c r="DD133">
        <v>0.115496</v>
      </c>
      <c r="DE133">
        <v>2.5765100000000002E-3</v>
      </c>
      <c r="DF133">
        <v>33068</v>
      </c>
      <c r="DG133">
        <v>27517.1</v>
      </c>
      <c r="DH133">
        <v>31182.2</v>
      </c>
      <c r="DI133">
        <v>28065.8</v>
      </c>
      <c r="DJ133">
        <v>37433.5</v>
      </c>
      <c r="DK133">
        <v>39791.9</v>
      </c>
      <c r="DL133">
        <v>44371.6</v>
      </c>
      <c r="DM133">
        <v>42513.5</v>
      </c>
      <c r="DN133">
        <v>1.48522</v>
      </c>
      <c r="DO133">
        <v>2.0658500000000002</v>
      </c>
      <c r="DP133">
        <v>0.11676499999999999</v>
      </c>
      <c r="DQ133">
        <v>0.17335999999999999</v>
      </c>
      <c r="DR133">
        <v>25.071999999999999</v>
      </c>
      <c r="DS133">
        <v>25.0214</v>
      </c>
      <c r="DT133">
        <v>50</v>
      </c>
      <c r="DU133">
        <v>25</v>
      </c>
      <c r="DV133">
        <v>16.105899999999998</v>
      </c>
      <c r="DW133">
        <v>61.630099999999999</v>
      </c>
      <c r="DX133">
        <v>37.512</v>
      </c>
      <c r="DY133">
        <v>1</v>
      </c>
      <c r="DZ133">
        <v>-0.16841700000000001</v>
      </c>
      <c r="EA133">
        <v>-0.859344</v>
      </c>
      <c r="EB133">
        <v>20.188500000000001</v>
      </c>
      <c r="EC133">
        <v>5.2415500000000002</v>
      </c>
      <c r="ED133">
        <v>12.039899999999999</v>
      </c>
      <c r="EE133">
        <v>5.0174000000000003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1.8687400000000001</v>
      </c>
      <c r="EL133">
        <v>1.8644400000000001</v>
      </c>
      <c r="EM133">
        <v>1.8690599999999999</v>
      </c>
      <c r="EN133">
        <v>1.86707</v>
      </c>
      <c r="EO133">
        <v>1.8632500000000001</v>
      </c>
      <c r="EP133">
        <v>1.8642099999999999</v>
      </c>
      <c r="EQ133">
        <v>1.8700600000000001</v>
      </c>
      <c r="ER133">
        <v>1.8692299999999999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-1.111</v>
      </c>
      <c r="FG133">
        <v>0.18279999999999999</v>
      </c>
      <c r="FH133">
        <v>-0.81947142863283695</v>
      </c>
      <c r="FI133">
        <v>-6.1462078757559423E-4</v>
      </c>
      <c r="FJ133">
        <v>-1.8861989874597051E-7</v>
      </c>
      <c r="FK133">
        <v>1.1980462299894961E-10</v>
      </c>
      <c r="FL133">
        <v>0.18283500000000069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27.2</v>
      </c>
      <c r="FU133">
        <v>27.2</v>
      </c>
      <c r="FV133">
        <v>1.7626999999999999</v>
      </c>
      <c r="FW133">
        <v>2.5549300000000001</v>
      </c>
      <c r="FX133">
        <v>1.5490699999999999</v>
      </c>
      <c r="FY133">
        <v>2.34497</v>
      </c>
      <c r="FZ133">
        <v>1.50146</v>
      </c>
      <c r="GA133">
        <v>2.2827099999999998</v>
      </c>
      <c r="GB133">
        <v>30.544599999999999</v>
      </c>
      <c r="GC133">
        <v>23.991199999999999</v>
      </c>
      <c r="GD133">
        <v>19</v>
      </c>
      <c r="GE133">
        <v>282.608</v>
      </c>
      <c r="GF133">
        <v>596.84400000000005</v>
      </c>
      <c r="GG133">
        <v>25.850999999999999</v>
      </c>
      <c r="GH133">
        <v>25.308599999999998</v>
      </c>
      <c r="GI133">
        <v>30</v>
      </c>
      <c r="GJ133">
        <v>25.430199999999999</v>
      </c>
      <c r="GK133">
        <v>25.400200000000002</v>
      </c>
      <c r="GL133">
        <v>35.244300000000003</v>
      </c>
      <c r="GM133">
        <v>100</v>
      </c>
      <c r="GN133">
        <v>42.769500000000001</v>
      </c>
      <c r="GO133">
        <v>25.855399999999999</v>
      </c>
      <c r="GP133">
        <v>800</v>
      </c>
      <c r="GQ133">
        <v>0</v>
      </c>
      <c r="GR133">
        <v>99.765000000000001</v>
      </c>
      <c r="GS133">
        <v>99.476799999999997</v>
      </c>
    </row>
    <row r="134" spans="1:201" x14ac:dyDescent="0.25">
      <c r="A134">
        <v>118</v>
      </c>
      <c r="B134">
        <v>1690375056.0999999</v>
      </c>
      <c r="C134">
        <v>1236.599999904633</v>
      </c>
      <c r="D134" t="s">
        <v>569</v>
      </c>
      <c r="E134" t="s">
        <v>570</v>
      </c>
      <c r="F134" t="s">
        <v>330</v>
      </c>
      <c r="H134">
        <v>1690375056.0999999</v>
      </c>
      <c r="I134">
        <f t="shared" si="30"/>
        <v>2.4915876538226058E-3</v>
      </c>
      <c r="J134">
        <f t="shared" si="31"/>
        <v>2.4915876538226058</v>
      </c>
      <c r="K134">
        <f t="shared" si="32"/>
        <v>35.998213476142411</v>
      </c>
      <c r="L134">
        <f t="shared" si="33"/>
        <v>429.41300000000001</v>
      </c>
      <c r="M134">
        <f t="shared" si="34"/>
        <v>105.08918641521521</v>
      </c>
      <c r="N134">
        <f t="shared" si="35"/>
        <v>10.383674400043732</v>
      </c>
      <c r="O134">
        <f t="shared" si="36"/>
        <v>42.429529880730001</v>
      </c>
      <c r="P134">
        <f t="shared" si="37"/>
        <v>0.18805654578981554</v>
      </c>
      <c r="Q134">
        <f t="shared" si="38"/>
        <v>2.2466074939183116</v>
      </c>
      <c r="R134">
        <f t="shared" si="39"/>
        <v>0.17972846268611534</v>
      </c>
      <c r="S134">
        <f t="shared" si="40"/>
        <v>0.1130477981101574</v>
      </c>
      <c r="T134">
        <f t="shared" si="41"/>
        <v>276.1147382927096</v>
      </c>
      <c r="U134">
        <f t="shared" si="42"/>
        <v>27.829573157264932</v>
      </c>
      <c r="V134">
        <f t="shared" si="43"/>
        <v>27.829573157264932</v>
      </c>
      <c r="W134">
        <f t="shared" si="44"/>
        <v>3.7572998178031507</v>
      </c>
      <c r="X134">
        <f t="shared" si="45"/>
        <v>69.615634683734228</v>
      </c>
      <c r="Y134">
        <f t="shared" si="46"/>
        <v>2.4304053030120003</v>
      </c>
      <c r="Z134">
        <f t="shared" si="47"/>
        <v>3.4911773972231948</v>
      </c>
      <c r="AA134">
        <f t="shared" si="48"/>
        <v>1.3268945147911504</v>
      </c>
      <c r="AB134">
        <f t="shared" si="49"/>
        <v>-109.87901553357692</v>
      </c>
      <c r="AC134">
        <f t="shared" si="50"/>
        <v>-151.72264942582873</v>
      </c>
      <c r="AD134">
        <f t="shared" si="51"/>
        <v>-14.604356424022589</v>
      </c>
      <c r="AE134">
        <f t="shared" si="52"/>
        <v>-9.1283090718633275E-2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52164.416898855241</v>
      </c>
      <c r="AK134">
        <f t="shared" si="56"/>
        <v>1799.99</v>
      </c>
      <c r="AL134">
        <f t="shared" si="57"/>
        <v>1499.1010058148099</v>
      </c>
      <c r="AM134">
        <f t="shared" si="58"/>
        <v>0.83283851899999994</v>
      </c>
      <c r="AN134">
        <f t="shared" si="59"/>
        <v>0.15339792903999999</v>
      </c>
      <c r="AO134">
        <v>30</v>
      </c>
      <c r="AP134">
        <v>0.5</v>
      </c>
      <c r="AQ134" t="s">
        <v>331</v>
      </c>
      <c r="AR134">
        <v>2</v>
      </c>
      <c r="AS134">
        <v>1690375056.0999999</v>
      </c>
      <c r="AT134">
        <v>429.41300000000001</v>
      </c>
      <c r="AU134">
        <v>799.95600000000002</v>
      </c>
      <c r="AV134">
        <v>24.597200000000001</v>
      </c>
      <c r="AW134">
        <v>0.30325400000000002</v>
      </c>
      <c r="AX134">
        <v>430.52300000000002</v>
      </c>
      <c r="AY134">
        <v>24.414300000000001</v>
      </c>
      <c r="AZ134">
        <v>300.11200000000002</v>
      </c>
      <c r="BA134">
        <v>98.708200000000005</v>
      </c>
      <c r="BB134">
        <v>0.10001</v>
      </c>
      <c r="BC134">
        <v>26.576899999999998</v>
      </c>
      <c r="BD134">
        <v>26.997800000000002</v>
      </c>
      <c r="BE134">
        <v>27.8719</v>
      </c>
      <c r="BF134">
        <v>0</v>
      </c>
      <c r="BG134">
        <v>0</v>
      </c>
      <c r="BH134">
        <v>9979.3799999999992</v>
      </c>
      <c r="BI134">
        <v>1086.04</v>
      </c>
      <c r="BJ134">
        <v>1.4016500000000001</v>
      </c>
      <c r="BK134">
        <v>-370.54199999999997</v>
      </c>
      <c r="BL134">
        <v>440.24200000000002</v>
      </c>
      <c r="BM134">
        <v>800.19799999999998</v>
      </c>
      <c r="BN134">
        <v>24.293900000000001</v>
      </c>
      <c r="BO134">
        <v>799.95600000000002</v>
      </c>
      <c r="BP134">
        <v>0.30325400000000002</v>
      </c>
      <c r="BQ134">
        <v>2.42794</v>
      </c>
      <c r="BR134">
        <v>2.9933600000000001E-2</v>
      </c>
      <c r="BS134">
        <v>20.551300000000001</v>
      </c>
      <c r="BT134">
        <v>-35.465400000000002</v>
      </c>
      <c r="BU134">
        <v>1799.99</v>
      </c>
      <c r="BV134">
        <v>0.90997899999999998</v>
      </c>
      <c r="BW134">
        <v>3.4007599999999999E-2</v>
      </c>
      <c r="BX134">
        <v>2.2004699999999999E-2</v>
      </c>
      <c r="BY134">
        <v>3.4008999999999998E-2</v>
      </c>
      <c r="BZ134">
        <v>25</v>
      </c>
      <c r="CA134">
        <v>33528.1</v>
      </c>
      <c r="CB134">
        <v>1690373417</v>
      </c>
      <c r="CC134" t="s">
        <v>332</v>
      </c>
      <c r="CD134">
        <v>1690373417</v>
      </c>
      <c r="CE134">
        <v>1690373415</v>
      </c>
      <c r="CF134">
        <v>1</v>
      </c>
      <c r="CG134">
        <v>-1.319</v>
      </c>
      <c r="CH134">
        <v>0.01</v>
      </c>
      <c r="CI134">
        <v>-1.371</v>
      </c>
      <c r="CJ134">
        <v>0.183</v>
      </c>
      <c r="CK134">
        <v>800</v>
      </c>
      <c r="CL134">
        <v>21</v>
      </c>
      <c r="CM134">
        <v>0.09</v>
      </c>
      <c r="CN134">
        <v>7.0000000000000007E-2</v>
      </c>
      <c r="CO134">
        <v>-368.67639024390252</v>
      </c>
      <c r="CP134">
        <v>-10.13232752613283</v>
      </c>
      <c r="CQ134">
        <v>0.99959733058839761</v>
      </c>
      <c r="CR134">
        <v>-1</v>
      </c>
      <c r="CS134">
        <v>24.205748780487809</v>
      </c>
      <c r="CT134">
        <v>0.45621533101051331</v>
      </c>
      <c r="CU134">
        <v>4.5001604968404357E-2</v>
      </c>
      <c r="CV134">
        <v>-1</v>
      </c>
      <c r="CW134">
        <v>0</v>
      </c>
      <c r="CX134">
        <v>0</v>
      </c>
      <c r="CY134" t="s">
        <v>333</v>
      </c>
      <c r="CZ134">
        <v>2.3654199999999999</v>
      </c>
      <c r="DA134">
        <v>2.7137799999999999</v>
      </c>
      <c r="DB134">
        <v>9.4480999999999996E-2</v>
      </c>
      <c r="DC134">
        <v>0.14574200000000001</v>
      </c>
      <c r="DD134">
        <v>0.11573799999999999</v>
      </c>
      <c r="DE134">
        <v>2.5289399999999999E-3</v>
      </c>
      <c r="DF134">
        <v>33078.6</v>
      </c>
      <c r="DG134">
        <v>27517.3</v>
      </c>
      <c r="DH134">
        <v>31182.3</v>
      </c>
      <c r="DI134">
        <v>28065.599999999999</v>
      </c>
      <c r="DJ134">
        <v>37423.300000000003</v>
      </c>
      <c r="DK134">
        <v>39793.599999999999</v>
      </c>
      <c r="DL134">
        <v>44371.8</v>
      </c>
      <c r="DM134">
        <v>42513.3</v>
      </c>
      <c r="DN134">
        <v>1.4849000000000001</v>
      </c>
      <c r="DO134">
        <v>2.0657999999999999</v>
      </c>
      <c r="DP134">
        <v>0.117339</v>
      </c>
      <c r="DQ134">
        <v>0.173874</v>
      </c>
      <c r="DR134">
        <v>25.075800000000001</v>
      </c>
      <c r="DS134">
        <v>25.025700000000001</v>
      </c>
      <c r="DT134">
        <v>49.6</v>
      </c>
      <c r="DU134">
        <v>25</v>
      </c>
      <c r="DV134">
        <v>15.976900000000001</v>
      </c>
      <c r="DW134">
        <v>61.680100000000003</v>
      </c>
      <c r="DX134">
        <v>37.259599999999999</v>
      </c>
      <c r="DY134">
        <v>1</v>
      </c>
      <c r="DZ134">
        <v>-0.168653</v>
      </c>
      <c r="EA134">
        <v>-0.79102899999999998</v>
      </c>
      <c r="EB134">
        <v>20.188700000000001</v>
      </c>
      <c r="EC134">
        <v>5.2416999999999998</v>
      </c>
      <c r="ED134">
        <v>12.039899999999999</v>
      </c>
      <c r="EE134">
        <v>5.0171000000000001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1.86876</v>
      </c>
      <c r="EL134">
        <v>1.8644099999999999</v>
      </c>
      <c r="EM134">
        <v>1.86907</v>
      </c>
      <c r="EN134">
        <v>1.86707</v>
      </c>
      <c r="EO134">
        <v>1.8632500000000001</v>
      </c>
      <c r="EP134">
        <v>1.86425</v>
      </c>
      <c r="EQ134">
        <v>1.87005</v>
      </c>
      <c r="ER134">
        <v>1.8692500000000001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-1.1100000000000001</v>
      </c>
      <c r="FG134">
        <v>0.18290000000000001</v>
      </c>
      <c r="FH134">
        <v>-0.81947142863283695</v>
      </c>
      <c r="FI134">
        <v>-6.1462078757559423E-4</v>
      </c>
      <c r="FJ134">
        <v>-1.8861989874597051E-7</v>
      </c>
      <c r="FK134">
        <v>1.1980462299894961E-10</v>
      </c>
      <c r="FL134">
        <v>0.18283500000000069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27.3</v>
      </c>
      <c r="FU134">
        <v>27.4</v>
      </c>
      <c r="FV134">
        <v>1.7626999999999999</v>
      </c>
      <c r="FW134">
        <v>2.5549300000000001</v>
      </c>
      <c r="FX134">
        <v>1.5490699999999999</v>
      </c>
      <c r="FY134">
        <v>2.34375</v>
      </c>
      <c r="FZ134">
        <v>1.50146</v>
      </c>
      <c r="GA134">
        <v>2.3779300000000001</v>
      </c>
      <c r="GB134">
        <v>30.544599999999999</v>
      </c>
      <c r="GC134">
        <v>23.982399999999998</v>
      </c>
      <c r="GD134">
        <v>19</v>
      </c>
      <c r="GE134">
        <v>282.471</v>
      </c>
      <c r="GF134">
        <v>596.77700000000004</v>
      </c>
      <c r="GG134">
        <v>25.863600000000002</v>
      </c>
      <c r="GH134">
        <v>25.308599999999998</v>
      </c>
      <c r="GI134">
        <v>30</v>
      </c>
      <c r="GJ134">
        <v>25.430199999999999</v>
      </c>
      <c r="GK134">
        <v>25.398</v>
      </c>
      <c r="GL134">
        <v>35.242199999999997</v>
      </c>
      <c r="GM134">
        <v>100</v>
      </c>
      <c r="GN134">
        <v>41.571599999999997</v>
      </c>
      <c r="GO134">
        <v>25.840699999999998</v>
      </c>
      <c r="GP134">
        <v>800</v>
      </c>
      <c r="GQ134">
        <v>0</v>
      </c>
      <c r="GR134">
        <v>99.7654</v>
      </c>
      <c r="GS134">
        <v>99.476100000000002</v>
      </c>
    </row>
    <row r="135" spans="1:201" x14ac:dyDescent="0.25">
      <c r="A135">
        <v>119</v>
      </c>
      <c r="B135">
        <v>1690375066.0999999</v>
      </c>
      <c r="C135">
        <v>1246.599999904633</v>
      </c>
      <c r="D135" t="s">
        <v>571</v>
      </c>
      <c r="E135" t="s">
        <v>572</v>
      </c>
      <c r="F135" t="s">
        <v>330</v>
      </c>
      <c r="H135">
        <v>1690375066.0999999</v>
      </c>
      <c r="I135">
        <f t="shared" si="30"/>
        <v>2.499562223715039E-3</v>
      </c>
      <c r="J135">
        <f t="shared" si="31"/>
        <v>2.499562223715039</v>
      </c>
      <c r="K135">
        <f t="shared" si="32"/>
        <v>36.173180851123639</v>
      </c>
      <c r="L135">
        <f t="shared" si="33"/>
        <v>427.76900000000001</v>
      </c>
      <c r="M135">
        <f t="shared" si="34"/>
        <v>104.40632748919982</v>
      </c>
      <c r="N135">
        <f t="shared" si="35"/>
        <v>10.316262365519934</v>
      </c>
      <c r="O135">
        <f t="shared" si="36"/>
        <v>42.267335150664998</v>
      </c>
      <c r="P135">
        <f t="shared" si="37"/>
        <v>0.18955689978894272</v>
      </c>
      <c r="Q135">
        <f t="shared" si="38"/>
        <v>2.2504063983033671</v>
      </c>
      <c r="R135">
        <f t="shared" si="39"/>
        <v>0.18111220715588666</v>
      </c>
      <c r="S135">
        <f t="shared" si="40"/>
        <v>0.11392249834397891</v>
      </c>
      <c r="T135">
        <f t="shared" si="41"/>
        <v>276.11601773399997</v>
      </c>
      <c r="U135">
        <f t="shared" si="42"/>
        <v>27.831998856897044</v>
      </c>
      <c r="V135">
        <f t="shared" si="43"/>
        <v>27.831998856897044</v>
      </c>
      <c r="W135">
        <f t="shared" si="44"/>
        <v>3.7578318442336842</v>
      </c>
      <c r="X135">
        <f t="shared" si="45"/>
        <v>69.772922171654955</v>
      </c>
      <c r="Y135">
        <f t="shared" si="46"/>
        <v>2.4369013026980002</v>
      </c>
      <c r="Z135">
        <f t="shared" si="47"/>
        <v>3.4926175181580454</v>
      </c>
      <c r="AA135">
        <f t="shared" si="48"/>
        <v>1.320930541535684</v>
      </c>
      <c r="AB135">
        <f t="shared" si="49"/>
        <v>-110.23069406583322</v>
      </c>
      <c r="AC135">
        <f t="shared" si="50"/>
        <v>-151.42423306742799</v>
      </c>
      <c r="AD135">
        <f t="shared" si="51"/>
        <v>-14.551711551435176</v>
      </c>
      <c r="AE135">
        <f t="shared" si="52"/>
        <v>-9.0620950696433056E-2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52311.024865554318</v>
      </c>
      <c r="AK135">
        <f t="shared" si="56"/>
        <v>1800</v>
      </c>
      <c r="AL135">
        <f t="shared" si="57"/>
        <v>1499.1092243999999</v>
      </c>
      <c r="AM135">
        <f t="shared" si="58"/>
        <v>0.83283845799999989</v>
      </c>
      <c r="AN135">
        <f t="shared" si="59"/>
        <v>0.15339778762999998</v>
      </c>
      <c r="AO135">
        <v>30</v>
      </c>
      <c r="AP135">
        <v>0.5</v>
      </c>
      <c r="AQ135" t="s">
        <v>331</v>
      </c>
      <c r="AR135">
        <v>2</v>
      </c>
      <c r="AS135">
        <v>1690375066.0999999</v>
      </c>
      <c r="AT135">
        <v>427.76900000000001</v>
      </c>
      <c r="AU135">
        <v>799.98099999999999</v>
      </c>
      <c r="AV135">
        <v>24.662800000000001</v>
      </c>
      <c r="AW135">
        <v>0.29752800000000001</v>
      </c>
      <c r="AX135">
        <v>428.87700000000001</v>
      </c>
      <c r="AY135">
        <v>24.479900000000001</v>
      </c>
      <c r="AZ135">
        <v>300.17099999999999</v>
      </c>
      <c r="BA135">
        <v>98.708799999999997</v>
      </c>
      <c r="BB135">
        <v>9.9985000000000004E-2</v>
      </c>
      <c r="BC135">
        <v>26.5839</v>
      </c>
      <c r="BD135">
        <v>27.021899999999999</v>
      </c>
      <c r="BE135">
        <v>27.874400000000001</v>
      </c>
      <c r="BF135">
        <v>0</v>
      </c>
      <c r="BG135">
        <v>0</v>
      </c>
      <c r="BH135">
        <v>10008.799999999999</v>
      </c>
      <c r="BI135">
        <v>1086.1600000000001</v>
      </c>
      <c r="BJ135">
        <v>1.4016500000000001</v>
      </c>
      <c r="BK135">
        <v>-372.21100000000001</v>
      </c>
      <c r="BL135">
        <v>438.58600000000001</v>
      </c>
      <c r="BM135">
        <v>800.21900000000005</v>
      </c>
      <c r="BN135">
        <v>24.365200000000002</v>
      </c>
      <c r="BO135">
        <v>799.98099999999999</v>
      </c>
      <c r="BP135">
        <v>0.29752800000000001</v>
      </c>
      <c r="BQ135">
        <v>2.4344299999999999</v>
      </c>
      <c r="BR135">
        <v>2.9368600000000002E-2</v>
      </c>
      <c r="BS135">
        <v>20.5947</v>
      </c>
      <c r="BT135">
        <v>-35.655999999999999</v>
      </c>
      <c r="BU135">
        <v>1800</v>
      </c>
      <c r="BV135">
        <v>0.90998199999999996</v>
      </c>
      <c r="BW135">
        <v>3.4006300000000003E-2</v>
      </c>
      <c r="BX135">
        <v>2.20039E-2</v>
      </c>
      <c r="BY135">
        <v>3.4007700000000002E-2</v>
      </c>
      <c r="BZ135">
        <v>25</v>
      </c>
      <c r="CA135">
        <v>33528.199999999997</v>
      </c>
      <c r="CB135">
        <v>1690373417</v>
      </c>
      <c r="CC135" t="s">
        <v>332</v>
      </c>
      <c r="CD135">
        <v>1690373417</v>
      </c>
      <c r="CE135">
        <v>1690373415</v>
      </c>
      <c r="CF135">
        <v>1</v>
      </c>
      <c r="CG135">
        <v>-1.319</v>
      </c>
      <c r="CH135">
        <v>0.01</v>
      </c>
      <c r="CI135">
        <v>-1.371</v>
      </c>
      <c r="CJ135">
        <v>0.183</v>
      </c>
      <c r="CK135">
        <v>800</v>
      </c>
      <c r="CL135">
        <v>21</v>
      </c>
      <c r="CM135">
        <v>0.09</v>
      </c>
      <c r="CN135">
        <v>7.0000000000000007E-2</v>
      </c>
      <c r="CO135">
        <v>-370.43347499999999</v>
      </c>
      <c r="CP135">
        <v>-9.5701801125701564</v>
      </c>
      <c r="CQ135">
        <v>0.92199506472377324</v>
      </c>
      <c r="CR135">
        <v>-1</v>
      </c>
      <c r="CS135">
        <v>24.287430000000001</v>
      </c>
      <c r="CT135">
        <v>0.45509943714822099</v>
      </c>
      <c r="CU135">
        <v>4.3795800026943228E-2</v>
      </c>
      <c r="CV135">
        <v>-1</v>
      </c>
      <c r="CW135">
        <v>0</v>
      </c>
      <c r="CX135">
        <v>0</v>
      </c>
      <c r="CY135" t="s">
        <v>333</v>
      </c>
      <c r="CZ135">
        <v>2.3656100000000002</v>
      </c>
      <c r="DA135">
        <v>2.7137799999999999</v>
      </c>
      <c r="DB135">
        <v>9.4209899999999999E-2</v>
      </c>
      <c r="DC135">
        <v>0.14574599999999999</v>
      </c>
      <c r="DD135">
        <v>0.115955</v>
      </c>
      <c r="DE135">
        <v>2.4820599999999999E-3</v>
      </c>
      <c r="DF135">
        <v>33088.199999999997</v>
      </c>
      <c r="DG135">
        <v>27517.599999999999</v>
      </c>
      <c r="DH135">
        <v>31182.1</v>
      </c>
      <c r="DI135">
        <v>28066.1</v>
      </c>
      <c r="DJ135">
        <v>37413.699999999997</v>
      </c>
      <c r="DK135">
        <v>39796.1</v>
      </c>
      <c r="DL135">
        <v>44371.6</v>
      </c>
      <c r="DM135">
        <v>42513.9</v>
      </c>
      <c r="DN135">
        <v>1.48472</v>
      </c>
      <c r="DO135">
        <v>2.0654499999999998</v>
      </c>
      <c r="DP135">
        <v>0.11842</v>
      </c>
      <c r="DQ135">
        <v>0.173651</v>
      </c>
      <c r="DR135">
        <v>25.0823</v>
      </c>
      <c r="DS135">
        <v>25.032</v>
      </c>
      <c r="DT135">
        <v>49.1</v>
      </c>
      <c r="DU135">
        <v>25</v>
      </c>
      <c r="DV135">
        <v>15.816000000000001</v>
      </c>
      <c r="DW135">
        <v>61.670099999999998</v>
      </c>
      <c r="DX135">
        <v>36.822899999999997</v>
      </c>
      <c r="DY135">
        <v>1</v>
      </c>
      <c r="DZ135">
        <v>-0.168686</v>
      </c>
      <c r="EA135">
        <v>-0.74499499999999996</v>
      </c>
      <c r="EB135">
        <v>20.188800000000001</v>
      </c>
      <c r="EC135">
        <v>5.2421499999999996</v>
      </c>
      <c r="ED135">
        <v>12.039899999999999</v>
      </c>
      <c r="EE135">
        <v>5.0171000000000001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1.8687499999999999</v>
      </c>
      <c r="EL135">
        <v>1.86439</v>
      </c>
      <c r="EM135">
        <v>1.8690599999999999</v>
      </c>
      <c r="EN135">
        <v>1.86707</v>
      </c>
      <c r="EO135">
        <v>1.8632299999999999</v>
      </c>
      <c r="EP135">
        <v>1.86422</v>
      </c>
      <c r="EQ135">
        <v>1.87002</v>
      </c>
      <c r="ER135">
        <v>1.86924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-1.1080000000000001</v>
      </c>
      <c r="FG135">
        <v>0.18290000000000001</v>
      </c>
      <c r="FH135">
        <v>-0.81947142863283695</v>
      </c>
      <c r="FI135">
        <v>-6.1462078757559423E-4</v>
      </c>
      <c r="FJ135">
        <v>-1.8861989874597051E-7</v>
      </c>
      <c r="FK135">
        <v>1.1980462299894961E-10</v>
      </c>
      <c r="FL135">
        <v>0.18283500000000069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27.5</v>
      </c>
      <c r="FU135">
        <v>27.5</v>
      </c>
      <c r="FV135">
        <v>1.7626999999999999</v>
      </c>
      <c r="FW135">
        <v>2.5622600000000002</v>
      </c>
      <c r="FX135">
        <v>1.5490699999999999</v>
      </c>
      <c r="FY135">
        <v>2.34375</v>
      </c>
      <c r="FZ135">
        <v>1.50146</v>
      </c>
      <c r="GA135">
        <v>2.323</v>
      </c>
      <c r="GB135">
        <v>30.544599999999999</v>
      </c>
      <c r="GC135">
        <v>23.991199999999999</v>
      </c>
      <c r="GD135">
        <v>19</v>
      </c>
      <c r="GE135">
        <v>282.39699999999999</v>
      </c>
      <c r="GF135">
        <v>596.48400000000004</v>
      </c>
      <c r="GG135">
        <v>25.839099999999998</v>
      </c>
      <c r="GH135">
        <v>25.308599999999998</v>
      </c>
      <c r="GI135">
        <v>30.0001</v>
      </c>
      <c r="GJ135">
        <v>25.430199999999999</v>
      </c>
      <c r="GK135">
        <v>25.398</v>
      </c>
      <c r="GL135">
        <v>35.244700000000002</v>
      </c>
      <c r="GM135">
        <v>100</v>
      </c>
      <c r="GN135">
        <v>40.786799999999999</v>
      </c>
      <c r="GO135">
        <v>25.8276</v>
      </c>
      <c r="GP135">
        <v>800</v>
      </c>
      <c r="GQ135">
        <v>0</v>
      </c>
      <c r="GR135">
        <v>99.764899999999997</v>
      </c>
      <c r="GS135">
        <v>99.477699999999999</v>
      </c>
    </row>
    <row r="136" spans="1:201" x14ac:dyDescent="0.25">
      <c r="A136">
        <v>120</v>
      </c>
      <c r="B136">
        <v>1690375076.0999999</v>
      </c>
      <c r="C136">
        <v>1256.599999904633</v>
      </c>
      <c r="D136" t="s">
        <v>573</v>
      </c>
      <c r="E136" t="s">
        <v>574</v>
      </c>
      <c r="F136" t="s">
        <v>330</v>
      </c>
      <c r="H136">
        <v>1690375076.0999999</v>
      </c>
      <c r="I136">
        <f t="shared" si="30"/>
        <v>2.5066603328279006E-3</v>
      </c>
      <c r="J136">
        <f t="shared" si="31"/>
        <v>2.5066603328279005</v>
      </c>
      <c r="K136">
        <f t="shared" si="32"/>
        <v>36.334729843146398</v>
      </c>
      <c r="L136">
        <f t="shared" si="33"/>
        <v>426.14699999999999</v>
      </c>
      <c r="M136">
        <f t="shared" si="34"/>
        <v>104.52088163555047</v>
      </c>
      <c r="N136">
        <f t="shared" si="35"/>
        <v>10.328445259788889</v>
      </c>
      <c r="O136">
        <f t="shared" si="36"/>
        <v>42.110589704652902</v>
      </c>
      <c r="P136">
        <f t="shared" si="37"/>
        <v>0.19148834686775756</v>
      </c>
      <c r="Q136">
        <f t="shared" si="38"/>
        <v>2.251158109594769</v>
      </c>
      <c r="R136">
        <f t="shared" si="39"/>
        <v>0.18287762667152846</v>
      </c>
      <c r="S136">
        <f t="shared" si="40"/>
        <v>0.11503988573969291</v>
      </c>
      <c r="T136">
        <f t="shared" si="41"/>
        <v>276.11432514100488</v>
      </c>
      <c r="U136">
        <f t="shared" si="42"/>
        <v>27.822458616980065</v>
      </c>
      <c r="V136">
        <f t="shared" si="43"/>
        <v>27.822458616980065</v>
      </c>
      <c r="W136">
        <f t="shared" si="44"/>
        <v>3.7557397713842322</v>
      </c>
      <c r="X136">
        <f t="shared" si="45"/>
        <v>69.99749233067088</v>
      </c>
      <c r="Y136">
        <f t="shared" si="46"/>
        <v>2.4437654272211398</v>
      </c>
      <c r="Z136">
        <f t="shared" si="47"/>
        <v>3.491218536339411</v>
      </c>
      <c r="AA136">
        <f t="shared" si="48"/>
        <v>1.3119743441630924</v>
      </c>
      <c r="AB136">
        <f t="shared" si="49"/>
        <v>-110.54372067771041</v>
      </c>
      <c r="AC136">
        <f t="shared" si="50"/>
        <v>-151.14224617309611</v>
      </c>
      <c r="AD136">
        <f t="shared" si="51"/>
        <v>-14.518577115623602</v>
      </c>
      <c r="AE136">
        <f t="shared" si="52"/>
        <v>-9.0218825425239402E-2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52341.670687788712</v>
      </c>
      <c r="AK136">
        <f t="shared" si="56"/>
        <v>1799.99</v>
      </c>
      <c r="AL136">
        <f t="shared" si="57"/>
        <v>1499.1008924154398</v>
      </c>
      <c r="AM136">
        <f t="shared" si="58"/>
        <v>0.83283845599999995</v>
      </c>
      <c r="AN136">
        <f t="shared" si="59"/>
        <v>0.15339769950999999</v>
      </c>
      <c r="AO136">
        <v>30</v>
      </c>
      <c r="AP136">
        <v>0.5</v>
      </c>
      <c r="AQ136" t="s">
        <v>331</v>
      </c>
      <c r="AR136">
        <v>2</v>
      </c>
      <c r="AS136">
        <v>1690375076.0999999</v>
      </c>
      <c r="AT136">
        <v>426.14699999999999</v>
      </c>
      <c r="AU136">
        <v>800.04300000000001</v>
      </c>
      <c r="AV136">
        <v>24.7302</v>
      </c>
      <c r="AW136">
        <v>0.292215</v>
      </c>
      <c r="AX136">
        <v>427.25400000000002</v>
      </c>
      <c r="AY136">
        <v>24.5473</v>
      </c>
      <c r="AZ136">
        <v>300.10700000000003</v>
      </c>
      <c r="BA136">
        <v>98.717100000000002</v>
      </c>
      <c r="BB136">
        <v>9.9950700000000003E-2</v>
      </c>
      <c r="BC136">
        <v>26.577100000000002</v>
      </c>
      <c r="BD136">
        <v>27.019200000000001</v>
      </c>
      <c r="BE136">
        <v>27.861499999999999</v>
      </c>
      <c r="BF136">
        <v>0</v>
      </c>
      <c r="BG136">
        <v>0</v>
      </c>
      <c r="BH136">
        <v>10013.799999999999</v>
      </c>
      <c r="BI136">
        <v>1086.2</v>
      </c>
      <c r="BJ136">
        <v>1.4016500000000001</v>
      </c>
      <c r="BK136">
        <v>-373.89600000000002</v>
      </c>
      <c r="BL136">
        <v>436.95299999999997</v>
      </c>
      <c r="BM136">
        <v>800.27700000000004</v>
      </c>
      <c r="BN136">
        <v>24.437899999999999</v>
      </c>
      <c r="BO136">
        <v>800.04300000000001</v>
      </c>
      <c r="BP136">
        <v>0.292215</v>
      </c>
      <c r="BQ136">
        <v>2.44129</v>
      </c>
      <c r="BR136">
        <v>2.88466E-2</v>
      </c>
      <c r="BS136">
        <v>20.6403</v>
      </c>
      <c r="BT136">
        <v>-35.835099999999997</v>
      </c>
      <c r="BU136">
        <v>1799.99</v>
      </c>
      <c r="BV136">
        <v>0.90998400000000002</v>
      </c>
      <c r="BW136">
        <v>3.4005500000000001E-2</v>
      </c>
      <c r="BX136">
        <v>2.20033E-2</v>
      </c>
      <c r="BY136">
        <v>3.40069E-2</v>
      </c>
      <c r="BZ136">
        <v>25</v>
      </c>
      <c r="CA136">
        <v>33528.199999999997</v>
      </c>
      <c r="CB136">
        <v>1690373417</v>
      </c>
      <c r="CC136" t="s">
        <v>332</v>
      </c>
      <c r="CD136">
        <v>1690373417</v>
      </c>
      <c r="CE136">
        <v>1690373415</v>
      </c>
      <c r="CF136">
        <v>1</v>
      </c>
      <c r="CG136">
        <v>-1.319</v>
      </c>
      <c r="CH136">
        <v>0.01</v>
      </c>
      <c r="CI136">
        <v>-1.371</v>
      </c>
      <c r="CJ136">
        <v>0.183</v>
      </c>
      <c r="CK136">
        <v>800</v>
      </c>
      <c r="CL136">
        <v>21</v>
      </c>
      <c r="CM136">
        <v>0.09</v>
      </c>
      <c r="CN136">
        <v>7.0000000000000007E-2</v>
      </c>
      <c r="CO136">
        <v>-371.97629268292678</v>
      </c>
      <c r="CP136">
        <v>-10.209428571428511</v>
      </c>
      <c r="CQ136">
        <v>1.0086097469555739</v>
      </c>
      <c r="CR136">
        <v>-1</v>
      </c>
      <c r="CS136">
        <v>24.35546585365854</v>
      </c>
      <c r="CT136">
        <v>0.4317742160278939</v>
      </c>
      <c r="CU136">
        <v>4.258172406410124E-2</v>
      </c>
      <c r="CV136">
        <v>-1</v>
      </c>
      <c r="CW136">
        <v>0</v>
      </c>
      <c r="CX136">
        <v>0</v>
      </c>
      <c r="CY136" t="s">
        <v>333</v>
      </c>
      <c r="CZ136">
        <v>2.3654000000000002</v>
      </c>
      <c r="DA136">
        <v>2.7137500000000001</v>
      </c>
      <c r="DB136">
        <v>9.3950000000000006E-2</v>
      </c>
      <c r="DC136">
        <v>0.14576500000000001</v>
      </c>
      <c r="DD136">
        <v>0.116189</v>
      </c>
      <c r="DE136">
        <v>2.4387300000000001E-3</v>
      </c>
      <c r="DF136">
        <v>33098.1</v>
      </c>
      <c r="DG136">
        <v>27517.200000000001</v>
      </c>
      <c r="DH136">
        <v>31182.400000000001</v>
      </c>
      <c r="DI136">
        <v>28066.3</v>
      </c>
      <c r="DJ136">
        <v>37404.1</v>
      </c>
      <c r="DK136">
        <v>39798.199999999997</v>
      </c>
      <c r="DL136">
        <v>44372</v>
      </c>
      <c r="DM136">
        <v>42514.400000000001</v>
      </c>
      <c r="DN136">
        <v>1.48485</v>
      </c>
      <c r="DO136">
        <v>2.0653299999999999</v>
      </c>
      <c r="DP136">
        <v>0.117868</v>
      </c>
      <c r="DQ136">
        <v>0.17260800000000001</v>
      </c>
      <c r="DR136">
        <v>25.0886</v>
      </c>
      <c r="DS136">
        <v>25.036200000000001</v>
      </c>
      <c r="DT136">
        <v>48.6</v>
      </c>
      <c r="DU136">
        <v>25</v>
      </c>
      <c r="DV136">
        <v>15.654199999999999</v>
      </c>
      <c r="DW136">
        <v>61.720100000000002</v>
      </c>
      <c r="DX136">
        <v>37.896599999999999</v>
      </c>
      <c r="DY136">
        <v>1</v>
      </c>
      <c r="DZ136">
        <v>-0.168653</v>
      </c>
      <c r="EA136">
        <v>-0.71761399999999997</v>
      </c>
      <c r="EB136">
        <v>20.1891</v>
      </c>
      <c r="EC136">
        <v>5.2418500000000003</v>
      </c>
      <c r="ED136">
        <v>12.039899999999999</v>
      </c>
      <c r="EE136">
        <v>5.0174500000000002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1.8687400000000001</v>
      </c>
      <c r="EL136">
        <v>1.86443</v>
      </c>
      <c r="EM136">
        <v>1.8690599999999999</v>
      </c>
      <c r="EN136">
        <v>1.86707</v>
      </c>
      <c r="EO136">
        <v>1.8632500000000001</v>
      </c>
      <c r="EP136">
        <v>1.8642099999999999</v>
      </c>
      <c r="EQ136">
        <v>1.8700600000000001</v>
      </c>
      <c r="ER136">
        <v>1.8692299999999999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-1.107</v>
      </c>
      <c r="FG136">
        <v>0.18290000000000001</v>
      </c>
      <c r="FH136">
        <v>-0.81947142863283695</v>
      </c>
      <c r="FI136">
        <v>-6.1462078757559423E-4</v>
      </c>
      <c r="FJ136">
        <v>-1.8861989874597051E-7</v>
      </c>
      <c r="FK136">
        <v>1.1980462299894961E-10</v>
      </c>
      <c r="FL136">
        <v>0.18283500000000069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27.7</v>
      </c>
      <c r="FU136">
        <v>27.7</v>
      </c>
      <c r="FV136">
        <v>1.7626999999999999</v>
      </c>
      <c r="FW136">
        <v>2.5524900000000001</v>
      </c>
      <c r="FX136">
        <v>1.5490699999999999</v>
      </c>
      <c r="FY136">
        <v>2.34375</v>
      </c>
      <c r="FZ136">
        <v>1.50146</v>
      </c>
      <c r="GA136">
        <v>2.323</v>
      </c>
      <c r="GB136">
        <v>30.566199999999998</v>
      </c>
      <c r="GC136">
        <v>23.9999</v>
      </c>
      <c r="GD136">
        <v>19</v>
      </c>
      <c r="GE136">
        <v>282.44099999999997</v>
      </c>
      <c r="GF136">
        <v>596.37900000000002</v>
      </c>
      <c r="GG136">
        <v>25.811399999999999</v>
      </c>
      <c r="GH136">
        <v>25.3065</v>
      </c>
      <c r="GI136">
        <v>30.0001</v>
      </c>
      <c r="GJ136">
        <v>25.428100000000001</v>
      </c>
      <c r="GK136">
        <v>25.398</v>
      </c>
      <c r="GL136">
        <v>35.240200000000002</v>
      </c>
      <c r="GM136">
        <v>100</v>
      </c>
      <c r="GN136">
        <v>39.619799999999998</v>
      </c>
      <c r="GO136">
        <v>25.8048</v>
      </c>
      <c r="GP136">
        <v>800</v>
      </c>
      <c r="GQ136">
        <v>0</v>
      </c>
      <c r="GR136">
        <v>99.765799999999999</v>
      </c>
      <c r="GS136">
        <v>99.478700000000003</v>
      </c>
    </row>
    <row r="137" spans="1:201" x14ac:dyDescent="0.25">
      <c r="A137">
        <v>121</v>
      </c>
      <c r="B137">
        <v>1690375086.0999999</v>
      </c>
      <c r="C137">
        <v>1266.599999904633</v>
      </c>
      <c r="D137" t="s">
        <v>575</v>
      </c>
      <c r="E137" t="s">
        <v>576</v>
      </c>
      <c r="F137" t="s">
        <v>330</v>
      </c>
      <c r="H137">
        <v>1690375086.0999999</v>
      </c>
      <c r="I137">
        <f t="shared" si="30"/>
        <v>2.5135288551601537E-3</v>
      </c>
      <c r="J137">
        <f t="shared" si="31"/>
        <v>2.5135288551601538</v>
      </c>
      <c r="K137">
        <f t="shared" si="32"/>
        <v>36.480349014925871</v>
      </c>
      <c r="L137">
        <f t="shared" si="33"/>
        <v>424.60599999999999</v>
      </c>
      <c r="M137">
        <f t="shared" si="34"/>
        <v>104.3820565446271</v>
      </c>
      <c r="N137">
        <f t="shared" si="35"/>
        <v>10.314092497848183</v>
      </c>
      <c r="O137">
        <f t="shared" si="36"/>
        <v>41.9557317044138</v>
      </c>
      <c r="P137">
        <f t="shared" si="37"/>
        <v>0.19314578992498449</v>
      </c>
      <c r="Q137">
        <f t="shared" si="38"/>
        <v>2.2514772686531908</v>
      </c>
      <c r="R137">
        <f t="shared" si="39"/>
        <v>0.1843902071103006</v>
      </c>
      <c r="S137">
        <f t="shared" si="40"/>
        <v>0.1159974547380543</v>
      </c>
      <c r="T137">
        <f t="shared" si="41"/>
        <v>276.11587674000003</v>
      </c>
      <c r="U137">
        <f t="shared" si="42"/>
        <v>27.817433934716085</v>
      </c>
      <c r="V137">
        <f t="shared" si="43"/>
        <v>27.817433934716085</v>
      </c>
      <c r="W137">
        <f t="shared" si="44"/>
        <v>3.7546383207867322</v>
      </c>
      <c r="X137">
        <f t="shared" si="45"/>
        <v>70.186207105699452</v>
      </c>
      <c r="Y137">
        <f t="shared" si="46"/>
        <v>2.4499785337895799</v>
      </c>
      <c r="Z137">
        <f t="shared" si="47"/>
        <v>3.4906837608419932</v>
      </c>
      <c r="AA137">
        <f t="shared" si="48"/>
        <v>1.3046597869971523</v>
      </c>
      <c r="AB137">
        <f t="shared" si="49"/>
        <v>-110.84662251256277</v>
      </c>
      <c r="AC137">
        <f t="shared" si="50"/>
        <v>-150.86936252431079</v>
      </c>
      <c r="AD137">
        <f t="shared" si="51"/>
        <v>-14.489757520616743</v>
      </c>
      <c r="AE137">
        <f t="shared" si="52"/>
        <v>-8.9865817490277777E-2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52354.424962792291</v>
      </c>
      <c r="AK137">
        <f t="shared" si="56"/>
        <v>1800</v>
      </c>
      <c r="AL137">
        <f t="shared" si="57"/>
        <v>1499.110623</v>
      </c>
      <c r="AM137">
        <f t="shared" si="58"/>
        <v>0.83283923500000001</v>
      </c>
      <c r="AN137">
        <f t="shared" si="59"/>
        <v>0.15339770930000002</v>
      </c>
      <c r="AO137">
        <v>30</v>
      </c>
      <c r="AP137">
        <v>0.5</v>
      </c>
      <c r="AQ137" t="s">
        <v>331</v>
      </c>
      <c r="AR137">
        <v>2</v>
      </c>
      <c r="AS137">
        <v>1690375086.0999999</v>
      </c>
      <c r="AT137">
        <v>424.60599999999999</v>
      </c>
      <c r="AU137">
        <v>800.00199999999995</v>
      </c>
      <c r="AV137">
        <v>24.794599999999999</v>
      </c>
      <c r="AW137">
        <v>0.28775899999999999</v>
      </c>
      <c r="AX137">
        <v>425.71199999999999</v>
      </c>
      <c r="AY137">
        <v>24.611699999999999</v>
      </c>
      <c r="AZ137">
        <v>300.06400000000002</v>
      </c>
      <c r="BA137">
        <v>98.710999999999999</v>
      </c>
      <c r="BB137">
        <v>9.99723E-2</v>
      </c>
      <c r="BC137">
        <v>26.5745</v>
      </c>
      <c r="BD137">
        <v>27.0047</v>
      </c>
      <c r="BE137">
        <v>27.856100000000001</v>
      </c>
      <c r="BF137">
        <v>0</v>
      </c>
      <c r="BG137">
        <v>0</v>
      </c>
      <c r="BH137">
        <v>10016.9</v>
      </c>
      <c r="BI137">
        <v>1086.1500000000001</v>
      </c>
      <c r="BJ137">
        <v>1.4016500000000001</v>
      </c>
      <c r="BK137">
        <v>-375.39600000000002</v>
      </c>
      <c r="BL137">
        <v>435.40100000000001</v>
      </c>
      <c r="BM137">
        <v>800.23199999999997</v>
      </c>
      <c r="BN137">
        <v>24.506799999999998</v>
      </c>
      <c r="BO137">
        <v>800.00199999999995</v>
      </c>
      <c r="BP137">
        <v>0.28775899999999999</v>
      </c>
      <c r="BQ137">
        <v>2.4474999999999998</v>
      </c>
      <c r="BR137">
        <v>2.8405E-2</v>
      </c>
      <c r="BS137">
        <v>20.6815</v>
      </c>
      <c r="BT137">
        <v>-35.988900000000001</v>
      </c>
      <c r="BU137">
        <v>1800</v>
      </c>
      <c r="BV137">
        <v>0.90998800000000002</v>
      </c>
      <c r="BW137">
        <v>3.4004199999999998E-2</v>
      </c>
      <c r="BX137">
        <v>2.2002500000000001E-2</v>
      </c>
      <c r="BY137">
        <v>3.4005599999999997E-2</v>
      </c>
      <c r="BZ137">
        <v>25</v>
      </c>
      <c r="CA137">
        <v>33528.300000000003</v>
      </c>
      <c r="CB137">
        <v>1690373417</v>
      </c>
      <c r="CC137" t="s">
        <v>332</v>
      </c>
      <c r="CD137">
        <v>1690373417</v>
      </c>
      <c r="CE137">
        <v>1690373415</v>
      </c>
      <c r="CF137">
        <v>1</v>
      </c>
      <c r="CG137">
        <v>-1.319</v>
      </c>
      <c r="CH137">
        <v>0.01</v>
      </c>
      <c r="CI137">
        <v>-1.371</v>
      </c>
      <c r="CJ137">
        <v>0.183</v>
      </c>
      <c r="CK137">
        <v>800</v>
      </c>
      <c r="CL137">
        <v>21</v>
      </c>
      <c r="CM137">
        <v>0.09</v>
      </c>
      <c r="CN137">
        <v>7.0000000000000007E-2</v>
      </c>
      <c r="CO137">
        <v>-373.77080000000001</v>
      </c>
      <c r="CP137">
        <v>-9.6174033771102678</v>
      </c>
      <c r="CQ137">
        <v>0.92578553672003316</v>
      </c>
      <c r="CR137">
        <v>-1</v>
      </c>
      <c r="CS137">
        <v>24.431760000000001</v>
      </c>
      <c r="CT137">
        <v>0.42533583489675653</v>
      </c>
      <c r="CU137">
        <v>4.0925259925869643E-2</v>
      </c>
      <c r="CV137">
        <v>-1</v>
      </c>
      <c r="CW137">
        <v>0</v>
      </c>
      <c r="CX137">
        <v>0</v>
      </c>
      <c r="CY137" t="s">
        <v>333</v>
      </c>
      <c r="CZ137">
        <v>2.3652600000000001</v>
      </c>
      <c r="DA137">
        <v>2.7137799999999999</v>
      </c>
      <c r="DB137">
        <v>9.3688499999999994E-2</v>
      </c>
      <c r="DC137">
        <v>0.14575199999999999</v>
      </c>
      <c r="DD137">
        <v>0.116394</v>
      </c>
      <c r="DE137">
        <v>2.4020600000000001E-3</v>
      </c>
      <c r="DF137">
        <v>33107.5</v>
      </c>
      <c r="DG137">
        <v>27517.7</v>
      </c>
      <c r="DH137">
        <v>31182.3</v>
      </c>
      <c r="DI137">
        <v>28066.400000000001</v>
      </c>
      <c r="DJ137">
        <v>37395.199999999997</v>
      </c>
      <c r="DK137">
        <v>39799.599999999999</v>
      </c>
      <c r="DL137">
        <v>44372</v>
      </c>
      <c r="DM137">
        <v>42514.3</v>
      </c>
      <c r="DN137">
        <v>1.4850699999999999</v>
      </c>
      <c r="DO137">
        <v>2.06555</v>
      </c>
      <c r="DP137">
        <v>0.116698</v>
      </c>
      <c r="DQ137">
        <v>0.17214599999999999</v>
      </c>
      <c r="DR137">
        <v>25.0932</v>
      </c>
      <c r="DS137">
        <v>25.0383</v>
      </c>
      <c r="DT137">
        <v>48.1</v>
      </c>
      <c r="DU137">
        <v>25</v>
      </c>
      <c r="DV137">
        <v>15.4923</v>
      </c>
      <c r="DW137">
        <v>61.740099999999998</v>
      </c>
      <c r="DX137">
        <v>37.011200000000002</v>
      </c>
      <c r="DY137">
        <v>1</v>
      </c>
      <c r="DZ137">
        <v>-0.16872699999999999</v>
      </c>
      <c r="EA137">
        <v>-0.69578200000000001</v>
      </c>
      <c r="EB137">
        <v>20.189299999999999</v>
      </c>
      <c r="EC137">
        <v>5.2416999999999998</v>
      </c>
      <c r="ED137">
        <v>12.039899999999999</v>
      </c>
      <c r="EE137">
        <v>5.0172499999999998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1.8687400000000001</v>
      </c>
      <c r="EL137">
        <v>1.86443</v>
      </c>
      <c r="EM137">
        <v>1.8690599999999999</v>
      </c>
      <c r="EN137">
        <v>1.86707</v>
      </c>
      <c r="EO137">
        <v>1.8632500000000001</v>
      </c>
      <c r="EP137">
        <v>1.8642099999999999</v>
      </c>
      <c r="EQ137">
        <v>1.8700300000000001</v>
      </c>
      <c r="ER137">
        <v>1.8692200000000001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-1.1060000000000001</v>
      </c>
      <c r="FG137">
        <v>0.18290000000000001</v>
      </c>
      <c r="FH137">
        <v>-0.81947142863283695</v>
      </c>
      <c r="FI137">
        <v>-6.1462078757559423E-4</v>
      </c>
      <c r="FJ137">
        <v>-1.8861989874597051E-7</v>
      </c>
      <c r="FK137">
        <v>1.1980462299894961E-10</v>
      </c>
      <c r="FL137">
        <v>0.18283500000000069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27.8</v>
      </c>
      <c r="FU137">
        <v>27.9</v>
      </c>
      <c r="FV137">
        <v>1.7626999999999999</v>
      </c>
      <c r="FW137">
        <v>2.5573700000000001</v>
      </c>
      <c r="FX137">
        <v>1.5490699999999999</v>
      </c>
      <c r="FY137">
        <v>2.34375</v>
      </c>
      <c r="FZ137">
        <v>1.50146</v>
      </c>
      <c r="GA137">
        <v>2.3815900000000001</v>
      </c>
      <c r="GB137">
        <v>30.544599999999999</v>
      </c>
      <c r="GC137">
        <v>23.991199999999999</v>
      </c>
      <c r="GD137">
        <v>19</v>
      </c>
      <c r="GE137">
        <v>282.53500000000003</v>
      </c>
      <c r="GF137">
        <v>596.54300000000001</v>
      </c>
      <c r="GG137">
        <v>25.786799999999999</v>
      </c>
      <c r="GH137">
        <v>25.3065</v>
      </c>
      <c r="GI137">
        <v>30</v>
      </c>
      <c r="GJ137">
        <v>25.428100000000001</v>
      </c>
      <c r="GK137">
        <v>25.395900000000001</v>
      </c>
      <c r="GL137">
        <v>35.241199999999999</v>
      </c>
      <c r="GM137">
        <v>100</v>
      </c>
      <c r="GN137">
        <v>38.844299999999997</v>
      </c>
      <c r="GO137">
        <v>25.780999999999999</v>
      </c>
      <c r="GP137">
        <v>800</v>
      </c>
      <c r="GQ137">
        <v>0</v>
      </c>
      <c r="GR137">
        <v>99.765600000000006</v>
      </c>
      <c r="GS137">
        <v>99.4786</v>
      </c>
    </row>
    <row r="138" spans="1:201" x14ac:dyDescent="0.25">
      <c r="A138">
        <v>122</v>
      </c>
      <c r="B138">
        <v>1690375096.0999999</v>
      </c>
      <c r="C138">
        <v>1276.599999904633</v>
      </c>
      <c r="D138" t="s">
        <v>577</v>
      </c>
      <c r="E138" t="s">
        <v>578</v>
      </c>
      <c r="F138" t="s">
        <v>330</v>
      </c>
      <c r="H138">
        <v>1690375096.0999999</v>
      </c>
      <c r="I138">
        <f t="shared" si="30"/>
        <v>2.5217155731367897E-3</v>
      </c>
      <c r="J138">
        <f t="shared" si="31"/>
        <v>2.5217155731367895</v>
      </c>
      <c r="K138">
        <f t="shared" si="32"/>
        <v>36.650618259929871</v>
      </c>
      <c r="L138">
        <f t="shared" si="33"/>
        <v>423.12200000000001</v>
      </c>
      <c r="M138">
        <f t="shared" si="34"/>
        <v>104.00554246492926</v>
      </c>
      <c r="N138">
        <f t="shared" si="35"/>
        <v>10.276435488192874</v>
      </c>
      <c r="O138">
        <f t="shared" si="36"/>
        <v>41.807252128908004</v>
      </c>
      <c r="P138">
        <f t="shared" si="37"/>
        <v>0.194770900657809</v>
      </c>
      <c r="Q138">
        <f t="shared" si="38"/>
        <v>2.2504549078231504</v>
      </c>
      <c r="R138">
        <f t="shared" si="39"/>
        <v>0.18586716450725554</v>
      </c>
      <c r="S138">
        <f t="shared" si="40"/>
        <v>0.11693302004726758</v>
      </c>
      <c r="T138">
        <f t="shared" si="41"/>
        <v>276.11426233935379</v>
      </c>
      <c r="U138">
        <f t="shared" si="42"/>
        <v>27.816419581422423</v>
      </c>
      <c r="V138">
        <f t="shared" si="43"/>
        <v>27.816419581422423</v>
      </c>
      <c r="W138">
        <f t="shared" si="44"/>
        <v>3.7544160006157612</v>
      </c>
      <c r="X138">
        <f t="shared" si="45"/>
        <v>70.353916010962251</v>
      </c>
      <c r="Y138">
        <f t="shared" si="46"/>
        <v>2.4560063622138002</v>
      </c>
      <c r="Z138">
        <f t="shared" si="47"/>
        <v>3.4909305714142702</v>
      </c>
      <c r="AA138">
        <f t="shared" si="48"/>
        <v>1.298409638401961</v>
      </c>
      <c r="AB138">
        <f t="shared" si="49"/>
        <v>-111.20765677533242</v>
      </c>
      <c r="AC138">
        <f t="shared" si="50"/>
        <v>-150.53219530172669</v>
      </c>
      <c r="AD138">
        <f t="shared" si="51"/>
        <v>-14.463956438929202</v>
      </c>
      <c r="AE138">
        <f t="shared" si="52"/>
        <v>-8.9546176634513586E-2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52314.297850766758</v>
      </c>
      <c r="AK138">
        <f t="shared" si="56"/>
        <v>1799.99</v>
      </c>
      <c r="AL138">
        <f t="shared" si="57"/>
        <v>1499.1032792021799</v>
      </c>
      <c r="AM138">
        <f t="shared" si="58"/>
        <v>0.83283978199999997</v>
      </c>
      <c r="AN138">
        <f t="shared" si="59"/>
        <v>0.15339766461999998</v>
      </c>
      <c r="AO138">
        <v>30</v>
      </c>
      <c r="AP138">
        <v>0.5</v>
      </c>
      <c r="AQ138" t="s">
        <v>331</v>
      </c>
      <c r="AR138">
        <v>2</v>
      </c>
      <c r="AS138">
        <v>1690375096.0999999</v>
      </c>
      <c r="AT138">
        <v>423.12200000000001</v>
      </c>
      <c r="AU138">
        <v>800.02800000000002</v>
      </c>
      <c r="AV138">
        <v>24.8567</v>
      </c>
      <c r="AW138">
        <v>0.28397</v>
      </c>
      <c r="AX138">
        <v>424.22699999999998</v>
      </c>
      <c r="AY138">
        <v>24.6738</v>
      </c>
      <c r="AZ138">
        <v>300.21499999999997</v>
      </c>
      <c r="BA138">
        <v>98.706599999999995</v>
      </c>
      <c r="BB138">
        <v>0.10001400000000001</v>
      </c>
      <c r="BC138">
        <v>26.575700000000001</v>
      </c>
      <c r="BD138">
        <v>26.991099999999999</v>
      </c>
      <c r="BE138">
        <v>27.856300000000001</v>
      </c>
      <c r="BF138">
        <v>0</v>
      </c>
      <c r="BG138">
        <v>0</v>
      </c>
      <c r="BH138">
        <v>10009.4</v>
      </c>
      <c r="BI138">
        <v>1086.26</v>
      </c>
      <c r="BJ138">
        <v>1.4016500000000001</v>
      </c>
      <c r="BK138">
        <v>-376.90600000000001</v>
      </c>
      <c r="BL138">
        <v>433.90800000000002</v>
      </c>
      <c r="BM138">
        <v>800.255</v>
      </c>
      <c r="BN138">
        <v>24.572700000000001</v>
      </c>
      <c r="BO138">
        <v>800.02800000000002</v>
      </c>
      <c r="BP138">
        <v>0.28397</v>
      </c>
      <c r="BQ138">
        <v>2.4535100000000001</v>
      </c>
      <c r="BR138">
        <v>2.8029700000000001E-2</v>
      </c>
      <c r="BS138">
        <v>20.721399999999999</v>
      </c>
      <c r="BT138">
        <v>-36.121299999999998</v>
      </c>
      <c r="BU138">
        <v>1799.99</v>
      </c>
      <c r="BV138">
        <v>0.90999200000000002</v>
      </c>
      <c r="BW138">
        <v>3.40028E-2</v>
      </c>
      <c r="BX138">
        <v>2.20016E-2</v>
      </c>
      <c r="BY138">
        <v>3.4004199999999998E-2</v>
      </c>
      <c r="BZ138">
        <v>25</v>
      </c>
      <c r="CA138">
        <v>33528.199999999997</v>
      </c>
      <c r="CB138">
        <v>1690373417</v>
      </c>
      <c r="CC138" t="s">
        <v>332</v>
      </c>
      <c r="CD138">
        <v>1690373417</v>
      </c>
      <c r="CE138">
        <v>1690373415</v>
      </c>
      <c r="CF138">
        <v>1</v>
      </c>
      <c r="CG138">
        <v>-1.319</v>
      </c>
      <c r="CH138">
        <v>0.01</v>
      </c>
      <c r="CI138">
        <v>-1.371</v>
      </c>
      <c r="CJ138">
        <v>0.183</v>
      </c>
      <c r="CK138">
        <v>800</v>
      </c>
      <c r="CL138">
        <v>21</v>
      </c>
      <c r="CM138">
        <v>0.09</v>
      </c>
      <c r="CN138">
        <v>7.0000000000000007E-2</v>
      </c>
      <c r="CO138">
        <v>-375.294625</v>
      </c>
      <c r="CP138">
        <v>-8.8349831144460484</v>
      </c>
      <c r="CQ138">
        <v>0.85055992403533909</v>
      </c>
      <c r="CR138">
        <v>-1</v>
      </c>
      <c r="CS138">
        <v>24.50216</v>
      </c>
      <c r="CT138">
        <v>0.42000900562848892</v>
      </c>
      <c r="CU138">
        <v>4.042878182681249E-2</v>
      </c>
      <c r="CV138">
        <v>-1</v>
      </c>
      <c r="CW138">
        <v>0</v>
      </c>
      <c r="CX138">
        <v>0</v>
      </c>
      <c r="CY138" t="s">
        <v>333</v>
      </c>
      <c r="CZ138">
        <v>2.3657599999999999</v>
      </c>
      <c r="DA138">
        <v>2.7138100000000001</v>
      </c>
      <c r="DB138">
        <v>9.3438499999999994E-2</v>
      </c>
      <c r="DC138">
        <v>0.14574799999999999</v>
      </c>
      <c r="DD138">
        <v>0.116594</v>
      </c>
      <c r="DE138">
        <v>2.3708599999999998E-3</v>
      </c>
      <c r="DF138">
        <v>33117.300000000003</v>
      </c>
      <c r="DG138">
        <v>27518</v>
      </c>
      <c r="DH138">
        <v>31182.9</v>
      </c>
      <c r="DI138">
        <v>28066.6</v>
      </c>
      <c r="DJ138">
        <v>37387.5</v>
      </c>
      <c r="DK138">
        <v>39801.300000000003</v>
      </c>
      <c r="DL138">
        <v>44373</v>
      </c>
      <c r="DM138">
        <v>42514.8</v>
      </c>
      <c r="DN138">
        <v>1.48515</v>
      </c>
      <c r="DO138">
        <v>2.0652699999999999</v>
      </c>
      <c r="DP138">
        <v>0.115618</v>
      </c>
      <c r="DQ138">
        <v>0.172153</v>
      </c>
      <c r="DR138">
        <v>25.0974</v>
      </c>
      <c r="DS138">
        <v>25.0383</v>
      </c>
      <c r="DT138">
        <v>47.7</v>
      </c>
      <c r="DU138">
        <v>25</v>
      </c>
      <c r="DV138">
        <v>15.3672</v>
      </c>
      <c r="DW138">
        <v>61.460099999999997</v>
      </c>
      <c r="DX138">
        <v>36.826900000000002</v>
      </c>
      <c r="DY138">
        <v>1</v>
      </c>
      <c r="DZ138">
        <v>-0.16872000000000001</v>
      </c>
      <c r="EA138">
        <v>-0.77612700000000001</v>
      </c>
      <c r="EB138">
        <v>20.188800000000001</v>
      </c>
      <c r="EC138">
        <v>5.2424499999999998</v>
      </c>
      <c r="ED138">
        <v>12.039899999999999</v>
      </c>
      <c r="EE138">
        <v>5.0172499999999998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1.8687499999999999</v>
      </c>
      <c r="EL138">
        <v>1.86442</v>
      </c>
      <c r="EM138">
        <v>1.86907</v>
      </c>
      <c r="EN138">
        <v>1.86707</v>
      </c>
      <c r="EO138">
        <v>1.8632500000000001</v>
      </c>
      <c r="EP138">
        <v>1.86422</v>
      </c>
      <c r="EQ138">
        <v>1.8700600000000001</v>
      </c>
      <c r="ER138">
        <v>1.8692500000000001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-1.105</v>
      </c>
      <c r="FG138">
        <v>0.18290000000000001</v>
      </c>
      <c r="FH138">
        <v>-0.81947142863283695</v>
      </c>
      <c r="FI138">
        <v>-6.1462078757559423E-4</v>
      </c>
      <c r="FJ138">
        <v>-1.8861989874597051E-7</v>
      </c>
      <c r="FK138">
        <v>1.1980462299894961E-10</v>
      </c>
      <c r="FL138">
        <v>0.18283500000000069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28</v>
      </c>
      <c r="FU138">
        <v>28</v>
      </c>
      <c r="FV138">
        <v>1.7626999999999999</v>
      </c>
      <c r="FW138">
        <v>2.5622600000000002</v>
      </c>
      <c r="FX138">
        <v>1.5490699999999999</v>
      </c>
      <c r="FY138">
        <v>2.34375</v>
      </c>
      <c r="FZ138">
        <v>1.50146</v>
      </c>
      <c r="GA138">
        <v>2.2839399999999999</v>
      </c>
      <c r="GB138">
        <v>30.566199999999998</v>
      </c>
      <c r="GC138">
        <v>23.982399999999998</v>
      </c>
      <c r="GD138">
        <v>19</v>
      </c>
      <c r="GE138">
        <v>282.56</v>
      </c>
      <c r="GF138">
        <v>596.31299999999999</v>
      </c>
      <c r="GG138">
        <v>25.7774</v>
      </c>
      <c r="GH138">
        <v>25.304300000000001</v>
      </c>
      <c r="GI138">
        <v>30</v>
      </c>
      <c r="GJ138">
        <v>25.426300000000001</v>
      </c>
      <c r="GK138">
        <v>25.395900000000001</v>
      </c>
      <c r="GL138">
        <v>35.238799999999998</v>
      </c>
      <c r="GM138">
        <v>100</v>
      </c>
      <c r="GN138">
        <v>37.706299999999999</v>
      </c>
      <c r="GO138">
        <v>25.808800000000002</v>
      </c>
      <c r="GP138">
        <v>800</v>
      </c>
      <c r="GQ138">
        <v>0</v>
      </c>
      <c r="GR138">
        <v>99.767799999999994</v>
      </c>
      <c r="GS138">
        <v>99.479600000000005</v>
      </c>
    </row>
    <row r="139" spans="1:201" x14ac:dyDescent="0.25">
      <c r="A139">
        <v>123</v>
      </c>
      <c r="B139">
        <v>1690375106.0999999</v>
      </c>
      <c r="C139">
        <v>1286.599999904633</v>
      </c>
      <c r="D139" t="s">
        <v>579</v>
      </c>
      <c r="E139" t="s">
        <v>580</v>
      </c>
      <c r="F139" t="s">
        <v>330</v>
      </c>
      <c r="H139">
        <v>1690375106.0999999</v>
      </c>
      <c r="I139">
        <f t="shared" si="30"/>
        <v>2.5281225373608228E-3</v>
      </c>
      <c r="J139">
        <f t="shared" si="31"/>
        <v>2.5281225373608227</v>
      </c>
      <c r="K139">
        <f t="shared" si="32"/>
        <v>36.788854728803052</v>
      </c>
      <c r="L139">
        <f t="shared" si="33"/>
        <v>421.63900000000001</v>
      </c>
      <c r="M139">
        <f t="shared" si="34"/>
        <v>103.9177537782497</v>
      </c>
      <c r="N139">
        <f t="shared" si="35"/>
        <v>10.267773751527258</v>
      </c>
      <c r="O139">
        <f t="shared" si="36"/>
        <v>41.660772095387003</v>
      </c>
      <c r="P139">
        <f t="shared" si="37"/>
        <v>0.19641010723248969</v>
      </c>
      <c r="Q139">
        <f t="shared" si="38"/>
        <v>2.2516654992199721</v>
      </c>
      <c r="R139">
        <f t="shared" si="39"/>
        <v>0.18736423865366142</v>
      </c>
      <c r="S139">
        <f t="shared" si="40"/>
        <v>0.11788066146387791</v>
      </c>
      <c r="T139">
        <f t="shared" si="41"/>
        <v>276.11559910800003</v>
      </c>
      <c r="U139">
        <f t="shared" si="42"/>
        <v>27.812896775190762</v>
      </c>
      <c r="V139">
        <f t="shared" si="43"/>
        <v>27.812896775190762</v>
      </c>
      <c r="W139">
        <f t="shared" si="44"/>
        <v>3.7536439812456419</v>
      </c>
      <c r="X139">
        <f t="shared" si="45"/>
        <v>70.539602284143172</v>
      </c>
      <c r="Y139">
        <f t="shared" si="46"/>
        <v>2.4623724737662998</v>
      </c>
      <c r="Z139">
        <f t="shared" si="47"/>
        <v>3.4907660293398401</v>
      </c>
      <c r="AA139">
        <f t="shared" si="48"/>
        <v>1.2912715074793422</v>
      </c>
      <c r="AB139">
        <f t="shared" si="49"/>
        <v>-111.49020389761229</v>
      </c>
      <c r="AC139">
        <f t="shared" si="50"/>
        <v>-150.28264504233951</v>
      </c>
      <c r="AD139">
        <f t="shared" si="51"/>
        <v>-14.431902735637342</v>
      </c>
      <c r="AE139">
        <f t="shared" si="52"/>
        <v>-8.9152567589081855E-2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52361.594364242541</v>
      </c>
      <c r="AK139">
        <f t="shared" si="56"/>
        <v>1800</v>
      </c>
      <c r="AL139">
        <f t="shared" si="57"/>
        <v>1499.1117588</v>
      </c>
      <c r="AM139">
        <f t="shared" si="58"/>
        <v>0.83283986599999993</v>
      </c>
      <c r="AN139">
        <f t="shared" si="59"/>
        <v>0.15339755506000002</v>
      </c>
      <c r="AO139">
        <v>30</v>
      </c>
      <c r="AP139">
        <v>0.5</v>
      </c>
      <c r="AQ139" t="s">
        <v>331</v>
      </c>
      <c r="AR139">
        <v>2</v>
      </c>
      <c r="AS139">
        <v>1690375106.0999999</v>
      </c>
      <c r="AT139">
        <v>421.63900000000001</v>
      </c>
      <c r="AU139">
        <v>800.03700000000003</v>
      </c>
      <c r="AV139">
        <v>24.921099999999999</v>
      </c>
      <c r="AW139">
        <v>0.27968500000000002</v>
      </c>
      <c r="AX139">
        <v>422.74299999999999</v>
      </c>
      <c r="AY139">
        <v>24.738199999999999</v>
      </c>
      <c r="AZ139">
        <v>300.11900000000003</v>
      </c>
      <c r="BA139">
        <v>98.706699999999998</v>
      </c>
      <c r="BB139">
        <v>0.100033</v>
      </c>
      <c r="BC139">
        <v>26.5749</v>
      </c>
      <c r="BD139">
        <v>26.984000000000002</v>
      </c>
      <c r="BE139">
        <v>27.8505</v>
      </c>
      <c r="BF139">
        <v>0</v>
      </c>
      <c r="BG139">
        <v>0</v>
      </c>
      <c r="BH139">
        <v>10018.799999999999</v>
      </c>
      <c r="BI139">
        <v>1086.27</v>
      </c>
      <c r="BJ139">
        <v>1.4016500000000001</v>
      </c>
      <c r="BK139">
        <v>-378.39800000000002</v>
      </c>
      <c r="BL139">
        <v>432.41500000000002</v>
      </c>
      <c r="BM139">
        <v>800.26099999999997</v>
      </c>
      <c r="BN139">
        <v>24.641400000000001</v>
      </c>
      <c r="BO139">
        <v>800.03700000000003</v>
      </c>
      <c r="BP139">
        <v>0.27968500000000002</v>
      </c>
      <c r="BQ139">
        <v>2.4598800000000001</v>
      </c>
      <c r="BR139">
        <v>2.7606800000000001E-2</v>
      </c>
      <c r="BS139">
        <v>20.763400000000001</v>
      </c>
      <c r="BT139">
        <v>-36.272500000000001</v>
      </c>
      <c r="BU139">
        <v>1800</v>
      </c>
      <c r="BV139">
        <v>0.909995</v>
      </c>
      <c r="BW139">
        <v>3.40016E-2</v>
      </c>
      <c r="BX139">
        <v>2.2000800000000001E-2</v>
      </c>
      <c r="BY139">
        <v>3.4002999999999999E-2</v>
      </c>
      <c r="BZ139">
        <v>25</v>
      </c>
      <c r="CA139">
        <v>33528.300000000003</v>
      </c>
      <c r="CB139">
        <v>1690373417</v>
      </c>
      <c r="CC139" t="s">
        <v>332</v>
      </c>
      <c r="CD139">
        <v>1690373417</v>
      </c>
      <c r="CE139">
        <v>1690373415</v>
      </c>
      <c r="CF139">
        <v>1</v>
      </c>
      <c r="CG139">
        <v>-1.319</v>
      </c>
      <c r="CH139">
        <v>0.01</v>
      </c>
      <c r="CI139">
        <v>-1.371</v>
      </c>
      <c r="CJ139">
        <v>0.183</v>
      </c>
      <c r="CK139">
        <v>800</v>
      </c>
      <c r="CL139">
        <v>21</v>
      </c>
      <c r="CM139">
        <v>0.09</v>
      </c>
      <c r="CN139">
        <v>7.0000000000000007E-2</v>
      </c>
      <c r="CO139">
        <v>-376.774675</v>
      </c>
      <c r="CP139">
        <v>-9.1073808630380313</v>
      </c>
      <c r="CQ139">
        <v>0.87656794909179714</v>
      </c>
      <c r="CR139">
        <v>-1</v>
      </c>
      <c r="CS139">
        <v>24.569534999999998</v>
      </c>
      <c r="CT139">
        <v>0.39201951219512232</v>
      </c>
      <c r="CU139">
        <v>3.7748765211593691E-2</v>
      </c>
      <c r="CV139">
        <v>-1</v>
      </c>
      <c r="CW139">
        <v>0</v>
      </c>
      <c r="CX139">
        <v>0</v>
      </c>
      <c r="CY139" t="s">
        <v>333</v>
      </c>
      <c r="CZ139">
        <v>2.3654500000000001</v>
      </c>
      <c r="DA139">
        <v>2.7138399999999998</v>
      </c>
      <c r="DB139">
        <v>9.31921E-2</v>
      </c>
      <c r="DC139">
        <v>0.14574999999999999</v>
      </c>
      <c r="DD139">
        <v>0.11680699999999999</v>
      </c>
      <c r="DE139">
        <v>2.33571E-3</v>
      </c>
      <c r="DF139">
        <v>33126.1</v>
      </c>
      <c r="DG139">
        <v>27518.2</v>
      </c>
      <c r="DH139">
        <v>31182.7</v>
      </c>
      <c r="DI139">
        <v>28066.799999999999</v>
      </c>
      <c r="DJ139">
        <v>37378</v>
      </c>
      <c r="DK139">
        <v>39803.1</v>
      </c>
      <c r="DL139">
        <v>44372.6</v>
      </c>
      <c r="DM139">
        <v>42515.199999999997</v>
      </c>
      <c r="DN139">
        <v>1.48553</v>
      </c>
      <c r="DO139">
        <v>2.0649199999999999</v>
      </c>
      <c r="DP139">
        <v>0.115111</v>
      </c>
      <c r="DQ139">
        <v>0.17180999999999999</v>
      </c>
      <c r="DR139">
        <v>25.098600000000001</v>
      </c>
      <c r="DS139">
        <v>25.0382</v>
      </c>
      <c r="DT139">
        <v>47.2</v>
      </c>
      <c r="DU139">
        <v>25</v>
      </c>
      <c r="DV139">
        <v>15.2034</v>
      </c>
      <c r="DW139">
        <v>61.510100000000001</v>
      </c>
      <c r="DX139">
        <v>37.732399999999998</v>
      </c>
      <c r="DY139">
        <v>1</v>
      </c>
      <c r="DZ139">
        <v>-0.16883600000000001</v>
      </c>
      <c r="EA139">
        <v>-0.83320300000000003</v>
      </c>
      <c r="EB139">
        <v>20.188500000000001</v>
      </c>
      <c r="EC139">
        <v>5.24125</v>
      </c>
      <c r="ED139">
        <v>12.039899999999999</v>
      </c>
      <c r="EE139">
        <v>5.0171000000000001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1.8687400000000001</v>
      </c>
      <c r="EL139">
        <v>1.86439</v>
      </c>
      <c r="EM139">
        <v>1.8690599999999999</v>
      </c>
      <c r="EN139">
        <v>1.86707</v>
      </c>
      <c r="EO139">
        <v>1.86324</v>
      </c>
      <c r="EP139">
        <v>1.8642099999999999</v>
      </c>
      <c r="EQ139">
        <v>1.8700300000000001</v>
      </c>
      <c r="ER139">
        <v>1.8692299999999999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-1.1040000000000001</v>
      </c>
      <c r="FG139">
        <v>0.18290000000000001</v>
      </c>
      <c r="FH139">
        <v>-0.81947142863283695</v>
      </c>
      <c r="FI139">
        <v>-6.1462078757559423E-4</v>
      </c>
      <c r="FJ139">
        <v>-1.8861989874597051E-7</v>
      </c>
      <c r="FK139">
        <v>1.1980462299894961E-10</v>
      </c>
      <c r="FL139">
        <v>0.18283500000000069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28.2</v>
      </c>
      <c r="FU139">
        <v>28.2</v>
      </c>
      <c r="FV139">
        <v>1.7626999999999999</v>
      </c>
      <c r="FW139">
        <v>2.5524900000000001</v>
      </c>
      <c r="FX139">
        <v>1.5490699999999999</v>
      </c>
      <c r="FY139">
        <v>2.34375</v>
      </c>
      <c r="FZ139">
        <v>1.50146</v>
      </c>
      <c r="GA139">
        <v>2.34619</v>
      </c>
      <c r="GB139">
        <v>30.566199999999998</v>
      </c>
      <c r="GC139">
        <v>23.991199999999999</v>
      </c>
      <c r="GD139">
        <v>19</v>
      </c>
      <c r="GE139">
        <v>282.71600000000001</v>
      </c>
      <c r="GF139">
        <v>596</v>
      </c>
      <c r="GG139">
        <v>25.818300000000001</v>
      </c>
      <c r="GH139">
        <v>25.304300000000001</v>
      </c>
      <c r="GI139">
        <v>30</v>
      </c>
      <c r="GJ139">
        <v>25.425899999999999</v>
      </c>
      <c r="GK139">
        <v>25.394200000000001</v>
      </c>
      <c r="GL139">
        <v>35.238399999999999</v>
      </c>
      <c r="GM139">
        <v>100</v>
      </c>
      <c r="GN139">
        <v>36.953200000000002</v>
      </c>
      <c r="GO139">
        <v>25.832000000000001</v>
      </c>
      <c r="GP139">
        <v>800</v>
      </c>
      <c r="GQ139">
        <v>0</v>
      </c>
      <c r="GR139">
        <v>99.766999999999996</v>
      </c>
      <c r="GS139">
        <v>99.480500000000006</v>
      </c>
    </row>
    <row r="140" spans="1:201" x14ac:dyDescent="0.25">
      <c r="A140">
        <v>124</v>
      </c>
      <c r="B140">
        <v>1690375116.0999999</v>
      </c>
      <c r="C140">
        <v>1296.599999904633</v>
      </c>
      <c r="D140" t="s">
        <v>581</v>
      </c>
      <c r="E140" t="s">
        <v>582</v>
      </c>
      <c r="F140" t="s">
        <v>330</v>
      </c>
      <c r="H140">
        <v>1690375116.0999999</v>
      </c>
      <c r="I140">
        <f t="shared" si="30"/>
        <v>2.536169823620846E-3</v>
      </c>
      <c r="J140">
        <f t="shared" si="31"/>
        <v>2.5361698236208459</v>
      </c>
      <c r="K140">
        <f t="shared" si="32"/>
        <v>36.935468315543211</v>
      </c>
      <c r="L140">
        <f t="shared" si="33"/>
        <v>420.11700000000002</v>
      </c>
      <c r="M140">
        <f t="shared" si="34"/>
        <v>103.35420938611246</v>
      </c>
      <c r="N140">
        <f t="shared" si="35"/>
        <v>10.212405275563039</v>
      </c>
      <c r="O140">
        <f t="shared" si="36"/>
        <v>41.511662588657103</v>
      </c>
      <c r="P140">
        <f t="shared" si="37"/>
        <v>0.19783365415105181</v>
      </c>
      <c r="Q140">
        <f t="shared" si="38"/>
        <v>2.250496669293796</v>
      </c>
      <c r="R140">
        <f t="shared" si="39"/>
        <v>0.1886549484740406</v>
      </c>
      <c r="S140">
        <f t="shared" si="40"/>
        <v>0.11869851943489117</v>
      </c>
      <c r="T140">
        <f t="shared" si="41"/>
        <v>276.11518595400003</v>
      </c>
      <c r="U140">
        <f t="shared" si="42"/>
        <v>27.822797616014537</v>
      </c>
      <c r="V140">
        <f t="shared" si="43"/>
        <v>27.822797616014537</v>
      </c>
      <c r="W140">
        <f t="shared" si="44"/>
        <v>3.7558140928388983</v>
      </c>
      <c r="X140">
        <f t="shared" si="45"/>
        <v>70.688500385917635</v>
      </c>
      <c r="Y140">
        <f t="shared" si="46"/>
        <v>2.4693153456967805</v>
      </c>
      <c r="Z140">
        <f t="shared" si="47"/>
        <v>3.4932348716067976</v>
      </c>
      <c r="AA140">
        <f t="shared" si="48"/>
        <v>1.2864987471421179</v>
      </c>
      <c r="AB140">
        <f t="shared" si="49"/>
        <v>-111.8450892216793</v>
      </c>
      <c r="AC140">
        <f t="shared" si="50"/>
        <v>-149.94994554993659</v>
      </c>
      <c r="AD140">
        <f t="shared" si="51"/>
        <v>-14.409008364083457</v>
      </c>
      <c r="AE140">
        <f t="shared" si="52"/>
        <v>-8.8857181699296461E-2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52314.038020672102</v>
      </c>
      <c r="AK140">
        <f t="shared" si="56"/>
        <v>1800</v>
      </c>
      <c r="AL140">
        <f t="shared" si="57"/>
        <v>1499.1116453999998</v>
      </c>
      <c r="AM140">
        <f t="shared" si="58"/>
        <v>0.83283980299999993</v>
      </c>
      <c r="AN140">
        <f t="shared" si="59"/>
        <v>0.15339732553000002</v>
      </c>
      <c r="AO140">
        <v>30</v>
      </c>
      <c r="AP140">
        <v>0.5</v>
      </c>
      <c r="AQ140" t="s">
        <v>331</v>
      </c>
      <c r="AR140">
        <v>2</v>
      </c>
      <c r="AS140">
        <v>1690375116.0999999</v>
      </c>
      <c r="AT140">
        <v>420.11700000000002</v>
      </c>
      <c r="AU140">
        <v>799.92399999999998</v>
      </c>
      <c r="AV140">
        <v>24.990600000000001</v>
      </c>
      <c r="AW140">
        <v>0.27588699999999999</v>
      </c>
      <c r="AX140">
        <v>421.22</v>
      </c>
      <c r="AY140">
        <v>24.807700000000001</v>
      </c>
      <c r="AZ140">
        <v>300.16000000000003</v>
      </c>
      <c r="BA140">
        <v>98.709800000000001</v>
      </c>
      <c r="BB140">
        <v>9.9966299999999994E-2</v>
      </c>
      <c r="BC140">
        <v>26.5869</v>
      </c>
      <c r="BD140">
        <v>26.991399999999999</v>
      </c>
      <c r="BE140">
        <v>27.859400000000001</v>
      </c>
      <c r="BF140">
        <v>0</v>
      </c>
      <c r="BG140">
        <v>0</v>
      </c>
      <c r="BH140">
        <v>10009.4</v>
      </c>
      <c r="BI140">
        <v>1086.1300000000001</v>
      </c>
      <c r="BJ140">
        <v>1.4016500000000001</v>
      </c>
      <c r="BK140">
        <v>-379.80599999999998</v>
      </c>
      <c r="BL140">
        <v>430.88499999999999</v>
      </c>
      <c r="BM140">
        <v>800.14400000000001</v>
      </c>
      <c r="BN140">
        <v>24.714700000000001</v>
      </c>
      <c r="BO140">
        <v>799.92399999999998</v>
      </c>
      <c r="BP140">
        <v>0.27588699999999999</v>
      </c>
      <c r="BQ140">
        <v>2.4668100000000002</v>
      </c>
      <c r="BR140">
        <v>2.7232800000000001E-2</v>
      </c>
      <c r="BS140">
        <v>20.809200000000001</v>
      </c>
      <c r="BT140">
        <v>-36.407899999999998</v>
      </c>
      <c r="BU140">
        <v>1800</v>
      </c>
      <c r="BV140">
        <v>0.91</v>
      </c>
      <c r="BW140">
        <v>3.3999500000000002E-2</v>
      </c>
      <c r="BX140">
        <v>2.1999399999999999E-2</v>
      </c>
      <c r="BY140">
        <v>3.4000900000000001E-2</v>
      </c>
      <c r="BZ140">
        <v>25</v>
      </c>
      <c r="CA140">
        <v>33528.300000000003</v>
      </c>
      <c r="CB140">
        <v>1690373417</v>
      </c>
      <c r="CC140" t="s">
        <v>332</v>
      </c>
      <c r="CD140">
        <v>1690373417</v>
      </c>
      <c r="CE140">
        <v>1690373415</v>
      </c>
      <c r="CF140">
        <v>1</v>
      </c>
      <c r="CG140">
        <v>-1.319</v>
      </c>
      <c r="CH140">
        <v>0.01</v>
      </c>
      <c r="CI140">
        <v>-1.371</v>
      </c>
      <c r="CJ140">
        <v>0.183</v>
      </c>
      <c r="CK140">
        <v>800</v>
      </c>
      <c r="CL140">
        <v>21</v>
      </c>
      <c r="CM140">
        <v>0.09</v>
      </c>
      <c r="CN140">
        <v>7.0000000000000007E-2</v>
      </c>
      <c r="CO140">
        <v>-378.27109999999999</v>
      </c>
      <c r="CP140">
        <v>-8.9080750469029901</v>
      </c>
      <c r="CQ140">
        <v>0.85742695898834242</v>
      </c>
      <c r="CR140">
        <v>-1</v>
      </c>
      <c r="CS140">
        <v>24.636622500000001</v>
      </c>
      <c r="CT140">
        <v>0.42059774859288301</v>
      </c>
      <c r="CU140">
        <v>4.0468441330868833E-2</v>
      </c>
      <c r="CV140">
        <v>-1</v>
      </c>
      <c r="CW140">
        <v>0</v>
      </c>
      <c r="CX140">
        <v>0</v>
      </c>
      <c r="CY140" t="s">
        <v>333</v>
      </c>
      <c r="CZ140">
        <v>2.3655900000000001</v>
      </c>
      <c r="DA140">
        <v>2.7137699999999998</v>
      </c>
      <c r="DB140">
        <v>9.2941499999999996E-2</v>
      </c>
      <c r="DC140">
        <v>0.14574100000000001</v>
      </c>
      <c r="DD140">
        <v>0.117039</v>
      </c>
      <c r="DE140">
        <v>2.3046E-3</v>
      </c>
      <c r="DF140">
        <v>33134.9</v>
      </c>
      <c r="DG140">
        <v>27518.6</v>
      </c>
      <c r="DH140">
        <v>31182.400000000001</v>
      </c>
      <c r="DI140">
        <v>28066.9</v>
      </c>
      <c r="DJ140">
        <v>37367.800000000003</v>
      </c>
      <c r="DK140">
        <v>39804.6</v>
      </c>
      <c r="DL140">
        <v>44372.4</v>
      </c>
      <c r="DM140">
        <v>42515.5</v>
      </c>
      <c r="DN140">
        <v>1.48567</v>
      </c>
      <c r="DO140">
        <v>2.0651199999999998</v>
      </c>
      <c r="DP140">
        <v>0.11543200000000001</v>
      </c>
      <c r="DQ140">
        <v>0.17236899999999999</v>
      </c>
      <c r="DR140">
        <v>25.1007</v>
      </c>
      <c r="DS140">
        <v>25.0379</v>
      </c>
      <c r="DT140">
        <v>46.8</v>
      </c>
      <c r="DU140">
        <v>25</v>
      </c>
      <c r="DV140">
        <v>15.0763</v>
      </c>
      <c r="DW140">
        <v>61.4101</v>
      </c>
      <c r="DX140">
        <v>36.923099999999998</v>
      </c>
      <c r="DY140">
        <v>1</v>
      </c>
      <c r="DZ140">
        <v>-0.16885900000000001</v>
      </c>
      <c r="EA140">
        <v>-0.83709699999999998</v>
      </c>
      <c r="EB140">
        <v>20.188500000000001</v>
      </c>
      <c r="EC140">
        <v>5.2416999999999998</v>
      </c>
      <c r="ED140">
        <v>12.039899999999999</v>
      </c>
      <c r="EE140">
        <v>5.0171000000000001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1.8687400000000001</v>
      </c>
      <c r="EL140">
        <v>1.86443</v>
      </c>
      <c r="EM140">
        <v>1.8690500000000001</v>
      </c>
      <c r="EN140">
        <v>1.86707</v>
      </c>
      <c r="EO140">
        <v>1.86324</v>
      </c>
      <c r="EP140">
        <v>1.86426</v>
      </c>
      <c r="EQ140">
        <v>1.8700300000000001</v>
      </c>
      <c r="ER140">
        <v>1.8692599999999999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-1.103</v>
      </c>
      <c r="FG140">
        <v>0.18290000000000001</v>
      </c>
      <c r="FH140">
        <v>-0.81947142863283695</v>
      </c>
      <c r="FI140">
        <v>-6.1462078757559423E-4</v>
      </c>
      <c r="FJ140">
        <v>-1.8861989874597051E-7</v>
      </c>
      <c r="FK140">
        <v>1.1980462299894961E-10</v>
      </c>
      <c r="FL140">
        <v>0.18283500000000069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28.3</v>
      </c>
      <c r="FU140">
        <v>28.4</v>
      </c>
      <c r="FV140">
        <v>1.7626999999999999</v>
      </c>
      <c r="FW140">
        <v>2.5549300000000001</v>
      </c>
      <c r="FX140">
        <v>1.5490699999999999</v>
      </c>
      <c r="FY140">
        <v>2.34375</v>
      </c>
      <c r="FZ140">
        <v>1.50146</v>
      </c>
      <c r="GA140">
        <v>2.36938</v>
      </c>
      <c r="GB140">
        <v>30.587700000000002</v>
      </c>
      <c r="GC140">
        <v>23.982399999999998</v>
      </c>
      <c r="GD140">
        <v>19</v>
      </c>
      <c r="GE140">
        <v>282.77999999999997</v>
      </c>
      <c r="GF140">
        <v>596.16200000000003</v>
      </c>
      <c r="GG140">
        <v>25.846</v>
      </c>
      <c r="GH140">
        <v>25.304300000000001</v>
      </c>
      <c r="GI140">
        <v>30</v>
      </c>
      <c r="GJ140">
        <v>25.425899999999999</v>
      </c>
      <c r="GK140">
        <v>25.393799999999999</v>
      </c>
      <c r="GL140">
        <v>35.241599999999998</v>
      </c>
      <c r="GM140">
        <v>100</v>
      </c>
      <c r="GN140">
        <v>35.816099999999999</v>
      </c>
      <c r="GO140">
        <v>25.850200000000001</v>
      </c>
      <c r="GP140">
        <v>800</v>
      </c>
      <c r="GQ140">
        <v>0</v>
      </c>
      <c r="GR140">
        <v>99.766300000000001</v>
      </c>
      <c r="GS140">
        <v>99.480999999999995</v>
      </c>
    </row>
    <row r="141" spans="1:201" x14ac:dyDescent="0.25">
      <c r="A141">
        <v>125</v>
      </c>
      <c r="B141">
        <v>1690375126.0999999</v>
      </c>
      <c r="C141">
        <v>1306.599999904633</v>
      </c>
      <c r="D141" t="s">
        <v>583</v>
      </c>
      <c r="E141" t="s">
        <v>584</v>
      </c>
      <c r="F141" t="s">
        <v>330</v>
      </c>
      <c r="H141">
        <v>1690375126.0999999</v>
      </c>
      <c r="I141">
        <f t="shared" si="30"/>
        <v>2.5430192741527904E-3</v>
      </c>
      <c r="J141">
        <f t="shared" si="31"/>
        <v>2.5430192741527904</v>
      </c>
      <c r="K141">
        <f t="shared" si="32"/>
        <v>37.073459536149187</v>
      </c>
      <c r="L141">
        <f t="shared" si="33"/>
        <v>418.70499999999998</v>
      </c>
      <c r="M141">
        <f t="shared" si="34"/>
        <v>103.2379461253332</v>
      </c>
      <c r="N141">
        <f t="shared" si="35"/>
        <v>10.200383228421884</v>
      </c>
      <c r="O141">
        <f t="shared" si="36"/>
        <v>41.369977028324001</v>
      </c>
      <c r="P141">
        <f t="shared" si="37"/>
        <v>0.19943987889003664</v>
      </c>
      <c r="Q141">
        <f t="shared" si="38"/>
        <v>2.2502614913271288</v>
      </c>
      <c r="R141">
        <f t="shared" si="39"/>
        <v>0.19011437221029787</v>
      </c>
      <c r="S141">
        <f t="shared" si="40"/>
        <v>0.1196229988477476</v>
      </c>
      <c r="T141">
        <f t="shared" si="41"/>
        <v>276.11351422751005</v>
      </c>
      <c r="U141">
        <f t="shared" si="42"/>
        <v>27.82372681065112</v>
      </c>
      <c r="V141">
        <f t="shared" si="43"/>
        <v>27.82372681065112</v>
      </c>
      <c r="W141">
        <f t="shared" si="44"/>
        <v>3.7560178141490743</v>
      </c>
      <c r="X141">
        <f t="shared" si="45"/>
        <v>70.86871574344022</v>
      </c>
      <c r="Y141">
        <f t="shared" si="46"/>
        <v>2.4760628564865597</v>
      </c>
      <c r="Z141">
        <f t="shared" si="47"/>
        <v>3.4938729035960416</v>
      </c>
      <c r="AA141">
        <f t="shared" si="48"/>
        <v>1.2799549576625147</v>
      </c>
      <c r="AB141">
        <f t="shared" si="49"/>
        <v>-112.14714999013806</v>
      </c>
      <c r="AC141">
        <f t="shared" si="50"/>
        <v>-149.67092207451813</v>
      </c>
      <c r="AD141">
        <f t="shared" si="51"/>
        <v>-14.383988872938859</v>
      </c>
      <c r="AE141">
        <f t="shared" si="52"/>
        <v>-8.8546710085012137E-2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52304.225937511197</v>
      </c>
      <c r="AK141">
        <f t="shared" si="56"/>
        <v>1799.99</v>
      </c>
      <c r="AL141">
        <f t="shared" si="57"/>
        <v>1499.10404059795</v>
      </c>
      <c r="AM141">
        <f t="shared" si="58"/>
        <v>0.832840205</v>
      </c>
      <c r="AN141">
        <f t="shared" si="59"/>
        <v>0.15339724900000004</v>
      </c>
      <c r="AO141">
        <v>30</v>
      </c>
      <c r="AP141">
        <v>0.5</v>
      </c>
      <c r="AQ141" t="s">
        <v>331</v>
      </c>
      <c r="AR141">
        <v>2</v>
      </c>
      <c r="AS141">
        <v>1690375126.0999999</v>
      </c>
      <c r="AT141">
        <v>418.70499999999998</v>
      </c>
      <c r="AU141">
        <v>800.00599999999997</v>
      </c>
      <c r="AV141">
        <v>25.060199999999998</v>
      </c>
      <c r="AW141">
        <v>0.27258100000000002</v>
      </c>
      <c r="AX141">
        <v>419.80700000000002</v>
      </c>
      <c r="AY141">
        <v>24.877300000000002</v>
      </c>
      <c r="AZ141">
        <v>300.06400000000002</v>
      </c>
      <c r="BA141">
        <v>98.704599999999999</v>
      </c>
      <c r="BB141">
        <v>9.9992800000000007E-2</v>
      </c>
      <c r="BC141">
        <v>26.59</v>
      </c>
      <c r="BD141">
        <v>27.002700000000001</v>
      </c>
      <c r="BE141">
        <v>27.8566</v>
      </c>
      <c r="BF141">
        <v>0</v>
      </c>
      <c r="BG141">
        <v>0</v>
      </c>
      <c r="BH141">
        <v>10008.1</v>
      </c>
      <c r="BI141">
        <v>1086.1099999999999</v>
      </c>
      <c r="BJ141">
        <v>1.4016500000000001</v>
      </c>
      <c r="BK141">
        <v>-381.30099999999999</v>
      </c>
      <c r="BL141">
        <v>429.46800000000002</v>
      </c>
      <c r="BM141">
        <v>800.22400000000005</v>
      </c>
      <c r="BN141">
        <v>24.787600000000001</v>
      </c>
      <c r="BO141">
        <v>800.00599999999997</v>
      </c>
      <c r="BP141">
        <v>0.27258100000000002</v>
      </c>
      <c r="BQ141">
        <v>2.4735499999999999</v>
      </c>
      <c r="BR141">
        <v>2.6904999999999998E-2</v>
      </c>
      <c r="BS141">
        <v>20.8535</v>
      </c>
      <c r="BT141">
        <v>-36.527999999999999</v>
      </c>
      <c r="BU141">
        <v>1799.99</v>
      </c>
      <c r="BV141">
        <v>0.91000400000000004</v>
      </c>
      <c r="BW141">
        <v>3.3998E-2</v>
      </c>
      <c r="BX141">
        <v>2.1998500000000001E-2</v>
      </c>
      <c r="BY141">
        <v>3.3999399999999999E-2</v>
      </c>
      <c r="BZ141">
        <v>25</v>
      </c>
      <c r="CA141">
        <v>33528.199999999997</v>
      </c>
      <c r="CB141">
        <v>1690373417</v>
      </c>
      <c r="CC141" t="s">
        <v>332</v>
      </c>
      <c r="CD141">
        <v>1690373417</v>
      </c>
      <c r="CE141">
        <v>1690373415</v>
      </c>
      <c r="CF141">
        <v>1</v>
      </c>
      <c r="CG141">
        <v>-1.319</v>
      </c>
      <c r="CH141">
        <v>0.01</v>
      </c>
      <c r="CI141">
        <v>-1.371</v>
      </c>
      <c r="CJ141">
        <v>0.183</v>
      </c>
      <c r="CK141">
        <v>800</v>
      </c>
      <c r="CL141">
        <v>21</v>
      </c>
      <c r="CM141">
        <v>0.09</v>
      </c>
      <c r="CN141">
        <v>7.0000000000000007E-2</v>
      </c>
      <c r="CO141">
        <v>-379.72812499999998</v>
      </c>
      <c r="CP141">
        <v>-8.6454821763590814</v>
      </c>
      <c r="CQ141">
        <v>0.83198017366701749</v>
      </c>
      <c r="CR141">
        <v>-1</v>
      </c>
      <c r="CS141">
        <v>24.709115000000001</v>
      </c>
      <c r="CT141">
        <v>0.44670844277671767</v>
      </c>
      <c r="CU141">
        <v>4.2984477140009407E-2</v>
      </c>
      <c r="CV141">
        <v>-1</v>
      </c>
      <c r="CW141">
        <v>0</v>
      </c>
      <c r="CX141">
        <v>0</v>
      </c>
      <c r="CY141" t="s">
        <v>333</v>
      </c>
      <c r="CZ141">
        <v>2.3652899999999999</v>
      </c>
      <c r="DA141">
        <v>2.7137899999999999</v>
      </c>
      <c r="DB141">
        <v>9.2701699999999998E-2</v>
      </c>
      <c r="DC141">
        <v>0.14574400000000001</v>
      </c>
      <c r="DD141">
        <v>0.11726200000000001</v>
      </c>
      <c r="DE141">
        <v>2.2773300000000002E-3</v>
      </c>
      <c r="DF141">
        <v>33144.199999999997</v>
      </c>
      <c r="DG141">
        <v>27519.1</v>
      </c>
      <c r="DH141">
        <v>31182.9</v>
      </c>
      <c r="DI141">
        <v>28067.5</v>
      </c>
      <c r="DJ141">
        <v>37358.800000000003</v>
      </c>
      <c r="DK141">
        <v>39806.400000000001</v>
      </c>
      <c r="DL141">
        <v>44373.1</v>
      </c>
      <c r="DM141">
        <v>42516.2</v>
      </c>
      <c r="DN141">
        <v>1.4850000000000001</v>
      </c>
      <c r="DO141">
        <v>2.06515</v>
      </c>
      <c r="DP141">
        <v>0.115938</v>
      </c>
      <c r="DQ141">
        <v>0.17204900000000001</v>
      </c>
      <c r="DR141">
        <v>25.1038</v>
      </c>
      <c r="DS141">
        <v>25.040400000000002</v>
      </c>
      <c r="DT141">
        <v>46.3</v>
      </c>
      <c r="DU141">
        <v>25.1</v>
      </c>
      <c r="DV141">
        <v>15.0039</v>
      </c>
      <c r="DW141">
        <v>61.5501</v>
      </c>
      <c r="DX141">
        <v>36.923099999999998</v>
      </c>
      <c r="DY141">
        <v>1</v>
      </c>
      <c r="DZ141">
        <v>-0.16892499999999999</v>
      </c>
      <c r="EA141">
        <v>-0.72479800000000005</v>
      </c>
      <c r="EB141">
        <v>20.1889</v>
      </c>
      <c r="EC141">
        <v>5.2415500000000002</v>
      </c>
      <c r="ED141">
        <v>12.039899999999999</v>
      </c>
      <c r="EE141">
        <v>5.01715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1.8687400000000001</v>
      </c>
      <c r="EL141">
        <v>1.8644400000000001</v>
      </c>
      <c r="EM141">
        <v>1.8690599999999999</v>
      </c>
      <c r="EN141">
        <v>1.8670899999999999</v>
      </c>
      <c r="EO141">
        <v>1.86324</v>
      </c>
      <c r="EP141">
        <v>1.86425</v>
      </c>
      <c r="EQ141">
        <v>1.8700600000000001</v>
      </c>
      <c r="ER141">
        <v>1.8692500000000001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-1.1020000000000001</v>
      </c>
      <c r="FG141">
        <v>0.18290000000000001</v>
      </c>
      <c r="FH141">
        <v>-0.81947142863283695</v>
      </c>
      <c r="FI141">
        <v>-6.1462078757559423E-4</v>
      </c>
      <c r="FJ141">
        <v>-1.8861989874597051E-7</v>
      </c>
      <c r="FK141">
        <v>1.1980462299894961E-10</v>
      </c>
      <c r="FL141">
        <v>0.18283500000000069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28.5</v>
      </c>
      <c r="FU141">
        <v>28.5</v>
      </c>
      <c r="FV141">
        <v>1.7626999999999999</v>
      </c>
      <c r="FW141">
        <v>2.5622600000000002</v>
      </c>
      <c r="FX141">
        <v>1.5490699999999999</v>
      </c>
      <c r="FY141">
        <v>2.34375</v>
      </c>
      <c r="FZ141">
        <v>1.50146</v>
      </c>
      <c r="GA141">
        <v>2.3034699999999999</v>
      </c>
      <c r="GB141">
        <v>30.587700000000002</v>
      </c>
      <c r="GC141">
        <v>23.973700000000001</v>
      </c>
      <c r="GD141">
        <v>19</v>
      </c>
      <c r="GE141">
        <v>282.48700000000002</v>
      </c>
      <c r="GF141">
        <v>596.16999999999996</v>
      </c>
      <c r="GG141">
        <v>25.838899999999999</v>
      </c>
      <c r="GH141">
        <v>25.303100000000001</v>
      </c>
      <c r="GI141">
        <v>30.000299999999999</v>
      </c>
      <c r="GJ141">
        <v>25.424099999999999</v>
      </c>
      <c r="GK141">
        <v>25.392700000000001</v>
      </c>
      <c r="GL141">
        <v>35.241100000000003</v>
      </c>
      <c r="GM141">
        <v>100</v>
      </c>
      <c r="GN141">
        <v>34.990900000000003</v>
      </c>
      <c r="GO141">
        <v>25.825299999999999</v>
      </c>
      <c r="GP141">
        <v>800</v>
      </c>
      <c r="GQ141">
        <v>0</v>
      </c>
      <c r="GR141">
        <v>99.767899999999997</v>
      </c>
      <c r="GS141">
        <v>99.482900000000001</v>
      </c>
    </row>
    <row r="142" spans="1:201" x14ac:dyDescent="0.25">
      <c r="A142">
        <v>126</v>
      </c>
      <c r="B142">
        <v>1690375136.0999999</v>
      </c>
      <c r="C142">
        <v>1316.599999904633</v>
      </c>
      <c r="D142" t="s">
        <v>585</v>
      </c>
      <c r="E142" t="s">
        <v>586</v>
      </c>
      <c r="F142" t="s">
        <v>330</v>
      </c>
      <c r="H142">
        <v>1690375136.0999999</v>
      </c>
      <c r="I142">
        <f t="shared" si="30"/>
        <v>2.5503347107585519E-3</v>
      </c>
      <c r="J142">
        <f t="shared" si="31"/>
        <v>2.5503347107585519</v>
      </c>
      <c r="K142">
        <f t="shared" si="32"/>
        <v>37.229977044258312</v>
      </c>
      <c r="L142">
        <f t="shared" si="33"/>
        <v>417.25799999999998</v>
      </c>
      <c r="M142">
        <f t="shared" si="34"/>
        <v>103.2252166918101</v>
      </c>
      <c r="N142">
        <f t="shared" si="35"/>
        <v>10.199342914877455</v>
      </c>
      <c r="O142">
        <f t="shared" si="36"/>
        <v>41.227885611341996</v>
      </c>
      <c r="P142">
        <f t="shared" si="37"/>
        <v>0.20126373919398127</v>
      </c>
      <c r="Q142">
        <f t="shared" si="38"/>
        <v>2.24811729989566</v>
      </c>
      <c r="R142">
        <f t="shared" si="39"/>
        <v>0.19176265811494123</v>
      </c>
      <c r="S142">
        <f t="shared" si="40"/>
        <v>0.12066791196770649</v>
      </c>
      <c r="T142">
        <f t="shared" si="41"/>
        <v>276.11486973000007</v>
      </c>
      <c r="U142">
        <f t="shared" si="42"/>
        <v>27.817686571555981</v>
      </c>
      <c r="V142">
        <f t="shared" si="43"/>
        <v>27.817686571555981</v>
      </c>
      <c r="W142">
        <f t="shared" si="44"/>
        <v>3.7546936940754447</v>
      </c>
      <c r="X142">
        <f t="shared" si="45"/>
        <v>71.060994042204356</v>
      </c>
      <c r="Y142">
        <f t="shared" si="46"/>
        <v>2.4820934435692998</v>
      </c>
      <c r="Z142">
        <f t="shared" si="47"/>
        <v>3.4929056045784299</v>
      </c>
      <c r="AA142">
        <f t="shared" si="48"/>
        <v>1.2726002505061449</v>
      </c>
      <c r="AB142">
        <f t="shared" si="49"/>
        <v>-112.46976074445213</v>
      </c>
      <c r="AC142">
        <f t="shared" si="50"/>
        <v>-149.3658685080942</v>
      </c>
      <c r="AD142">
        <f t="shared" si="51"/>
        <v>-14.367591877747163</v>
      </c>
      <c r="AE142">
        <f t="shared" si="52"/>
        <v>-8.8351400293390725E-2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52221.637706854315</v>
      </c>
      <c r="AK142">
        <f t="shared" si="56"/>
        <v>1800</v>
      </c>
      <c r="AL142">
        <f t="shared" si="57"/>
        <v>1499.112936</v>
      </c>
      <c r="AM142">
        <f t="shared" si="58"/>
        <v>0.83284051999999997</v>
      </c>
      <c r="AN142">
        <f t="shared" si="59"/>
        <v>0.15339714985000003</v>
      </c>
      <c r="AO142">
        <v>30</v>
      </c>
      <c r="AP142">
        <v>0.5</v>
      </c>
      <c r="AQ142" t="s">
        <v>331</v>
      </c>
      <c r="AR142">
        <v>2</v>
      </c>
      <c r="AS142">
        <v>1690375136.0999999</v>
      </c>
      <c r="AT142">
        <v>417.25799999999998</v>
      </c>
      <c r="AU142">
        <v>800.02700000000004</v>
      </c>
      <c r="AV142">
        <v>25.120699999999999</v>
      </c>
      <c r="AW142">
        <v>0.26919799999999999</v>
      </c>
      <c r="AX142">
        <v>418.358</v>
      </c>
      <c r="AY142">
        <v>24.937799999999999</v>
      </c>
      <c r="AZ142">
        <v>300.13499999999999</v>
      </c>
      <c r="BA142">
        <v>98.706599999999995</v>
      </c>
      <c r="BB142">
        <v>0.10009899999999999</v>
      </c>
      <c r="BC142">
        <v>26.5853</v>
      </c>
      <c r="BD142">
        <v>27.0017</v>
      </c>
      <c r="BE142">
        <v>27.8599</v>
      </c>
      <c r="BF142">
        <v>0</v>
      </c>
      <c r="BG142">
        <v>0</v>
      </c>
      <c r="BH142">
        <v>9991.25</v>
      </c>
      <c r="BI142">
        <v>1086.1199999999999</v>
      </c>
      <c r="BJ142">
        <v>1.4016500000000001</v>
      </c>
      <c r="BK142">
        <v>-382.76900000000001</v>
      </c>
      <c r="BL142">
        <v>428.00900000000001</v>
      </c>
      <c r="BM142">
        <v>800.24199999999996</v>
      </c>
      <c r="BN142">
        <v>24.851500000000001</v>
      </c>
      <c r="BO142">
        <v>800.02700000000004</v>
      </c>
      <c r="BP142">
        <v>0.26919799999999999</v>
      </c>
      <c r="BQ142">
        <v>2.4795699999999998</v>
      </c>
      <c r="BR142">
        <v>2.6571600000000001E-2</v>
      </c>
      <c r="BS142">
        <v>20.893000000000001</v>
      </c>
      <c r="BT142">
        <v>-36.651499999999999</v>
      </c>
      <c r="BU142">
        <v>1800</v>
      </c>
      <c r="BV142">
        <v>0.91000800000000004</v>
      </c>
      <c r="BW142">
        <v>3.3996499999999999E-2</v>
      </c>
      <c r="BX142">
        <v>2.19975E-2</v>
      </c>
      <c r="BY142">
        <v>3.3997899999999998E-2</v>
      </c>
      <c r="BZ142">
        <v>25</v>
      </c>
      <c r="CA142">
        <v>33528.400000000001</v>
      </c>
      <c r="CB142">
        <v>1690373417</v>
      </c>
      <c r="CC142" t="s">
        <v>332</v>
      </c>
      <c r="CD142">
        <v>1690373417</v>
      </c>
      <c r="CE142">
        <v>1690373415</v>
      </c>
      <c r="CF142">
        <v>1</v>
      </c>
      <c r="CG142">
        <v>-1.319</v>
      </c>
      <c r="CH142">
        <v>0.01</v>
      </c>
      <c r="CI142">
        <v>-1.371</v>
      </c>
      <c r="CJ142">
        <v>0.183</v>
      </c>
      <c r="CK142">
        <v>800</v>
      </c>
      <c r="CL142">
        <v>21</v>
      </c>
      <c r="CM142">
        <v>0.09</v>
      </c>
      <c r="CN142">
        <v>7.0000000000000007E-2</v>
      </c>
      <c r="CO142">
        <v>-381.0804634146341</v>
      </c>
      <c r="CP142">
        <v>-8.902202090592219</v>
      </c>
      <c r="CQ142">
        <v>0.87802300368667874</v>
      </c>
      <c r="CR142">
        <v>-1</v>
      </c>
      <c r="CS142">
        <v>24.77483902439025</v>
      </c>
      <c r="CT142">
        <v>0.40623554006970652</v>
      </c>
      <c r="CU142">
        <v>4.010623014706282E-2</v>
      </c>
      <c r="CV142">
        <v>-1</v>
      </c>
      <c r="CW142">
        <v>0</v>
      </c>
      <c r="CX142">
        <v>0</v>
      </c>
      <c r="CY142" t="s">
        <v>333</v>
      </c>
      <c r="CZ142">
        <v>2.3654999999999999</v>
      </c>
      <c r="DA142">
        <v>2.7138800000000001</v>
      </c>
      <c r="DB142">
        <v>9.2461799999999997E-2</v>
      </c>
      <c r="DC142">
        <v>0.14574999999999999</v>
      </c>
      <c r="DD142">
        <v>0.117464</v>
      </c>
      <c r="DE142">
        <v>2.2495900000000001E-3</v>
      </c>
      <c r="DF142">
        <v>33152.9</v>
      </c>
      <c r="DG142">
        <v>27519.200000000001</v>
      </c>
      <c r="DH142">
        <v>31182.9</v>
      </c>
      <c r="DI142">
        <v>28067.8</v>
      </c>
      <c r="DJ142">
        <v>37350</v>
      </c>
      <c r="DK142">
        <v>39807.800000000003</v>
      </c>
      <c r="DL142">
        <v>44373</v>
      </c>
      <c r="DM142">
        <v>42516.6</v>
      </c>
      <c r="DN142">
        <v>1.4854700000000001</v>
      </c>
      <c r="DO142">
        <v>2.0648</v>
      </c>
      <c r="DP142">
        <v>0.115871</v>
      </c>
      <c r="DQ142">
        <v>0.172123</v>
      </c>
      <c r="DR142">
        <v>25.103899999999999</v>
      </c>
      <c r="DS142">
        <v>25.042400000000001</v>
      </c>
      <c r="DT142">
        <v>45.8</v>
      </c>
      <c r="DU142">
        <v>25.1</v>
      </c>
      <c r="DV142">
        <v>14.8428</v>
      </c>
      <c r="DW142">
        <v>61.780099999999997</v>
      </c>
      <c r="DX142">
        <v>37.8245</v>
      </c>
      <c r="DY142">
        <v>1</v>
      </c>
      <c r="DZ142">
        <v>-0.16925100000000001</v>
      </c>
      <c r="EA142">
        <v>-0.71121500000000004</v>
      </c>
      <c r="EB142">
        <v>20.1891</v>
      </c>
      <c r="EC142">
        <v>5.2413999999999996</v>
      </c>
      <c r="ED142">
        <v>12.039899999999999</v>
      </c>
      <c r="EE142">
        <v>5.0171000000000001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1.8687499999999999</v>
      </c>
      <c r="EL142">
        <v>1.8644400000000001</v>
      </c>
      <c r="EM142">
        <v>1.8690500000000001</v>
      </c>
      <c r="EN142">
        <v>1.86707</v>
      </c>
      <c r="EO142">
        <v>1.86324</v>
      </c>
      <c r="EP142">
        <v>1.86425</v>
      </c>
      <c r="EQ142">
        <v>1.87009</v>
      </c>
      <c r="ER142">
        <v>1.86924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-1.1000000000000001</v>
      </c>
      <c r="FG142">
        <v>0.18290000000000001</v>
      </c>
      <c r="FH142">
        <v>-0.81947142863283695</v>
      </c>
      <c r="FI142">
        <v>-6.1462078757559423E-4</v>
      </c>
      <c r="FJ142">
        <v>-1.8861989874597051E-7</v>
      </c>
      <c r="FK142">
        <v>1.1980462299894961E-10</v>
      </c>
      <c r="FL142">
        <v>0.18283500000000069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28.7</v>
      </c>
      <c r="FU142">
        <v>28.7</v>
      </c>
      <c r="FV142">
        <v>1.7626999999999999</v>
      </c>
      <c r="FW142">
        <v>2.5512700000000001</v>
      </c>
      <c r="FX142">
        <v>1.5490699999999999</v>
      </c>
      <c r="FY142">
        <v>2.34375</v>
      </c>
      <c r="FZ142">
        <v>1.50146</v>
      </c>
      <c r="GA142">
        <v>2.34253</v>
      </c>
      <c r="GB142">
        <v>30.609300000000001</v>
      </c>
      <c r="GC142">
        <v>23.991199999999999</v>
      </c>
      <c r="GD142">
        <v>19</v>
      </c>
      <c r="GE142">
        <v>282.68599999999998</v>
      </c>
      <c r="GF142">
        <v>595.86500000000001</v>
      </c>
      <c r="GG142">
        <v>25.814599999999999</v>
      </c>
      <c r="GH142">
        <v>25.302199999999999</v>
      </c>
      <c r="GI142">
        <v>30.0001</v>
      </c>
      <c r="GJ142">
        <v>25.4238</v>
      </c>
      <c r="GK142">
        <v>25.3917</v>
      </c>
      <c r="GL142">
        <v>35.238900000000001</v>
      </c>
      <c r="GM142">
        <v>100</v>
      </c>
      <c r="GN142">
        <v>34.170299999999997</v>
      </c>
      <c r="GO142">
        <v>25.801100000000002</v>
      </c>
      <c r="GP142">
        <v>800</v>
      </c>
      <c r="GQ142">
        <v>0</v>
      </c>
      <c r="GR142">
        <v>99.767700000000005</v>
      </c>
      <c r="GS142">
        <v>99.483800000000002</v>
      </c>
    </row>
    <row r="143" spans="1:201" x14ac:dyDescent="0.25">
      <c r="A143">
        <v>127</v>
      </c>
      <c r="B143">
        <v>1690375146.0999999</v>
      </c>
      <c r="C143">
        <v>1326.599999904633</v>
      </c>
      <c r="D143" t="s">
        <v>587</v>
      </c>
      <c r="E143" t="s">
        <v>588</v>
      </c>
      <c r="F143" t="s">
        <v>330</v>
      </c>
      <c r="H143">
        <v>1690375146.0999999</v>
      </c>
      <c r="I143">
        <f t="shared" si="30"/>
        <v>2.5565225113082022E-3</v>
      </c>
      <c r="J143">
        <f t="shared" si="31"/>
        <v>2.5565225113082022</v>
      </c>
      <c r="K143">
        <f t="shared" si="32"/>
        <v>37.366927751924855</v>
      </c>
      <c r="L143">
        <f t="shared" si="33"/>
        <v>415.86099999999999</v>
      </c>
      <c r="M143">
        <f t="shared" si="34"/>
        <v>102.87327768784507</v>
      </c>
      <c r="N143">
        <f t="shared" si="35"/>
        <v>10.164609721464288</v>
      </c>
      <c r="O143">
        <f t="shared" si="36"/>
        <v>41.090017333795004</v>
      </c>
      <c r="P143">
        <f t="shared" si="37"/>
        <v>0.20272396568024992</v>
      </c>
      <c r="Q143">
        <f t="shared" si="38"/>
        <v>2.2475604707695855</v>
      </c>
      <c r="R143">
        <f t="shared" si="39"/>
        <v>0.19308579931502223</v>
      </c>
      <c r="S143">
        <f t="shared" si="40"/>
        <v>0.12150638178434402</v>
      </c>
      <c r="T143">
        <f t="shared" si="41"/>
        <v>276.11327407284421</v>
      </c>
      <c r="U143">
        <f t="shared" si="42"/>
        <v>27.816996545316357</v>
      </c>
      <c r="V143">
        <f t="shared" si="43"/>
        <v>27.816996545316357</v>
      </c>
      <c r="W143">
        <f t="shared" si="44"/>
        <v>3.7545424548635107</v>
      </c>
      <c r="X143">
        <f t="shared" si="45"/>
        <v>71.21479312500955</v>
      </c>
      <c r="Y143">
        <f t="shared" si="46"/>
        <v>2.4876267079769998</v>
      </c>
      <c r="Z143">
        <f t="shared" si="47"/>
        <v>3.4931319727493295</v>
      </c>
      <c r="AA143">
        <f t="shared" si="48"/>
        <v>1.2669157468865109</v>
      </c>
      <c r="AB143">
        <f t="shared" si="49"/>
        <v>-112.74264274869172</v>
      </c>
      <c r="AC143">
        <f t="shared" si="50"/>
        <v>-149.11197420554413</v>
      </c>
      <c r="AD143">
        <f t="shared" si="51"/>
        <v>-14.346752342033918</v>
      </c>
      <c r="AE143">
        <f t="shared" si="52"/>
        <v>-8.8095223425568747E-2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52199.796974546509</v>
      </c>
      <c r="AK143">
        <f t="shared" si="56"/>
        <v>1799.99</v>
      </c>
      <c r="AL143">
        <f t="shared" si="57"/>
        <v>1499.1060079870199</v>
      </c>
      <c r="AM143">
        <f t="shared" si="58"/>
        <v>0.83284129799999995</v>
      </c>
      <c r="AN143">
        <f t="shared" si="59"/>
        <v>0.15339711557999999</v>
      </c>
      <c r="AO143">
        <v>30</v>
      </c>
      <c r="AP143">
        <v>0.5</v>
      </c>
      <c r="AQ143" t="s">
        <v>331</v>
      </c>
      <c r="AR143">
        <v>2</v>
      </c>
      <c r="AS143">
        <v>1690375146.0999999</v>
      </c>
      <c r="AT143">
        <v>415.86099999999999</v>
      </c>
      <c r="AU143">
        <v>799.98900000000003</v>
      </c>
      <c r="AV143">
        <v>25.176600000000001</v>
      </c>
      <c r="AW143">
        <v>0.26623000000000002</v>
      </c>
      <c r="AX143">
        <v>416.96100000000001</v>
      </c>
      <c r="AY143">
        <v>24.9938</v>
      </c>
      <c r="AZ143">
        <v>300.13499999999999</v>
      </c>
      <c r="BA143">
        <v>98.707099999999997</v>
      </c>
      <c r="BB143">
        <v>9.9995000000000001E-2</v>
      </c>
      <c r="BC143">
        <v>26.586400000000001</v>
      </c>
      <c r="BD143">
        <v>26.982500000000002</v>
      </c>
      <c r="BE143">
        <v>27.857399999999998</v>
      </c>
      <c r="BF143">
        <v>0</v>
      </c>
      <c r="BG143">
        <v>0</v>
      </c>
      <c r="BH143">
        <v>9986.8799999999992</v>
      </c>
      <c r="BI143">
        <v>1085.97</v>
      </c>
      <c r="BJ143">
        <v>1.4016500000000001</v>
      </c>
      <c r="BK143">
        <v>-384.12700000000001</v>
      </c>
      <c r="BL143">
        <v>426.60199999999998</v>
      </c>
      <c r="BM143">
        <v>800.202</v>
      </c>
      <c r="BN143">
        <v>24.910399999999999</v>
      </c>
      <c r="BO143">
        <v>799.98900000000003</v>
      </c>
      <c r="BP143">
        <v>0.26623000000000002</v>
      </c>
      <c r="BQ143">
        <v>2.4851100000000002</v>
      </c>
      <c r="BR143">
        <v>2.6278800000000001E-2</v>
      </c>
      <c r="BS143">
        <v>20.929300000000001</v>
      </c>
      <c r="BT143">
        <v>-36.761099999999999</v>
      </c>
      <c r="BU143">
        <v>1799.99</v>
      </c>
      <c r="BV143">
        <v>0.91001299999999996</v>
      </c>
      <c r="BW143">
        <v>3.3994799999999999E-2</v>
      </c>
      <c r="BX143">
        <v>2.1996399999999999E-2</v>
      </c>
      <c r="BY143">
        <v>3.3996199999999997E-2</v>
      </c>
      <c r="BZ143">
        <v>25</v>
      </c>
      <c r="CA143">
        <v>33528.199999999997</v>
      </c>
      <c r="CB143">
        <v>1690373417</v>
      </c>
      <c r="CC143" t="s">
        <v>332</v>
      </c>
      <c r="CD143">
        <v>1690373417</v>
      </c>
      <c r="CE143">
        <v>1690373415</v>
      </c>
      <c r="CF143">
        <v>1</v>
      </c>
      <c r="CG143">
        <v>-1.319</v>
      </c>
      <c r="CH143">
        <v>0.01</v>
      </c>
      <c r="CI143">
        <v>-1.371</v>
      </c>
      <c r="CJ143">
        <v>0.183</v>
      </c>
      <c r="CK143">
        <v>800</v>
      </c>
      <c r="CL143">
        <v>21</v>
      </c>
      <c r="CM143">
        <v>0.09</v>
      </c>
      <c r="CN143">
        <v>7.0000000000000007E-2</v>
      </c>
      <c r="CO143">
        <v>-382.51631707317068</v>
      </c>
      <c r="CP143">
        <v>-8.3686411149825766</v>
      </c>
      <c r="CQ143">
        <v>0.82592302951553109</v>
      </c>
      <c r="CR143">
        <v>-1</v>
      </c>
      <c r="CS143">
        <v>24.84069024390244</v>
      </c>
      <c r="CT143">
        <v>0.37908292682932287</v>
      </c>
      <c r="CU143">
        <v>3.7405991465291881E-2</v>
      </c>
      <c r="CV143">
        <v>-1</v>
      </c>
      <c r="CW143">
        <v>0</v>
      </c>
      <c r="CX143">
        <v>0</v>
      </c>
      <c r="CY143" t="s">
        <v>333</v>
      </c>
      <c r="CZ143">
        <v>2.36551</v>
      </c>
      <c r="DA143">
        <v>2.7137699999999998</v>
      </c>
      <c r="DB143">
        <v>9.2228299999999999E-2</v>
      </c>
      <c r="DC143">
        <v>0.14574500000000001</v>
      </c>
      <c r="DD143">
        <v>0.117648</v>
      </c>
      <c r="DE143">
        <v>2.2251900000000002E-3</v>
      </c>
      <c r="DF143">
        <v>33161.699999999997</v>
      </c>
      <c r="DG143">
        <v>27519.3</v>
      </c>
      <c r="DH143">
        <v>31183.1</v>
      </c>
      <c r="DI143">
        <v>28067.8</v>
      </c>
      <c r="DJ143">
        <v>37342.5</v>
      </c>
      <c r="DK143">
        <v>39809.1</v>
      </c>
      <c r="DL143">
        <v>44373.4</v>
      </c>
      <c r="DM143">
        <v>42516.9</v>
      </c>
      <c r="DN143">
        <v>1.4855499999999999</v>
      </c>
      <c r="DO143">
        <v>2.06488</v>
      </c>
      <c r="DP143">
        <v>0.114575</v>
      </c>
      <c r="DQ143">
        <v>0.17197399999999999</v>
      </c>
      <c r="DR143">
        <v>25.105799999999999</v>
      </c>
      <c r="DS143">
        <v>25.042300000000001</v>
      </c>
      <c r="DT143">
        <v>45.4</v>
      </c>
      <c r="DU143">
        <v>25.1</v>
      </c>
      <c r="DV143">
        <v>14.712300000000001</v>
      </c>
      <c r="DW143">
        <v>61.890099999999997</v>
      </c>
      <c r="DX143">
        <v>37.083300000000001</v>
      </c>
      <c r="DY143">
        <v>1</v>
      </c>
      <c r="DZ143">
        <v>-0.169322</v>
      </c>
      <c r="EA143">
        <v>-0.74840700000000004</v>
      </c>
      <c r="EB143">
        <v>20.188800000000001</v>
      </c>
      <c r="EC143">
        <v>5.2404999999999999</v>
      </c>
      <c r="ED143">
        <v>12.039899999999999</v>
      </c>
      <c r="EE143">
        <v>5.0171000000000001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1.8687499999999999</v>
      </c>
      <c r="EL143">
        <v>1.8644499999999999</v>
      </c>
      <c r="EM143">
        <v>1.8690500000000001</v>
      </c>
      <c r="EN143">
        <v>1.8670800000000001</v>
      </c>
      <c r="EO143">
        <v>1.8632500000000001</v>
      </c>
      <c r="EP143">
        <v>1.8642399999999999</v>
      </c>
      <c r="EQ143">
        <v>1.8700300000000001</v>
      </c>
      <c r="ER143">
        <v>1.8692500000000001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-1.1000000000000001</v>
      </c>
      <c r="FG143">
        <v>0.18279999999999999</v>
      </c>
      <c r="FH143">
        <v>-0.81947142863283695</v>
      </c>
      <c r="FI143">
        <v>-6.1462078757559423E-4</v>
      </c>
      <c r="FJ143">
        <v>-1.8861989874597051E-7</v>
      </c>
      <c r="FK143">
        <v>1.1980462299894961E-10</v>
      </c>
      <c r="FL143">
        <v>0.18283500000000069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28.8</v>
      </c>
      <c r="FU143">
        <v>28.9</v>
      </c>
      <c r="FV143">
        <v>1.7626999999999999</v>
      </c>
      <c r="FW143">
        <v>2.5549300000000001</v>
      </c>
      <c r="FX143">
        <v>1.5490699999999999</v>
      </c>
      <c r="FY143">
        <v>2.34497</v>
      </c>
      <c r="FZ143">
        <v>1.50146</v>
      </c>
      <c r="GA143">
        <v>2.3889200000000002</v>
      </c>
      <c r="GB143">
        <v>30.609300000000001</v>
      </c>
      <c r="GC143">
        <v>23.982399999999998</v>
      </c>
      <c r="GD143">
        <v>19</v>
      </c>
      <c r="GE143">
        <v>282.71699999999998</v>
      </c>
      <c r="GF143">
        <v>595.928</v>
      </c>
      <c r="GG143">
        <v>25.797000000000001</v>
      </c>
      <c r="GH143">
        <v>25.302199999999999</v>
      </c>
      <c r="GI143">
        <v>29.9999</v>
      </c>
      <c r="GJ143">
        <v>25.4238</v>
      </c>
      <c r="GK143">
        <v>25.3917</v>
      </c>
      <c r="GL143">
        <v>35.240099999999998</v>
      </c>
      <c r="GM143">
        <v>100</v>
      </c>
      <c r="GN143">
        <v>33.357900000000001</v>
      </c>
      <c r="GO143">
        <v>25.8141</v>
      </c>
      <c r="GP143">
        <v>800</v>
      </c>
      <c r="GQ143">
        <v>0</v>
      </c>
      <c r="GR143">
        <v>99.768500000000003</v>
      </c>
      <c r="GS143">
        <v>99.484200000000001</v>
      </c>
    </row>
    <row r="144" spans="1:201" x14ac:dyDescent="0.25">
      <c r="A144">
        <v>128</v>
      </c>
      <c r="B144">
        <v>1690375156.0999999</v>
      </c>
      <c r="C144">
        <v>1336.599999904633</v>
      </c>
      <c r="D144" t="s">
        <v>589</v>
      </c>
      <c r="E144" t="s">
        <v>590</v>
      </c>
      <c r="F144" t="s">
        <v>330</v>
      </c>
      <c r="H144">
        <v>1690375156.0999999</v>
      </c>
      <c r="I144">
        <f t="shared" si="30"/>
        <v>2.5624389263197303E-3</v>
      </c>
      <c r="J144">
        <f t="shared" si="31"/>
        <v>2.5624389263197305</v>
      </c>
      <c r="K144">
        <f t="shared" si="32"/>
        <v>37.509897344849861</v>
      </c>
      <c r="L144">
        <f t="shared" si="33"/>
        <v>414.54599999999999</v>
      </c>
      <c r="M144">
        <f t="shared" si="34"/>
        <v>102.19622112876601</v>
      </c>
      <c r="N144">
        <f t="shared" si="35"/>
        <v>10.09845675038264</v>
      </c>
      <c r="O144">
        <f t="shared" si="36"/>
        <v>40.963108085664601</v>
      </c>
      <c r="P144">
        <f t="shared" si="37"/>
        <v>0.20394645183512397</v>
      </c>
      <c r="Q144">
        <f t="shared" si="38"/>
        <v>2.2475757705869177</v>
      </c>
      <c r="R144">
        <f t="shared" si="39"/>
        <v>0.19419476005018119</v>
      </c>
      <c r="S144">
        <f t="shared" si="40"/>
        <v>0.12220901091699785</v>
      </c>
      <c r="T144">
        <f t="shared" si="41"/>
        <v>276.11457224399999</v>
      </c>
      <c r="U144">
        <f t="shared" si="42"/>
        <v>27.821326579523376</v>
      </c>
      <c r="V144">
        <f t="shared" si="43"/>
        <v>27.821326579523376</v>
      </c>
      <c r="W144">
        <f t="shared" si="44"/>
        <v>3.7554915951059407</v>
      </c>
      <c r="X144">
        <f t="shared" si="45"/>
        <v>71.33755242956218</v>
      </c>
      <c r="Y144">
        <f t="shared" si="46"/>
        <v>2.4928399001102499</v>
      </c>
      <c r="Z144">
        <f t="shared" si="47"/>
        <v>3.4944286917772365</v>
      </c>
      <c r="AA144">
        <f t="shared" si="48"/>
        <v>1.2626516949956907</v>
      </c>
      <c r="AB144">
        <f t="shared" si="49"/>
        <v>-113.00355665070011</v>
      </c>
      <c r="AC144">
        <f t="shared" si="50"/>
        <v>-148.87428592958551</v>
      </c>
      <c r="AD144">
        <f t="shared" si="51"/>
        <v>-14.324546366930402</v>
      </c>
      <c r="AE144">
        <f t="shared" si="52"/>
        <v>-8.7816703216020642E-2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52199.453029344782</v>
      </c>
      <c r="AK144">
        <f t="shared" si="56"/>
        <v>1800</v>
      </c>
      <c r="AL144">
        <f t="shared" si="57"/>
        <v>1499.1146423999999</v>
      </c>
      <c r="AM144">
        <f t="shared" si="58"/>
        <v>0.83284146799999992</v>
      </c>
      <c r="AN144">
        <f t="shared" si="59"/>
        <v>0.15339698457999998</v>
      </c>
      <c r="AO144">
        <v>30</v>
      </c>
      <c r="AP144">
        <v>0.5</v>
      </c>
      <c r="AQ144" t="s">
        <v>331</v>
      </c>
      <c r="AR144">
        <v>2</v>
      </c>
      <c r="AS144">
        <v>1690375156.0999999</v>
      </c>
      <c r="AT144">
        <v>414.54599999999999</v>
      </c>
      <c r="AU144">
        <v>800.05799999999999</v>
      </c>
      <c r="AV144">
        <v>25.227499999999999</v>
      </c>
      <c r="AW144">
        <v>0.26311400000000001</v>
      </c>
      <c r="AX144">
        <v>415.64499999999998</v>
      </c>
      <c r="AY144">
        <v>25.044599999999999</v>
      </c>
      <c r="AZ144">
        <v>300.16300000000001</v>
      </c>
      <c r="BA144">
        <v>98.714500000000001</v>
      </c>
      <c r="BB144">
        <v>9.9885100000000004E-2</v>
      </c>
      <c r="BC144">
        <v>26.592700000000001</v>
      </c>
      <c r="BD144">
        <v>27.0031</v>
      </c>
      <c r="BE144">
        <v>27.844899999999999</v>
      </c>
      <c r="BF144">
        <v>0</v>
      </c>
      <c r="BG144">
        <v>0</v>
      </c>
      <c r="BH144">
        <v>9986.25</v>
      </c>
      <c r="BI144">
        <v>1086.0899999999999</v>
      </c>
      <c r="BJ144">
        <v>1.4016500000000001</v>
      </c>
      <c r="BK144">
        <v>-385.51299999999998</v>
      </c>
      <c r="BL144">
        <v>425.274</v>
      </c>
      <c r="BM144">
        <v>800.26900000000001</v>
      </c>
      <c r="BN144">
        <v>24.964400000000001</v>
      </c>
      <c r="BO144">
        <v>800.05799999999999</v>
      </c>
      <c r="BP144">
        <v>0.26311400000000001</v>
      </c>
      <c r="BQ144">
        <v>2.4903200000000001</v>
      </c>
      <c r="BR144">
        <v>2.5973099999999999E-2</v>
      </c>
      <c r="BS144">
        <v>20.9634</v>
      </c>
      <c r="BT144">
        <v>-36.8767</v>
      </c>
      <c r="BU144">
        <v>1800</v>
      </c>
      <c r="BV144">
        <v>0.91001699999999996</v>
      </c>
      <c r="BW144">
        <v>3.3993200000000001E-2</v>
      </c>
      <c r="BX144">
        <v>2.1995399999999998E-2</v>
      </c>
      <c r="BY144">
        <v>3.39946E-2</v>
      </c>
      <c r="BZ144">
        <v>25</v>
      </c>
      <c r="CA144">
        <v>33528.5</v>
      </c>
      <c r="CB144">
        <v>1690373417</v>
      </c>
      <c r="CC144" t="s">
        <v>332</v>
      </c>
      <c r="CD144">
        <v>1690373417</v>
      </c>
      <c r="CE144">
        <v>1690373415</v>
      </c>
      <c r="CF144">
        <v>1</v>
      </c>
      <c r="CG144">
        <v>-1.319</v>
      </c>
      <c r="CH144">
        <v>0.01</v>
      </c>
      <c r="CI144">
        <v>-1.371</v>
      </c>
      <c r="CJ144">
        <v>0.183</v>
      </c>
      <c r="CK144">
        <v>800</v>
      </c>
      <c r="CL144">
        <v>21</v>
      </c>
      <c r="CM144">
        <v>0.09</v>
      </c>
      <c r="CN144">
        <v>7.0000000000000007E-2</v>
      </c>
      <c r="CO144">
        <v>-383.89653658536582</v>
      </c>
      <c r="CP144">
        <v>-8.1054982578397254</v>
      </c>
      <c r="CQ144">
        <v>0.79967813944754995</v>
      </c>
      <c r="CR144">
        <v>-1</v>
      </c>
      <c r="CS144">
        <v>24.90068780487805</v>
      </c>
      <c r="CT144">
        <v>0.33445296167247912</v>
      </c>
      <c r="CU144">
        <v>3.3029655522907111E-2</v>
      </c>
      <c r="CV144">
        <v>-1</v>
      </c>
      <c r="CW144">
        <v>0</v>
      </c>
      <c r="CX144">
        <v>0</v>
      </c>
      <c r="CY144" t="s">
        <v>333</v>
      </c>
      <c r="CZ144">
        <v>2.3655900000000001</v>
      </c>
      <c r="DA144">
        <v>2.71366</v>
      </c>
      <c r="DB144">
        <v>9.2015100000000002E-2</v>
      </c>
      <c r="DC144">
        <v>0.14576500000000001</v>
      </c>
      <c r="DD144">
        <v>0.117824</v>
      </c>
      <c r="DE144">
        <v>2.1997399999999999E-3</v>
      </c>
      <c r="DF144">
        <v>33169.699999999997</v>
      </c>
      <c r="DG144">
        <v>27519.3</v>
      </c>
      <c r="DH144">
        <v>31183.3</v>
      </c>
      <c r="DI144">
        <v>28068.400000000001</v>
      </c>
      <c r="DJ144">
        <v>37335</v>
      </c>
      <c r="DK144">
        <v>39810.800000000003</v>
      </c>
      <c r="DL144">
        <v>44373.599999999999</v>
      </c>
      <c r="DM144">
        <v>42517.599999999999</v>
      </c>
      <c r="DN144">
        <v>1.48532</v>
      </c>
      <c r="DO144">
        <v>2.0648300000000002</v>
      </c>
      <c r="DP144">
        <v>0.115603</v>
      </c>
      <c r="DQ144">
        <v>0.171207</v>
      </c>
      <c r="DR144">
        <v>25.1097</v>
      </c>
      <c r="DS144">
        <v>25.042400000000001</v>
      </c>
      <c r="DT144">
        <v>44.9</v>
      </c>
      <c r="DU144">
        <v>25.1</v>
      </c>
      <c r="DV144">
        <v>14.550700000000001</v>
      </c>
      <c r="DW144">
        <v>61.670099999999998</v>
      </c>
      <c r="DX144">
        <v>36.802900000000001</v>
      </c>
      <c r="DY144">
        <v>1</v>
      </c>
      <c r="DZ144">
        <v>-0.16910600000000001</v>
      </c>
      <c r="EA144">
        <v>-0.78799300000000005</v>
      </c>
      <c r="EB144">
        <v>20.188800000000001</v>
      </c>
      <c r="EC144">
        <v>5.24125</v>
      </c>
      <c r="ED144">
        <v>12.039899999999999</v>
      </c>
      <c r="EE144">
        <v>5.0172499999999998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1.8687499999999999</v>
      </c>
      <c r="EL144">
        <v>1.8644400000000001</v>
      </c>
      <c r="EM144">
        <v>1.8690599999999999</v>
      </c>
      <c r="EN144">
        <v>1.86707</v>
      </c>
      <c r="EO144">
        <v>1.8632500000000001</v>
      </c>
      <c r="EP144">
        <v>1.8642700000000001</v>
      </c>
      <c r="EQ144">
        <v>1.8700600000000001</v>
      </c>
      <c r="ER144">
        <v>1.8692500000000001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-1.099</v>
      </c>
      <c r="FG144">
        <v>0.18290000000000001</v>
      </c>
      <c r="FH144">
        <v>-0.81947142863283695</v>
      </c>
      <c r="FI144">
        <v>-6.1462078757559423E-4</v>
      </c>
      <c r="FJ144">
        <v>-1.8861989874597051E-7</v>
      </c>
      <c r="FK144">
        <v>1.1980462299894961E-10</v>
      </c>
      <c r="FL144">
        <v>0.18283500000000069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29</v>
      </c>
      <c r="FU144">
        <v>29</v>
      </c>
      <c r="FV144">
        <v>1.7626999999999999</v>
      </c>
      <c r="FW144">
        <v>2.5647000000000002</v>
      </c>
      <c r="FX144">
        <v>1.5490699999999999</v>
      </c>
      <c r="FY144">
        <v>2.34375</v>
      </c>
      <c r="FZ144">
        <v>1.50146</v>
      </c>
      <c r="GA144">
        <v>2.3156699999999999</v>
      </c>
      <c r="GB144">
        <v>30.609300000000001</v>
      </c>
      <c r="GC144">
        <v>23.982399999999998</v>
      </c>
      <c r="GD144">
        <v>19</v>
      </c>
      <c r="GE144">
        <v>282.61200000000002</v>
      </c>
      <c r="GF144">
        <v>595.86099999999999</v>
      </c>
      <c r="GG144">
        <v>25.821000000000002</v>
      </c>
      <c r="GH144">
        <v>25.302199999999999</v>
      </c>
      <c r="GI144">
        <v>30.0001</v>
      </c>
      <c r="GJ144">
        <v>25.421700000000001</v>
      </c>
      <c r="GK144">
        <v>25.389600000000002</v>
      </c>
      <c r="GL144">
        <v>35.238999999999997</v>
      </c>
      <c r="GM144">
        <v>100</v>
      </c>
      <c r="GN144">
        <v>32.165700000000001</v>
      </c>
      <c r="GO144">
        <v>25.816600000000001</v>
      </c>
      <c r="GP144">
        <v>800</v>
      </c>
      <c r="GQ144">
        <v>0</v>
      </c>
      <c r="GR144">
        <v>99.769000000000005</v>
      </c>
      <c r="GS144">
        <v>99.486099999999993</v>
      </c>
    </row>
    <row r="145" spans="1:201" x14ac:dyDescent="0.25">
      <c r="A145">
        <v>129</v>
      </c>
      <c r="B145">
        <v>1690375166.0999999</v>
      </c>
      <c r="C145">
        <v>1346.599999904633</v>
      </c>
      <c r="D145" t="s">
        <v>591</v>
      </c>
      <c r="E145" t="s">
        <v>592</v>
      </c>
      <c r="F145" t="s">
        <v>330</v>
      </c>
      <c r="H145">
        <v>1690375166.0999999</v>
      </c>
      <c r="I145">
        <f t="shared" ref="I145:I208" si="60">(J145)/1000</f>
        <v>2.5690826170744773E-3</v>
      </c>
      <c r="J145">
        <f t="shared" ref="J145:J208" si="61">1000*AZ145*AH145*(AV145-AW145)/(100*AO145*(1000-AH145*AV145))</f>
        <v>2.5690826170744772</v>
      </c>
      <c r="K145">
        <f t="shared" ref="K145:K208" si="62">AZ145*AH145*(AU145-AT145*(1000-AH145*AW145)/(1000-AH145*AV145))/(100*AO145)</f>
        <v>37.636564554368384</v>
      </c>
      <c r="L145">
        <f t="shared" ref="L145:L208" si="63">AT145 - IF(AH145&gt;1, K145*AO145*100/(AJ145*BH145), 0)</f>
        <v>413.19099999999997</v>
      </c>
      <c r="M145">
        <f t="shared" ref="M145:M208" si="64">((S145-I145/2)*L145-K145)/(S145+I145/2)</f>
        <v>102.47834281397381</v>
      </c>
      <c r="N145">
        <f t="shared" ref="N145:N208" si="65">M145*(BA145+BB145)/1000</f>
        <v>10.125738714375213</v>
      </c>
      <c r="O145">
        <f t="shared" ref="O145:O208" si="66">(AT145 - IF(AH145&gt;1, K145*AO145*100/(AJ145*BH145), 0))*(BA145+BB145)/1000</f>
        <v>40.826812673251993</v>
      </c>
      <c r="P145">
        <f t="shared" ref="P145:P208" si="67">2/((1/R145-1/Q145)+SIGN(R145)*SQRT((1/R145-1/Q145)*(1/R145-1/Q145) + 4*AP145/((AP145+1)*(AP145+1))*(2*1/R145*1/Q145-1/Q145*1/Q145)))</f>
        <v>0.20578491542979449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2.2461262286387802</v>
      </c>
      <c r="R145">
        <f t="shared" ref="R145:R208" si="69">I145*(1000-(1000*0.61365*EXP(17.502*V145/(240.97+V145))/(BA145+BB145)+AV145)/2)/(1000*0.61365*EXP(17.502*V145/(240.97+V145))/(BA145+BB145)-AV145)</f>
        <v>0.195855142744151</v>
      </c>
      <c r="S145">
        <f t="shared" ref="S145:S208" si="70">1/((AP145+1)/(P145/1.6)+1/(Q145/1.37)) + AP145/((AP145+1)/(P145/1.6) + AP145/(Q145/1.37))</f>
        <v>0.12326167679686537</v>
      </c>
      <c r="T145">
        <f t="shared" ref="T145:T208" si="71">(AK145*AN145)</f>
        <v>276.11435629800002</v>
      </c>
      <c r="U145">
        <f t="shared" ref="U145:U208" si="72">(BC145+(T145+2*0.95*0.0000000567*(((BC145+$B$7)+273)^4-(BC145+273)^4)-44100*I145)/(1.84*29.3*Q145+8*0.95*0.0000000567*(BC145+273)^3))</f>
        <v>27.814945650453481</v>
      </c>
      <c r="V145">
        <f t="shared" ref="V145:V208" si="73">($C$7*BD145+$D$7*BE145+$E$7*U145)</f>
        <v>27.814945650453481</v>
      </c>
      <c r="W145">
        <f t="shared" ref="W145:W208" si="74">0.61365*EXP(17.502*V145/(240.97+V145))</f>
        <v>3.7540929733016228</v>
      </c>
      <c r="X145">
        <f t="shared" ref="X145:X208" si="75">(Y145/Z145*100)</f>
        <v>71.534686612272324</v>
      </c>
      <c r="Y145">
        <f t="shared" ref="Y145:Y208" si="76">AV145*(BA145+BB145)/1000</f>
        <v>2.4990071178808</v>
      </c>
      <c r="Z145">
        <f t="shared" ref="Z145:Z208" si="77">0.61365*EXP(17.502*BC145/(240.97+BC145))</f>
        <v>3.4934200962195536</v>
      </c>
      <c r="AA145">
        <f t="shared" ref="AA145:AA208" si="78">(W145-AV145*(BA145+BB145)/1000)</f>
        <v>1.2550858554208228</v>
      </c>
      <c r="AB145">
        <f t="shared" ref="AB145:AB208" si="79">(-I145*44100)</f>
        <v>-113.29654341298445</v>
      </c>
      <c r="AC145">
        <f t="shared" ref="AC145:AC208" si="80">2*29.3*Q145*0.92*(BC145-V145)</f>
        <v>-148.59894120474985</v>
      </c>
      <c r="AD145">
        <f t="shared" ref="AD145:AD208" si="81">2*0.95*0.0000000567*(((BC145+$B$7)+273)^4-(V145+273)^4)</f>
        <v>-14.30647366055257</v>
      </c>
      <c r="AE145">
        <f t="shared" ref="AE145:AE208" si="82">T145+AD145+AB145+AC145</f>
        <v>-8.7601980286848402E-2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52143.8163212238</v>
      </c>
      <c r="AK145">
        <f t="shared" ref="AK145:AK208" si="86">$B$11*BI145+$C$11*BJ145+$D$11*BU145</f>
        <v>1800</v>
      </c>
      <c r="AL145">
        <f t="shared" ref="AL145:AL208" si="87">AK145*AM145</f>
        <v>1499.1143778000001</v>
      </c>
      <c r="AM145">
        <f t="shared" ref="AM145:AM208" si="88">($B$11*$D$9+$C$11*$D$9+$D$11*(BV145*$E$9+BW145*$F$9+BX145*$G$9+BY145*$H$9))/($B$11+$C$11+$D$11)</f>
        <v>0.83284132100000008</v>
      </c>
      <c r="AN145">
        <f t="shared" ref="AN145:AN208" si="89">($B$11*$K$9+$C$11*$K$9+$D$11*(BV145*$L$9+BW145*$M$9+BX145*$N$9+BY145*$O$9))/($B$11+$C$11+$D$11)</f>
        <v>0.15339686461000002</v>
      </c>
      <c r="AO145">
        <v>30</v>
      </c>
      <c r="AP145">
        <v>0.5</v>
      </c>
      <c r="AQ145" t="s">
        <v>331</v>
      </c>
      <c r="AR145">
        <v>2</v>
      </c>
      <c r="AS145">
        <v>1690375166.0999999</v>
      </c>
      <c r="AT145">
        <v>413.19099999999997</v>
      </c>
      <c r="AU145">
        <v>800.02099999999996</v>
      </c>
      <c r="AV145">
        <v>25.291399999999999</v>
      </c>
      <c r="AW145">
        <v>0.26009300000000002</v>
      </c>
      <c r="AX145">
        <v>414.28899999999999</v>
      </c>
      <c r="AY145">
        <v>25.108599999999999</v>
      </c>
      <c r="AZ145">
        <v>300.11700000000002</v>
      </c>
      <c r="BA145">
        <v>98.708500000000001</v>
      </c>
      <c r="BB145">
        <v>0.10007199999999999</v>
      </c>
      <c r="BC145">
        <v>26.587800000000001</v>
      </c>
      <c r="BD145">
        <v>26.995799999999999</v>
      </c>
      <c r="BE145">
        <v>27.8413</v>
      </c>
      <c r="BF145">
        <v>0</v>
      </c>
      <c r="BG145">
        <v>0</v>
      </c>
      <c r="BH145">
        <v>9975.6200000000008</v>
      </c>
      <c r="BI145">
        <v>1086.0999999999999</v>
      </c>
      <c r="BJ145">
        <v>1.4016500000000001</v>
      </c>
      <c r="BK145">
        <v>-386.83</v>
      </c>
      <c r="BL145">
        <v>423.91300000000001</v>
      </c>
      <c r="BM145">
        <v>800.22900000000004</v>
      </c>
      <c r="BN145">
        <v>25.031300000000002</v>
      </c>
      <c r="BO145">
        <v>800.02099999999996</v>
      </c>
      <c r="BP145">
        <v>0.26009300000000002</v>
      </c>
      <c r="BQ145">
        <v>2.49648</v>
      </c>
      <c r="BR145">
        <v>2.5673399999999999E-2</v>
      </c>
      <c r="BS145">
        <v>21.003599999999999</v>
      </c>
      <c r="BT145">
        <v>-36.991300000000003</v>
      </c>
      <c r="BU145">
        <v>1800</v>
      </c>
      <c r="BV145">
        <v>0.91001900000000002</v>
      </c>
      <c r="BW145">
        <v>3.3992300000000003E-2</v>
      </c>
      <c r="BX145">
        <v>2.1994799999999998E-2</v>
      </c>
      <c r="BY145">
        <v>3.3993700000000002E-2</v>
      </c>
      <c r="BZ145">
        <v>25</v>
      </c>
      <c r="CA145">
        <v>33528.5</v>
      </c>
      <c r="CB145">
        <v>1690373417</v>
      </c>
      <c r="CC145" t="s">
        <v>332</v>
      </c>
      <c r="CD145">
        <v>1690373417</v>
      </c>
      <c r="CE145">
        <v>1690373415</v>
      </c>
      <c r="CF145">
        <v>1</v>
      </c>
      <c r="CG145">
        <v>-1.319</v>
      </c>
      <c r="CH145">
        <v>0.01</v>
      </c>
      <c r="CI145">
        <v>-1.371</v>
      </c>
      <c r="CJ145">
        <v>0.183</v>
      </c>
      <c r="CK145">
        <v>800</v>
      </c>
      <c r="CL145">
        <v>21</v>
      </c>
      <c r="CM145">
        <v>0.09</v>
      </c>
      <c r="CN145">
        <v>7.0000000000000007E-2</v>
      </c>
      <c r="CO145">
        <v>-385.26241463414641</v>
      </c>
      <c r="CP145">
        <v>-8.0501393728232316</v>
      </c>
      <c r="CQ145">
        <v>0.79497767956424581</v>
      </c>
      <c r="CR145">
        <v>-1</v>
      </c>
      <c r="CS145">
        <v>24.9587</v>
      </c>
      <c r="CT145">
        <v>0.35723832752610679</v>
      </c>
      <c r="CU145">
        <v>3.5317459235189502E-2</v>
      </c>
      <c r="CV145">
        <v>-1</v>
      </c>
      <c r="CW145">
        <v>0</v>
      </c>
      <c r="CX145">
        <v>0</v>
      </c>
      <c r="CY145" t="s">
        <v>333</v>
      </c>
      <c r="CZ145">
        <v>2.3654500000000001</v>
      </c>
      <c r="DA145">
        <v>2.7138399999999998</v>
      </c>
      <c r="DB145">
        <v>9.1782299999999997E-2</v>
      </c>
      <c r="DC145">
        <v>0.14575199999999999</v>
      </c>
      <c r="DD145">
        <v>0.11802600000000001</v>
      </c>
      <c r="DE145">
        <v>2.17476E-3</v>
      </c>
      <c r="DF145">
        <v>33178.300000000003</v>
      </c>
      <c r="DG145">
        <v>27519.7</v>
      </c>
      <c r="DH145">
        <v>31183.4</v>
      </c>
      <c r="DI145">
        <v>28068.400000000001</v>
      </c>
      <c r="DJ145">
        <v>37326.6</v>
      </c>
      <c r="DK145">
        <v>39811.9</v>
      </c>
      <c r="DL145">
        <v>44373.9</v>
      </c>
      <c r="DM145">
        <v>42517.8</v>
      </c>
      <c r="DN145">
        <v>1.4856</v>
      </c>
      <c r="DO145">
        <v>2.0647199999999999</v>
      </c>
      <c r="DP145">
        <v>0.115022</v>
      </c>
      <c r="DQ145">
        <v>0.17085700000000001</v>
      </c>
      <c r="DR145">
        <v>25.111799999999999</v>
      </c>
      <c r="DS145">
        <v>25.044599999999999</v>
      </c>
      <c r="DT145">
        <v>44.4</v>
      </c>
      <c r="DU145">
        <v>25.1</v>
      </c>
      <c r="DV145">
        <v>14.386900000000001</v>
      </c>
      <c r="DW145">
        <v>61.6601</v>
      </c>
      <c r="DX145">
        <v>37.644199999999998</v>
      </c>
      <c r="DY145">
        <v>1</v>
      </c>
      <c r="DZ145">
        <v>-0.169317</v>
      </c>
      <c r="EA145">
        <v>-0.75836300000000001</v>
      </c>
      <c r="EB145">
        <v>20.188800000000001</v>
      </c>
      <c r="EC145">
        <v>5.2411000000000003</v>
      </c>
      <c r="ED145">
        <v>12.039899999999999</v>
      </c>
      <c r="EE145">
        <v>5.01715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1.86876</v>
      </c>
      <c r="EL145">
        <v>1.86443</v>
      </c>
      <c r="EM145">
        <v>1.86907</v>
      </c>
      <c r="EN145">
        <v>1.86707</v>
      </c>
      <c r="EO145">
        <v>1.8632500000000001</v>
      </c>
      <c r="EP145">
        <v>1.8642799999999999</v>
      </c>
      <c r="EQ145">
        <v>1.8700600000000001</v>
      </c>
      <c r="ER145">
        <v>1.8692599999999999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-1.0980000000000001</v>
      </c>
      <c r="FG145">
        <v>0.18279999999999999</v>
      </c>
      <c r="FH145">
        <v>-0.81947142863283695</v>
      </c>
      <c r="FI145">
        <v>-6.1462078757559423E-4</v>
      </c>
      <c r="FJ145">
        <v>-1.8861989874597051E-7</v>
      </c>
      <c r="FK145">
        <v>1.1980462299894961E-10</v>
      </c>
      <c r="FL145">
        <v>0.18283500000000069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29.2</v>
      </c>
      <c r="FU145">
        <v>29.2</v>
      </c>
      <c r="FV145">
        <v>1.7626999999999999</v>
      </c>
      <c r="FW145">
        <v>2.5585900000000001</v>
      </c>
      <c r="FX145">
        <v>1.5490699999999999</v>
      </c>
      <c r="FY145">
        <v>2.34375</v>
      </c>
      <c r="FZ145">
        <v>1.50146</v>
      </c>
      <c r="GA145">
        <v>2.3107899999999999</v>
      </c>
      <c r="GB145">
        <v>30.609300000000001</v>
      </c>
      <c r="GC145">
        <v>23.982399999999998</v>
      </c>
      <c r="GD145">
        <v>19</v>
      </c>
      <c r="GE145">
        <v>282.72899999999998</v>
      </c>
      <c r="GF145">
        <v>595.77800000000002</v>
      </c>
      <c r="GG145">
        <v>25.817299999999999</v>
      </c>
      <c r="GH145">
        <v>25.302199999999999</v>
      </c>
      <c r="GI145">
        <v>30</v>
      </c>
      <c r="GJ145">
        <v>25.421700000000001</v>
      </c>
      <c r="GK145">
        <v>25.389600000000002</v>
      </c>
      <c r="GL145">
        <v>35.240600000000001</v>
      </c>
      <c r="GM145">
        <v>100</v>
      </c>
      <c r="GN145">
        <v>31.379200000000001</v>
      </c>
      <c r="GO145">
        <v>25.8171</v>
      </c>
      <c r="GP145">
        <v>800</v>
      </c>
      <c r="GQ145">
        <v>0</v>
      </c>
      <c r="GR145">
        <v>99.769599999999997</v>
      </c>
      <c r="GS145">
        <v>99.4863</v>
      </c>
    </row>
    <row r="146" spans="1:201" x14ac:dyDescent="0.25">
      <c r="A146">
        <v>130</v>
      </c>
      <c r="B146">
        <v>1690375176.0999999</v>
      </c>
      <c r="C146">
        <v>1356.599999904633</v>
      </c>
      <c r="D146" t="s">
        <v>593</v>
      </c>
      <c r="E146" t="s">
        <v>594</v>
      </c>
      <c r="F146" t="s">
        <v>330</v>
      </c>
      <c r="H146">
        <v>1690375176.0999999</v>
      </c>
      <c r="I146">
        <f t="shared" si="60"/>
        <v>2.5753053881420961E-3</v>
      </c>
      <c r="J146">
        <f t="shared" si="61"/>
        <v>2.575305388142096</v>
      </c>
      <c r="K146">
        <f t="shared" si="62"/>
        <v>37.763025075678158</v>
      </c>
      <c r="L146">
        <f t="shared" si="63"/>
        <v>411.89</v>
      </c>
      <c r="M146">
        <f t="shared" si="64"/>
        <v>102.39656932959446</v>
      </c>
      <c r="N146">
        <f t="shared" si="65"/>
        <v>10.117441098049833</v>
      </c>
      <c r="O146">
        <f t="shared" si="66"/>
        <v>40.697387042940008</v>
      </c>
      <c r="P146">
        <f t="shared" si="67"/>
        <v>0.20732774266820059</v>
      </c>
      <c r="Q146">
        <f t="shared" si="68"/>
        <v>2.2496412935023935</v>
      </c>
      <c r="R146">
        <f t="shared" si="69"/>
        <v>0.19726735737338416</v>
      </c>
      <c r="S146">
        <f t="shared" si="70"/>
        <v>0.12415529298623745</v>
      </c>
      <c r="T146">
        <f t="shared" si="71"/>
        <v>276.11443731599996</v>
      </c>
      <c r="U146">
        <f t="shared" si="72"/>
        <v>27.813827804796059</v>
      </c>
      <c r="V146">
        <f t="shared" si="73"/>
        <v>27.813827804796059</v>
      </c>
      <c r="W146">
        <f t="shared" si="74"/>
        <v>3.7538480019604807</v>
      </c>
      <c r="X146">
        <f t="shared" si="75"/>
        <v>71.688899330751397</v>
      </c>
      <c r="Y146">
        <f t="shared" si="76"/>
        <v>2.5047928093230003</v>
      </c>
      <c r="Z146">
        <f t="shared" si="77"/>
        <v>3.4939758215098635</v>
      </c>
      <c r="AA146">
        <f t="shared" si="78"/>
        <v>1.2490551926374804</v>
      </c>
      <c r="AB146">
        <f t="shared" si="79"/>
        <v>-113.57096761706644</v>
      </c>
      <c r="AC146">
        <f t="shared" si="80"/>
        <v>-148.36845194900408</v>
      </c>
      <c r="AD146">
        <f t="shared" si="81"/>
        <v>-14.26207631864423</v>
      </c>
      <c r="AE146">
        <f t="shared" si="82"/>
        <v>-8.7058568714809326E-2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52280.032421072166</v>
      </c>
      <c r="AK146">
        <f t="shared" si="86"/>
        <v>1800</v>
      </c>
      <c r="AL146">
        <f t="shared" si="87"/>
        <v>1499.1150725999998</v>
      </c>
      <c r="AM146">
        <f t="shared" si="88"/>
        <v>0.83284170699999993</v>
      </c>
      <c r="AN146">
        <f t="shared" si="89"/>
        <v>0.15339690961999999</v>
      </c>
      <c r="AO146">
        <v>30</v>
      </c>
      <c r="AP146">
        <v>0.5</v>
      </c>
      <c r="AQ146" t="s">
        <v>331</v>
      </c>
      <c r="AR146">
        <v>2</v>
      </c>
      <c r="AS146">
        <v>1690375176.0999999</v>
      </c>
      <c r="AT146">
        <v>411.89</v>
      </c>
      <c r="AU146">
        <v>800.01900000000001</v>
      </c>
      <c r="AV146">
        <v>25.3505</v>
      </c>
      <c r="AW146">
        <v>0.25732500000000003</v>
      </c>
      <c r="AX146">
        <v>412.98700000000002</v>
      </c>
      <c r="AY146">
        <v>25.1676</v>
      </c>
      <c r="AZ146">
        <v>300.084</v>
      </c>
      <c r="BA146">
        <v>98.706400000000002</v>
      </c>
      <c r="BB146">
        <v>0.100046</v>
      </c>
      <c r="BC146">
        <v>26.590499999999999</v>
      </c>
      <c r="BD146">
        <v>27.010400000000001</v>
      </c>
      <c r="BE146">
        <v>27.8735</v>
      </c>
      <c r="BF146">
        <v>0</v>
      </c>
      <c r="BG146">
        <v>0</v>
      </c>
      <c r="BH146">
        <v>10003.1</v>
      </c>
      <c r="BI146">
        <v>1086.1500000000001</v>
      </c>
      <c r="BJ146">
        <v>1.4016500000000001</v>
      </c>
      <c r="BK146">
        <v>-388.12900000000002</v>
      </c>
      <c r="BL146">
        <v>422.60300000000001</v>
      </c>
      <c r="BM146">
        <v>800.22500000000002</v>
      </c>
      <c r="BN146">
        <v>25.0931</v>
      </c>
      <c r="BO146">
        <v>800.01900000000001</v>
      </c>
      <c r="BP146">
        <v>0.25732500000000003</v>
      </c>
      <c r="BQ146">
        <v>2.5022500000000001</v>
      </c>
      <c r="BR146">
        <v>2.5399700000000001E-2</v>
      </c>
      <c r="BS146">
        <v>21.0412</v>
      </c>
      <c r="BT146">
        <v>-37.097000000000001</v>
      </c>
      <c r="BU146">
        <v>1800</v>
      </c>
      <c r="BV146">
        <v>0.91002000000000005</v>
      </c>
      <c r="BW146">
        <v>3.3993700000000002E-2</v>
      </c>
      <c r="BX146">
        <v>2.1994099999999999E-2</v>
      </c>
      <c r="BY146">
        <v>3.3992599999999998E-2</v>
      </c>
      <c r="BZ146">
        <v>25</v>
      </c>
      <c r="CA146">
        <v>33528.5</v>
      </c>
      <c r="CB146">
        <v>1690373417</v>
      </c>
      <c r="CC146" t="s">
        <v>332</v>
      </c>
      <c r="CD146">
        <v>1690373417</v>
      </c>
      <c r="CE146">
        <v>1690373415</v>
      </c>
      <c r="CF146">
        <v>1</v>
      </c>
      <c r="CG146">
        <v>-1.319</v>
      </c>
      <c r="CH146">
        <v>0.01</v>
      </c>
      <c r="CI146">
        <v>-1.371</v>
      </c>
      <c r="CJ146">
        <v>0.183</v>
      </c>
      <c r="CK146">
        <v>800</v>
      </c>
      <c r="CL146">
        <v>21</v>
      </c>
      <c r="CM146">
        <v>0.09</v>
      </c>
      <c r="CN146">
        <v>7.0000000000000007E-2</v>
      </c>
      <c r="CO146">
        <v>-386.7559024390244</v>
      </c>
      <c r="CP146">
        <v>-8.0171916376304448</v>
      </c>
      <c r="CQ146">
        <v>0.79151718483965616</v>
      </c>
      <c r="CR146">
        <v>-1</v>
      </c>
      <c r="CS146">
        <v>25.02752682926829</v>
      </c>
      <c r="CT146">
        <v>0.38642926829271063</v>
      </c>
      <c r="CU146">
        <v>3.8117546208680013E-2</v>
      </c>
      <c r="CV146">
        <v>-1</v>
      </c>
      <c r="CW146">
        <v>0</v>
      </c>
      <c r="CX146">
        <v>0</v>
      </c>
      <c r="CY146" t="s">
        <v>333</v>
      </c>
      <c r="CZ146">
        <v>2.3653400000000002</v>
      </c>
      <c r="DA146">
        <v>2.7138399999999998</v>
      </c>
      <c r="DB146">
        <v>9.1561600000000007E-2</v>
      </c>
      <c r="DC146">
        <v>0.14574899999999999</v>
      </c>
      <c r="DD146">
        <v>0.118217</v>
      </c>
      <c r="DE146">
        <v>2.1519299999999998E-3</v>
      </c>
      <c r="DF146">
        <v>33186.9</v>
      </c>
      <c r="DG146">
        <v>27520.400000000001</v>
      </c>
      <c r="DH146">
        <v>31183.8</v>
      </c>
      <c r="DI146">
        <v>28069</v>
      </c>
      <c r="DJ146">
        <v>37319</v>
      </c>
      <c r="DK146">
        <v>39813.699999999997</v>
      </c>
      <c r="DL146">
        <v>44374.5</v>
      </c>
      <c r="DM146">
        <v>42518.6</v>
      </c>
      <c r="DN146">
        <v>1.48573</v>
      </c>
      <c r="DO146">
        <v>2.0646</v>
      </c>
      <c r="DP146">
        <v>0.115894</v>
      </c>
      <c r="DQ146">
        <v>0.17266000000000001</v>
      </c>
      <c r="DR146">
        <v>25.112200000000001</v>
      </c>
      <c r="DS146">
        <v>25.0474</v>
      </c>
      <c r="DT146">
        <v>44</v>
      </c>
      <c r="DU146">
        <v>25.1</v>
      </c>
      <c r="DV146">
        <v>14.258800000000001</v>
      </c>
      <c r="DW146">
        <v>61.710099999999997</v>
      </c>
      <c r="DX146">
        <v>37.600200000000001</v>
      </c>
      <c r="DY146">
        <v>1</v>
      </c>
      <c r="DZ146">
        <v>-0.16913600000000001</v>
      </c>
      <c r="EA146">
        <v>-0.74001600000000001</v>
      </c>
      <c r="EB146">
        <v>20.1889</v>
      </c>
      <c r="EC146">
        <v>5.24125</v>
      </c>
      <c r="ED146">
        <v>12.039899999999999</v>
      </c>
      <c r="EE146">
        <v>5.0174000000000003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1.8687400000000001</v>
      </c>
      <c r="EL146">
        <v>1.8644400000000001</v>
      </c>
      <c r="EM146">
        <v>1.8690800000000001</v>
      </c>
      <c r="EN146">
        <v>1.86707</v>
      </c>
      <c r="EO146">
        <v>1.8632500000000001</v>
      </c>
      <c r="EP146">
        <v>1.8642700000000001</v>
      </c>
      <c r="EQ146">
        <v>1.8700600000000001</v>
      </c>
      <c r="ER146">
        <v>1.8692599999999999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-1.097</v>
      </c>
      <c r="FG146">
        <v>0.18290000000000001</v>
      </c>
      <c r="FH146">
        <v>-0.81947142863283695</v>
      </c>
      <c r="FI146">
        <v>-6.1462078757559423E-4</v>
      </c>
      <c r="FJ146">
        <v>-1.8861989874597051E-7</v>
      </c>
      <c r="FK146">
        <v>1.1980462299894961E-10</v>
      </c>
      <c r="FL146">
        <v>0.18283500000000069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29.3</v>
      </c>
      <c r="FU146">
        <v>29.4</v>
      </c>
      <c r="FV146">
        <v>1.7626999999999999</v>
      </c>
      <c r="FW146">
        <v>2.5549300000000001</v>
      </c>
      <c r="FX146">
        <v>1.5490699999999999</v>
      </c>
      <c r="FY146">
        <v>2.34375</v>
      </c>
      <c r="FZ146">
        <v>1.50146</v>
      </c>
      <c r="GA146">
        <v>2.36328</v>
      </c>
      <c r="GB146">
        <v>30.6309</v>
      </c>
      <c r="GC146">
        <v>23.991199999999999</v>
      </c>
      <c r="GD146">
        <v>19</v>
      </c>
      <c r="GE146">
        <v>282.78100000000001</v>
      </c>
      <c r="GF146">
        <v>595.673</v>
      </c>
      <c r="GG146">
        <v>25.8172</v>
      </c>
      <c r="GH146">
        <v>25.3</v>
      </c>
      <c r="GI146">
        <v>30.0001</v>
      </c>
      <c r="GJ146">
        <v>25.421700000000001</v>
      </c>
      <c r="GK146">
        <v>25.389600000000002</v>
      </c>
      <c r="GL146">
        <v>35.238999999999997</v>
      </c>
      <c r="GM146">
        <v>100</v>
      </c>
      <c r="GN146">
        <v>30.601900000000001</v>
      </c>
      <c r="GO146">
        <v>25.801100000000002</v>
      </c>
      <c r="GP146">
        <v>800</v>
      </c>
      <c r="GQ146">
        <v>0</v>
      </c>
      <c r="GR146">
        <v>99.771000000000001</v>
      </c>
      <c r="GS146">
        <v>99.488399999999999</v>
      </c>
    </row>
    <row r="147" spans="1:201" x14ac:dyDescent="0.25">
      <c r="A147">
        <v>131</v>
      </c>
      <c r="B147">
        <v>1690375186.0999999</v>
      </c>
      <c r="C147">
        <v>1366.599999904633</v>
      </c>
      <c r="D147" t="s">
        <v>595</v>
      </c>
      <c r="E147" t="s">
        <v>596</v>
      </c>
      <c r="F147" t="s">
        <v>330</v>
      </c>
      <c r="H147">
        <v>1690375186.0999999</v>
      </c>
      <c r="I147">
        <f t="shared" si="60"/>
        <v>2.5819228145282443E-3</v>
      </c>
      <c r="J147">
        <f t="shared" si="61"/>
        <v>2.5819228145282445</v>
      </c>
      <c r="K147">
        <f t="shared" si="62"/>
        <v>37.899028181758389</v>
      </c>
      <c r="L147">
        <f t="shared" si="63"/>
        <v>410.57499999999999</v>
      </c>
      <c r="M147">
        <f t="shared" si="64"/>
        <v>102.09046914047357</v>
      </c>
      <c r="N147">
        <f t="shared" si="65"/>
        <v>10.087296576993095</v>
      </c>
      <c r="O147">
        <f t="shared" si="66"/>
        <v>40.567859340524997</v>
      </c>
      <c r="P147">
        <f t="shared" si="67"/>
        <v>0.20880015843879518</v>
      </c>
      <c r="Q147">
        <f t="shared" si="68"/>
        <v>2.2500534616351819</v>
      </c>
      <c r="R147">
        <f t="shared" si="69"/>
        <v>0.19860191747782691</v>
      </c>
      <c r="S147">
        <f t="shared" si="70"/>
        <v>0.12500095032257882</v>
      </c>
      <c r="T147">
        <f t="shared" si="71"/>
        <v>276.11450076599999</v>
      </c>
      <c r="U147">
        <f t="shared" si="72"/>
        <v>27.816522313522601</v>
      </c>
      <c r="V147">
        <f t="shared" si="73"/>
        <v>27.816522313522601</v>
      </c>
      <c r="W147">
        <f t="shared" si="74"/>
        <v>3.7544385163289387</v>
      </c>
      <c r="X147">
        <f t="shared" si="75"/>
        <v>71.834025388544973</v>
      </c>
      <c r="Y147">
        <f t="shared" si="76"/>
        <v>2.5106176741283996</v>
      </c>
      <c r="Z147">
        <f t="shared" si="77"/>
        <v>3.4950257354347785</v>
      </c>
      <c r="AA147">
        <f t="shared" si="78"/>
        <v>1.243820842200539</v>
      </c>
      <c r="AB147">
        <f t="shared" si="79"/>
        <v>-113.86279612069558</v>
      </c>
      <c r="AC147">
        <f t="shared" si="80"/>
        <v>-148.10383744611693</v>
      </c>
      <c r="AD147">
        <f t="shared" si="81"/>
        <v>-14.234586213723045</v>
      </c>
      <c r="AE147">
        <f t="shared" si="82"/>
        <v>-8.6719014535560746E-2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52295.209660960587</v>
      </c>
      <c r="AK147">
        <f t="shared" si="86"/>
        <v>1800</v>
      </c>
      <c r="AL147">
        <f t="shared" si="87"/>
        <v>1499.1111035999998</v>
      </c>
      <c r="AM147">
        <f t="shared" si="88"/>
        <v>0.8328395019999999</v>
      </c>
      <c r="AN147">
        <f t="shared" si="89"/>
        <v>0.15339694487</v>
      </c>
      <c r="AO147">
        <v>30</v>
      </c>
      <c r="AP147">
        <v>0.5</v>
      </c>
      <c r="AQ147" t="s">
        <v>331</v>
      </c>
      <c r="AR147">
        <v>2</v>
      </c>
      <c r="AS147">
        <v>1690375186.0999999</v>
      </c>
      <c r="AT147">
        <v>410.57499999999999</v>
      </c>
      <c r="AU147">
        <v>800.03099999999995</v>
      </c>
      <c r="AV147">
        <v>25.409199999999998</v>
      </c>
      <c r="AW147">
        <v>0.25473800000000002</v>
      </c>
      <c r="AX147">
        <v>411.67099999999999</v>
      </c>
      <c r="AY147">
        <v>25.226400000000002</v>
      </c>
      <c r="AZ147">
        <v>300.10399999999998</v>
      </c>
      <c r="BA147">
        <v>98.707400000000007</v>
      </c>
      <c r="BB147">
        <v>0.100027</v>
      </c>
      <c r="BC147">
        <v>26.595600000000001</v>
      </c>
      <c r="BD147">
        <v>27.007200000000001</v>
      </c>
      <c r="BE147">
        <v>27.8552</v>
      </c>
      <c r="BF147">
        <v>0</v>
      </c>
      <c r="BG147">
        <v>0</v>
      </c>
      <c r="BH147">
        <v>10006.200000000001</v>
      </c>
      <c r="BI147">
        <v>1086.17</v>
      </c>
      <c r="BJ147">
        <v>1.4016500000000001</v>
      </c>
      <c r="BK147">
        <v>-389.45699999999999</v>
      </c>
      <c r="BL147">
        <v>421.279</v>
      </c>
      <c r="BM147">
        <v>800.23500000000001</v>
      </c>
      <c r="BN147">
        <v>25.154499999999999</v>
      </c>
      <c r="BO147">
        <v>800.03099999999995</v>
      </c>
      <c r="BP147">
        <v>0.25473800000000002</v>
      </c>
      <c r="BQ147">
        <v>2.5080800000000001</v>
      </c>
      <c r="BR147">
        <v>2.51445E-2</v>
      </c>
      <c r="BS147">
        <v>21.079000000000001</v>
      </c>
      <c r="BT147">
        <v>-37.1965</v>
      </c>
      <c r="BU147">
        <v>1800</v>
      </c>
      <c r="BV147">
        <v>0.91000700000000001</v>
      </c>
      <c r="BW147">
        <v>3.4008999999999998E-2</v>
      </c>
      <c r="BX147">
        <v>2.1993100000000002E-2</v>
      </c>
      <c r="BY147">
        <v>3.3991100000000003E-2</v>
      </c>
      <c r="BZ147">
        <v>25</v>
      </c>
      <c r="CA147">
        <v>33528.5</v>
      </c>
      <c r="CB147">
        <v>1690373417</v>
      </c>
      <c r="CC147" t="s">
        <v>332</v>
      </c>
      <c r="CD147">
        <v>1690373417</v>
      </c>
      <c r="CE147">
        <v>1690373415</v>
      </c>
      <c r="CF147">
        <v>1</v>
      </c>
      <c r="CG147">
        <v>-1.319</v>
      </c>
      <c r="CH147">
        <v>0.01</v>
      </c>
      <c r="CI147">
        <v>-1.371</v>
      </c>
      <c r="CJ147">
        <v>0.183</v>
      </c>
      <c r="CK147">
        <v>800</v>
      </c>
      <c r="CL147">
        <v>21</v>
      </c>
      <c r="CM147">
        <v>0.09</v>
      </c>
      <c r="CN147">
        <v>7.0000000000000007E-2</v>
      </c>
      <c r="CO147">
        <v>-388.06248780487812</v>
      </c>
      <c r="CP147">
        <v>-7.638564459929869</v>
      </c>
      <c r="CQ147">
        <v>0.75378372786088976</v>
      </c>
      <c r="CR147">
        <v>-1</v>
      </c>
      <c r="CS147">
        <v>25.0901</v>
      </c>
      <c r="CT147">
        <v>0.36353519163765069</v>
      </c>
      <c r="CU147">
        <v>3.5852400674798987E-2</v>
      </c>
      <c r="CV147">
        <v>-1</v>
      </c>
      <c r="CW147">
        <v>0</v>
      </c>
      <c r="CX147">
        <v>0</v>
      </c>
      <c r="CY147" t="s">
        <v>333</v>
      </c>
      <c r="CZ147">
        <v>2.3654000000000002</v>
      </c>
      <c r="DA147">
        <v>2.7138200000000001</v>
      </c>
      <c r="DB147">
        <v>9.13413E-2</v>
      </c>
      <c r="DC147">
        <v>0.14575199999999999</v>
      </c>
      <c r="DD147">
        <v>0.11841</v>
      </c>
      <c r="DE147">
        <v>2.13065E-3</v>
      </c>
      <c r="DF147">
        <v>33194.699999999997</v>
      </c>
      <c r="DG147">
        <v>27521</v>
      </c>
      <c r="DH147">
        <v>31183.7</v>
      </c>
      <c r="DI147">
        <v>28069.7</v>
      </c>
      <c r="DJ147">
        <v>37310.400000000001</v>
      </c>
      <c r="DK147">
        <v>39815.5</v>
      </c>
      <c r="DL147">
        <v>44374.3</v>
      </c>
      <c r="DM147">
        <v>42519.7</v>
      </c>
      <c r="DN147">
        <v>1.4855499999999999</v>
      </c>
      <c r="DO147">
        <v>2.0644999999999998</v>
      </c>
      <c r="DP147">
        <v>0.11552900000000001</v>
      </c>
      <c r="DQ147">
        <v>0.17125199999999999</v>
      </c>
      <c r="DR147">
        <v>25.114899999999999</v>
      </c>
      <c r="DS147">
        <v>25.052099999999999</v>
      </c>
      <c r="DT147">
        <v>43.6</v>
      </c>
      <c r="DU147">
        <v>25.1</v>
      </c>
      <c r="DV147">
        <v>14.127000000000001</v>
      </c>
      <c r="DW147">
        <v>61.820099999999996</v>
      </c>
      <c r="DX147">
        <v>37.011200000000002</v>
      </c>
      <c r="DY147">
        <v>1</v>
      </c>
      <c r="DZ147">
        <v>-0.169263</v>
      </c>
      <c r="EA147">
        <v>-0.70901700000000001</v>
      </c>
      <c r="EB147">
        <v>20.189</v>
      </c>
      <c r="EC147">
        <v>5.2415500000000002</v>
      </c>
      <c r="ED147">
        <v>12.039899999999999</v>
      </c>
      <c r="EE147">
        <v>5.0171000000000001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1.8687400000000001</v>
      </c>
      <c r="EL147">
        <v>1.8644499999999999</v>
      </c>
      <c r="EM147">
        <v>1.86907</v>
      </c>
      <c r="EN147">
        <v>1.86707</v>
      </c>
      <c r="EO147">
        <v>1.8632500000000001</v>
      </c>
      <c r="EP147">
        <v>1.86426</v>
      </c>
      <c r="EQ147">
        <v>1.87009</v>
      </c>
      <c r="ER147">
        <v>1.8692500000000001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-1.0960000000000001</v>
      </c>
      <c r="FG147">
        <v>0.18279999999999999</v>
      </c>
      <c r="FH147">
        <v>-0.81947142863283695</v>
      </c>
      <c r="FI147">
        <v>-6.1462078757559423E-4</v>
      </c>
      <c r="FJ147">
        <v>-1.8861989874597051E-7</v>
      </c>
      <c r="FK147">
        <v>1.1980462299894961E-10</v>
      </c>
      <c r="FL147">
        <v>0.18283500000000069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29.5</v>
      </c>
      <c r="FU147">
        <v>29.5</v>
      </c>
      <c r="FV147">
        <v>1.7626999999999999</v>
      </c>
      <c r="FW147">
        <v>2.5585900000000001</v>
      </c>
      <c r="FX147">
        <v>1.5490699999999999</v>
      </c>
      <c r="FY147">
        <v>2.34253</v>
      </c>
      <c r="FZ147">
        <v>1.50146</v>
      </c>
      <c r="GA147">
        <v>2.3156699999999999</v>
      </c>
      <c r="GB147">
        <v>30.6309</v>
      </c>
      <c r="GC147">
        <v>23.973700000000001</v>
      </c>
      <c r="GD147">
        <v>19</v>
      </c>
      <c r="GE147">
        <v>282.70400000000001</v>
      </c>
      <c r="GF147">
        <v>595.57600000000002</v>
      </c>
      <c r="GG147">
        <v>25.7958</v>
      </c>
      <c r="GH147">
        <v>25.3</v>
      </c>
      <c r="GI147">
        <v>30.0001</v>
      </c>
      <c r="GJ147">
        <v>25.4209</v>
      </c>
      <c r="GK147">
        <v>25.388400000000001</v>
      </c>
      <c r="GL147">
        <v>35.237099999999998</v>
      </c>
      <c r="GM147">
        <v>100</v>
      </c>
      <c r="GN147">
        <v>29.833600000000001</v>
      </c>
      <c r="GO147">
        <v>25.789300000000001</v>
      </c>
      <c r="GP147">
        <v>800</v>
      </c>
      <c r="GQ147">
        <v>0</v>
      </c>
      <c r="GR147">
        <v>99.770399999999995</v>
      </c>
      <c r="GS147">
        <v>99.491</v>
      </c>
    </row>
    <row r="148" spans="1:201" x14ac:dyDescent="0.25">
      <c r="A148">
        <v>132</v>
      </c>
      <c r="B148">
        <v>1690375196.0999999</v>
      </c>
      <c r="C148">
        <v>1376.599999904633</v>
      </c>
      <c r="D148" t="s">
        <v>597</v>
      </c>
      <c r="E148" t="s">
        <v>598</v>
      </c>
      <c r="F148" t="s">
        <v>330</v>
      </c>
      <c r="H148">
        <v>1690375196.0999999</v>
      </c>
      <c r="I148">
        <f t="shared" si="60"/>
        <v>2.5892441789389787E-3</v>
      </c>
      <c r="J148">
        <f t="shared" si="61"/>
        <v>2.5892441789389786</v>
      </c>
      <c r="K148">
        <f t="shared" si="62"/>
        <v>38.038841596397283</v>
      </c>
      <c r="L148">
        <f t="shared" si="63"/>
        <v>409.27199999999999</v>
      </c>
      <c r="M148">
        <f t="shared" si="64"/>
        <v>102.03890651536918</v>
      </c>
      <c r="N148">
        <f t="shared" si="65"/>
        <v>10.082086676178944</v>
      </c>
      <c r="O148">
        <f t="shared" si="66"/>
        <v>40.438651481546394</v>
      </c>
      <c r="P148">
        <f t="shared" si="67"/>
        <v>0.21049137487345904</v>
      </c>
      <c r="Q148">
        <f t="shared" si="68"/>
        <v>2.2479522649150647</v>
      </c>
      <c r="R148">
        <f t="shared" si="69"/>
        <v>0.20012249185930703</v>
      </c>
      <c r="S148">
        <f t="shared" si="70"/>
        <v>0.12596558382306799</v>
      </c>
      <c r="T148">
        <f t="shared" si="71"/>
        <v>276.11282731532617</v>
      </c>
      <c r="U148">
        <f t="shared" si="72"/>
        <v>27.815918835156065</v>
      </c>
      <c r="V148">
        <f t="shared" si="73"/>
        <v>27.815918835156065</v>
      </c>
      <c r="W148">
        <f t="shared" si="74"/>
        <v>3.754306254139173</v>
      </c>
      <c r="X148">
        <f t="shared" si="75"/>
        <v>71.998587056676513</v>
      </c>
      <c r="Y148">
        <f t="shared" si="76"/>
        <v>2.51648774096043</v>
      </c>
      <c r="Z148">
        <f t="shared" si="77"/>
        <v>3.495190452806356</v>
      </c>
      <c r="AA148">
        <f t="shared" si="78"/>
        <v>1.2378185131787429</v>
      </c>
      <c r="AB148">
        <f t="shared" si="79"/>
        <v>-114.18566829120897</v>
      </c>
      <c r="AC148">
        <f t="shared" si="80"/>
        <v>-147.79544191893723</v>
      </c>
      <c r="AD148">
        <f t="shared" si="81"/>
        <v>-14.218237054702977</v>
      </c>
      <c r="AE148">
        <f t="shared" si="82"/>
        <v>-8.6519949522994466E-2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52213.276568354406</v>
      </c>
      <c r="AK148">
        <f t="shared" si="86"/>
        <v>1799.99</v>
      </c>
      <c r="AL148">
        <f t="shared" si="87"/>
        <v>1499.10284000462</v>
      </c>
      <c r="AM148">
        <f t="shared" si="88"/>
        <v>0.83283953799999999</v>
      </c>
      <c r="AN148">
        <f t="shared" si="89"/>
        <v>0.15339686737999997</v>
      </c>
      <c r="AO148">
        <v>30</v>
      </c>
      <c r="AP148">
        <v>0.5</v>
      </c>
      <c r="AQ148" t="s">
        <v>331</v>
      </c>
      <c r="AR148">
        <v>2</v>
      </c>
      <c r="AS148">
        <v>1690375196.0999999</v>
      </c>
      <c r="AT148">
        <v>409.27199999999999</v>
      </c>
      <c r="AU148">
        <v>800.01</v>
      </c>
      <c r="AV148">
        <v>25.468900000000001</v>
      </c>
      <c r="AW148">
        <v>0.25188100000000002</v>
      </c>
      <c r="AX148">
        <v>410.36799999999999</v>
      </c>
      <c r="AY148">
        <v>25.286000000000001</v>
      </c>
      <c r="AZ148">
        <v>300.19</v>
      </c>
      <c r="BA148">
        <v>98.706299999999999</v>
      </c>
      <c r="BB148">
        <v>9.9998699999999996E-2</v>
      </c>
      <c r="BC148">
        <v>26.596399999999999</v>
      </c>
      <c r="BD148">
        <v>26.9956</v>
      </c>
      <c r="BE148">
        <v>27.832599999999999</v>
      </c>
      <c r="BF148">
        <v>0</v>
      </c>
      <c r="BG148">
        <v>0</v>
      </c>
      <c r="BH148">
        <v>9990</v>
      </c>
      <c r="BI148">
        <v>1086.02</v>
      </c>
      <c r="BJ148">
        <v>1.4016500000000001</v>
      </c>
      <c r="BK148">
        <v>-390.738</v>
      </c>
      <c r="BL148">
        <v>419.96899999999999</v>
      </c>
      <c r="BM148">
        <v>800.21199999999999</v>
      </c>
      <c r="BN148">
        <v>25.216999999999999</v>
      </c>
      <c r="BO148">
        <v>800.01</v>
      </c>
      <c r="BP148">
        <v>0.25188100000000002</v>
      </c>
      <c r="BQ148">
        <v>2.5139399999999998</v>
      </c>
      <c r="BR148">
        <v>2.4862200000000001E-2</v>
      </c>
      <c r="BS148">
        <v>21.117000000000001</v>
      </c>
      <c r="BT148">
        <v>-37.307600000000001</v>
      </c>
      <c r="BU148">
        <v>1799.99</v>
      </c>
      <c r="BV148">
        <v>0.91000899999999996</v>
      </c>
      <c r="BW148">
        <v>3.4008700000000003E-2</v>
      </c>
      <c r="BX148">
        <v>2.1992399999999999E-2</v>
      </c>
      <c r="BY148">
        <v>3.3989999999999999E-2</v>
      </c>
      <c r="BZ148">
        <v>25</v>
      </c>
      <c r="CA148">
        <v>33528.300000000003</v>
      </c>
      <c r="CB148">
        <v>1690373417</v>
      </c>
      <c r="CC148" t="s">
        <v>332</v>
      </c>
      <c r="CD148">
        <v>1690373417</v>
      </c>
      <c r="CE148">
        <v>1690373415</v>
      </c>
      <c r="CF148">
        <v>1</v>
      </c>
      <c r="CG148">
        <v>-1.319</v>
      </c>
      <c r="CH148">
        <v>0.01</v>
      </c>
      <c r="CI148">
        <v>-1.371</v>
      </c>
      <c r="CJ148">
        <v>0.183</v>
      </c>
      <c r="CK148">
        <v>800</v>
      </c>
      <c r="CL148">
        <v>21</v>
      </c>
      <c r="CM148">
        <v>0.09</v>
      </c>
      <c r="CN148">
        <v>7.0000000000000007E-2</v>
      </c>
      <c r="CO148">
        <v>-389.34692682926823</v>
      </c>
      <c r="CP148">
        <v>-7.7758118466908153</v>
      </c>
      <c r="CQ148">
        <v>0.767223101404651</v>
      </c>
      <c r="CR148">
        <v>-1</v>
      </c>
      <c r="CS148">
        <v>25.152146341463421</v>
      </c>
      <c r="CT148">
        <v>0.37969337979092571</v>
      </c>
      <c r="CU148">
        <v>3.7447909170596698E-2</v>
      </c>
      <c r="CV148">
        <v>-1</v>
      </c>
      <c r="CW148">
        <v>0</v>
      </c>
      <c r="CX148">
        <v>0</v>
      </c>
      <c r="CY148" t="s">
        <v>333</v>
      </c>
      <c r="CZ148">
        <v>2.3656899999999998</v>
      </c>
      <c r="DA148">
        <v>2.7137799999999999</v>
      </c>
      <c r="DB148">
        <v>9.1121099999999997E-2</v>
      </c>
      <c r="DC148">
        <v>0.14574799999999999</v>
      </c>
      <c r="DD148">
        <v>0.118604</v>
      </c>
      <c r="DE148">
        <v>2.1071100000000001E-3</v>
      </c>
      <c r="DF148">
        <v>33202.800000000003</v>
      </c>
      <c r="DG148">
        <v>27521.3</v>
      </c>
      <c r="DH148">
        <v>31183.7</v>
      </c>
      <c r="DI148">
        <v>28069.9</v>
      </c>
      <c r="DJ148">
        <v>37302.300000000003</v>
      </c>
      <c r="DK148">
        <v>39816.6</v>
      </c>
      <c r="DL148">
        <v>44374.5</v>
      </c>
      <c r="DM148">
        <v>42519.8</v>
      </c>
      <c r="DN148">
        <v>1.48552</v>
      </c>
      <c r="DO148">
        <v>2.0644499999999999</v>
      </c>
      <c r="DP148">
        <v>0.11453000000000001</v>
      </c>
      <c r="DQ148">
        <v>0.16968</v>
      </c>
      <c r="DR148">
        <v>25.119700000000002</v>
      </c>
      <c r="DS148">
        <v>25.055099999999999</v>
      </c>
      <c r="DT148">
        <v>43.1</v>
      </c>
      <c r="DU148">
        <v>25.1</v>
      </c>
      <c r="DV148">
        <v>13.966200000000001</v>
      </c>
      <c r="DW148">
        <v>61.600099999999998</v>
      </c>
      <c r="DX148">
        <v>36.967100000000002</v>
      </c>
      <c r="DY148">
        <v>1</v>
      </c>
      <c r="DZ148">
        <v>-0.16930100000000001</v>
      </c>
      <c r="EA148">
        <v>-0.67599399999999998</v>
      </c>
      <c r="EB148">
        <v>20.1892</v>
      </c>
      <c r="EC148">
        <v>5.2418500000000003</v>
      </c>
      <c r="ED148">
        <v>12.039899999999999</v>
      </c>
      <c r="EE148">
        <v>5.0170000000000003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1.8687400000000001</v>
      </c>
      <c r="EL148">
        <v>1.8644400000000001</v>
      </c>
      <c r="EM148">
        <v>1.86907</v>
      </c>
      <c r="EN148">
        <v>1.86707</v>
      </c>
      <c r="EO148">
        <v>1.8632500000000001</v>
      </c>
      <c r="EP148">
        <v>1.86425</v>
      </c>
      <c r="EQ148">
        <v>1.8700300000000001</v>
      </c>
      <c r="ER148">
        <v>1.8692599999999999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-1.0960000000000001</v>
      </c>
      <c r="FG148">
        <v>0.18290000000000001</v>
      </c>
      <c r="FH148">
        <v>-0.81947142863283695</v>
      </c>
      <c r="FI148">
        <v>-6.1462078757559423E-4</v>
      </c>
      <c r="FJ148">
        <v>-1.8861989874597051E-7</v>
      </c>
      <c r="FK148">
        <v>1.1980462299894961E-10</v>
      </c>
      <c r="FL148">
        <v>0.18283500000000069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29.7</v>
      </c>
      <c r="FU148">
        <v>29.7</v>
      </c>
      <c r="FV148">
        <v>1.7626999999999999</v>
      </c>
      <c r="FW148">
        <v>2.5598100000000001</v>
      </c>
      <c r="FX148">
        <v>1.5490699999999999</v>
      </c>
      <c r="FY148">
        <v>2.34375</v>
      </c>
      <c r="FZ148">
        <v>1.50146</v>
      </c>
      <c r="GA148">
        <v>2.2705099999999998</v>
      </c>
      <c r="GB148">
        <v>30.6524</v>
      </c>
      <c r="GC148">
        <v>23.982399999999998</v>
      </c>
      <c r="GD148">
        <v>19</v>
      </c>
      <c r="GE148">
        <v>282.68700000000001</v>
      </c>
      <c r="GF148">
        <v>595.52200000000005</v>
      </c>
      <c r="GG148">
        <v>25.7742</v>
      </c>
      <c r="GH148">
        <v>25.3</v>
      </c>
      <c r="GI148">
        <v>30.0001</v>
      </c>
      <c r="GJ148">
        <v>25.419499999999999</v>
      </c>
      <c r="GK148">
        <v>25.3874</v>
      </c>
      <c r="GL148">
        <v>35.238300000000002</v>
      </c>
      <c r="GM148">
        <v>100</v>
      </c>
      <c r="GN148">
        <v>28.677900000000001</v>
      </c>
      <c r="GO148">
        <v>25.758199999999999</v>
      </c>
      <c r="GP148">
        <v>800</v>
      </c>
      <c r="GQ148">
        <v>0</v>
      </c>
      <c r="GR148">
        <v>99.770799999999994</v>
      </c>
      <c r="GS148">
        <v>99.491299999999995</v>
      </c>
    </row>
    <row r="149" spans="1:201" x14ac:dyDescent="0.25">
      <c r="A149">
        <v>133</v>
      </c>
      <c r="B149">
        <v>1690375206.0999999</v>
      </c>
      <c r="C149">
        <v>1386.599999904633</v>
      </c>
      <c r="D149" t="s">
        <v>599</v>
      </c>
      <c r="E149" t="s">
        <v>600</v>
      </c>
      <c r="F149" t="s">
        <v>330</v>
      </c>
      <c r="H149">
        <v>1690375206.0999999</v>
      </c>
      <c r="I149">
        <f t="shared" si="60"/>
        <v>2.5936059084814031E-3</v>
      </c>
      <c r="J149">
        <f t="shared" si="61"/>
        <v>2.5936059084814032</v>
      </c>
      <c r="K149">
        <f t="shared" si="62"/>
        <v>38.145907208748731</v>
      </c>
      <c r="L149">
        <f t="shared" si="63"/>
        <v>408.1</v>
      </c>
      <c r="M149">
        <f t="shared" si="64"/>
        <v>101.97161541008153</v>
      </c>
      <c r="N149">
        <f t="shared" si="65"/>
        <v>10.075621419643454</v>
      </c>
      <c r="O149">
        <f t="shared" si="66"/>
        <v>40.323584997850006</v>
      </c>
      <c r="P149">
        <f t="shared" si="67"/>
        <v>0.21186573784878479</v>
      </c>
      <c r="Q149">
        <f t="shared" si="68"/>
        <v>2.2543306342255391</v>
      </c>
      <c r="R149">
        <f t="shared" si="69"/>
        <v>0.20139277187050636</v>
      </c>
      <c r="S149">
        <f t="shared" si="70"/>
        <v>0.12676828265524015</v>
      </c>
      <c r="T149">
        <f t="shared" si="71"/>
        <v>276.11428086000001</v>
      </c>
      <c r="U149">
        <f t="shared" si="72"/>
        <v>27.811234808022832</v>
      </c>
      <c r="V149">
        <f t="shared" si="73"/>
        <v>27.811234808022832</v>
      </c>
      <c r="W149">
        <f t="shared" si="74"/>
        <v>3.7532798109377508</v>
      </c>
      <c r="X149">
        <f t="shared" si="75"/>
        <v>72.133756616392191</v>
      </c>
      <c r="Y149">
        <f t="shared" si="76"/>
        <v>2.5211973221358503</v>
      </c>
      <c r="Z149">
        <f t="shared" si="77"/>
        <v>3.495169862764246</v>
      </c>
      <c r="AA149">
        <f t="shared" si="78"/>
        <v>1.2320824888019004</v>
      </c>
      <c r="AB149">
        <f t="shared" si="79"/>
        <v>-114.37802056402988</v>
      </c>
      <c r="AC149">
        <f t="shared" si="80"/>
        <v>-147.65767674233541</v>
      </c>
      <c r="AD149">
        <f t="shared" si="81"/>
        <v>-14.164453356523143</v>
      </c>
      <c r="AE149">
        <f t="shared" si="82"/>
        <v>-8.586980288845325E-2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52461.773237631489</v>
      </c>
      <c r="AK149">
        <f t="shared" si="86"/>
        <v>1800</v>
      </c>
      <c r="AL149">
        <f t="shared" si="87"/>
        <v>1499.1121529999998</v>
      </c>
      <c r="AM149">
        <f t="shared" si="88"/>
        <v>0.83284008499999995</v>
      </c>
      <c r="AN149">
        <f t="shared" si="89"/>
        <v>0.15339682269999999</v>
      </c>
      <c r="AO149">
        <v>30</v>
      </c>
      <c r="AP149">
        <v>0.5</v>
      </c>
      <c r="AQ149" t="s">
        <v>331</v>
      </c>
      <c r="AR149">
        <v>2</v>
      </c>
      <c r="AS149">
        <v>1690375206.0999999</v>
      </c>
      <c r="AT149">
        <v>408.1</v>
      </c>
      <c r="AU149">
        <v>800.02599999999995</v>
      </c>
      <c r="AV149">
        <v>25.516100000000002</v>
      </c>
      <c r="AW149">
        <v>0.24940799999999999</v>
      </c>
      <c r="AX149">
        <v>409.19400000000002</v>
      </c>
      <c r="AY149">
        <v>25.333300000000001</v>
      </c>
      <c r="AZ149">
        <v>300.08999999999997</v>
      </c>
      <c r="BA149">
        <v>98.708100000000002</v>
      </c>
      <c r="BB149">
        <v>9.9998500000000004E-2</v>
      </c>
      <c r="BC149">
        <v>26.596299999999999</v>
      </c>
      <c r="BD149">
        <v>26.9999</v>
      </c>
      <c r="BE149">
        <v>27.8401</v>
      </c>
      <c r="BF149">
        <v>0</v>
      </c>
      <c r="BG149">
        <v>0</v>
      </c>
      <c r="BH149">
        <v>10039.4</v>
      </c>
      <c r="BI149">
        <v>1086.04</v>
      </c>
      <c r="BJ149">
        <v>1.4016500000000001</v>
      </c>
      <c r="BK149">
        <v>-391.92700000000002</v>
      </c>
      <c r="BL149">
        <v>418.78500000000003</v>
      </c>
      <c r="BM149">
        <v>800.226</v>
      </c>
      <c r="BN149">
        <v>25.2667</v>
      </c>
      <c r="BO149">
        <v>800.02599999999995</v>
      </c>
      <c r="BP149">
        <v>0.24940799999999999</v>
      </c>
      <c r="BQ149">
        <v>2.5186500000000001</v>
      </c>
      <c r="BR149">
        <v>2.4618600000000001E-2</v>
      </c>
      <c r="BS149">
        <v>21.147500000000001</v>
      </c>
      <c r="BT149">
        <v>-37.404400000000003</v>
      </c>
      <c r="BU149">
        <v>1800</v>
      </c>
      <c r="BV149">
        <v>0.91001299999999996</v>
      </c>
      <c r="BW149">
        <v>3.4007299999999997E-2</v>
      </c>
      <c r="BX149">
        <v>2.1991500000000001E-2</v>
      </c>
      <c r="BY149">
        <v>3.3988600000000001E-2</v>
      </c>
      <c r="BZ149">
        <v>25</v>
      </c>
      <c r="CA149">
        <v>33528.400000000001</v>
      </c>
      <c r="CB149">
        <v>1690373417</v>
      </c>
      <c r="CC149" t="s">
        <v>332</v>
      </c>
      <c r="CD149">
        <v>1690373417</v>
      </c>
      <c r="CE149">
        <v>1690373415</v>
      </c>
      <c r="CF149">
        <v>1</v>
      </c>
      <c r="CG149">
        <v>-1.319</v>
      </c>
      <c r="CH149">
        <v>0.01</v>
      </c>
      <c r="CI149">
        <v>-1.371</v>
      </c>
      <c r="CJ149">
        <v>0.183</v>
      </c>
      <c r="CK149">
        <v>800</v>
      </c>
      <c r="CL149">
        <v>21</v>
      </c>
      <c r="CM149">
        <v>0.09</v>
      </c>
      <c r="CN149">
        <v>7.0000000000000007E-2</v>
      </c>
      <c r="CO149">
        <v>-390.50156097560978</v>
      </c>
      <c r="CP149">
        <v>-7.6164041811853327</v>
      </c>
      <c r="CQ149">
        <v>0.75158350066848811</v>
      </c>
      <c r="CR149">
        <v>-1</v>
      </c>
      <c r="CS149">
        <v>25.205624390243901</v>
      </c>
      <c r="CT149">
        <v>0.34039233449483042</v>
      </c>
      <c r="CU149">
        <v>3.3640638755049183E-2</v>
      </c>
      <c r="CV149">
        <v>-1</v>
      </c>
      <c r="CW149">
        <v>0</v>
      </c>
      <c r="CX149">
        <v>0</v>
      </c>
      <c r="CY149" t="s">
        <v>333</v>
      </c>
      <c r="CZ149">
        <v>2.36537</v>
      </c>
      <c r="DA149">
        <v>2.7138200000000001</v>
      </c>
      <c r="DB149">
        <v>9.0924699999999997E-2</v>
      </c>
      <c r="DC149">
        <v>0.14575299999999999</v>
      </c>
      <c r="DD149">
        <v>0.11876100000000001</v>
      </c>
      <c r="DE149">
        <v>2.0867799999999999E-3</v>
      </c>
      <c r="DF149">
        <v>33210.199999999997</v>
      </c>
      <c r="DG149">
        <v>27521.1</v>
      </c>
      <c r="DH149">
        <v>31183.9</v>
      </c>
      <c r="DI149">
        <v>28069.9</v>
      </c>
      <c r="DJ149">
        <v>37295.699999999997</v>
      </c>
      <c r="DK149">
        <v>39817.5</v>
      </c>
      <c r="DL149">
        <v>44374.7</v>
      </c>
      <c r="DM149">
        <v>42519.9</v>
      </c>
      <c r="DN149">
        <v>1.4857499999999999</v>
      </c>
      <c r="DO149">
        <v>2.0643500000000001</v>
      </c>
      <c r="DP149">
        <v>0.114605</v>
      </c>
      <c r="DQ149">
        <v>0.16997000000000001</v>
      </c>
      <c r="DR149">
        <v>25.122800000000002</v>
      </c>
      <c r="DS149">
        <v>25.0579</v>
      </c>
      <c r="DT149">
        <v>42.8</v>
      </c>
      <c r="DU149">
        <v>25.2</v>
      </c>
      <c r="DV149">
        <v>13.9544</v>
      </c>
      <c r="DW149">
        <v>61.290100000000002</v>
      </c>
      <c r="DX149">
        <v>37.836500000000001</v>
      </c>
      <c r="DY149">
        <v>1</v>
      </c>
      <c r="DZ149">
        <v>-0.169268</v>
      </c>
      <c r="EA149">
        <v>-0.79726900000000001</v>
      </c>
      <c r="EB149">
        <v>20.188700000000001</v>
      </c>
      <c r="EC149">
        <v>5.2413999999999996</v>
      </c>
      <c r="ED149">
        <v>12.039899999999999</v>
      </c>
      <c r="EE149">
        <v>5.0171999999999999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1.8687400000000001</v>
      </c>
      <c r="EL149">
        <v>1.8644499999999999</v>
      </c>
      <c r="EM149">
        <v>1.8690800000000001</v>
      </c>
      <c r="EN149">
        <v>1.86707</v>
      </c>
      <c r="EO149">
        <v>1.8632500000000001</v>
      </c>
      <c r="EP149">
        <v>1.8642700000000001</v>
      </c>
      <c r="EQ149">
        <v>1.8700699999999999</v>
      </c>
      <c r="ER149">
        <v>1.8692599999999999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-1.0940000000000001</v>
      </c>
      <c r="FG149">
        <v>0.18279999999999999</v>
      </c>
      <c r="FH149">
        <v>-0.81947142863283695</v>
      </c>
      <c r="FI149">
        <v>-6.1462078757559423E-4</v>
      </c>
      <c r="FJ149">
        <v>-1.8861989874597051E-7</v>
      </c>
      <c r="FK149">
        <v>1.1980462299894961E-10</v>
      </c>
      <c r="FL149">
        <v>0.18283500000000069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29.8</v>
      </c>
      <c r="FU149">
        <v>29.9</v>
      </c>
      <c r="FV149">
        <v>1.7626999999999999</v>
      </c>
      <c r="FW149">
        <v>2.5524900000000001</v>
      </c>
      <c r="FX149">
        <v>1.5490699999999999</v>
      </c>
      <c r="FY149">
        <v>2.34375</v>
      </c>
      <c r="FZ149">
        <v>1.50146</v>
      </c>
      <c r="GA149">
        <v>2.3547400000000001</v>
      </c>
      <c r="GB149">
        <v>30.6524</v>
      </c>
      <c r="GC149">
        <v>23.991199999999999</v>
      </c>
      <c r="GD149">
        <v>19</v>
      </c>
      <c r="GE149">
        <v>282.78199999999998</v>
      </c>
      <c r="GF149">
        <v>595.43899999999996</v>
      </c>
      <c r="GG149">
        <v>25.780200000000001</v>
      </c>
      <c r="GH149">
        <v>25.3</v>
      </c>
      <c r="GI149">
        <v>30.0002</v>
      </c>
      <c r="GJ149">
        <v>25.419499999999999</v>
      </c>
      <c r="GK149">
        <v>25.3874</v>
      </c>
      <c r="GL149">
        <v>35.2363</v>
      </c>
      <c r="GM149">
        <v>100</v>
      </c>
      <c r="GN149">
        <v>27.9221</v>
      </c>
      <c r="GO149">
        <v>25.7926</v>
      </c>
      <c r="GP149">
        <v>800</v>
      </c>
      <c r="GQ149">
        <v>0</v>
      </c>
      <c r="GR149">
        <v>99.771199999999993</v>
      </c>
      <c r="GS149">
        <v>99.491500000000002</v>
      </c>
    </row>
    <row r="150" spans="1:201" x14ac:dyDescent="0.25">
      <c r="A150">
        <v>134</v>
      </c>
      <c r="B150">
        <v>1690375216.0999999</v>
      </c>
      <c r="C150">
        <v>1396.599999904633</v>
      </c>
      <c r="D150" t="s">
        <v>601</v>
      </c>
      <c r="E150" t="s">
        <v>602</v>
      </c>
      <c r="F150" t="s">
        <v>330</v>
      </c>
      <c r="H150">
        <v>1690375216.0999999</v>
      </c>
      <c r="I150">
        <f t="shared" si="60"/>
        <v>2.5996564292226289E-3</v>
      </c>
      <c r="J150">
        <f t="shared" si="61"/>
        <v>2.599656429222629</v>
      </c>
      <c r="K150">
        <f t="shared" si="62"/>
        <v>38.256387851282653</v>
      </c>
      <c r="L150">
        <f t="shared" si="63"/>
        <v>406.9</v>
      </c>
      <c r="M150">
        <f t="shared" si="64"/>
        <v>101.97602915898823</v>
      </c>
      <c r="N150">
        <f t="shared" si="65"/>
        <v>10.076015070961638</v>
      </c>
      <c r="O150">
        <f t="shared" si="66"/>
        <v>40.204845846490002</v>
      </c>
      <c r="P150">
        <f t="shared" si="67"/>
        <v>0.21338586406234106</v>
      </c>
      <c r="Q150">
        <f t="shared" si="68"/>
        <v>2.2511898036749978</v>
      </c>
      <c r="R150">
        <f t="shared" si="69"/>
        <v>0.20275209592005689</v>
      </c>
      <c r="S150">
        <f t="shared" si="70"/>
        <v>0.1276312884303043</v>
      </c>
      <c r="T150">
        <f t="shared" si="71"/>
        <v>276.11239430973183</v>
      </c>
      <c r="U150">
        <f t="shared" si="72"/>
        <v>27.811759964371205</v>
      </c>
      <c r="V150">
        <f t="shared" si="73"/>
        <v>27.811759964371205</v>
      </c>
      <c r="W150">
        <f t="shared" si="74"/>
        <v>3.7533948798847478</v>
      </c>
      <c r="X150">
        <f t="shared" si="75"/>
        <v>72.288635564448711</v>
      </c>
      <c r="Y150">
        <f t="shared" si="76"/>
        <v>2.5267594505022504</v>
      </c>
      <c r="Z150">
        <f t="shared" si="77"/>
        <v>3.4953757679511406</v>
      </c>
      <c r="AA150">
        <f t="shared" si="78"/>
        <v>1.2266354293824975</v>
      </c>
      <c r="AB150">
        <f t="shared" si="79"/>
        <v>-114.64484852871793</v>
      </c>
      <c r="AC150">
        <f t="shared" si="80"/>
        <v>-147.39432376304248</v>
      </c>
      <c r="AD150">
        <f t="shared" si="81"/>
        <v>-14.159025192892283</v>
      </c>
      <c r="AE150">
        <f t="shared" si="82"/>
        <v>-8.5803174920869196E-2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52339.170701047813</v>
      </c>
      <c r="AK150">
        <f t="shared" si="86"/>
        <v>1799.99</v>
      </c>
      <c r="AL150">
        <f t="shared" si="87"/>
        <v>1499.1032972020801</v>
      </c>
      <c r="AM150">
        <f t="shared" si="88"/>
        <v>0.83283979200000002</v>
      </c>
      <c r="AN150">
        <f t="shared" si="89"/>
        <v>0.15339662682000002</v>
      </c>
      <c r="AO150">
        <v>30</v>
      </c>
      <c r="AP150">
        <v>0.5</v>
      </c>
      <c r="AQ150" t="s">
        <v>331</v>
      </c>
      <c r="AR150">
        <v>2</v>
      </c>
      <c r="AS150">
        <v>1690375216.0999999</v>
      </c>
      <c r="AT150">
        <v>406.9</v>
      </c>
      <c r="AU150">
        <v>799.94100000000003</v>
      </c>
      <c r="AV150">
        <v>25.572500000000002</v>
      </c>
      <c r="AW150">
        <v>0.24723300000000001</v>
      </c>
      <c r="AX150">
        <v>407.99400000000003</v>
      </c>
      <c r="AY150">
        <v>25.389700000000001</v>
      </c>
      <c r="AZ150">
        <v>300.077</v>
      </c>
      <c r="BA150">
        <v>98.707700000000003</v>
      </c>
      <c r="BB150">
        <v>9.9982100000000004E-2</v>
      </c>
      <c r="BC150">
        <v>26.597300000000001</v>
      </c>
      <c r="BD150">
        <v>27.008800000000001</v>
      </c>
      <c r="BE150">
        <v>27.830300000000001</v>
      </c>
      <c r="BF150">
        <v>0</v>
      </c>
      <c r="BG150">
        <v>0</v>
      </c>
      <c r="BH150">
        <v>10015</v>
      </c>
      <c r="BI150">
        <v>1086.1099999999999</v>
      </c>
      <c r="BJ150">
        <v>1.4016500000000001</v>
      </c>
      <c r="BK150">
        <v>-393.041</v>
      </c>
      <c r="BL150">
        <v>417.57900000000001</v>
      </c>
      <c r="BM150">
        <v>800.13900000000001</v>
      </c>
      <c r="BN150">
        <v>25.325299999999999</v>
      </c>
      <c r="BO150">
        <v>799.94100000000003</v>
      </c>
      <c r="BP150">
        <v>0.24723300000000001</v>
      </c>
      <c r="BQ150">
        <v>2.5242</v>
      </c>
      <c r="BR150">
        <v>2.44038E-2</v>
      </c>
      <c r="BS150">
        <v>21.183399999999999</v>
      </c>
      <c r="BT150">
        <v>-37.490400000000001</v>
      </c>
      <c r="BU150">
        <v>1799.99</v>
      </c>
      <c r="BV150">
        <v>0.91001600000000005</v>
      </c>
      <c r="BW150">
        <v>3.4005899999999999E-2</v>
      </c>
      <c r="BX150">
        <v>2.1990599999999999E-2</v>
      </c>
      <c r="BY150">
        <v>3.3987200000000002E-2</v>
      </c>
      <c r="BZ150">
        <v>25</v>
      </c>
      <c r="CA150">
        <v>33528.400000000001</v>
      </c>
      <c r="CB150">
        <v>1690373417</v>
      </c>
      <c r="CC150" t="s">
        <v>332</v>
      </c>
      <c r="CD150">
        <v>1690373417</v>
      </c>
      <c r="CE150">
        <v>1690373415</v>
      </c>
      <c r="CF150">
        <v>1</v>
      </c>
      <c r="CG150">
        <v>-1.319</v>
      </c>
      <c r="CH150">
        <v>0.01</v>
      </c>
      <c r="CI150">
        <v>-1.371</v>
      </c>
      <c r="CJ150">
        <v>0.183</v>
      </c>
      <c r="CK150">
        <v>800</v>
      </c>
      <c r="CL150">
        <v>21</v>
      </c>
      <c r="CM150">
        <v>0.09</v>
      </c>
      <c r="CN150">
        <v>7.0000000000000007E-2</v>
      </c>
      <c r="CO150">
        <v>-391.84562499999998</v>
      </c>
      <c r="CP150">
        <v>-7.3809118198860846</v>
      </c>
      <c r="CQ150">
        <v>0.71073710637267185</v>
      </c>
      <c r="CR150">
        <v>-1</v>
      </c>
      <c r="CS150">
        <v>25.264677500000001</v>
      </c>
      <c r="CT150">
        <v>0.32779924953096451</v>
      </c>
      <c r="CU150">
        <v>3.1569862903566601E-2</v>
      </c>
      <c r="CV150">
        <v>-1</v>
      </c>
      <c r="CW150">
        <v>0</v>
      </c>
      <c r="CX150">
        <v>0</v>
      </c>
      <c r="CY150" t="s">
        <v>333</v>
      </c>
      <c r="CZ150">
        <v>2.3653200000000001</v>
      </c>
      <c r="DA150">
        <v>2.7137899999999999</v>
      </c>
      <c r="DB150">
        <v>9.0721700000000002E-2</v>
      </c>
      <c r="DC150">
        <v>0.14574200000000001</v>
      </c>
      <c r="DD150">
        <v>0.11894399999999999</v>
      </c>
      <c r="DE150">
        <v>2.0688400000000002E-3</v>
      </c>
      <c r="DF150">
        <v>33217.599999999999</v>
      </c>
      <c r="DG150">
        <v>27521.599999999999</v>
      </c>
      <c r="DH150">
        <v>31183.9</v>
      </c>
      <c r="DI150">
        <v>28070</v>
      </c>
      <c r="DJ150">
        <v>37287.800000000003</v>
      </c>
      <c r="DK150">
        <v>39818.800000000003</v>
      </c>
      <c r="DL150">
        <v>44374.7</v>
      </c>
      <c r="DM150">
        <v>42520.5</v>
      </c>
      <c r="DN150">
        <v>1.4857499999999999</v>
      </c>
      <c r="DO150">
        <v>2.06453</v>
      </c>
      <c r="DP150">
        <v>0.11501500000000001</v>
      </c>
      <c r="DQ150">
        <v>0.16914299999999999</v>
      </c>
      <c r="DR150">
        <v>25.125</v>
      </c>
      <c r="DS150">
        <v>25.061599999999999</v>
      </c>
      <c r="DT150">
        <v>42.3</v>
      </c>
      <c r="DU150">
        <v>25.2</v>
      </c>
      <c r="DV150">
        <v>13.790100000000001</v>
      </c>
      <c r="DW150">
        <v>61.520099999999999</v>
      </c>
      <c r="DX150">
        <v>37.439900000000002</v>
      </c>
      <c r="DY150">
        <v>1</v>
      </c>
      <c r="DZ150">
        <v>-0.169456</v>
      </c>
      <c r="EA150">
        <v>-0.731294</v>
      </c>
      <c r="EB150">
        <v>20.1891</v>
      </c>
      <c r="EC150">
        <v>5.2415500000000002</v>
      </c>
      <c r="ED150">
        <v>12.039899999999999</v>
      </c>
      <c r="EE150">
        <v>5.0172499999999998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1.8687400000000001</v>
      </c>
      <c r="EL150">
        <v>1.86446</v>
      </c>
      <c r="EM150">
        <v>1.8690800000000001</v>
      </c>
      <c r="EN150">
        <v>1.8670800000000001</v>
      </c>
      <c r="EO150">
        <v>1.8632500000000001</v>
      </c>
      <c r="EP150">
        <v>1.86426</v>
      </c>
      <c r="EQ150">
        <v>1.8700699999999999</v>
      </c>
      <c r="ER150">
        <v>1.86927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-1.0940000000000001</v>
      </c>
      <c r="FG150">
        <v>0.18279999999999999</v>
      </c>
      <c r="FH150">
        <v>-0.81947142863283695</v>
      </c>
      <c r="FI150">
        <v>-6.1462078757559423E-4</v>
      </c>
      <c r="FJ150">
        <v>-1.8861989874597051E-7</v>
      </c>
      <c r="FK150">
        <v>1.1980462299894961E-10</v>
      </c>
      <c r="FL150">
        <v>0.18283500000000069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30</v>
      </c>
      <c r="FU150">
        <v>30</v>
      </c>
      <c r="FV150">
        <v>1.7626999999999999</v>
      </c>
      <c r="FW150">
        <v>2.5537100000000001</v>
      </c>
      <c r="FX150">
        <v>1.5490699999999999</v>
      </c>
      <c r="FY150">
        <v>2.34375</v>
      </c>
      <c r="FZ150">
        <v>1.50146</v>
      </c>
      <c r="GA150">
        <v>2.3706100000000001</v>
      </c>
      <c r="GB150">
        <v>30.6524</v>
      </c>
      <c r="GC150">
        <v>23.982399999999998</v>
      </c>
      <c r="GD150">
        <v>19</v>
      </c>
      <c r="GE150">
        <v>282.78300000000002</v>
      </c>
      <c r="GF150">
        <v>595.58500000000004</v>
      </c>
      <c r="GG150">
        <v>25.7927</v>
      </c>
      <c r="GH150">
        <v>25.3</v>
      </c>
      <c r="GI150">
        <v>30</v>
      </c>
      <c r="GJ150">
        <v>25.419499999999999</v>
      </c>
      <c r="GK150">
        <v>25.3874</v>
      </c>
      <c r="GL150">
        <v>35.239100000000001</v>
      </c>
      <c r="GM150">
        <v>100</v>
      </c>
      <c r="GN150">
        <v>27.172699999999999</v>
      </c>
      <c r="GO150">
        <v>25.7776</v>
      </c>
      <c r="GP150">
        <v>800</v>
      </c>
      <c r="GQ150">
        <v>0</v>
      </c>
      <c r="GR150">
        <v>99.771199999999993</v>
      </c>
      <c r="GS150">
        <v>99.492500000000007</v>
      </c>
    </row>
    <row r="151" spans="1:201" x14ac:dyDescent="0.25">
      <c r="A151">
        <v>135</v>
      </c>
      <c r="B151">
        <v>1690375226.0999999</v>
      </c>
      <c r="C151">
        <v>1406.599999904633</v>
      </c>
      <c r="D151" t="s">
        <v>603</v>
      </c>
      <c r="E151" t="s">
        <v>604</v>
      </c>
      <c r="F151" t="s">
        <v>330</v>
      </c>
      <c r="H151">
        <v>1690375226.0999999</v>
      </c>
      <c r="I151">
        <f t="shared" si="60"/>
        <v>2.6072993197865163E-3</v>
      </c>
      <c r="J151">
        <f t="shared" si="61"/>
        <v>2.6072993197865162</v>
      </c>
      <c r="K151">
        <f t="shared" si="62"/>
        <v>38.404128294656495</v>
      </c>
      <c r="L151">
        <f t="shared" si="63"/>
        <v>405.69099999999997</v>
      </c>
      <c r="M151">
        <f t="shared" si="64"/>
        <v>101.82342751847962</v>
      </c>
      <c r="N151">
        <f t="shared" si="65"/>
        <v>10.060759877278954</v>
      </c>
      <c r="O151">
        <f t="shared" si="66"/>
        <v>40.084682227303993</v>
      </c>
      <c r="P151">
        <f t="shared" si="67"/>
        <v>0.21501523224884947</v>
      </c>
      <c r="Q151">
        <f t="shared" si="68"/>
        <v>2.2503685520952126</v>
      </c>
      <c r="R151">
        <f t="shared" si="69"/>
        <v>0.20421913524292357</v>
      </c>
      <c r="S151">
        <f t="shared" si="70"/>
        <v>0.12856175796072369</v>
      </c>
      <c r="T151">
        <f t="shared" si="71"/>
        <v>276.11392102524997</v>
      </c>
      <c r="U151">
        <f t="shared" si="72"/>
        <v>27.81373573663636</v>
      </c>
      <c r="V151">
        <f t="shared" si="73"/>
        <v>27.81373573663636</v>
      </c>
      <c r="W151">
        <f t="shared" si="74"/>
        <v>3.7538278262184805</v>
      </c>
      <c r="X151">
        <f t="shared" si="75"/>
        <v>72.434949886275675</v>
      </c>
      <c r="Y151">
        <f t="shared" si="76"/>
        <v>2.5324852700696003</v>
      </c>
      <c r="Z151">
        <f t="shared" si="77"/>
        <v>3.4962200899505742</v>
      </c>
      <c r="AA151">
        <f t="shared" si="78"/>
        <v>1.2213425561488802</v>
      </c>
      <c r="AB151">
        <f t="shared" si="79"/>
        <v>-114.98190000258536</v>
      </c>
      <c r="AC151">
        <f t="shared" si="80"/>
        <v>-147.08283788557776</v>
      </c>
      <c r="AD151">
        <f t="shared" si="81"/>
        <v>-14.134688348807007</v>
      </c>
      <c r="AE151">
        <f t="shared" si="82"/>
        <v>-8.550521172014669E-2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52306.432555379084</v>
      </c>
      <c r="AK151">
        <f t="shared" si="86"/>
        <v>1799.99</v>
      </c>
      <c r="AL151">
        <f t="shared" si="87"/>
        <v>1499.1053455906999</v>
      </c>
      <c r="AM151">
        <f t="shared" si="88"/>
        <v>0.83284092999999992</v>
      </c>
      <c r="AN151">
        <f t="shared" si="89"/>
        <v>0.15339747499999998</v>
      </c>
      <c r="AO151">
        <v>30</v>
      </c>
      <c r="AP151">
        <v>0.5</v>
      </c>
      <c r="AQ151" t="s">
        <v>331</v>
      </c>
      <c r="AR151">
        <v>2</v>
      </c>
      <c r="AS151">
        <v>1690375226.0999999</v>
      </c>
      <c r="AT151">
        <v>405.69099999999997</v>
      </c>
      <c r="AU151">
        <v>800.02200000000005</v>
      </c>
      <c r="AV151">
        <v>25.6309</v>
      </c>
      <c r="AW151">
        <v>0.24471300000000001</v>
      </c>
      <c r="AX151">
        <v>406.78399999999999</v>
      </c>
      <c r="AY151">
        <v>25.448</v>
      </c>
      <c r="AZ151">
        <v>300.21899999999999</v>
      </c>
      <c r="BA151">
        <v>98.7059</v>
      </c>
      <c r="BB151">
        <v>0.10004399999999999</v>
      </c>
      <c r="BC151">
        <v>26.601400000000002</v>
      </c>
      <c r="BD151">
        <v>27.008700000000001</v>
      </c>
      <c r="BE151">
        <v>27.8613</v>
      </c>
      <c r="BF151">
        <v>0</v>
      </c>
      <c r="BG151">
        <v>0</v>
      </c>
      <c r="BH151">
        <v>10008.799999999999</v>
      </c>
      <c r="BI151">
        <v>1086.0899999999999</v>
      </c>
      <c r="BJ151">
        <v>1.4016500000000001</v>
      </c>
      <c r="BK151">
        <v>-394.33100000000002</v>
      </c>
      <c r="BL151">
        <v>416.363</v>
      </c>
      <c r="BM151">
        <v>800.21799999999996</v>
      </c>
      <c r="BN151">
        <v>25.386199999999999</v>
      </c>
      <c r="BO151">
        <v>800.02200000000005</v>
      </c>
      <c r="BP151">
        <v>0.24471300000000001</v>
      </c>
      <c r="BQ151">
        <v>2.5299200000000002</v>
      </c>
      <c r="BR151">
        <v>2.4154599999999998E-2</v>
      </c>
      <c r="BS151">
        <v>21.220300000000002</v>
      </c>
      <c r="BT151">
        <v>-37.591099999999997</v>
      </c>
      <c r="BU151">
        <v>1799.99</v>
      </c>
      <c r="BV151">
        <v>0.91000899999999996</v>
      </c>
      <c r="BW151">
        <v>3.40045E-2</v>
      </c>
      <c r="BX151">
        <v>2.2001E-2</v>
      </c>
      <c r="BY151">
        <v>3.3985799999999997E-2</v>
      </c>
      <c r="BZ151">
        <v>25</v>
      </c>
      <c r="CA151">
        <v>33528.199999999997</v>
      </c>
      <c r="CB151">
        <v>1690373417</v>
      </c>
      <c r="CC151" t="s">
        <v>332</v>
      </c>
      <c r="CD151">
        <v>1690373417</v>
      </c>
      <c r="CE151">
        <v>1690373415</v>
      </c>
      <c r="CF151">
        <v>1</v>
      </c>
      <c r="CG151">
        <v>-1.319</v>
      </c>
      <c r="CH151">
        <v>0.01</v>
      </c>
      <c r="CI151">
        <v>-1.371</v>
      </c>
      <c r="CJ151">
        <v>0.183</v>
      </c>
      <c r="CK151">
        <v>800</v>
      </c>
      <c r="CL151">
        <v>21</v>
      </c>
      <c r="CM151">
        <v>0.09</v>
      </c>
      <c r="CN151">
        <v>7.0000000000000007E-2</v>
      </c>
      <c r="CO151">
        <v>-392.95180487804879</v>
      </c>
      <c r="CP151">
        <v>-7.0809407665498307</v>
      </c>
      <c r="CQ151">
        <v>0.69901073719071571</v>
      </c>
      <c r="CR151">
        <v>-1</v>
      </c>
      <c r="CS151">
        <v>25.316619512195121</v>
      </c>
      <c r="CT151">
        <v>0.35137212543558449</v>
      </c>
      <c r="CU151">
        <v>3.465237273762637E-2</v>
      </c>
      <c r="CV151">
        <v>-1</v>
      </c>
      <c r="CW151">
        <v>0</v>
      </c>
      <c r="CX151">
        <v>0</v>
      </c>
      <c r="CY151" t="s">
        <v>333</v>
      </c>
      <c r="CZ151">
        <v>2.3657900000000001</v>
      </c>
      <c r="DA151">
        <v>2.7138399999999998</v>
      </c>
      <c r="DB151">
        <v>9.0515399999999996E-2</v>
      </c>
      <c r="DC151">
        <v>0.14574899999999999</v>
      </c>
      <c r="DD151">
        <v>0.119132</v>
      </c>
      <c r="DE151">
        <v>2.0480300000000002E-3</v>
      </c>
      <c r="DF151">
        <v>33225.199999999997</v>
      </c>
      <c r="DG151">
        <v>27521.599999999999</v>
      </c>
      <c r="DH151">
        <v>31183.9</v>
      </c>
      <c r="DI151">
        <v>28070.2</v>
      </c>
      <c r="DJ151">
        <v>37279.800000000003</v>
      </c>
      <c r="DK151">
        <v>39819.699999999997</v>
      </c>
      <c r="DL151">
        <v>44374.7</v>
      </c>
      <c r="DM151">
        <v>42520.6</v>
      </c>
      <c r="DN151">
        <v>1.4864999999999999</v>
      </c>
      <c r="DO151">
        <v>2.0643699999999998</v>
      </c>
      <c r="DP151">
        <v>0.114657</v>
      </c>
      <c r="DQ151">
        <v>0.17072300000000001</v>
      </c>
      <c r="DR151">
        <v>25.130800000000001</v>
      </c>
      <c r="DS151">
        <v>25.0669</v>
      </c>
      <c r="DT151">
        <v>41.9</v>
      </c>
      <c r="DU151">
        <v>25.2</v>
      </c>
      <c r="DV151">
        <v>13.658300000000001</v>
      </c>
      <c r="DW151">
        <v>61.750100000000003</v>
      </c>
      <c r="DX151">
        <v>36.770800000000001</v>
      </c>
      <c r="DY151">
        <v>1</v>
      </c>
      <c r="DZ151">
        <v>-0.16922300000000001</v>
      </c>
      <c r="EA151">
        <v>-0.68156600000000001</v>
      </c>
      <c r="EB151">
        <v>20.1892</v>
      </c>
      <c r="EC151">
        <v>5.2413999999999996</v>
      </c>
      <c r="ED151">
        <v>12.039899999999999</v>
      </c>
      <c r="EE151">
        <v>5.0171000000000001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1.8687400000000001</v>
      </c>
      <c r="EL151">
        <v>1.8644499999999999</v>
      </c>
      <c r="EM151">
        <v>1.86907</v>
      </c>
      <c r="EN151">
        <v>1.86707</v>
      </c>
      <c r="EO151">
        <v>1.8632500000000001</v>
      </c>
      <c r="EP151">
        <v>1.8642799999999999</v>
      </c>
      <c r="EQ151">
        <v>1.8701000000000001</v>
      </c>
      <c r="ER151">
        <v>1.86927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-1.093</v>
      </c>
      <c r="FG151">
        <v>0.18290000000000001</v>
      </c>
      <c r="FH151">
        <v>-0.81947142863283695</v>
      </c>
      <c r="FI151">
        <v>-6.1462078757559423E-4</v>
      </c>
      <c r="FJ151">
        <v>-1.8861989874597051E-7</v>
      </c>
      <c r="FK151">
        <v>1.1980462299894961E-10</v>
      </c>
      <c r="FL151">
        <v>0.18283500000000069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30.2</v>
      </c>
      <c r="FU151">
        <v>30.2</v>
      </c>
      <c r="FV151">
        <v>1.7626999999999999</v>
      </c>
      <c r="FW151">
        <v>2.5585900000000001</v>
      </c>
      <c r="FX151">
        <v>1.5490699999999999</v>
      </c>
      <c r="FY151">
        <v>2.34375</v>
      </c>
      <c r="FZ151">
        <v>1.50146</v>
      </c>
      <c r="GA151">
        <v>2.3803700000000001</v>
      </c>
      <c r="GB151">
        <v>30.6524</v>
      </c>
      <c r="GC151">
        <v>23.982399999999998</v>
      </c>
      <c r="GD151">
        <v>19</v>
      </c>
      <c r="GE151">
        <v>283.10000000000002</v>
      </c>
      <c r="GF151">
        <v>595.46</v>
      </c>
      <c r="GG151">
        <v>25.7685</v>
      </c>
      <c r="GH151">
        <v>25.3</v>
      </c>
      <c r="GI151">
        <v>30.0002</v>
      </c>
      <c r="GJ151">
        <v>25.419499999999999</v>
      </c>
      <c r="GK151">
        <v>25.3874</v>
      </c>
      <c r="GL151">
        <v>35.237000000000002</v>
      </c>
      <c r="GM151">
        <v>100</v>
      </c>
      <c r="GN151">
        <v>26.358899999999998</v>
      </c>
      <c r="GO151">
        <v>25.755700000000001</v>
      </c>
      <c r="GP151">
        <v>800</v>
      </c>
      <c r="GQ151">
        <v>0</v>
      </c>
      <c r="GR151">
        <v>99.7714</v>
      </c>
      <c r="GS151">
        <v>99.492900000000006</v>
      </c>
    </row>
    <row r="152" spans="1:201" x14ac:dyDescent="0.25">
      <c r="A152">
        <v>136</v>
      </c>
      <c r="B152">
        <v>1690375236.0999999</v>
      </c>
      <c r="C152">
        <v>1416.599999904633</v>
      </c>
      <c r="D152" t="s">
        <v>605</v>
      </c>
      <c r="E152" t="s">
        <v>606</v>
      </c>
      <c r="F152" t="s">
        <v>330</v>
      </c>
      <c r="H152">
        <v>1690375236.0999999</v>
      </c>
      <c r="I152">
        <f t="shared" si="60"/>
        <v>2.6125793398921872E-3</v>
      </c>
      <c r="J152">
        <f t="shared" si="61"/>
        <v>2.612579339892187</v>
      </c>
      <c r="K152">
        <f t="shared" si="62"/>
        <v>38.518778972306485</v>
      </c>
      <c r="L152">
        <f t="shared" si="63"/>
        <v>404.46899999999999</v>
      </c>
      <c r="M152">
        <f t="shared" si="64"/>
        <v>102.02065174349585</v>
      </c>
      <c r="N152">
        <f t="shared" si="65"/>
        <v>10.080319268280286</v>
      </c>
      <c r="O152">
        <f t="shared" si="66"/>
        <v>39.964228658066702</v>
      </c>
      <c r="P152">
        <f t="shared" si="67"/>
        <v>0.2167537649796237</v>
      </c>
      <c r="Q152">
        <f t="shared" si="68"/>
        <v>2.2456200066154648</v>
      </c>
      <c r="R152">
        <f t="shared" si="69"/>
        <v>0.20576523142821435</v>
      </c>
      <c r="S152">
        <f t="shared" si="70"/>
        <v>0.12954410694643637</v>
      </c>
      <c r="T152">
        <f t="shared" si="71"/>
        <v>276.116543046</v>
      </c>
      <c r="U152">
        <f t="shared" si="72"/>
        <v>27.806747892013966</v>
      </c>
      <c r="V152">
        <f t="shared" si="73"/>
        <v>27.806747892013966</v>
      </c>
      <c r="W152">
        <f t="shared" si="74"/>
        <v>3.7522967916907799</v>
      </c>
      <c r="X152">
        <f t="shared" si="75"/>
        <v>72.616344644459858</v>
      </c>
      <c r="Y152">
        <f t="shared" si="76"/>
        <v>2.5376908250486196</v>
      </c>
      <c r="Z152">
        <f t="shared" si="77"/>
        <v>3.49465514612932</v>
      </c>
      <c r="AA152">
        <f t="shared" si="78"/>
        <v>1.2146059666421603</v>
      </c>
      <c r="AB152">
        <f t="shared" si="79"/>
        <v>-115.21474888924546</v>
      </c>
      <c r="AC152">
        <f t="shared" si="80"/>
        <v>-146.84658671289574</v>
      </c>
      <c r="AD152">
        <f t="shared" si="81"/>
        <v>-14.140794807186944</v>
      </c>
      <c r="AE152">
        <f t="shared" si="82"/>
        <v>-8.558736332813055E-2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52123.05897142813</v>
      </c>
      <c r="AK152">
        <f t="shared" si="86"/>
        <v>1800</v>
      </c>
      <c r="AL152">
        <f t="shared" si="87"/>
        <v>1499.1119406</v>
      </c>
      <c r="AM152">
        <f t="shared" si="88"/>
        <v>0.83283996699999996</v>
      </c>
      <c r="AN152">
        <f t="shared" si="89"/>
        <v>0.15339807947</v>
      </c>
      <c r="AO152">
        <v>30</v>
      </c>
      <c r="AP152">
        <v>0.5</v>
      </c>
      <c r="AQ152" t="s">
        <v>331</v>
      </c>
      <c r="AR152">
        <v>2</v>
      </c>
      <c r="AS152">
        <v>1690375236.0999999</v>
      </c>
      <c r="AT152">
        <v>404.46899999999999</v>
      </c>
      <c r="AU152">
        <v>800.005</v>
      </c>
      <c r="AV152">
        <v>25.683399999999999</v>
      </c>
      <c r="AW152">
        <v>0.24268300000000001</v>
      </c>
      <c r="AX152">
        <v>405.56099999999998</v>
      </c>
      <c r="AY152">
        <v>25.500599999999999</v>
      </c>
      <c r="AZ152">
        <v>300.166</v>
      </c>
      <c r="BA152">
        <v>98.706699999999998</v>
      </c>
      <c r="BB152">
        <v>9.9954299999999996E-2</v>
      </c>
      <c r="BC152">
        <v>26.593800000000002</v>
      </c>
      <c r="BD152">
        <v>26.980499999999999</v>
      </c>
      <c r="BE152">
        <v>27.817900000000002</v>
      </c>
      <c r="BF152">
        <v>0</v>
      </c>
      <c r="BG152">
        <v>0</v>
      </c>
      <c r="BH152">
        <v>9971.8799999999992</v>
      </c>
      <c r="BI152">
        <v>1086</v>
      </c>
      <c r="BJ152">
        <v>1.4016500000000001</v>
      </c>
      <c r="BK152">
        <v>-395.53500000000003</v>
      </c>
      <c r="BL152">
        <v>415.13099999999997</v>
      </c>
      <c r="BM152">
        <v>800.19899999999996</v>
      </c>
      <c r="BN152">
        <v>25.4407</v>
      </c>
      <c r="BO152">
        <v>800.005</v>
      </c>
      <c r="BP152">
        <v>0.24268300000000001</v>
      </c>
      <c r="BQ152">
        <v>2.53512</v>
      </c>
      <c r="BR152">
        <v>2.3954400000000001E-2</v>
      </c>
      <c r="BS152">
        <v>21.253799999999998</v>
      </c>
      <c r="BT152">
        <v>-37.672699999999999</v>
      </c>
      <c r="BU152">
        <v>1800</v>
      </c>
      <c r="BV152">
        <v>0.90999099999999999</v>
      </c>
      <c r="BW152">
        <v>3.4002999999999999E-2</v>
      </c>
      <c r="BX152">
        <v>2.2009600000000001E-2</v>
      </c>
      <c r="BY152">
        <v>3.3996100000000001E-2</v>
      </c>
      <c r="BZ152">
        <v>25</v>
      </c>
      <c r="CA152">
        <v>33528.199999999997</v>
      </c>
      <c r="CB152">
        <v>1690373417</v>
      </c>
      <c r="CC152" t="s">
        <v>332</v>
      </c>
      <c r="CD152">
        <v>1690373417</v>
      </c>
      <c r="CE152">
        <v>1690373415</v>
      </c>
      <c r="CF152">
        <v>1</v>
      </c>
      <c r="CG152">
        <v>-1.319</v>
      </c>
      <c r="CH152">
        <v>0.01</v>
      </c>
      <c r="CI152">
        <v>-1.371</v>
      </c>
      <c r="CJ152">
        <v>0.183</v>
      </c>
      <c r="CK152">
        <v>800</v>
      </c>
      <c r="CL152">
        <v>21</v>
      </c>
      <c r="CM152">
        <v>0.09</v>
      </c>
      <c r="CN152">
        <v>7.0000000000000007E-2</v>
      </c>
      <c r="CO152">
        <v>-394.23579999999998</v>
      </c>
      <c r="CP152">
        <v>-7.3791444652893583</v>
      </c>
      <c r="CQ152">
        <v>0.71035815614378928</v>
      </c>
      <c r="CR152">
        <v>-1</v>
      </c>
      <c r="CS152">
        <v>25.379905000000001</v>
      </c>
      <c r="CT152">
        <v>0.35345515947458089</v>
      </c>
      <c r="CU152">
        <v>3.401443774340554E-2</v>
      </c>
      <c r="CV152">
        <v>-1</v>
      </c>
      <c r="CW152">
        <v>0</v>
      </c>
      <c r="CX152">
        <v>0</v>
      </c>
      <c r="CY152" t="s">
        <v>333</v>
      </c>
      <c r="CZ152">
        <v>2.3656299999999999</v>
      </c>
      <c r="DA152">
        <v>2.7137199999999999</v>
      </c>
      <c r="DB152">
        <v>9.0309100000000003E-2</v>
      </c>
      <c r="DC152">
        <v>0.14574799999999999</v>
      </c>
      <c r="DD152">
        <v>0.11930399999999999</v>
      </c>
      <c r="DE152">
        <v>2.0313200000000001E-3</v>
      </c>
      <c r="DF152">
        <v>33232.9</v>
      </c>
      <c r="DG152">
        <v>27521.5</v>
      </c>
      <c r="DH152">
        <v>31184.1</v>
      </c>
      <c r="DI152">
        <v>28070.1</v>
      </c>
      <c r="DJ152">
        <v>37272.6</v>
      </c>
      <c r="DK152">
        <v>39820.300000000003</v>
      </c>
      <c r="DL152">
        <v>44375</v>
      </c>
      <c r="DM152">
        <v>42520.6</v>
      </c>
      <c r="DN152">
        <v>1.4856</v>
      </c>
      <c r="DO152">
        <v>2.0642200000000002</v>
      </c>
      <c r="DP152">
        <v>0.112608</v>
      </c>
      <c r="DQ152">
        <v>0.167742</v>
      </c>
      <c r="DR152">
        <v>25.136099999999999</v>
      </c>
      <c r="DS152">
        <v>25.072099999999999</v>
      </c>
      <c r="DT152">
        <v>41.5</v>
      </c>
      <c r="DU152">
        <v>25.2</v>
      </c>
      <c r="DV152">
        <v>13.5298</v>
      </c>
      <c r="DW152">
        <v>62.250100000000003</v>
      </c>
      <c r="DX152">
        <v>37.1755</v>
      </c>
      <c r="DY152">
        <v>1</v>
      </c>
      <c r="DZ152">
        <v>-0.169294</v>
      </c>
      <c r="EA152">
        <v>-0.71217299999999994</v>
      </c>
      <c r="EB152">
        <v>20.1892</v>
      </c>
      <c r="EC152">
        <v>5.2416999999999998</v>
      </c>
      <c r="ED152">
        <v>12.039899999999999</v>
      </c>
      <c r="EE152">
        <v>5.0172999999999996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1.8687400000000001</v>
      </c>
      <c r="EL152">
        <v>1.86442</v>
      </c>
      <c r="EM152">
        <v>1.8690800000000001</v>
      </c>
      <c r="EN152">
        <v>1.86707</v>
      </c>
      <c r="EO152">
        <v>1.86324</v>
      </c>
      <c r="EP152">
        <v>1.86426</v>
      </c>
      <c r="EQ152">
        <v>1.8701000000000001</v>
      </c>
      <c r="ER152">
        <v>1.8692299999999999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-1.0920000000000001</v>
      </c>
      <c r="FG152">
        <v>0.18279999999999999</v>
      </c>
      <c r="FH152">
        <v>-0.81947142863283695</v>
      </c>
      <c r="FI152">
        <v>-6.1462078757559423E-4</v>
      </c>
      <c r="FJ152">
        <v>-1.8861989874597051E-7</v>
      </c>
      <c r="FK152">
        <v>1.1980462299894961E-10</v>
      </c>
      <c r="FL152">
        <v>0.18283500000000069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30.3</v>
      </c>
      <c r="FU152">
        <v>30.4</v>
      </c>
      <c r="FV152">
        <v>1.7626999999999999</v>
      </c>
      <c r="FW152">
        <v>2.5610400000000002</v>
      </c>
      <c r="FX152">
        <v>1.5490699999999999</v>
      </c>
      <c r="FY152">
        <v>2.34375</v>
      </c>
      <c r="FZ152">
        <v>1.50146</v>
      </c>
      <c r="GA152">
        <v>2.2985799999999998</v>
      </c>
      <c r="GB152">
        <v>30.673999999999999</v>
      </c>
      <c r="GC152">
        <v>23.973700000000001</v>
      </c>
      <c r="GD152">
        <v>19</v>
      </c>
      <c r="GE152">
        <v>282.71800000000002</v>
      </c>
      <c r="GF152">
        <v>595.31600000000003</v>
      </c>
      <c r="GG152">
        <v>25.747499999999999</v>
      </c>
      <c r="GH152">
        <v>25.3</v>
      </c>
      <c r="GI152">
        <v>30.0001</v>
      </c>
      <c r="GJ152">
        <v>25.4193</v>
      </c>
      <c r="GK152">
        <v>25.385899999999999</v>
      </c>
      <c r="GL152">
        <v>35.234699999999997</v>
      </c>
      <c r="GM152">
        <v>100</v>
      </c>
      <c r="GN152">
        <v>25.586600000000001</v>
      </c>
      <c r="GO152">
        <v>25.769400000000001</v>
      </c>
      <c r="GP152">
        <v>800</v>
      </c>
      <c r="GQ152">
        <v>0</v>
      </c>
      <c r="GR152">
        <v>99.772000000000006</v>
      </c>
      <c r="GS152">
        <v>99.492800000000003</v>
      </c>
    </row>
    <row r="153" spans="1:201" x14ac:dyDescent="0.25">
      <c r="A153">
        <v>137</v>
      </c>
      <c r="B153">
        <v>1690375246.0999999</v>
      </c>
      <c r="C153">
        <v>1426.599999904633</v>
      </c>
      <c r="D153" t="s">
        <v>607</v>
      </c>
      <c r="E153" t="s">
        <v>608</v>
      </c>
      <c r="F153" t="s">
        <v>330</v>
      </c>
      <c r="H153">
        <v>1690375246.0999999</v>
      </c>
      <c r="I153">
        <f t="shared" si="60"/>
        <v>2.6175407314850611E-3</v>
      </c>
      <c r="J153">
        <f t="shared" si="61"/>
        <v>2.6175407314850609</v>
      </c>
      <c r="K153">
        <f t="shared" si="62"/>
        <v>38.634856880458408</v>
      </c>
      <c r="L153">
        <f t="shared" si="63"/>
        <v>403.26400000000001</v>
      </c>
      <c r="M153">
        <f t="shared" si="64"/>
        <v>101.4807195539713</v>
      </c>
      <c r="N153">
        <f t="shared" si="65"/>
        <v>10.027244545544511</v>
      </c>
      <c r="O153">
        <f t="shared" si="66"/>
        <v>39.846256137984</v>
      </c>
      <c r="P153">
        <f t="shared" si="67"/>
        <v>0.21791565178654648</v>
      </c>
      <c r="Q153">
        <f t="shared" si="68"/>
        <v>2.2467018302776234</v>
      </c>
      <c r="R153">
        <f t="shared" si="69"/>
        <v>0.2068172917126441</v>
      </c>
      <c r="S153">
        <f t="shared" si="70"/>
        <v>0.13021083127467467</v>
      </c>
      <c r="T153">
        <f t="shared" si="71"/>
        <v>276.11653066200006</v>
      </c>
      <c r="U153">
        <f t="shared" si="72"/>
        <v>27.812757394894202</v>
      </c>
      <c r="V153">
        <f t="shared" si="73"/>
        <v>27.812757394894202</v>
      </c>
      <c r="W153">
        <f t="shared" si="74"/>
        <v>3.75361343904552</v>
      </c>
      <c r="X153">
        <f t="shared" si="75"/>
        <v>72.730216037910353</v>
      </c>
      <c r="Y153">
        <f t="shared" si="76"/>
        <v>2.5428983004023999</v>
      </c>
      <c r="Z153">
        <f t="shared" si="77"/>
        <v>3.4963436642026799</v>
      </c>
      <c r="AA153">
        <f t="shared" si="78"/>
        <v>1.2107151386431201</v>
      </c>
      <c r="AB153">
        <f t="shared" si="79"/>
        <v>-115.43354625849119</v>
      </c>
      <c r="AC153">
        <f t="shared" si="80"/>
        <v>-146.6520076218209</v>
      </c>
      <c r="AD153">
        <f t="shared" si="81"/>
        <v>-14.11625954141061</v>
      </c>
      <c r="AE153">
        <f t="shared" si="82"/>
        <v>-8.5282759722645096E-2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52163.737717627235</v>
      </c>
      <c r="AK153">
        <f t="shared" si="86"/>
        <v>1800</v>
      </c>
      <c r="AL153">
        <f t="shared" si="87"/>
        <v>1499.1097932</v>
      </c>
      <c r="AM153">
        <f t="shared" si="88"/>
        <v>0.83283877399999995</v>
      </c>
      <c r="AN153">
        <f t="shared" si="89"/>
        <v>0.15339807259000002</v>
      </c>
      <c r="AO153">
        <v>30</v>
      </c>
      <c r="AP153">
        <v>0.5</v>
      </c>
      <c r="AQ153" t="s">
        <v>331</v>
      </c>
      <c r="AR153">
        <v>2</v>
      </c>
      <c r="AS153">
        <v>1690375246.0999999</v>
      </c>
      <c r="AT153">
        <v>403.26400000000001</v>
      </c>
      <c r="AU153">
        <v>800.06500000000005</v>
      </c>
      <c r="AV153">
        <v>25.735399999999998</v>
      </c>
      <c r="AW153">
        <v>0.240256</v>
      </c>
      <c r="AX153">
        <v>404.35500000000002</v>
      </c>
      <c r="AY153">
        <v>25.552499999999998</v>
      </c>
      <c r="AZ153">
        <v>300.07799999999997</v>
      </c>
      <c r="BA153">
        <v>98.709299999999999</v>
      </c>
      <c r="BB153">
        <v>0.10005600000000001</v>
      </c>
      <c r="BC153">
        <v>26.602</v>
      </c>
      <c r="BD153">
        <v>26.996500000000001</v>
      </c>
      <c r="BE153">
        <v>27.822900000000001</v>
      </c>
      <c r="BF153">
        <v>0</v>
      </c>
      <c r="BG153">
        <v>0</v>
      </c>
      <c r="BH153">
        <v>9980</v>
      </c>
      <c r="BI153">
        <v>1085.96</v>
      </c>
      <c r="BJ153">
        <v>1.4016500000000001</v>
      </c>
      <c r="BK153">
        <v>-396.80099999999999</v>
      </c>
      <c r="BL153">
        <v>413.916</v>
      </c>
      <c r="BM153">
        <v>800.25699999999995</v>
      </c>
      <c r="BN153">
        <v>25.495100000000001</v>
      </c>
      <c r="BO153">
        <v>800.06500000000005</v>
      </c>
      <c r="BP153">
        <v>0.240256</v>
      </c>
      <c r="BQ153">
        <v>2.5403199999999999</v>
      </c>
      <c r="BR153">
        <v>2.37155E-2</v>
      </c>
      <c r="BS153">
        <v>21.287199999999999</v>
      </c>
      <c r="BT153">
        <v>-37.770899999999997</v>
      </c>
      <c r="BU153">
        <v>1800</v>
      </c>
      <c r="BV153">
        <v>0.90997899999999998</v>
      </c>
      <c r="BW153">
        <v>3.40016E-2</v>
      </c>
      <c r="BX153">
        <v>2.2008699999999999E-2</v>
      </c>
      <c r="BY153">
        <v>3.40103E-2</v>
      </c>
      <c r="BZ153">
        <v>25</v>
      </c>
      <c r="CA153">
        <v>33528.1</v>
      </c>
      <c r="CB153">
        <v>1690373417</v>
      </c>
      <c r="CC153" t="s">
        <v>332</v>
      </c>
      <c r="CD153">
        <v>1690373417</v>
      </c>
      <c r="CE153">
        <v>1690373415</v>
      </c>
      <c r="CF153">
        <v>1</v>
      </c>
      <c r="CG153">
        <v>-1.319</v>
      </c>
      <c r="CH153">
        <v>0.01</v>
      </c>
      <c r="CI153">
        <v>-1.371</v>
      </c>
      <c r="CJ153">
        <v>0.183</v>
      </c>
      <c r="CK153">
        <v>800</v>
      </c>
      <c r="CL153">
        <v>21</v>
      </c>
      <c r="CM153">
        <v>0.09</v>
      </c>
      <c r="CN153">
        <v>7.0000000000000007E-2</v>
      </c>
      <c r="CO153">
        <v>-395.46469999999999</v>
      </c>
      <c r="CP153">
        <v>-7.437771106940585</v>
      </c>
      <c r="CQ153">
        <v>0.71625474518498133</v>
      </c>
      <c r="CR153">
        <v>-1</v>
      </c>
      <c r="CS153">
        <v>25.436352500000002</v>
      </c>
      <c r="CT153">
        <v>0.32248142589113299</v>
      </c>
      <c r="CU153">
        <v>3.1025513593654009E-2</v>
      </c>
      <c r="CV153">
        <v>-1</v>
      </c>
      <c r="CW153">
        <v>0</v>
      </c>
      <c r="CX153">
        <v>0</v>
      </c>
      <c r="CY153" t="s">
        <v>333</v>
      </c>
      <c r="CZ153">
        <v>2.3653300000000002</v>
      </c>
      <c r="DA153">
        <v>2.7138300000000002</v>
      </c>
      <c r="DB153">
        <v>9.0107199999999998E-2</v>
      </c>
      <c r="DC153">
        <v>0.145759</v>
      </c>
      <c r="DD153">
        <v>0.119476</v>
      </c>
      <c r="DE153">
        <v>2.0113599999999998E-3</v>
      </c>
      <c r="DF153">
        <v>33240.300000000003</v>
      </c>
      <c r="DG153">
        <v>27521.9</v>
      </c>
      <c r="DH153">
        <v>31184.1</v>
      </c>
      <c r="DI153">
        <v>28070.9</v>
      </c>
      <c r="DJ153">
        <v>37265.199999999997</v>
      </c>
      <c r="DK153">
        <v>39822.1</v>
      </c>
      <c r="DL153">
        <v>44375</v>
      </c>
      <c r="DM153">
        <v>42521.599999999999</v>
      </c>
      <c r="DN153">
        <v>1.4856</v>
      </c>
      <c r="DO153">
        <v>2.0642800000000001</v>
      </c>
      <c r="DP153">
        <v>0.113368</v>
      </c>
      <c r="DQ153">
        <v>0.167795</v>
      </c>
      <c r="DR153">
        <v>25.139700000000001</v>
      </c>
      <c r="DS153">
        <v>25.0763</v>
      </c>
      <c r="DT153">
        <v>41.1</v>
      </c>
      <c r="DU153">
        <v>25.2</v>
      </c>
      <c r="DV153">
        <v>13.396800000000001</v>
      </c>
      <c r="DW153">
        <v>61.820099999999996</v>
      </c>
      <c r="DX153">
        <v>37.556100000000001</v>
      </c>
      <c r="DY153">
        <v>1</v>
      </c>
      <c r="DZ153">
        <v>-0.169243</v>
      </c>
      <c r="EA153">
        <v>-0.78015800000000002</v>
      </c>
      <c r="EB153">
        <v>20.1889</v>
      </c>
      <c r="EC153">
        <v>5.24125</v>
      </c>
      <c r="ED153">
        <v>12.039899999999999</v>
      </c>
      <c r="EE153">
        <v>5.0171000000000001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1.8687499999999999</v>
      </c>
      <c r="EL153">
        <v>1.8644099999999999</v>
      </c>
      <c r="EM153">
        <v>1.8690599999999999</v>
      </c>
      <c r="EN153">
        <v>1.86707</v>
      </c>
      <c r="EO153">
        <v>1.8632500000000001</v>
      </c>
      <c r="EP153">
        <v>1.8642700000000001</v>
      </c>
      <c r="EQ153">
        <v>1.87009</v>
      </c>
      <c r="ER153">
        <v>1.8692299999999999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-1.091</v>
      </c>
      <c r="FG153">
        <v>0.18290000000000001</v>
      </c>
      <c r="FH153">
        <v>-0.81947142863283695</v>
      </c>
      <c r="FI153">
        <v>-6.1462078757559423E-4</v>
      </c>
      <c r="FJ153">
        <v>-1.8861989874597051E-7</v>
      </c>
      <c r="FK153">
        <v>1.1980462299894961E-10</v>
      </c>
      <c r="FL153">
        <v>0.18283500000000069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30.5</v>
      </c>
      <c r="FU153">
        <v>30.5</v>
      </c>
      <c r="FV153">
        <v>1.7626999999999999</v>
      </c>
      <c r="FW153">
        <v>2.5549300000000001</v>
      </c>
      <c r="FX153">
        <v>1.5490699999999999</v>
      </c>
      <c r="FY153">
        <v>2.34253</v>
      </c>
      <c r="FZ153">
        <v>1.50146</v>
      </c>
      <c r="GA153">
        <v>2.3107899999999999</v>
      </c>
      <c r="GB153">
        <v>30.673999999999999</v>
      </c>
      <c r="GC153">
        <v>23.991199999999999</v>
      </c>
      <c r="GD153">
        <v>19</v>
      </c>
      <c r="GE153">
        <v>282.70999999999998</v>
      </c>
      <c r="GF153">
        <v>595.351</v>
      </c>
      <c r="GG153">
        <v>25.777999999999999</v>
      </c>
      <c r="GH153">
        <v>25.3</v>
      </c>
      <c r="GI153">
        <v>30.0001</v>
      </c>
      <c r="GJ153">
        <v>25.417400000000001</v>
      </c>
      <c r="GK153">
        <v>25.385400000000001</v>
      </c>
      <c r="GL153">
        <v>35.233499999999999</v>
      </c>
      <c r="GM153">
        <v>100</v>
      </c>
      <c r="GN153">
        <v>24.793500000000002</v>
      </c>
      <c r="GO153">
        <v>25.785</v>
      </c>
      <c r="GP153">
        <v>800</v>
      </c>
      <c r="GQ153">
        <v>0</v>
      </c>
      <c r="GR153">
        <v>99.771900000000002</v>
      </c>
      <c r="GS153">
        <v>99.495199999999997</v>
      </c>
    </row>
    <row r="154" spans="1:201" x14ac:dyDescent="0.25">
      <c r="A154">
        <v>138</v>
      </c>
      <c r="B154">
        <v>1690375256.0999999</v>
      </c>
      <c r="C154">
        <v>1436.599999904633</v>
      </c>
      <c r="D154" t="s">
        <v>609</v>
      </c>
      <c r="E154" t="s">
        <v>610</v>
      </c>
      <c r="F154" t="s">
        <v>330</v>
      </c>
      <c r="H154">
        <v>1690375256.0999999</v>
      </c>
      <c r="I154">
        <f t="shared" si="60"/>
        <v>2.6232701499444796E-3</v>
      </c>
      <c r="J154">
        <f t="shared" si="61"/>
        <v>2.6232701499444797</v>
      </c>
      <c r="K154">
        <f t="shared" si="62"/>
        <v>38.737863581838141</v>
      </c>
      <c r="L154">
        <f t="shared" si="63"/>
        <v>402.13900000000001</v>
      </c>
      <c r="M154">
        <f t="shared" si="64"/>
        <v>101.91612199712986</v>
      </c>
      <c r="N154">
        <f t="shared" si="65"/>
        <v>10.070217002192727</v>
      </c>
      <c r="O154">
        <f t="shared" si="66"/>
        <v>39.734900776138502</v>
      </c>
      <c r="P154">
        <f t="shared" si="67"/>
        <v>0.21968415213755699</v>
      </c>
      <c r="Q154">
        <f t="shared" si="68"/>
        <v>2.2512054657302105</v>
      </c>
      <c r="R154">
        <f t="shared" si="69"/>
        <v>0.20843124191222417</v>
      </c>
      <c r="S154">
        <f t="shared" si="70"/>
        <v>0.13123250373741446</v>
      </c>
      <c r="T154">
        <f t="shared" si="71"/>
        <v>276.11493326762644</v>
      </c>
      <c r="U154">
        <f t="shared" si="72"/>
        <v>27.805637097185304</v>
      </c>
      <c r="V154">
        <f t="shared" si="73"/>
        <v>27.805637097185304</v>
      </c>
      <c r="W154">
        <f t="shared" si="74"/>
        <v>3.7520534670942509</v>
      </c>
      <c r="X154">
        <f t="shared" si="75"/>
        <v>72.89223880923295</v>
      </c>
      <c r="Y154">
        <f t="shared" si="76"/>
        <v>2.5481128209034498</v>
      </c>
      <c r="Z154">
        <f t="shared" si="77"/>
        <v>3.4957258310752981</v>
      </c>
      <c r="AA154">
        <f t="shared" si="78"/>
        <v>1.2039406461908011</v>
      </c>
      <c r="AB154">
        <f t="shared" si="79"/>
        <v>-115.68621361255155</v>
      </c>
      <c r="AC154">
        <f t="shared" si="80"/>
        <v>-146.44591138367156</v>
      </c>
      <c r="AD154">
        <f t="shared" si="81"/>
        <v>-14.067509101512504</v>
      </c>
      <c r="AE154">
        <f t="shared" si="82"/>
        <v>-8.4700830109170511E-2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52339.510004693657</v>
      </c>
      <c r="AK154">
        <f t="shared" si="86"/>
        <v>1799.99</v>
      </c>
      <c r="AL154">
        <f t="shared" si="87"/>
        <v>1499.1016664111398</v>
      </c>
      <c r="AM154">
        <f t="shared" si="88"/>
        <v>0.83283888599999989</v>
      </c>
      <c r="AN154">
        <f t="shared" si="89"/>
        <v>0.15339803736000002</v>
      </c>
      <c r="AO154">
        <v>30</v>
      </c>
      <c r="AP154">
        <v>0.5</v>
      </c>
      <c r="AQ154" t="s">
        <v>331</v>
      </c>
      <c r="AR154">
        <v>2</v>
      </c>
      <c r="AS154">
        <v>1690375256.0999999</v>
      </c>
      <c r="AT154">
        <v>402.13900000000001</v>
      </c>
      <c r="AU154">
        <v>799.97400000000005</v>
      </c>
      <c r="AV154">
        <v>25.7883</v>
      </c>
      <c r="AW154">
        <v>0.23805699999999999</v>
      </c>
      <c r="AX154">
        <v>403.22899999999998</v>
      </c>
      <c r="AY154">
        <v>25.605399999999999</v>
      </c>
      <c r="AZ154">
        <v>300.07</v>
      </c>
      <c r="BA154">
        <v>98.7089</v>
      </c>
      <c r="BB154">
        <v>9.9971500000000005E-2</v>
      </c>
      <c r="BC154">
        <v>26.599</v>
      </c>
      <c r="BD154">
        <v>26.989899999999999</v>
      </c>
      <c r="BE154">
        <v>27.827100000000002</v>
      </c>
      <c r="BF154">
        <v>0</v>
      </c>
      <c r="BG154">
        <v>0</v>
      </c>
      <c r="BH154">
        <v>10015</v>
      </c>
      <c r="BI154">
        <v>1085.96</v>
      </c>
      <c r="BJ154">
        <v>1.4016500000000001</v>
      </c>
      <c r="BK154">
        <v>-397.83499999999998</v>
      </c>
      <c r="BL154">
        <v>412.78399999999999</v>
      </c>
      <c r="BM154">
        <v>800.16399999999999</v>
      </c>
      <c r="BN154">
        <v>25.5502</v>
      </c>
      <c r="BO154">
        <v>799.97400000000005</v>
      </c>
      <c r="BP154">
        <v>0.23805699999999999</v>
      </c>
      <c r="BQ154">
        <v>2.5455299999999998</v>
      </c>
      <c r="BR154">
        <v>2.3498399999999999E-2</v>
      </c>
      <c r="BS154">
        <v>21.320599999999999</v>
      </c>
      <c r="BT154">
        <v>-37.860900000000001</v>
      </c>
      <c r="BU154">
        <v>1799.99</v>
      </c>
      <c r="BV154">
        <v>0.90997899999999998</v>
      </c>
      <c r="BW154">
        <v>3.4000200000000001E-2</v>
      </c>
      <c r="BX154">
        <v>2.2007800000000001E-2</v>
      </c>
      <c r="BY154">
        <v>3.4012800000000003E-2</v>
      </c>
      <c r="BZ154">
        <v>25</v>
      </c>
      <c r="CA154">
        <v>33528.1</v>
      </c>
      <c r="CB154">
        <v>1690373417</v>
      </c>
      <c r="CC154" t="s">
        <v>332</v>
      </c>
      <c r="CD154">
        <v>1690373417</v>
      </c>
      <c r="CE154">
        <v>1690373415</v>
      </c>
      <c r="CF154">
        <v>1</v>
      </c>
      <c r="CG154">
        <v>-1.319</v>
      </c>
      <c r="CH154">
        <v>0.01</v>
      </c>
      <c r="CI154">
        <v>-1.371</v>
      </c>
      <c r="CJ154">
        <v>0.183</v>
      </c>
      <c r="CK154">
        <v>800</v>
      </c>
      <c r="CL154">
        <v>21</v>
      </c>
      <c r="CM154">
        <v>0.09</v>
      </c>
      <c r="CN154">
        <v>7.0000000000000007E-2</v>
      </c>
      <c r="CO154">
        <v>-396.54792682926842</v>
      </c>
      <c r="CP154">
        <v>-6.8637073170737759</v>
      </c>
      <c r="CQ154">
        <v>0.67908889429393349</v>
      </c>
      <c r="CR154">
        <v>-1</v>
      </c>
      <c r="CS154">
        <v>25.486829268292681</v>
      </c>
      <c r="CT154">
        <v>0.33287456445990898</v>
      </c>
      <c r="CU154">
        <v>3.2825943368030977E-2</v>
      </c>
      <c r="CV154">
        <v>-1</v>
      </c>
      <c r="CW154">
        <v>0</v>
      </c>
      <c r="CX154">
        <v>0</v>
      </c>
      <c r="CY154" t="s">
        <v>333</v>
      </c>
      <c r="CZ154">
        <v>2.3653200000000001</v>
      </c>
      <c r="DA154">
        <v>2.7137799999999999</v>
      </c>
      <c r="DB154">
        <v>8.9915700000000001E-2</v>
      </c>
      <c r="DC154">
        <v>0.14574799999999999</v>
      </c>
      <c r="DD154">
        <v>0.119648</v>
      </c>
      <c r="DE154">
        <v>1.99321E-3</v>
      </c>
      <c r="DF154">
        <v>33247</v>
      </c>
      <c r="DG154">
        <v>27522.1</v>
      </c>
      <c r="DH154">
        <v>31183.8</v>
      </c>
      <c r="DI154">
        <v>28070.7</v>
      </c>
      <c r="DJ154">
        <v>37257.599999999999</v>
      </c>
      <c r="DK154">
        <v>39822.5</v>
      </c>
      <c r="DL154">
        <v>44374.7</v>
      </c>
      <c r="DM154">
        <v>42521.3</v>
      </c>
      <c r="DN154">
        <v>1.4858499999999999</v>
      </c>
      <c r="DO154">
        <v>2.0644200000000001</v>
      </c>
      <c r="DP154">
        <v>0.112832</v>
      </c>
      <c r="DQ154">
        <v>0.16792099999999999</v>
      </c>
      <c r="DR154">
        <v>25.1418</v>
      </c>
      <c r="DS154">
        <v>25.078499999999998</v>
      </c>
      <c r="DT154">
        <v>40.700000000000003</v>
      </c>
      <c r="DU154">
        <v>25.2</v>
      </c>
      <c r="DV154">
        <v>13.267799999999999</v>
      </c>
      <c r="DW154">
        <v>61.540100000000002</v>
      </c>
      <c r="DX154">
        <v>37.644199999999998</v>
      </c>
      <c r="DY154">
        <v>1</v>
      </c>
      <c r="DZ154">
        <v>-0.169375</v>
      </c>
      <c r="EA154">
        <v>-0.71510099999999999</v>
      </c>
      <c r="EB154">
        <v>20.189299999999999</v>
      </c>
      <c r="EC154">
        <v>5.2408000000000001</v>
      </c>
      <c r="ED154">
        <v>12.039899999999999</v>
      </c>
      <c r="EE154">
        <v>5.0172499999999998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1.8687499999999999</v>
      </c>
      <c r="EL154">
        <v>1.8644099999999999</v>
      </c>
      <c r="EM154">
        <v>1.8690599999999999</v>
      </c>
      <c r="EN154">
        <v>1.86707</v>
      </c>
      <c r="EO154">
        <v>1.86324</v>
      </c>
      <c r="EP154">
        <v>1.86426</v>
      </c>
      <c r="EQ154">
        <v>1.8700699999999999</v>
      </c>
      <c r="ER154">
        <v>1.8692500000000001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-1.0900000000000001</v>
      </c>
      <c r="FG154">
        <v>0.18290000000000001</v>
      </c>
      <c r="FH154">
        <v>-0.81947142863283695</v>
      </c>
      <c r="FI154">
        <v>-6.1462078757559423E-4</v>
      </c>
      <c r="FJ154">
        <v>-1.8861989874597051E-7</v>
      </c>
      <c r="FK154">
        <v>1.1980462299894961E-10</v>
      </c>
      <c r="FL154">
        <v>0.18283500000000069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30.7</v>
      </c>
      <c r="FU154">
        <v>30.7</v>
      </c>
      <c r="FV154">
        <v>1.7626999999999999</v>
      </c>
      <c r="FW154">
        <v>2.5537100000000001</v>
      </c>
      <c r="FX154">
        <v>1.5490699999999999</v>
      </c>
      <c r="FY154">
        <v>2.34375</v>
      </c>
      <c r="FZ154">
        <v>1.50146</v>
      </c>
      <c r="GA154">
        <v>2.3547400000000001</v>
      </c>
      <c r="GB154">
        <v>30.695599999999999</v>
      </c>
      <c r="GC154">
        <v>23.991199999999999</v>
      </c>
      <c r="GD154">
        <v>19</v>
      </c>
      <c r="GE154">
        <v>282.815</v>
      </c>
      <c r="GF154">
        <v>595.47699999999998</v>
      </c>
      <c r="GG154">
        <v>25.7818</v>
      </c>
      <c r="GH154">
        <v>25.3</v>
      </c>
      <c r="GI154">
        <v>30</v>
      </c>
      <c r="GJ154">
        <v>25.417400000000001</v>
      </c>
      <c r="GK154">
        <v>25.385400000000001</v>
      </c>
      <c r="GL154">
        <v>35.235799999999998</v>
      </c>
      <c r="GM154">
        <v>100</v>
      </c>
      <c r="GN154">
        <v>24.005800000000001</v>
      </c>
      <c r="GO154">
        <v>25.771799999999999</v>
      </c>
      <c r="GP154">
        <v>800</v>
      </c>
      <c r="GQ154">
        <v>0</v>
      </c>
      <c r="GR154">
        <v>99.771199999999993</v>
      </c>
      <c r="GS154">
        <v>99.494500000000002</v>
      </c>
    </row>
    <row r="155" spans="1:201" x14ac:dyDescent="0.25">
      <c r="A155">
        <v>139</v>
      </c>
      <c r="B155">
        <v>1690375266.0999999</v>
      </c>
      <c r="C155">
        <v>1446.599999904633</v>
      </c>
      <c r="D155" t="s">
        <v>611</v>
      </c>
      <c r="E155" t="s">
        <v>612</v>
      </c>
      <c r="F155" t="s">
        <v>330</v>
      </c>
      <c r="H155">
        <v>1690375266.0999999</v>
      </c>
      <c r="I155">
        <f t="shared" si="60"/>
        <v>2.6279873144764931E-3</v>
      </c>
      <c r="J155">
        <f t="shared" si="61"/>
        <v>2.6279873144764929</v>
      </c>
      <c r="K155">
        <f t="shared" si="62"/>
        <v>38.84265492608386</v>
      </c>
      <c r="L155">
        <f t="shared" si="63"/>
        <v>401.12</v>
      </c>
      <c r="M155">
        <f t="shared" si="64"/>
        <v>101.32261090120492</v>
      </c>
      <c r="N155">
        <f t="shared" si="65"/>
        <v>10.011710892639009</v>
      </c>
      <c r="O155">
        <f t="shared" si="66"/>
        <v>39.634761062079995</v>
      </c>
      <c r="P155">
        <f t="shared" si="67"/>
        <v>0.22064014174341964</v>
      </c>
      <c r="Q155">
        <f t="shared" si="68"/>
        <v>2.2461484010021766</v>
      </c>
      <c r="R155">
        <f t="shared" si="69"/>
        <v>0.20926766226739713</v>
      </c>
      <c r="S155">
        <f t="shared" si="70"/>
        <v>0.13176519464923198</v>
      </c>
      <c r="T155">
        <f t="shared" si="71"/>
        <v>276.11479339040352</v>
      </c>
      <c r="U155">
        <f t="shared" si="72"/>
        <v>27.811642203244638</v>
      </c>
      <c r="V155">
        <f t="shared" si="73"/>
        <v>27.811642203244638</v>
      </c>
      <c r="W155">
        <f t="shared" si="74"/>
        <v>3.7533690765416616</v>
      </c>
      <c r="X155">
        <f t="shared" si="75"/>
        <v>72.984378119976384</v>
      </c>
      <c r="Y155">
        <f t="shared" si="76"/>
        <v>2.5521003668221995</v>
      </c>
      <c r="Z155">
        <f t="shared" si="77"/>
        <v>3.4967762041171251</v>
      </c>
      <c r="AA155">
        <f t="shared" si="78"/>
        <v>1.2012687097194621</v>
      </c>
      <c r="AB155">
        <f t="shared" si="79"/>
        <v>-115.89424056841334</v>
      </c>
      <c r="AC155">
        <f t="shared" si="80"/>
        <v>-146.22654133284342</v>
      </c>
      <c r="AD155">
        <f t="shared" si="81"/>
        <v>-14.078842491057381</v>
      </c>
      <c r="AE155">
        <f t="shared" si="82"/>
        <v>-8.4831001910657733E-2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52141.87742436571</v>
      </c>
      <c r="AK155">
        <f t="shared" si="86"/>
        <v>1799.99</v>
      </c>
      <c r="AL155">
        <f t="shared" si="87"/>
        <v>1499.10207860885</v>
      </c>
      <c r="AM155">
        <f t="shared" si="88"/>
        <v>0.83283911499999996</v>
      </c>
      <c r="AN155">
        <f t="shared" si="89"/>
        <v>0.15339795965</v>
      </c>
      <c r="AO155">
        <v>30</v>
      </c>
      <c r="AP155">
        <v>0.5</v>
      </c>
      <c r="AQ155" t="s">
        <v>331</v>
      </c>
      <c r="AR155">
        <v>2</v>
      </c>
      <c r="AS155">
        <v>1690375266.0999999</v>
      </c>
      <c r="AT155">
        <v>401.12</v>
      </c>
      <c r="AU155">
        <v>799.95100000000002</v>
      </c>
      <c r="AV155">
        <v>25.828299999999999</v>
      </c>
      <c r="AW155">
        <v>0.23597799999999999</v>
      </c>
      <c r="AX155">
        <v>402.21</v>
      </c>
      <c r="AY155">
        <v>25.645399999999999</v>
      </c>
      <c r="AZ155">
        <v>300.10300000000001</v>
      </c>
      <c r="BA155">
        <v>98.7102</v>
      </c>
      <c r="BB155">
        <v>0.100034</v>
      </c>
      <c r="BC155">
        <v>26.604099999999999</v>
      </c>
      <c r="BD155">
        <v>27.0015</v>
      </c>
      <c r="BE155">
        <v>27.8413</v>
      </c>
      <c r="BF155">
        <v>0</v>
      </c>
      <c r="BG155">
        <v>0</v>
      </c>
      <c r="BH155">
        <v>9975.6200000000008</v>
      </c>
      <c r="BI155">
        <v>1086.0999999999999</v>
      </c>
      <c r="BJ155">
        <v>1.4016500000000001</v>
      </c>
      <c r="BK155">
        <v>-398.83</v>
      </c>
      <c r="BL155">
        <v>411.755</v>
      </c>
      <c r="BM155">
        <v>800.13900000000001</v>
      </c>
      <c r="BN155">
        <v>25.592300000000002</v>
      </c>
      <c r="BO155">
        <v>799.95100000000002</v>
      </c>
      <c r="BP155">
        <v>0.23597799999999999</v>
      </c>
      <c r="BQ155">
        <v>2.5495100000000002</v>
      </c>
      <c r="BR155">
        <v>2.3293500000000002E-2</v>
      </c>
      <c r="BS155">
        <v>21.3461</v>
      </c>
      <c r="BT155">
        <v>-37.946599999999997</v>
      </c>
      <c r="BU155">
        <v>1799.99</v>
      </c>
      <c r="BV155">
        <v>0.90998199999999996</v>
      </c>
      <c r="BW155">
        <v>3.3999099999999997E-2</v>
      </c>
      <c r="BX155">
        <v>2.2006999999999999E-2</v>
      </c>
      <c r="BY155">
        <v>3.4011699999999999E-2</v>
      </c>
      <c r="BZ155">
        <v>25</v>
      </c>
      <c r="CA155">
        <v>33528.1</v>
      </c>
      <c r="CB155">
        <v>1690373417</v>
      </c>
      <c r="CC155" t="s">
        <v>332</v>
      </c>
      <c r="CD155">
        <v>1690373417</v>
      </c>
      <c r="CE155">
        <v>1690373415</v>
      </c>
      <c r="CF155">
        <v>1</v>
      </c>
      <c r="CG155">
        <v>-1.319</v>
      </c>
      <c r="CH155">
        <v>0.01</v>
      </c>
      <c r="CI155">
        <v>-1.371</v>
      </c>
      <c r="CJ155">
        <v>0.183</v>
      </c>
      <c r="CK155">
        <v>800</v>
      </c>
      <c r="CL155">
        <v>21</v>
      </c>
      <c r="CM155">
        <v>0.09</v>
      </c>
      <c r="CN155">
        <v>7.0000000000000007E-2</v>
      </c>
      <c r="CO155">
        <v>-397.74110000000002</v>
      </c>
      <c r="CP155">
        <v>-6.5167204502814178</v>
      </c>
      <c r="CQ155">
        <v>0.62790034241112047</v>
      </c>
      <c r="CR155">
        <v>-1</v>
      </c>
      <c r="CS155">
        <v>25.543455000000002</v>
      </c>
      <c r="CT155">
        <v>0.29455384615378682</v>
      </c>
      <c r="CU155">
        <v>2.842850638004045E-2</v>
      </c>
      <c r="CV155">
        <v>-1</v>
      </c>
      <c r="CW155">
        <v>0</v>
      </c>
      <c r="CX155">
        <v>0</v>
      </c>
      <c r="CY155" t="s">
        <v>333</v>
      </c>
      <c r="CZ155">
        <v>2.3654000000000002</v>
      </c>
      <c r="DA155">
        <v>2.7138</v>
      </c>
      <c r="DB155">
        <v>8.9743500000000004E-2</v>
      </c>
      <c r="DC155">
        <v>0.14574699999999999</v>
      </c>
      <c r="DD155">
        <v>0.119779</v>
      </c>
      <c r="DE155">
        <v>1.9760799999999999E-3</v>
      </c>
      <c r="DF155">
        <v>33253.4</v>
      </c>
      <c r="DG155">
        <v>27521.7</v>
      </c>
      <c r="DH155">
        <v>31184</v>
      </c>
      <c r="DI155">
        <v>28070.3</v>
      </c>
      <c r="DJ155">
        <v>37251.9</v>
      </c>
      <c r="DK155">
        <v>39822.699999999997</v>
      </c>
      <c r="DL155">
        <v>44374.6</v>
      </c>
      <c r="DM155">
        <v>42520.7</v>
      </c>
      <c r="DN155">
        <v>1.4862</v>
      </c>
      <c r="DO155">
        <v>2.0641500000000002</v>
      </c>
      <c r="DP155">
        <v>0.113413</v>
      </c>
      <c r="DQ155">
        <v>0.16866600000000001</v>
      </c>
      <c r="DR155">
        <v>25.143999999999998</v>
      </c>
      <c r="DS155">
        <v>25.080400000000001</v>
      </c>
      <c r="DT155">
        <v>40.299999999999997</v>
      </c>
      <c r="DU155">
        <v>25.2</v>
      </c>
      <c r="DV155">
        <v>13.1348</v>
      </c>
      <c r="DW155">
        <v>61.650100000000002</v>
      </c>
      <c r="DX155">
        <v>37.1995</v>
      </c>
      <c r="DY155">
        <v>1</v>
      </c>
      <c r="DZ155">
        <v>-0.169263</v>
      </c>
      <c r="EA155">
        <v>-0.73108099999999998</v>
      </c>
      <c r="EB155">
        <v>20.189</v>
      </c>
      <c r="EC155">
        <v>5.2409499999999998</v>
      </c>
      <c r="ED155">
        <v>12.039899999999999</v>
      </c>
      <c r="EE155">
        <v>5.0172499999999998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1.8687400000000001</v>
      </c>
      <c r="EL155">
        <v>1.8644000000000001</v>
      </c>
      <c r="EM155">
        <v>1.8690599999999999</v>
      </c>
      <c r="EN155">
        <v>1.86707</v>
      </c>
      <c r="EO155">
        <v>1.86324</v>
      </c>
      <c r="EP155">
        <v>1.86426</v>
      </c>
      <c r="EQ155">
        <v>1.87005</v>
      </c>
      <c r="ER155">
        <v>1.86924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-1.0900000000000001</v>
      </c>
      <c r="FG155">
        <v>0.18290000000000001</v>
      </c>
      <c r="FH155">
        <v>-0.81947142863283695</v>
      </c>
      <c r="FI155">
        <v>-6.1462078757559423E-4</v>
      </c>
      <c r="FJ155">
        <v>-1.8861989874597051E-7</v>
      </c>
      <c r="FK155">
        <v>1.1980462299894961E-10</v>
      </c>
      <c r="FL155">
        <v>0.18283500000000069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30.8</v>
      </c>
      <c r="FU155">
        <v>30.9</v>
      </c>
      <c r="FV155">
        <v>1.7626999999999999</v>
      </c>
      <c r="FW155">
        <v>2.5561500000000001</v>
      </c>
      <c r="FX155">
        <v>1.5490699999999999</v>
      </c>
      <c r="FY155">
        <v>2.34253</v>
      </c>
      <c r="FZ155">
        <v>1.50146</v>
      </c>
      <c r="GA155">
        <v>2.3877000000000002</v>
      </c>
      <c r="GB155">
        <v>30.695599999999999</v>
      </c>
      <c r="GC155">
        <v>23.991199999999999</v>
      </c>
      <c r="GD155">
        <v>19</v>
      </c>
      <c r="GE155">
        <v>282.964</v>
      </c>
      <c r="GF155">
        <v>595.24699999999996</v>
      </c>
      <c r="GG155">
        <v>25.775200000000002</v>
      </c>
      <c r="GH155">
        <v>25.3</v>
      </c>
      <c r="GI155">
        <v>30.0001</v>
      </c>
      <c r="GJ155">
        <v>25.417400000000001</v>
      </c>
      <c r="GK155">
        <v>25.385400000000001</v>
      </c>
      <c r="GL155">
        <v>35.237699999999997</v>
      </c>
      <c r="GM155">
        <v>100</v>
      </c>
      <c r="GN155">
        <v>23.229099999999999</v>
      </c>
      <c r="GO155">
        <v>25.775500000000001</v>
      </c>
      <c r="GP155">
        <v>800</v>
      </c>
      <c r="GQ155">
        <v>0</v>
      </c>
      <c r="GR155">
        <v>99.771299999999997</v>
      </c>
      <c r="GS155">
        <v>99.493200000000002</v>
      </c>
    </row>
    <row r="156" spans="1:201" x14ac:dyDescent="0.25">
      <c r="A156">
        <v>140</v>
      </c>
      <c r="B156">
        <v>1690375276.0999999</v>
      </c>
      <c r="C156">
        <v>1456.599999904633</v>
      </c>
      <c r="D156" t="s">
        <v>613</v>
      </c>
      <c r="E156" t="s">
        <v>614</v>
      </c>
      <c r="F156" t="s">
        <v>330</v>
      </c>
      <c r="H156">
        <v>1690375276.0999999</v>
      </c>
      <c r="I156">
        <f t="shared" si="60"/>
        <v>2.6345945872277097E-3</v>
      </c>
      <c r="J156">
        <f t="shared" si="61"/>
        <v>2.6345945872277099</v>
      </c>
      <c r="K156">
        <f t="shared" si="62"/>
        <v>38.97873848355907</v>
      </c>
      <c r="L156">
        <f t="shared" si="63"/>
        <v>399.96</v>
      </c>
      <c r="M156">
        <f t="shared" si="64"/>
        <v>101.59022116480055</v>
      </c>
      <c r="N156">
        <f t="shared" si="65"/>
        <v>10.037914839181068</v>
      </c>
      <c r="O156">
        <f t="shared" si="66"/>
        <v>39.519201484619998</v>
      </c>
      <c r="P156">
        <f t="shared" si="67"/>
        <v>0.2225238499911675</v>
      </c>
      <c r="Q156">
        <f t="shared" si="68"/>
        <v>2.2512695950295933</v>
      </c>
      <c r="R156">
        <f t="shared" si="69"/>
        <v>0.21098665852429682</v>
      </c>
      <c r="S156">
        <f t="shared" si="70"/>
        <v>0.13285336533498321</v>
      </c>
      <c r="T156">
        <f t="shared" si="71"/>
        <v>276.11622820800005</v>
      </c>
      <c r="U156">
        <f t="shared" si="72"/>
        <v>27.804256829253443</v>
      </c>
      <c r="V156">
        <f t="shared" si="73"/>
        <v>27.804256829253443</v>
      </c>
      <c r="W156">
        <f t="shared" si="74"/>
        <v>3.7517511323869375</v>
      </c>
      <c r="X156">
        <f t="shared" si="75"/>
        <v>73.145449635816618</v>
      </c>
      <c r="Y156">
        <f t="shared" si="76"/>
        <v>2.5573259050520996</v>
      </c>
      <c r="Z156">
        <f t="shared" si="77"/>
        <v>3.4962200899505742</v>
      </c>
      <c r="AA156">
        <f t="shared" si="78"/>
        <v>1.1944252273348379</v>
      </c>
      <c r="AB156">
        <f t="shared" si="79"/>
        <v>-116.185621296742</v>
      </c>
      <c r="AC156">
        <f t="shared" si="80"/>
        <v>-145.99127033048197</v>
      </c>
      <c r="AD156">
        <f t="shared" si="81"/>
        <v>-14.023508163701861</v>
      </c>
      <c r="AE156">
        <f t="shared" si="82"/>
        <v>-8.4171582925790744E-2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52341.566786273259</v>
      </c>
      <c r="AK156">
        <f t="shared" si="86"/>
        <v>1800</v>
      </c>
      <c r="AL156">
        <f t="shared" si="87"/>
        <v>1499.1109758</v>
      </c>
      <c r="AM156">
        <f t="shared" si="88"/>
        <v>0.83283943100000002</v>
      </c>
      <c r="AN156">
        <f t="shared" si="89"/>
        <v>0.15339790456000002</v>
      </c>
      <c r="AO156">
        <v>30</v>
      </c>
      <c r="AP156">
        <v>0.5</v>
      </c>
      <c r="AQ156" t="s">
        <v>331</v>
      </c>
      <c r="AR156">
        <v>2</v>
      </c>
      <c r="AS156">
        <v>1690375276.0999999</v>
      </c>
      <c r="AT156">
        <v>399.96</v>
      </c>
      <c r="AU156">
        <v>800.02599999999995</v>
      </c>
      <c r="AV156">
        <v>25.881799999999998</v>
      </c>
      <c r="AW156">
        <v>0.23432</v>
      </c>
      <c r="AX156">
        <v>401.04899999999998</v>
      </c>
      <c r="AY156">
        <v>25.699000000000002</v>
      </c>
      <c r="AZ156">
        <v>300.19400000000002</v>
      </c>
      <c r="BA156">
        <v>98.707899999999995</v>
      </c>
      <c r="BB156">
        <v>9.9984500000000004E-2</v>
      </c>
      <c r="BC156">
        <v>26.601400000000002</v>
      </c>
      <c r="BD156">
        <v>27.004999999999999</v>
      </c>
      <c r="BE156">
        <v>27.814900000000002</v>
      </c>
      <c r="BF156">
        <v>0</v>
      </c>
      <c r="BG156">
        <v>0</v>
      </c>
      <c r="BH156">
        <v>10015.6</v>
      </c>
      <c r="BI156">
        <v>1086.21</v>
      </c>
      <c r="BJ156">
        <v>1.4016500000000001</v>
      </c>
      <c r="BK156">
        <v>-400.06599999999997</v>
      </c>
      <c r="BL156">
        <v>410.58699999999999</v>
      </c>
      <c r="BM156">
        <v>800.21400000000006</v>
      </c>
      <c r="BN156">
        <v>25.647500000000001</v>
      </c>
      <c r="BO156">
        <v>800.02599999999995</v>
      </c>
      <c r="BP156">
        <v>0.23432</v>
      </c>
      <c r="BQ156">
        <v>2.5547399999999998</v>
      </c>
      <c r="BR156">
        <v>2.3129199999999999E-2</v>
      </c>
      <c r="BS156">
        <v>21.3795</v>
      </c>
      <c r="BT156">
        <v>-38.015700000000002</v>
      </c>
      <c r="BU156">
        <v>1800</v>
      </c>
      <c r="BV156">
        <v>0.90998500000000004</v>
      </c>
      <c r="BW156">
        <v>3.3998E-2</v>
      </c>
      <c r="BX156">
        <v>2.2006299999999999E-2</v>
      </c>
      <c r="BY156">
        <v>3.4010600000000002E-2</v>
      </c>
      <c r="BZ156">
        <v>25</v>
      </c>
      <c r="CA156">
        <v>33528.199999999997</v>
      </c>
      <c r="CB156">
        <v>1690373417</v>
      </c>
      <c r="CC156" t="s">
        <v>332</v>
      </c>
      <c r="CD156">
        <v>1690373417</v>
      </c>
      <c r="CE156">
        <v>1690373415</v>
      </c>
      <c r="CF156">
        <v>1</v>
      </c>
      <c r="CG156">
        <v>-1.319</v>
      </c>
      <c r="CH156">
        <v>0.01</v>
      </c>
      <c r="CI156">
        <v>-1.371</v>
      </c>
      <c r="CJ156">
        <v>0.183</v>
      </c>
      <c r="CK156">
        <v>800</v>
      </c>
      <c r="CL156">
        <v>21</v>
      </c>
      <c r="CM156">
        <v>0.09</v>
      </c>
      <c r="CN156">
        <v>7.0000000000000007E-2</v>
      </c>
      <c r="CO156">
        <v>-398.75248780487811</v>
      </c>
      <c r="CP156">
        <v>-6.5605923344951984</v>
      </c>
      <c r="CQ156">
        <v>0.64804328829933588</v>
      </c>
      <c r="CR156">
        <v>-1</v>
      </c>
      <c r="CS156">
        <v>25.587985365853658</v>
      </c>
      <c r="CT156">
        <v>0.27883275261322232</v>
      </c>
      <c r="CU156">
        <v>2.7566394891337821E-2</v>
      </c>
      <c r="CV156">
        <v>-1</v>
      </c>
      <c r="CW156">
        <v>0</v>
      </c>
      <c r="CX156">
        <v>0</v>
      </c>
      <c r="CY156" t="s">
        <v>333</v>
      </c>
      <c r="CZ156">
        <v>2.36571</v>
      </c>
      <c r="DA156">
        <v>2.7137899999999999</v>
      </c>
      <c r="DB156">
        <v>8.9543800000000007E-2</v>
      </c>
      <c r="DC156">
        <v>0.14575299999999999</v>
      </c>
      <c r="DD156">
        <v>0.11995</v>
      </c>
      <c r="DE156">
        <v>1.9623499999999999E-3</v>
      </c>
      <c r="DF156">
        <v>33261.1</v>
      </c>
      <c r="DG156">
        <v>27522</v>
      </c>
      <c r="DH156">
        <v>31184.3</v>
      </c>
      <c r="DI156">
        <v>28070.799999999999</v>
      </c>
      <c r="DJ156">
        <v>37245.199999999997</v>
      </c>
      <c r="DK156">
        <v>39824.199999999997</v>
      </c>
      <c r="DL156">
        <v>44375.5</v>
      </c>
      <c r="DM156">
        <v>42521.8</v>
      </c>
      <c r="DN156">
        <v>1.4862299999999999</v>
      </c>
      <c r="DO156">
        <v>2.0640999999999998</v>
      </c>
      <c r="DP156">
        <v>0.113554</v>
      </c>
      <c r="DQ156">
        <v>0.16692299999999999</v>
      </c>
      <c r="DR156">
        <v>25.145099999999999</v>
      </c>
      <c r="DS156">
        <v>25.082599999999999</v>
      </c>
      <c r="DT156">
        <v>40</v>
      </c>
      <c r="DU156">
        <v>25.3</v>
      </c>
      <c r="DV156">
        <v>13.1166</v>
      </c>
      <c r="DW156">
        <v>61.280099999999997</v>
      </c>
      <c r="DX156">
        <v>36.822899999999997</v>
      </c>
      <c r="DY156">
        <v>1</v>
      </c>
      <c r="DZ156">
        <v>-0.16924800000000001</v>
      </c>
      <c r="EA156">
        <v>-0.691631</v>
      </c>
      <c r="EB156">
        <v>20.189299999999999</v>
      </c>
      <c r="EC156">
        <v>5.2411000000000003</v>
      </c>
      <c r="ED156">
        <v>12.039899999999999</v>
      </c>
      <c r="EE156">
        <v>5.0174500000000002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1.8687499999999999</v>
      </c>
      <c r="EL156">
        <v>1.8644499999999999</v>
      </c>
      <c r="EM156">
        <v>1.86907</v>
      </c>
      <c r="EN156">
        <v>1.86707</v>
      </c>
      <c r="EO156">
        <v>1.86324</v>
      </c>
      <c r="EP156">
        <v>1.86426</v>
      </c>
      <c r="EQ156">
        <v>1.8700699999999999</v>
      </c>
      <c r="ER156">
        <v>1.8692800000000001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-1.089</v>
      </c>
      <c r="FG156">
        <v>0.18279999999999999</v>
      </c>
      <c r="FH156">
        <v>-0.81947142863283695</v>
      </c>
      <c r="FI156">
        <v>-6.1462078757559423E-4</v>
      </c>
      <c r="FJ156">
        <v>-1.8861989874597051E-7</v>
      </c>
      <c r="FK156">
        <v>1.1980462299894961E-10</v>
      </c>
      <c r="FL156">
        <v>0.18283500000000069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31</v>
      </c>
      <c r="FU156">
        <v>31</v>
      </c>
      <c r="FV156">
        <v>1.7626999999999999</v>
      </c>
      <c r="FW156">
        <v>2.5647000000000002</v>
      </c>
      <c r="FX156">
        <v>1.5490699999999999</v>
      </c>
      <c r="FY156">
        <v>2.34253</v>
      </c>
      <c r="FZ156">
        <v>1.50146</v>
      </c>
      <c r="GA156">
        <v>2.33521</v>
      </c>
      <c r="GB156">
        <v>30.695599999999999</v>
      </c>
      <c r="GC156">
        <v>23.982399999999998</v>
      </c>
      <c r="GD156">
        <v>19</v>
      </c>
      <c r="GE156">
        <v>282.97399999999999</v>
      </c>
      <c r="GF156">
        <v>595.20500000000004</v>
      </c>
      <c r="GG156">
        <v>25.767800000000001</v>
      </c>
      <c r="GH156">
        <v>25.3</v>
      </c>
      <c r="GI156">
        <v>30.0001</v>
      </c>
      <c r="GJ156">
        <v>25.417400000000001</v>
      </c>
      <c r="GK156">
        <v>25.385400000000001</v>
      </c>
      <c r="GL156">
        <v>35.232700000000001</v>
      </c>
      <c r="GM156">
        <v>100</v>
      </c>
      <c r="GN156">
        <v>22.436299999999999</v>
      </c>
      <c r="GO156">
        <v>25.755800000000001</v>
      </c>
      <c r="GP156">
        <v>800</v>
      </c>
      <c r="GQ156">
        <v>0</v>
      </c>
      <c r="GR156">
        <v>99.772800000000004</v>
      </c>
      <c r="GS156">
        <v>99.495400000000004</v>
      </c>
    </row>
    <row r="157" spans="1:201" x14ac:dyDescent="0.25">
      <c r="A157">
        <v>141</v>
      </c>
      <c r="B157">
        <v>1690375286.0999999</v>
      </c>
      <c r="C157">
        <v>1466.599999904633</v>
      </c>
      <c r="D157" t="s">
        <v>615</v>
      </c>
      <c r="E157" t="s">
        <v>616</v>
      </c>
      <c r="F157" t="s">
        <v>330</v>
      </c>
      <c r="H157">
        <v>1690375286.0999999</v>
      </c>
      <c r="I157">
        <f t="shared" si="60"/>
        <v>2.639791245929151E-3</v>
      </c>
      <c r="J157">
        <f t="shared" si="61"/>
        <v>2.639791245929151</v>
      </c>
      <c r="K157">
        <f t="shared" si="62"/>
        <v>39.077928039325464</v>
      </c>
      <c r="L157">
        <f t="shared" si="63"/>
        <v>398.88400000000001</v>
      </c>
      <c r="M157">
        <f t="shared" si="64"/>
        <v>101.56869219649658</v>
      </c>
      <c r="N157">
        <f t="shared" si="65"/>
        <v>10.036436032055336</v>
      </c>
      <c r="O157">
        <f t="shared" si="66"/>
        <v>39.415430716242398</v>
      </c>
      <c r="P157">
        <f t="shared" si="67"/>
        <v>0.22396145805962572</v>
      </c>
      <c r="Q157">
        <f t="shared" si="68"/>
        <v>2.2454763997477309</v>
      </c>
      <c r="R157">
        <f t="shared" si="69"/>
        <v>0.21225046889948709</v>
      </c>
      <c r="S157">
        <f t="shared" si="70"/>
        <v>0.13365767693172306</v>
      </c>
      <c r="T157">
        <f t="shared" si="71"/>
        <v>276.1147536826241</v>
      </c>
      <c r="U157">
        <f t="shared" si="72"/>
        <v>27.805150413704624</v>
      </c>
      <c r="V157">
        <f t="shared" si="73"/>
        <v>27.805150413704624</v>
      </c>
      <c r="W157">
        <f t="shared" si="74"/>
        <v>3.75194686122942</v>
      </c>
      <c r="X157">
        <f t="shared" si="75"/>
        <v>73.286984937328398</v>
      </c>
      <c r="Y157">
        <f t="shared" si="76"/>
        <v>2.5622441033711398</v>
      </c>
      <c r="Z157">
        <f t="shared" si="77"/>
        <v>3.4961788993806349</v>
      </c>
      <c r="AA157">
        <f t="shared" si="78"/>
        <v>1.1897027578582802</v>
      </c>
      <c r="AB157">
        <f t="shared" si="79"/>
        <v>-116.41479394547557</v>
      </c>
      <c r="AC157">
        <f t="shared" si="80"/>
        <v>-145.74797806661491</v>
      </c>
      <c r="AD157">
        <f t="shared" si="81"/>
        <v>-14.036306465852903</v>
      </c>
      <c r="AE157">
        <f t="shared" si="82"/>
        <v>-8.4324795319247414E-2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52116.352176474153</v>
      </c>
      <c r="AK157">
        <f t="shared" si="86"/>
        <v>1799.99</v>
      </c>
      <c r="AL157">
        <f t="shared" si="87"/>
        <v>1499.1032198025098</v>
      </c>
      <c r="AM157">
        <f t="shared" si="88"/>
        <v>0.83283974899999991</v>
      </c>
      <c r="AN157">
        <f t="shared" si="89"/>
        <v>0.15339793759000001</v>
      </c>
      <c r="AO157">
        <v>30</v>
      </c>
      <c r="AP157">
        <v>0.5</v>
      </c>
      <c r="AQ157" t="s">
        <v>331</v>
      </c>
      <c r="AR157">
        <v>2</v>
      </c>
      <c r="AS157">
        <v>1690375286.0999999</v>
      </c>
      <c r="AT157">
        <v>398.88400000000001</v>
      </c>
      <c r="AU157">
        <v>799.947</v>
      </c>
      <c r="AV157">
        <v>25.9299</v>
      </c>
      <c r="AW157">
        <v>0.23224400000000001</v>
      </c>
      <c r="AX157">
        <v>399.97199999999998</v>
      </c>
      <c r="AY157">
        <v>25.7471</v>
      </c>
      <c r="AZ157">
        <v>300.18400000000003</v>
      </c>
      <c r="BA157">
        <v>98.714299999999994</v>
      </c>
      <c r="BB157">
        <v>9.9968600000000005E-2</v>
      </c>
      <c r="BC157">
        <v>26.601199999999999</v>
      </c>
      <c r="BD157">
        <v>27.022400000000001</v>
      </c>
      <c r="BE157">
        <v>27.818000000000001</v>
      </c>
      <c r="BF157">
        <v>0</v>
      </c>
      <c r="BG157">
        <v>0</v>
      </c>
      <c r="BH157">
        <v>9970</v>
      </c>
      <c r="BI157">
        <v>1086.24</v>
      </c>
      <c r="BJ157">
        <v>1.4016500000000001</v>
      </c>
      <c r="BK157">
        <v>-401.06299999999999</v>
      </c>
      <c r="BL157">
        <v>409.50299999999999</v>
      </c>
      <c r="BM157">
        <v>800.13300000000004</v>
      </c>
      <c r="BN157">
        <v>25.697700000000001</v>
      </c>
      <c r="BO157">
        <v>799.947</v>
      </c>
      <c r="BP157">
        <v>0.23224400000000001</v>
      </c>
      <c r="BQ157">
        <v>2.55965</v>
      </c>
      <c r="BR157">
        <v>2.29258E-2</v>
      </c>
      <c r="BS157">
        <v>21.410900000000002</v>
      </c>
      <c r="BT157">
        <v>-38.101900000000001</v>
      </c>
      <c r="BU157">
        <v>1799.99</v>
      </c>
      <c r="BV157">
        <v>0.90998599999999996</v>
      </c>
      <c r="BW157">
        <v>3.3997699999999999E-2</v>
      </c>
      <c r="BX157">
        <v>2.20062E-2</v>
      </c>
      <c r="BY157">
        <v>3.40103E-2</v>
      </c>
      <c r="BZ157">
        <v>25</v>
      </c>
      <c r="CA157">
        <v>33528.199999999997</v>
      </c>
      <c r="CB157">
        <v>1690373417</v>
      </c>
      <c r="CC157" t="s">
        <v>332</v>
      </c>
      <c r="CD157">
        <v>1690373417</v>
      </c>
      <c r="CE157">
        <v>1690373415</v>
      </c>
      <c r="CF157">
        <v>1</v>
      </c>
      <c r="CG157">
        <v>-1.319</v>
      </c>
      <c r="CH157">
        <v>0.01</v>
      </c>
      <c r="CI157">
        <v>-1.371</v>
      </c>
      <c r="CJ157">
        <v>0.183</v>
      </c>
      <c r="CK157">
        <v>800</v>
      </c>
      <c r="CL157">
        <v>21</v>
      </c>
      <c r="CM157">
        <v>0.09</v>
      </c>
      <c r="CN157">
        <v>7.0000000000000007E-2</v>
      </c>
      <c r="CO157">
        <v>-399.87148780487797</v>
      </c>
      <c r="CP157">
        <v>-6.9655609756094972</v>
      </c>
      <c r="CQ157">
        <v>0.68750340564837442</v>
      </c>
      <c r="CR157">
        <v>-1</v>
      </c>
      <c r="CS157">
        <v>25.637929268292691</v>
      </c>
      <c r="CT157">
        <v>0.31958466898956611</v>
      </c>
      <c r="CU157">
        <v>3.1531681659009179E-2</v>
      </c>
      <c r="CV157">
        <v>-1</v>
      </c>
      <c r="CW157">
        <v>0</v>
      </c>
      <c r="CX157">
        <v>0</v>
      </c>
      <c r="CY157" t="s">
        <v>333</v>
      </c>
      <c r="CZ157">
        <v>2.3656700000000002</v>
      </c>
      <c r="DA157">
        <v>2.71373</v>
      </c>
      <c r="DB157">
        <v>8.9366000000000001E-2</v>
      </c>
      <c r="DC157">
        <v>0.14575199999999999</v>
      </c>
      <c r="DD157">
        <v>0.120114</v>
      </c>
      <c r="DE157">
        <v>1.94534E-3</v>
      </c>
      <c r="DF157">
        <v>33267.599999999999</v>
      </c>
      <c r="DG157">
        <v>27522.3</v>
      </c>
      <c r="DH157">
        <v>31184.3</v>
      </c>
      <c r="DI157">
        <v>28071.1</v>
      </c>
      <c r="DJ157">
        <v>37238.1</v>
      </c>
      <c r="DK157">
        <v>39825.199999999997</v>
      </c>
      <c r="DL157">
        <v>44375.3</v>
      </c>
      <c r="DM157">
        <v>42522</v>
      </c>
      <c r="DN157">
        <v>1.4863999999999999</v>
      </c>
      <c r="DO157">
        <v>2.0638000000000001</v>
      </c>
      <c r="DP157">
        <v>0.114456</v>
      </c>
      <c r="DQ157">
        <v>0.16698199999999999</v>
      </c>
      <c r="DR157">
        <v>25.1478</v>
      </c>
      <c r="DS157">
        <v>25.084700000000002</v>
      </c>
      <c r="DT157">
        <v>39.6</v>
      </c>
      <c r="DU157">
        <v>25.3</v>
      </c>
      <c r="DV157">
        <v>12.986800000000001</v>
      </c>
      <c r="DW157">
        <v>61.900100000000002</v>
      </c>
      <c r="DX157">
        <v>37.067300000000003</v>
      </c>
      <c r="DY157">
        <v>1</v>
      </c>
      <c r="DZ157">
        <v>-0.169207</v>
      </c>
      <c r="EA157">
        <v>-0.68455299999999997</v>
      </c>
      <c r="EB157">
        <v>20.1892</v>
      </c>
      <c r="EC157">
        <v>5.2413999999999996</v>
      </c>
      <c r="ED157">
        <v>12.039899999999999</v>
      </c>
      <c r="EE157">
        <v>5.0170500000000002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1.8687400000000001</v>
      </c>
      <c r="EL157">
        <v>1.86446</v>
      </c>
      <c r="EM157">
        <v>1.8690599999999999</v>
      </c>
      <c r="EN157">
        <v>1.86707</v>
      </c>
      <c r="EO157">
        <v>1.8632500000000001</v>
      </c>
      <c r="EP157">
        <v>1.86425</v>
      </c>
      <c r="EQ157">
        <v>1.8700600000000001</v>
      </c>
      <c r="ER157">
        <v>1.8692800000000001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-1.0880000000000001</v>
      </c>
      <c r="FG157">
        <v>0.18279999999999999</v>
      </c>
      <c r="FH157">
        <v>-0.81947142863283695</v>
      </c>
      <c r="FI157">
        <v>-6.1462078757559423E-4</v>
      </c>
      <c r="FJ157">
        <v>-1.8861989874597051E-7</v>
      </c>
      <c r="FK157">
        <v>1.1980462299894961E-10</v>
      </c>
      <c r="FL157">
        <v>0.18283500000000069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31.2</v>
      </c>
      <c r="FU157">
        <v>31.2</v>
      </c>
      <c r="FV157">
        <v>1.7626999999999999</v>
      </c>
      <c r="FW157">
        <v>2.5610400000000002</v>
      </c>
      <c r="FX157">
        <v>1.5490699999999999</v>
      </c>
      <c r="FY157">
        <v>2.34253</v>
      </c>
      <c r="FZ157">
        <v>1.50146</v>
      </c>
      <c r="GA157">
        <v>2.2814899999999998</v>
      </c>
      <c r="GB157">
        <v>30.717199999999998</v>
      </c>
      <c r="GC157">
        <v>23.991199999999999</v>
      </c>
      <c r="GD157">
        <v>19</v>
      </c>
      <c r="GE157">
        <v>283.048</v>
      </c>
      <c r="GF157">
        <v>594.95500000000004</v>
      </c>
      <c r="GG157">
        <v>25.750299999999999</v>
      </c>
      <c r="GH157">
        <v>25.3</v>
      </c>
      <c r="GI157">
        <v>30.0001</v>
      </c>
      <c r="GJ157">
        <v>25.417400000000001</v>
      </c>
      <c r="GK157">
        <v>25.385400000000001</v>
      </c>
      <c r="GL157">
        <v>35.234299999999998</v>
      </c>
      <c r="GM157">
        <v>100</v>
      </c>
      <c r="GN157">
        <v>21.672999999999998</v>
      </c>
      <c r="GO157">
        <v>25.748200000000001</v>
      </c>
      <c r="GP157">
        <v>800</v>
      </c>
      <c r="GQ157">
        <v>0</v>
      </c>
      <c r="GR157">
        <v>99.7727</v>
      </c>
      <c r="GS157">
        <v>99.496200000000002</v>
      </c>
    </row>
    <row r="158" spans="1:201" x14ac:dyDescent="0.25">
      <c r="A158">
        <v>142</v>
      </c>
      <c r="B158">
        <v>1690375296.0999999</v>
      </c>
      <c r="C158">
        <v>1476.599999904633</v>
      </c>
      <c r="D158" t="s">
        <v>617</v>
      </c>
      <c r="E158" t="s">
        <v>618</v>
      </c>
      <c r="F158" t="s">
        <v>330</v>
      </c>
      <c r="H158">
        <v>1690375296.0999999</v>
      </c>
      <c r="I158">
        <f t="shared" si="60"/>
        <v>2.6440172825407562E-3</v>
      </c>
      <c r="J158">
        <f t="shared" si="61"/>
        <v>2.6440172825407564</v>
      </c>
      <c r="K158">
        <f t="shared" si="62"/>
        <v>39.17418928370909</v>
      </c>
      <c r="L158">
        <f t="shared" si="63"/>
        <v>397.875</v>
      </c>
      <c r="M158">
        <f t="shared" si="64"/>
        <v>102.07898050953264</v>
      </c>
      <c r="N158">
        <f t="shared" si="65"/>
        <v>10.085821349014399</v>
      </c>
      <c r="O158">
        <f t="shared" si="66"/>
        <v>39.311679536849994</v>
      </c>
      <c r="P158">
        <f t="shared" si="67"/>
        <v>0.22570455735044573</v>
      </c>
      <c r="Q158">
        <f t="shared" si="68"/>
        <v>2.2529170000698588</v>
      </c>
      <c r="R158">
        <f t="shared" si="69"/>
        <v>0.21385281138575926</v>
      </c>
      <c r="S158">
        <f t="shared" si="70"/>
        <v>0.1346709561365953</v>
      </c>
      <c r="T158">
        <f t="shared" si="71"/>
        <v>276.11459395151155</v>
      </c>
      <c r="U158">
        <f t="shared" si="72"/>
        <v>27.793125872682843</v>
      </c>
      <c r="V158">
        <f t="shared" si="73"/>
        <v>27.793125872682843</v>
      </c>
      <c r="W158">
        <f t="shared" si="74"/>
        <v>3.7493137778570396</v>
      </c>
      <c r="X158">
        <f t="shared" si="75"/>
        <v>73.446784481547994</v>
      </c>
      <c r="Y158">
        <f t="shared" si="76"/>
        <v>2.5667723171350398</v>
      </c>
      <c r="Z158">
        <f t="shared" si="77"/>
        <v>3.494737496343205</v>
      </c>
      <c r="AA158">
        <f t="shared" si="78"/>
        <v>1.1825414607219997</v>
      </c>
      <c r="AB158">
        <f t="shared" si="79"/>
        <v>-116.60116216004735</v>
      </c>
      <c r="AC158">
        <f t="shared" si="80"/>
        <v>-145.62065085882705</v>
      </c>
      <c r="AD158">
        <f t="shared" si="81"/>
        <v>-13.97639852145133</v>
      </c>
      <c r="AE158">
        <f t="shared" si="82"/>
        <v>-8.3617588814149713E-2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52406.933762522473</v>
      </c>
      <c r="AK158">
        <f t="shared" si="86"/>
        <v>1799.99</v>
      </c>
      <c r="AL158">
        <f t="shared" si="87"/>
        <v>1499.1042025970498</v>
      </c>
      <c r="AM158">
        <f t="shared" si="88"/>
        <v>0.8328402949999999</v>
      </c>
      <c r="AN158">
        <f t="shared" si="89"/>
        <v>0.15339784885000002</v>
      </c>
      <c r="AO158">
        <v>30</v>
      </c>
      <c r="AP158">
        <v>0.5</v>
      </c>
      <c r="AQ158" t="s">
        <v>331</v>
      </c>
      <c r="AR158">
        <v>2</v>
      </c>
      <c r="AS158">
        <v>1690375296.0999999</v>
      </c>
      <c r="AT158">
        <v>397.875</v>
      </c>
      <c r="AU158">
        <v>800.05499999999995</v>
      </c>
      <c r="AV158">
        <v>25.978400000000001</v>
      </c>
      <c r="AW158">
        <v>0.23033600000000001</v>
      </c>
      <c r="AX158">
        <v>398.96300000000002</v>
      </c>
      <c r="AY158">
        <v>25.7956</v>
      </c>
      <c r="AZ158">
        <v>300.06099999999998</v>
      </c>
      <c r="BA158">
        <v>98.704099999999997</v>
      </c>
      <c r="BB158">
        <v>9.9995600000000004E-2</v>
      </c>
      <c r="BC158">
        <v>26.594200000000001</v>
      </c>
      <c r="BD158">
        <v>26.9924</v>
      </c>
      <c r="BE158">
        <v>27.8262</v>
      </c>
      <c r="BF158">
        <v>0</v>
      </c>
      <c r="BG158">
        <v>0</v>
      </c>
      <c r="BH158">
        <v>10028.799999999999</v>
      </c>
      <c r="BI158">
        <v>1086.21</v>
      </c>
      <c r="BJ158">
        <v>1.4016500000000001</v>
      </c>
      <c r="BK158">
        <v>-402.18</v>
      </c>
      <c r="BL158">
        <v>408.48700000000002</v>
      </c>
      <c r="BM158">
        <v>800.24</v>
      </c>
      <c r="BN158">
        <v>25.748100000000001</v>
      </c>
      <c r="BO158">
        <v>800.05499999999995</v>
      </c>
      <c r="BP158">
        <v>0.23033600000000001</v>
      </c>
      <c r="BQ158">
        <v>2.5641799999999999</v>
      </c>
      <c r="BR158">
        <v>2.2735100000000001E-2</v>
      </c>
      <c r="BS158">
        <v>21.439699999999998</v>
      </c>
      <c r="BT158">
        <v>-38.183399999999999</v>
      </c>
      <c r="BU158">
        <v>1799.99</v>
      </c>
      <c r="BV158">
        <v>0.90999099999999999</v>
      </c>
      <c r="BW158">
        <v>3.3995900000000003E-2</v>
      </c>
      <c r="BX158">
        <v>2.2005E-2</v>
      </c>
      <c r="BY158">
        <v>3.4008499999999997E-2</v>
      </c>
      <c r="BZ158">
        <v>25</v>
      </c>
      <c r="CA158">
        <v>33528.199999999997</v>
      </c>
      <c r="CB158">
        <v>1690373417</v>
      </c>
      <c r="CC158" t="s">
        <v>332</v>
      </c>
      <c r="CD158">
        <v>1690373417</v>
      </c>
      <c r="CE158">
        <v>1690373415</v>
      </c>
      <c r="CF158">
        <v>1</v>
      </c>
      <c r="CG158">
        <v>-1.319</v>
      </c>
      <c r="CH158">
        <v>0.01</v>
      </c>
      <c r="CI158">
        <v>-1.371</v>
      </c>
      <c r="CJ158">
        <v>0.183</v>
      </c>
      <c r="CK158">
        <v>800</v>
      </c>
      <c r="CL158">
        <v>21</v>
      </c>
      <c r="CM158">
        <v>0.09</v>
      </c>
      <c r="CN158">
        <v>7.0000000000000007E-2</v>
      </c>
      <c r="CO158">
        <v>-401.03897500000011</v>
      </c>
      <c r="CP158">
        <v>-6.1102851782361043</v>
      </c>
      <c r="CQ158">
        <v>0.58868414652936185</v>
      </c>
      <c r="CR158">
        <v>-1</v>
      </c>
      <c r="CS158">
        <v>25.695082500000002</v>
      </c>
      <c r="CT158">
        <v>0.31293320825511151</v>
      </c>
      <c r="CU158">
        <v>3.0127635880533399E-2</v>
      </c>
      <c r="CV158">
        <v>-1</v>
      </c>
      <c r="CW158">
        <v>0</v>
      </c>
      <c r="CX158">
        <v>0</v>
      </c>
      <c r="CY158" t="s">
        <v>333</v>
      </c>
      <c r="CZ158">
        <v>2.36524</v>
      </c>
      <c r="DA158">
        <v>2.7138100000000001</v>
      </c>
      <c r="DB158">
        <v>8.9184799999999995E-2</v>
      </c>
      <c r="DC158">
        <v>0.14575099999999999</v>
      </c>
      <c r="DD158">
        <v>0.120259</v>
      </c>
      <c r="DE158">
        <v>1.9293800000000001E-3</v>
      </c>
      <c r="DF158">
        <v>33274</v>
      </c>
      <c r="DG158">
        <v>27522.2</v>
      </c>
      <c r="DH158">
        <v>31184.1</v>
      </c>
      <c r="DI158">
        <v>28070.9</v>
      </c>
      <c r="DJ158">
        <v>37231.599999999999</v>
      </c>
      <c r="DK158">
        <v>39825.800000000003</v>
      </c>
      <c r="DL158">
        <v>44375</v>
      </c>
      <c r="DM158">
        <v>42522</v>
      </c>
      <c r="DN158">
        <v>1.4860500000000001</v>
      </c>
      <c r="DO158">
        <v>2.0637500000000002</v>
      </c>
      <c r="DP158">
        <v>0.11272699999999999</v>
      </c>
      <c r="DQ158">
        <v>0.167683</v>
      </c>
      <c r="DR158">
        <v>25.146100000000001</v>
      </c>
      <c r="DS158">
        <v>25.081399999999999</v>
      </c>
      <c r="DT158">
        <v>39.200000000000003</v>
      </c>
      <c r="DU158">
        <v>25.3</v>
      </c>
      <c r="DV158">
        <v>12.856</v>
      </c>
      <c r="DW158">
        <v>61.560099999999998</v>
      </c>
      <c r="DX158">
        <v>37.688299999999998</v>
      </c>
      <c r="DY158">
        <v>1</v>
      </c>
      <c r="DZ158">
        <v>-0.169212</v>
      </c>
      <c r="EA158">
        <v>-0.68682200000000004</v>
      </c>
      <c r="EB158">
        <v>20.189299999999999</v>
      </c>
      <c r="EC158">
        <v>5.2418500000000003</v>
      </c>
      <c r="ED158">
        <v>12.039899999999999</v>
      </c>
      <c r="EE158">
        <v>5.0173500000000004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1.8687400000000001</v>
      </c>
      <c r="EL158">
        <v>1.8644400000000001</v>
      </c>
      <c r="EM158">
        <v>1.86907</v>
      </c>
      <c r="EN158">
        <v>1.86707</v>
      </c>
      <c r="EO158">
        <v>1.8632500000000001</v>
      </c>
      <c r="EP158">
        <v>1.86425</v>
      </c>
      <c r="EQ158">
        <v>1.8701000000000001</v>
      </c>
      <c r="ER158">
        <v>1.86927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-1.0880000000000001</v>
      </c>
      <c r="FG158">
        <v>0.18279999999999999</v>
      </c>
      <c r="FH158">
        <v>-0.81947142863283695</v>
      </c>
      <c r="FI158">
        <v>-6.1462078757559423E-4</v>
      </c>
      <c r="FJ158">
        <v>-1.8861989874597051E-7</v>
      </c>
      <c r="FK158">
        <v>1.1980462299894961E-10</v>
      </c>
      <c r="FL158">
        <v>0.18283500000000069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31.3</v>
      </c>
      <c r="FU158">
        <v>31.4</v>
      </c>
      <c r="FV158">
        <v>1.7626999999999999</v>
      </c>
      <c r="FW158">
        <v>2.5585900000000001</v>
      </c>
      <c r="FX158">
        <v>1.5490699999999999</v>
      </c>
      <c r="FY158">
        <v>2.34253</v>
      </c>
      <c r="FZ158">
        <v>1.50146</v>
      </c>
      <c r="GA158">
        <v>2.323</v>
      </c>
      <c r="GB158">
        <v>30.717199999999998</v>
      </c>
      <c r="GC158">
        <v>23.991199999999999</v>
      </c>
      <c r="GD158">
        <v>19</v>
      </c>
      <c r="GE158">
        <v>282.89999999999998</v>
      </c>
      <c r="GF158">
        <v>594.91300000000001</v>
      </c>
      <c r="GG158">
        <v>25.7301</v>
      </c>
      <c r="GH158">
        <v>25.3</v>
      </c>
      <c r="GI158">
        <v>30.0001</v>
      </c>
      <c r="GJ158">
        <v>25.417400000000001</v>
      </c>
      <c r="GK158">
        <v>25.385400000000001</v>
      </c>
      <c r="GL158">
        <v>35.2318</v>
      </c>
      <c r="GM158">
        <v>100</v>
      </c>
      <c r="GN158">
        <v>20.9133</v>
      </c>
      <c r="GO158">
        <v>25.7545</v>
      </c>
      <c r="GP158">
        <v>800</v>
      </c>
      <c r="GQ158">
        <v>0</v>
      </c>
      <c r="GR158">
        <v>99.771900000000002</v>
      </c>
      <c r="GS158">
        <v>99.495900000000006</v>
      </c>
    </row>
    <row r="159" spans="1:201" x14ac:dyDescent="0.25">
      <c r="A159">
        <v>143</v>
      </c>
      <c r="B159">
        <v>1690375306.0999999</v>
      </c>
      <c r="C159">
        <v>1486.599999904633</v>
      </c>
      <c r="D159" t="s">
        <v>619</v>
      </c>
      <c r="E159" t="s">
        <v>620</v>
      </c>
      <c r="F159" t="s">
        <v>330</v>
      </c>
      <c r="H159">
        <v>1690375306.0999999</v>
      </c>
      <c r="I159">
        <f t="shared" si="60"/>
        <v>2.6485184917838427E-3</v>
      </c>
      <c r="J159">
        <f t="shared" si="61"/>
        <v>2.6485184917838427</v>
      </c>
      <c r="K159">
        <f t="shared" si="62"/>
        <v>39.264410114981317</v>
      </c>
      <c r="L159">
        <f t="shared" si="63"/>
        <v>396.89800000000002</v>
      </c>
      <c r="M159">
        <f t="shared" si="64"/>
        <v>101.57659754322343</v>
      </c>
      <c r="N159">
        <f t="shared" si="65"/>
        <v>10.036411863371878</v>
      </c>
      <c r="O159">
        <f t="shared" si="66"/>
        <v>39.216038852389403</v>
      </c>
      <c r="P159">
        <f t="shared" si="67"/>
        <v>0.2266505033214786</v>
      </c>
      <c r="Q159">
        <f t="shared" si="68"/>
        <v>2.2456961315063975</v>
      </c>
      <c r="R159">
        <f t="shared" si="69"/>
        <v>0.21466579218343432</v>
      </c>
      <c r="S159">
        <f t="shared" si="70"/>
        <v>0.13519006539142911</v>
      </c>
      <c r="T159">
        <f t="shared" si="71"/>
        <v>276.11594033400002</v>
      </c>
      <c r="U159">
        <f t="shared" si="72"/>
        <v>27.800252623067813</v>
      </c>
      <c r="V159">
        <f t="shared" si="73"/>
        <v>27.800252623067813</v>
      </c>
      <c r="W159">
        <f t="shared" si="74"/>
        <v>3.750874168964093</v>
      </c>
      <c r="X159">
        <f t="shared" si="75"/>
        <v>73.540295152296238</v>
      </c>
      <c r="Y159">
        <f t="shared" si="76"/>
        <v>2.5708125263636097</v>
      </c>
      <c r="Z159">
        <f t="shared" si="77"/>
        <v>3.4957876100981875</v>
      </c>
      <c r="AA159">
        <f t="shared" si="78"/>
        <v>1.1800616426004833</v>
      </c>
      <c r="AB159">
        <f t="shared" si="79"/>
        <v>-116.79966548766747</v>
      </c>
      <c r="AC159">
        <f t="shared" si="80"/>
        <v>-145.39929785621823</v>
      </c>
      <c r="AD159">
        <f t="shared" si="81"/>
        <v>-14.000880755078732</v>
      </c>
      <c r="AE159">
        <f t="shared" si="82"/>
        <v>-8.3903764964446736E-2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52125.054076793524</v>
      </c>
      <c r="AK159">
        <f t="shared" si="86"/>
        <v>1800</v>
      </c>
      <c r="AL159">
        <f t="shared" si="87"/>
        <v>1499.1124014000002</v>
      </c>
      <c r="AM159">
        <f t="shared" si="88"/>
        <v>0.83284022300000005</v>
      </c>
      <c r="AN159">
        <f t="shared" si="89"/>
        <v>0.15339774463</v>
      </c>
      <c r="AO159">
        <v>30</v>
      </c>
      <c r="AP159">
        <v>0.5</v>
      </c>
      <c r="AQ159" t="s">
        <v>331</v>
      </c>
      <c r="AR159">
        <v>2</v>
      </c>
      <c r="AS159">
        <v>1690375306.0999999</v>
      </c>
      <c r="AT159">
        <v>396.89800000000002</v>
      </c>
      <c r="AU159">
        <v>799.96400000000006</v>
      </c>
      <c r="AV159">
        <v>26.018699999999999</v>
      </c>
      <c r="AW159">
        <v>0.228385</v>
      </c>
      <c r="AX159">
        <v>397.98500000000001</v>
      </c>
      <c r="AY159">
        <v>25.835899999999999</v>
      </c>
      <c r="AZ159">
        <v>300.06700000000001</v>
      </c>
      <c r="BA159">
        <v>98.706400000000002</v>
      </c>
      <c r="BB159">
        <v>9.9940299999999996E-2</v>
      </c>
      <c r="BC159">
        <v>26.599299999999999</v>
      </c>
      <c r="BD159">
        <v>27.002500000000001</v>
      </c>
      <c r="BE159">
        <v>27.829899999999999</v>
      </c>
      <c r="BF159">
        <v>0</v>
      </c>
      <c r="BG159">
        <v>0</v>
      </c>
      <c r="BH159">
        <v>9972.5</v>
      </c>
      <c r="BI159">
        <v>1086.18</v>
      </c>
      <c r="BJ159">
        <v>1.4016500000000001</v>
      </c>
      <c r="BK159">
        <v>-403.06599999999997</v>
      </c>
      <c r="BL159">
        <v>407.50099999999998</v>
      </c>
      <c r="BM159">
        <v>800.14700000000005</v>
      </c>
      <c r="BN159">
        <v>25.790299999999998</v>
      </c>
      <c r="BO159">
        <v>799.96400000000006</v>
      </c>
      <c r="BP159">
        <v>0.228385</v>
      </c>
      <c r="BQ159">
        <v>2.5682100000000001</v>
      </c>
      <c r="BR159">
        <v>2.25431E-2</v>
      </c>
      <c r="BS159">
        <v>21.465399999999999</v>
      </c>
      <c r="BT159">
        <v>-38.266100000000002</v>
      </c>
      <c r="BU159">
        <v>1800</v>
      </c>
      <c r="BV159">
        <v>0.90999300000000005</v>
      </c>
      <c r="BW159">
        <v>3.3994999999999997E-2</v>
      </c>
      <c r="BX159">
        <v>2.20044E-2</v>
      </c>
      <c r="BY159">
        <v>3.4007700000000002E-2</v>
      </c>
      <c r="BZ159">
        <v>25</v>
      </c>
      <c r="CA159">
        <v>33528.300000000003</v>
      </c>
      <c r="CB159">
        <v>1690373417</v>
      </c>
      <c r="CC159" t="s">
        <v>332</v>
      </c>
      <c r="CD159">
        <v>1690373417</v>
      </c>
      <c r="CE159">
        <v>1690373415</v>
      </c>
      <c r="CF159">
        <v>1</v>
      </c>
      <c r="CG159">
        <v>-1.319</v>
      </c>
      <c r="CH159">
        <v>0.01</v>
      </c>
      <c r="CI159">
        <v>-1.371</v>
      </c>
      <c r="CJ159">
        <v>0.183</v>
      </c>
      <c r="CK159">
        <v>800</v>
      </c>
      <c r="CL159">
        <v>21</v>
      </c>
      <c r="CM159">
        <v>0.09</v>
      </c>
      <c r="CN159">
        <v>7.0000000000000007E-2</v>
      </c>
      <c r="CO159">
        <v>-402.08221951219519</v>
      </c>
      <c r="CP159">
        <v>-6.0645574912903122</v>
      </c>
      <c r="CQ159">
        <v>0.60014211781085014</v>
      </c>
      <c r="CR159">
        <v>-1</v>
      </c>
      <c r="CS159">
        <v>25.74480975609757</v>
      </c>
      <c r="CT159">
        <v>0.27024041811853572</v>
      </c>
      <c r="CU159">
        <v>2.6705665836024309E-2</v>
      </c>
      <c r="CV159">
        <v>-1</v>
      </c>
      <c r="CW159">
        <v>0</v>
      </c>
      <c r="CX159">
        <v>0</v>
      </c>
      <c r="CY159" t="s">
        <v>333</v>
      </c>
      <c r="CZ159">
        <v>2.3652799999999998</v>
      </c>
      <c r="DA159">
        <v>2.7137099999999998</v>
      </c>
      <c r="DB159">
        <v>8.9019600000000004E-2</v>
      </c>
      <c r="DC159">
        <v>0.14574300000000001</v>
      </c>
      <c r="DD159">
        <v>0.120392</v>
      </c>
      <c r="DE159">
        <v>1.91332E-3</v>
      </c>
      <c r="DF159">
        <v>33280.800000000003</v>
      </c>
      <c r="DG159">
        <v>27522.6</v>
      </c>
      <c r="DH159">
        <v>31184.9</v>
      </c>
      <c r="DI159">
        <v>28071.1</v>
      </c>
      <c r="DJ159">
        <v>37226.699999999997</v>
      </c>
      <c r="DK159">
        <v>39826.6</v>
      </c>
      <c r="DL159">
        <v>44376</v>
      </c>
      <c r="DM159">
        <v>42522.2</v>
      </c>
      <c r="DN159">
        <v>1.4859800000000001</v>
      </c>
      <c r="DO159">
        <v>2.0633699999999999</v>
      </c>
      <c r="DP159">
        <v>0.11351</v>
      </c>
      <c r="DQ159">
        <v>0.1681</v>
      </c>
      <c r="DR159">
        <v>25.1433</v>
      </c>
      <c r="DS159">
        <v>25.078399999999998</v>
      </c>
      <c r="DT159">
        <v>38.9</v>
      </c>
      <c r="DU159">
        <v>25.3</v>
      </c>
      <c r="DV159">
        <v>12.756600000000001</v>
      </c>
      <c r="DW159">
        <v>61.490099999999998</v>
      </c>
      <c r="DX159">
        <v>37.928699999999999</v>
      </c>
      <c r="DY159">
        <v>1</v>
      </c>
      <c r="DZ159">
        <v>-0.16908799999999999</v>
      </c>
      <c r="EA159">
        <v>-0.75451800000000002</v>
      </c>
      <c r="EB159">
        <v>20.1891</v>
      </c>
      <c r="EC159">
        <v>5.2415500000000002</v>
      </c>
      <c r="ED159">
        <v>12.039899999999999</v>
      </c>
      <c r="EE159">
        <v>5.0170500000000002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1.8687400000000001</v>
      </c>
      <c r="EL159">
        <v>1.86443</v>
      </c>
      <c r="EM159">
        <v>1.8691</v>
      </c>
      <c r="EN159">
        <v>1.8670800000000001</v>
      </c>
      <c r="EO159">
        <v>1.8632500000000001</v>
      </c>
      <c r="EP159">
        <v>1.8642399999999999</v>
      </c>
      <c r="EQ159">
        <v>1.8700699999999999</v>
      </c>
      <c r="ER159">
        <v>1.86924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-1.087</v>
      </c>
      <c r="FG159">
        <v>0.18279999999999999</v>
      </c>
      <c r="FH159">
        <v>-0.81947142863283695</v>
      </c>
      <c r="FI159">
        <v>-6.1462078757559423E-4</v>
      </c>
      <c r="FJ159">
        <v>-1.8861989874597051E-7</v>
      </c>
      <c r="FK159">
        <v>1.1980462299894961E-10</v>
      </c>
      <c r="FL159">
        <v>0.18283500000000069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31.5</v>
      </c>
      <c r="FU159">
        <v>31.5</v>
      </c>
      <c r="FV159">
        <v>1.7614700000000001</v>
      </c>
      <c r="FW159">
        <v>2.5524900000000001</v>
      </c>
      <c r="FX159">
        <v>1.5490699999999999</v>
      </c>
      <c r="FY159">
        <v>2.34253</v>
      </c>
      <c r="FZ159">
        <v>1.50024</v>
      </c>
      <c r="GA159">
        <v>2.35229</v>
      </c>
      <c r="GB159">
        <v>30.717199999999998</v>
      </c>
      <c r="GC159">
        <v>23.991199999999999</v>
      </c>
      <c r="GD159">
        <v>19</v>
      </c>
      <c r="GE159">
        <v>282.86799999999999</v>
      </c>
      <c r="GF159">
        <v>594.6</v>
      </c>
      <c r="GG159">
        <v>25.757300000000001</v>
      </c>
      <c r="GH159">
        <v>25.3</v>
      </c>
      <c r="GI159">
        <v>30.0002</v>
      </c>
      <c r="GJ159">
        <v>25.417400000000001</v>
      </c>
      <c r="GK159">
        <v>25.385400000000001</v>
      </c>
      <c r="GL159">
        <v>35.230400000000003</v>
      </c>
      <c r="GM159">
        <v>100</v>
      </c>
      <c r="GN159">
        <v>20.130600000000001</v>
      </c>
      <c r="GO159">
        <v>25.761299999999999</v>
      </c>
      <c r="GP159">
        <v>800</v>
      </c>
      <c r="GQ159">
        <v>0</v>
      </c>
      <c r="GR159">
        <v>99.774299999999997</v>
      </c>
      <c r="GS159">
        <v>99.496499999999997</v>
      </c>
    </row>
    <row r="160" spans="1:201" x14ac:dyDescent="0.25">
      <c r="A160">
        <v>144</v>
      </c>
      <c r="B160">
        <v>1690375316.0999999</v>
      </c>
      <c r="C160">
        <v>1496.599999904633</v>
      </c>
      <c r="D160" t="s">
        <v>621</v>
      </c>
      <c r="E160" t="s">
        <v>622</v>
      </c>
      <c r="F160" t="s">
        <v>330</v>
      </c>
      <c r="H160">
        <v>1690375316.0999999</v>
      </c>
      <c r="I160">
        <f t="shared" si="60"/>
        <v>2.6532637733163193E-3</v>
      </c>
      <c r="J160">
        <f t="shared" si="61"/>
        <v>2.6532637733163194</v>
      </c>
      <c r="K160">
        <f t="shared" si="62"/>
        <v>39.360272299726709</v>
      </c>
      <c r="L160">
        <f t="shared" si="63"/>
        <v>395.89400000000001</v>
      </c>
      <c r="M160">
        <f t="shared" si="64"/>
        <v>102.08003000085161</v>
      </c>
      <c r="N160">
        <f t="shared" si="65"/>
        <v>10.08614240206289</v>
      </c>
      <c r="O160">
        <f t="shared" si="66"/>
        <v>39.116791600560603</v>
      </c>
      <c r="P160">
        <f t="shared" si="67"/>
        <v>0.22843691933286309</v>
      </c>
      <c r="Q160">
        <f t="shared" si="68"/>
        <v>2.2474688022165661</v>
      </c>
      <c r="R160">
        <f t="shared" si="69"/>
        <v>0.21627703712523175</v>
      </c>
      <c r="S160">
        <f t="shared" si="70"/>
        <v>0.136211700644355</v>
      </c>
      <c r="T160">
        <f t="shared" si="71"/>
        <v>276.11433617494356</v>
      </c>
      <c r="U160">
        <f t="shared" si="72"/>
        <v>27.792005707547496</v>
      </c>
      <c r="V160">
        <f t="shared" si="73"/>
        <v>27.792005707547496</v>
      </c>
      <c r="W160">
        <f t="shared" si="74"/>
        <v>3.7490685709285358</v>
      </c>
      <c r="X160">
        <f t="shared" si="75"/>
        <v>73.705862448776585</v>
      </c>
      <c r="Y160">
        <f t="shared" si="76"/>
        <v>2.5757201931831601</v>
      </c>
      <c r="Z160">
        <f t="shared" si="77"/>
        <v>3.4945933845807859</v>
      </c>
      <c r="AA160">
        <f t="shared" si="78"/>
        <v>1.1733483777453757</v>
      </c>
      <c r="AB160">
        <f t="shared" si="79"/>
        <v>-117.00893240324969</v>
      </c>
      <c r="AC160">
        <f t="shared" si="80"/>
        <v>-145.21758892908525</v>
      </c>
      <c r="AD160">
        <f t="shared" si="81"/>
        <v>-13.971373365884823</v>
      </c>
      <c r="AE160">
        <f t="shared" si="82"/>
        <v>-8.3558523276167307E-2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52194.977557853941</v>
      </c>
      <c r="AK160">
        <f t="shared" si="86"/>
        <v>1799.99</v>
      </c>
      <c r="AL160">
        <f t="shared" si="87"/>
        <v>1499.10476779391</v>
      </c>
      <c r="AM160">
        <f t="shared" si="88"/>
        <v>0.83284060900000001</v>
      </c>
      <c r="AN160">
        <f t="shared" si="89"/>
        <v>0.15339770563999996</v>
      </c>
      <c r="AO160">
        <v>30</v>
      </c>
      <c r="AP160">
        <v>0.5</v>
      </c>
      <c r="AQ160" t="s">
        <v>331</v>
      </c>
      <c r="AR160">
        <v>2</v>
      </c>
      <c r="AS160">
        <v>1690375316.0999999</v>
      </c>
      <c r="AT160">
        <v>395.89400000000001</v>
      </c>
      <c r="AU160">
        <v>800.01700000000005</v>
      </c>
      <c r="AV160">
        <v>26.0684</v>
      </c>
      <c r="AW160">
        <v>0.22639200000000001</v>
      </c>
      <c r="AX160">
        <v>396.97899999999998</v>
      </c>
      <c r="AY160">
        <v>25.8855</v>
      </c>
      <c r="AZ160">
        <v>299.988</v>
      </c>
      <c r="BA160">
        <v>98.706299999999999</v>
      </c>
      <c r="BB160">
        <v>9.9924899999999997E-2</v>
      </c>
      <c r="BC160">
        <v>26.593499999999999</v>
      </c>
      <c r="BD160">
        <v>26.988700000000001</v>
      </c>
      <c r="BE160">
        <v>27.8096</v>
      </c>
      <c r="BF160">
        <v>0</v>
      </c>
      <c r="BG160">
        <v>0</v>
      </c>
      <c r="BH160">
        <v>9986.25</v>
      </c>
      <c r="BI160">
        <v>1086.23</v>
      </c>
      <c r="BJ160">
        <v>1.4016500000000001</v>
      </c>
      <c r="BK160">
        <v>-404.12400000000002</v>
      </c>
      <c r="BL160">
        <v>406.49</v>
      </c>
      <c r="BM160">
        <v>800.19799999999998</v>
      </c>
      <c r="BN160">
        <v>25.841999999999999</v>
      </c>
      <c r="BO160">
        <v>800.01700000000005</v>
      </c>
      <c r="BP160">
        <v>0.22639200000000001</v>
      </c>
      <c r="BQ160">
        <v>2.5731099999999998</v>
      </c>
      <c r="BR160">
        <v>2.2346299999999999E-2</v>
      </c>
      <c r="BS160">
        <v>21.496500000000001</v>
      </c>
      <c r="BT160">
        <v>-38.351399999999998</v>
      </c>
      <c r="BU160">
        <v>1799.99</v>
      </c>
      <c r="BV160">
        <v>0.90999600000000003</v>
      </c>
      <c r="BW160">
        <v>3.3994000000000003E-2</v>
      </c>
      <c r="BX160">
        <v>2.2003700000000001E-2</v>
      </c>
      <c r="BY160">
        <v>3.4006599999999998E-2</v>
      </c>
      <c r="BZ160">
        <v>25</v>
      </c>
      <c r="CA160">
        <v>33528.199999999997</v>
      </c>
      <c r="CB160">
        <v>1690373417</v>
      </c>
      <c r="CC160" t="s">
        <v>332</v>
      </c>
      <c r="CD160">
        <v>1690373417</v>
      </c>
      <c r="CE160">
        <v>1690373415</v>
      </c>
      <c r="CF160">
        <v>1</v>
      </c>
      <c r="CG160">
        <v>-1.319</v>
      </c>
      <c r="CH160">
        <v>0.01</v>
      </c>
      <c r="CI160">
        <v>-1.371</v>
      </c>
      <c r="CJ160">
        <v>0.183</v>
      </c>
      <c r="CK160">
        <v>800</v>
      </c>
      <c r="CL160">
        <v>21</v>
      </c>
      <c r="CM160">
        <v>0.09</v>
      </c>
      <c r="CN160">
        <v>7.0000000000000007E-2</v>
      </c>
      <c r="CO160">
        <v>-403.00297560975611</v>
      </c>
      <c r="CP160">
        <v>-5.9145365853655596</v>
      </c>
      <c r="CQ160">
        <v>0.5864269437711096</v>
      </c>
      <c r="CR160">
        <v>-1</v>
      </c>
      <c r="CS160">
        <v>25.785751219512189</v>
      </c>
      <c r="CT160">
        <v>0.27635540069687559</v>
      </c>
      <c r="CU160">
        <v>2.729365263431285E-2</v>
      </c>
      <c r="CV160">
        <v>-1</v>
      </c>
      <c r="CW160">
        <v>0</v>
      </c>
      <c r="CX160">
        <v>0</v>
      </c>
      <c r="CY160" t="s">
        <v>333</v>
      </c>
      <c r="CZ160">
        <v>2.36504</v>
      </c>
      <c r="DA160">
        <v>2.7136999999999998</v>
      </c>
      <c r="DB160">
        <v>8.8847700000000002E-2</v>
      </c>
      <c r="DC160">
        <v>0.14574999999999999</v>
      </c>
      <c r="DD160">
        <v>0.12055200000000001</v>
      </c>
      <c r="DE160">
        <v>1.89686E-3</v>
      </c>
      <c r="DF160">
        <v>33287.300000000003</v>
      </c>
      <c r="DG160">
        <v>27522.7</v>
      </c>
      <c r="DH160">
        <v>31185.1</v>
      </c>
      <c r="DI160">
        <v>28071.4</v>
      </c>
      <c r="DJ160">
        <v>37220.1</v>
      </c>
      <c r="DK160">
        <v>39827.699999999997</v>
      </c>
      <c r="DL160">
        <v>44376.4</v>
      </c>
      <c r="DM160">
        <v>42522.7</v>
      </c>
      <c r="DN160">
        <v>1.48577</v>
      </c>
      <c r="DO160">
        <v>2.06345</v>
      </c>
      <c r="DP160">
        <v>0.112765</v>
      </c>
      <c r="DQ160">
        <v>0.16705700000000001</v>
      </c>
      <c r="DR160">
        <v>25.1417</v>
      </c>
      <c r="DS160">
        <v>25.075099999999999</v>
      </c>
      <c r="DT160">
        <v>38.5</v>
      </c>
      <c r="DU160">
        <v>25.3</v>
      </c>
      <c r="DV160">
        <v>12.626099999999999</v>
      </c>
      <c r="DW160">
        <v>61.900100000000002</v>
      </c>
      <c r="DX160">
        <v>37.648200000000003</v>
      </c>
      <c r="DY160">
        <v>1</v>
      </c>
      <c r="DZ160">
        <v>-0.16933699999999999</v>
      </c>
      <c r="EA160">
        <v>-0.73277000000000003</v>
      </c>
      <c r="EB160">
        <v>20.1889</v>
      </c>
      <c r="EC160">
        <v>5.2423000000000002</v>
      </c>
      <c r="ED160">
        <v>12.039899999999999</v>
      </c>
      <c r="EE160">
        <v>5.0171999999999999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1.8687499999999999</v>
      </c>
      <c r="EL160">
        <v>1.8644499999999999</v>
      </c>
      <c r="EM160">
        <v>1.8690899999999999</v>
      </c>
      <c r="EN160">
        <v>1.86707</v>
      </c>
      <c r="EO160">
        <v>1.8632500000000001</v>
      </c>
      <c r="EP160">
        <v>1.86425</v>
      </c>
      <c r="EQ160">
        <v>1.87009</v>
      </c>
      <c r="ER160">
        <v>1.8692500000000001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-1.085</v>
      </c>
      <c r="FG160">
        <v>0.18290000000000001</v>
      </c>
      <c r="FH160">
        <v>-0.81947142863283695</v>
      </c>
      <c r="FI160">
        <v>-6.1462078757559423E-4</v>
      </c>
      <c r="FJ160">
        <v>-1.8861989874597051E-7</v>
      </c>
      <c r="FK160">
        <v>1.1980462299894961E-10</v>
      </c>
      <c r="FL160">
        <v>0.18283500000000069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31.7</v>
      </c>
      <c r="FU160">
        <v>31.7</v>
      </c>
      <c r="FV160">
        <v>1.7614700000000001</v>
      </c>
      <c r="FW160">
        <v>2.5537100000000001</v>
      </c>
      <c r="FX160">
        <v>1.5490699999999999</v>
      </c>
      <c r="FY160">
        <v>2.34253</v>
      </c>
      <c r="FZ160">
        <v>1.50146</v>
      </c>
      <c r="GA160">
        <v>2.36694</v>
      </c>
      <c r="GB160">
        <v>30.738800000000001</v>
      </c>
      <c r="GC160">
        <v>23.991199999999999</v>
      </c>
      <c r="GD160">
        <v>19</v>
      </c>
      <c r="GE160">
        <v>282.78300000000002</v>
      </c>
      <c r="GF160">
        <v>594.63699999999994</v>
      </c>
      <c r="GG160">
        <v>25.7639</v>
      </c>
      <c r="GH160">
        <v>25.3</v>
      </c>
      <c r="GI160">
        <v>30</v>
      </c>
      <c r="GJ160">
        <v>25.417400000000001</v>
      </c>
      <c r="GK160">
        <v>25.383199999999999</v>
      </c>
      <c r="GL160">
        <v>35.228299999999997</v>
      </c>
      <c r="GM160">
        <v>100</v>
      </c>
      <c r="GN160">
        <v>19.3185</v>
      </c>
      <c r="GO160">
        <v>25.767700000000001</v>
      </c>
      <c r="GP160">
        <v>800</v>
      </c>
      <c r="GQ160">
        <v>0</v>
      </c>
      <c r="GR160">
        <v>99.775000000000006</v>
      </c>
      <c r="GS160">
        <v>99.497500000000002</v>
      </c>
    </row>
    <row r="161" spans="1:201" x14ac:dyDescent="0.25">
      <c r="A161">
        <v>145</v>
      </c>
      <c r="B161">
        <v>1690375326.0999999</v>
      </c>
      <c r="C161">
        <v>1506.599999904633</v>
      </c>
      <c r="D161" t="s">
        <v>623</v>
      </c>
      <c r="E161" t="s">
        <v>624</v>
      </c>
      <c r="F161" t="s">
        <v>330</v>
      </c>
      <c r="H161">
        <v>1690375326.0999999</v>
      </c>
      <c r="I161">
        <f t="shared" si="60"/>
        <v>2.6581297341028067E-3</v>
      </c>
      <c r="J161">
        <f t="shared" si="61"/>
        <v>2.6581297341028067</v>
      </c>
      <c r="K161">
        <f t="shared" si="62"/>
        <v>39.468768069451635</v>
      </c>
      <c r="L161">
        <f t="shared" si="63"/>
        <v>394.858</v>
      </c>
      <c r="M161">
        <f t="shared" si="64"/>
        <v>101.98920692518867</v>
      </c>
      <c r="N161">
        <f t="shared" si="65"/>
        <v>10.077448405803395</v>
      </c>
      <c r="O161">
        <f t="shared" si="66"/>
        <v>39.015511960373601</v>
      </c>
      <c r="P161">
        <f t="shared" si="67"/>
        <v>0.22983299120546802</v>
      </c>
      <c r="Q161">
        <f t="shared" si="68"/>
        <v>2.2528139212067786</v>
      </c>
      <c r="R161">
        <f t="shared" si="69"/>
        <v>0.21755584517906554</v>
      </c>
      <c r="S161">
        <f t="shared" si="70"/>
        <v>0.13702077922046754</v>
      </c>
      <c r="T161">
        <f t="shared" si="71"/>
        <v>276.11573239799998</v>
      </c>
      <c r="U161">
        <f t="shared" si="72"/>
        <v>27.787108031704399</v>
      </c>
      <c r="V161">
        <f t="shared" si="73"/>
        <v>27.787108031704399</v>
      </c>
      <c r="W161">
        <f t="shared" si="74"/>
        <v>3.7479966218609735</v>
      </c>
      <c r="X161">
        <f t="shared" si="75"/>
        <v>73.813873774216603</v>
      </c>
      <c r="Y161">
        <f t="shared" si="76"/>
        <v>2.5793883791721601</v>
      </c>
      <c r="Z161">
        <f t="shared" si="77"/>
        <v>3.4944492780070671</v>
      </c>
      <c r="AA161">
        <f t="shared" si="78"/>
        <v>1.1686082426888134</v>
      </c>
      <c r="AB161">
        <f t="shared" si="79"/>
        <v>-117.22352127393377</v>
      </c>
      <c r="AC161">
        <f t="shared" si="80"/>
        <v>-145.05313431088484</v>
      </c>
      <c r="AD161">
        <f t="shared" si="81"/>
        <v>-13.922049884870784</v>
      </c>
      <c r="AE161">
        <f t="shared" si="82"/>
        <v>-8.297307168942325E-2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52403.268878337141</v>
      </c>
      <c r="AK161">
        <f t="shared" si="86"/>
        <v>1800</v>
      </c>
      <c r="AL161">
        <f t="shared" si="87"/>
        <v>1499.1138197999999</v>
      </c>
      <c r="AM161">
        <f t="shared" si="88"/>
        <v>0.83284101099999996</v>
      </c>
      <c r="AN161">
        <f t="shared" si="89"/>
        <v>0.15339762910999999</v>
      </c>
      <c r="AO161">
        <v>30</v>
      </c>
      <c r="AP161">
        <v>0.5</v>
      </c>
      <c r="AQ161" t="s">
        <v>331</v>
      </c>
      <c r="AR161">
        <v>2</v>
      </c>
      <c r="AS161">
        <v>1690375326.0999999</v>
      </c>
      <c r="AT161">
        <v>394.858</v>
      </c>
      <c r="AU161">
        <v>799.92</v>
      </c>
      <c r="AV161">
        <v>26.104800000000001</v>
      </c>
      <c r="AW161">
        <v>0.22516600000000001</v>
      </c>
      <c r="AX161">
        <v>395.94299999999998</v>
      </c>
      <c r="AY161">
        <v>25.922000000000001</v>
      </c>
      <c r="AZ161">
        <v>300.08999999999997</v>
      </c>
      <c r="BA161">
        <v>98.709000000000003</v>
      </c>
      <c r="BB161">
        <v>9.9969199999999994E-2</v>
      </c>
      <c r="BC161">
        <v>26.5928</v>
      </c>
      <c r="BD161">
        <v>26.996099999999998</v>
      </c>
      <c r="BE161">
        <v>27.8078</v>
      </c>
      <c r="BF161">
        <v>0</v>
      </c>
      <c r="BG161">
        <v>0</v>
      </c>
      <c r="BH161">
        <v>10027.5</v>
      </c>
      <c r="BI161">
        <v>1086.07</v>
      </c>
      <c r="BJ161">
        <v>1.4016500000000001</v>
      </c>
      <c r="BK161">
        <v>-405.06099999999998</v>
      </c>
      <c r="BL161">
        <v>405.44200000000001</v>
      </c>
      <c r="BM161">
        <v>800.1</v>
      </c>
      <c r="BN161">
        <v>25.8796</v>
      </c>
      <c r="BO161">
        <v>799.92</v>
      </c>
      <c r="BP161">
        <v>0.22516600000000001</v>
      </c>
      <c r="BQ161">
        <v>2.5767799999999998</v>
      </c>
      <c r="BR161">
        <v>2.22259E-2</v>
      </c>
      <c r="BS161">
        <v>21.5198</v>
      </c>
      <c r="BT161">
        <v>-38.4041</v>
      </c>
      <c r="BU161">
        <v>1800</v>
      </c>
      <c r="BV161">
        <v>0.91</v>
      </c>
      <c r="BW161">
        <v>3.3992500000000002E-2</v>
      </c>
      <c r="BX161">
        <v>2.2002799999999999E-2</v>
      </c>
      <c r="BY161">
        <v>3.4005100000000003E-2</v>
      </c>
      <c r="BZ161">
        <v>25</v>
      </c>
      <c r="CA161">
        <v>33528.400000000001</v>
      </c>
      <c r="CB161">
        <v>1690373417</v>
      </c>
      <c r="CC161" t="s">
        <v>332</v>
      </c>
      <c r="CD161">
        <v>1690373417</v>
      </c>
      <c r="CE161">
        <v>1690373415</v>
      </c>
      <c r="CF161">
        <v>1</v>
      </c>
      <c r="CG161">
        <v>-1.319</v>
      </c>
      <c r="CH161">
        <v>0.01</v>
      </c>
      <c r="CI161">
        <v>-1.371</v>
      </c>
      <c r="CJ161">
        <v>0.183</v>
      </c>
      <c r="CK161">
        <v>800</v>
      </c>
      <c r="CL161">
        <v>21</v>
      </c>
      <c r="CM161">
        <v>0.09</v>
      </c>
      <c r="CN161">
        <v>7.0000000000000007E-2</v>
      </c>
      <c r="CO161">
        <v>-404.06400000000002</v>
      </c>
      <c r="CP161">
        <v>-5.8893433395873549</v>
      </c>
      <c r="CQ161">
        <v>0.5691834502161881</v>
      </c>
      <c r="CR161">
        <v>-1</v>
      </c>
      <c r="CS161">
        <v>25.8359025</v>
      </c>
      <c r="CT161">
        <v>0.28048592870533862</v>
      </c>
      <c r="CU161">
        <v>2.705500404269055E-2</v>
      </c>
      <c r="CV161">
        <v>-1</v>
      </c>
      <c r="CW161">
        <v>0</v>
      </c>
      <c r="CX161">
        <v>0</v>
      </c>
      <c r="CY161" t="s">
        <v>333</v>
      </c>
      <c r="CZ161">
        <v>2.36537</v>
      </c>
      <c r="DA161">
        <v>2.7137799999999999</v>
      </c>
      <c r="DB161">
        <v>8.8672500000000001E-2</v>
      </c>
      <c r="DC161">
        <v>0.14574200000000001</v>
      </c>
      <c r="DD161">
        <v>0.120673</v>
      </c>
      <c r="DE161">
        <v>1.88678E-3</v>
      </c>
      <c r="DF161">
        <v>33293.5</v>
      </c>
      <c r="DG161">
        <v>27523.5</v>
      </c>
      <c r="DH161">
        <v>31184.799999999999</v>
      </c>
      <c r="DI161">
        <v>28071.9</v>
      </c>
      <c r="DJ161">
        <v>37214.800000000003</v>
      </c>
      <c r="DK161">
        <v>39829</v>
      </c>
      <c r="DL161">
        <v>44376.2</v>
      </c>
      <c r="DM161">
        <v>42523.6</v>
      </c>
      <c r="DN161">
        <v>1.4861</v>
      </c>
      <c r="DO161">
        <v>2.0635500000000002</v>
      </c>
      <c r="DP161">
        <v>0.113383</v>
      </c>
      <c r="DQ161">
        <v>0.167236</v>
      </c>
      <c r="DR161">
        <v>25.139099999999999</v>
      </c>
      <c r="DS161">
        <v>25.0703</v>
      </c>
      <c r="DT161">
        <v>38.200000000000003</v>
      </c>
      <c r="DU161">
        <v>25.3</v>
      </c>
      <c r="DV161">
        <v>12.525700000000001</v>
      </c>
      <c r="DW161">
        <v>61.2301</v>
      </c>
      <c r="DX161">
        <v>37.075299999999999</v>
      </c>
      <c r="DY161">
        <v>1</v>
      </c>
      <c r="DZ161">
        <v>-0.169352</v>
      </c>
      <c r="EA161">
        <v>-0.72755700000000001</v>
      </c>
      <c r="EB161">
        <v>20.189</v>
      </c>
      <c r="EC161">
        <v>5.2418500000000003</v>
      </c>
      <c r="ED161">
        <v>12.039899999999999</v>
      </c>
      <c r="EE161">
        <v>5.0172499999999998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1.8687400000000001</v>
      </c>
      <c r="EL161">
        <v>1.8644700000000001</v>
      </c>
      <c r="EM161">
        <v>1.8691</v>
      </c>
      <c r="EN161">
        <v>1.86707</v>
      </c>
      <c r="EO161">
        <v>1.8632500000000001</v>
      </c>
      <c r="EP161">
        <v>1.86426</v>
      </c>
      <c r="EQ161">
        <v>1.8701000000000001</v>
      </c>
      <c r="ER161">
        <v>1.86927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-1.085</v>
      </c>
      <c r="FG161">
        <v>0.18279999999999999</v>
      </c>
      <c r="FH161">
        <v>-0.81947142863283695</v>
      </c>
      <c r="FI161">
        <v>-6.1462078757559423E-4</v>
      </c>
      <c r="FJ161">
        <v>-1.8861989874597051E-7</v>
      </c>
      <c r="FK161">
        <v>1.1980462299894961E-10</v>
      </c>
      <c r="FL161">
        <v>0.18283500000000069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31.8</v>
      </c>
      <c r="FU161">
        <v>31.9</v>
      </c>
      <c r="FV161">
        <v>1.7626999999999999</v>
      </c>
      <c r="FW161">
        <v>2.5598100000000001</v>
      </c>
      <c r="FX161">
        <v>1.5490699999999999</v>
      </c>
      <c r="FY161">
        <v>2.34375</v>
      </c>
      <c r="FZ161">
        <v>1.50146</v>
      </c>
      <c r="GA161">
        <v>2.35229</v>
      </c>
      <c r="GB161">
        <v>30.738800000000001</v>
      </c>
      <c r="GC161">
        <v>23.991199999999999</v>
      </c>
      <c r="GD161">
        <v>19</v>
      </c>
      <c r="GE161">
        <v>282.92099999999999</v>
      </c>
      <c r="GF161">
        <v>594.72</v>
      </c>
      <c r="GG161">
        <v>25.7727</v>
      </c>
      <c r="GH161">
        <v>25.3</v>
      </c>
      <c r="GI161">
        <v>30</v>
      </c>
      <c r="GJ161">
        <v>25.417400000000001</v>
      </c>
      <c r="GK161">
        <v>25.383199999999999</v>
      </c>
      <c r="GL161">
        <v>35.230699999999999</v>
      </c>
      <c r="GM161">
        <v>100</v>
      </c>
      <c r="GN161">
        <v>18.518799999999999</v>
      </c>
      <c r="GO161">
        <v>25.763200000000001</v>
      </c>
      <c r="GP161">
        <v>800</v>
      </c>
      <c r="GQ161">
        <v>0</v>
      </c>
      <c r="GR161">
        <v>99.774600000000007</v>
      </c>
      <c r="GS161">
        <v>99.499600000000001</v>
      </c>
    </row>
    <row r="162" spans="1:201" x14ac:dyDescent="0.25">
      <c r="A162">
        <v>146</v>
      </c>
      <c r="B162">
        <v>1690375336.0999999</v>
      </c>
      <c r="C162">
        <v>1516.599999904633</v>
      </c>
      <c r="D162" t="s">
        <v>625</v>
      </c>
      <c r="E162" t="s">
        <v>626</v>
      </c>
      <c r="F162" t="s">
        <v>330</v>
      </c>
      <c r="H162">
        <v>1690375336.0999999</v>
      </c>
      <c r="I162">
        <f t="shared" si="60"/>
        <v>2.6633652823621489E-3</v>
      </c>
      <c r="J162">
        <f t="shared" si="61"/>
        <v>2.663365282362149</v>
      </c>
      <c r="K162">
        <f t="shared" si="62"/>
        <v>39.576015125871791</v>
      </c>
      <c r="L162">
        <f t="shared" si="63"/>
        <v>393.94400000000002</v>
      </c>
      <c r="M162">
        <f t="shared" si="64"/>
        <v>101.54068915099884</v>
      </c>
      <c r="N162">
        <f t="shared" si="65"/>
        <v>10.033030585899489</v>
      </c>
      <c r="O162">
        <f t="shared" si="66"/>
        <v>38.924811661008</v>
      </c>
      <c r="P162">
        <f t="shared" si="67"/>
        <v>0.230874876859372</v>
      </c>
      <c r="Q162">
        <f t="shared" si="68"/>
        <v>2.2495076468835236</v>
      </c>
      <c r="R162">
        <f t="shared" si="69"/>
        <v>0.21847223515516775</v>
      </c>
      <c r="S162">
        <f t="shared" si="70"/>
        <v>0.1376039257851058</v>
      </c>
      <c r="T162">
        <f t="shared" si="71"/>
        <v>276.11539966799995</v>
      </c>
      <c r="U162">
        <f t="shared" si="72"/>
        <v>27.794262399848627</v>
      </c>
      <c r="V162">
        <f t="shared" si="73"/>
        <v>27.794262399848627</v>
      </c>
      <c r="W162">
        <f t="shared" si="74"/>
        <v>3.749562580776252</v>
      </c>
      <c r="X162">
        <f t="shared" si="75"/>
        <v>73.902933637570953</v>
      </c>
      <c r="Y162">
        <f t="shared" si="76"/>
        <v>2.5836113517395995</v>
      </c>
      <c r="Z162">
        <f t="shared" si="77"/>
        <v>3.4959523588196735</v>
      </c>
      <c r="AA162">
        <f t="shared" si="78"/>
        <v>1.1659512290366525</v>
      </c>
      <c r="AB162">
        <f t="shared" si="79"/>
        <v>-117.45440895217077</v>
      </c>
      <c r="AC162">
        <f t="shared" si="80"/>
        <v>-144.82258988872718</v>
      </c>
      <c r="AD162">
        <f t="shared" si="81"/>
        <v>-13.921357675179857</v>
      </c>
      <c r="AE162">
        <f t="shared" si="82"/>
        <v>-8.2956848077856193E-2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52273.189780923363</v>
      </c>
      <c r="AK162">
        <f t="shared" si="86"/>
        <v>1800</v>
      </c>
      <c r="AL162">
        <f t="shared" si="87"/>
        <v>1499.1127217999999</v>
      </c>
      <c r="AM162">
        <f t="shared" si="88"/>
        <v>0.8328404009999999</v>
      </c>
      <c r="AN162">
        <f t="shared" si="89"/>
        <v>0.15339744425999996</v>
      </c>
      <c r="AO162">
        <v>30</v>
      </c>
      <c r="AP162">
        <v>0.5</v>
      </c>
      <c r="AQ162" t="s">
        <v>331</v>
      </c>
      <c r="AR162">
        <v>2</v>
      </c>
      <c r="AS162">
        <v>1690375336.0999999</v>
      </c>
      <c r="AT162">
        <v>393.94400000000002</v>
      </c>
      <c r="AU162">
        <v>799.99599999999998</v>
      </c>
      <c r="AV162">
        <v>26.1478</v>
      </c>
      <c r="AW162">
        <v>0.22334799999999999</v>
      </c>
      <c r="AX162">
        <v>395.02800000000002</v>
      </c>
      <c r="AY162">
        <v>25.965</v>
      </c>
      <c r="AZ162">
        <v>300.14800000000002</v>
      </c>
      <c r="BA162">
        <v>98.707999999999998</v>
      </c>
      <c r="BB162">
        <v>9.9982000000000001E-2</v>
      </c>
      <c r="BC162">
        <v>26.600100000000001</v>
      </c>
      <c r="BD162">
        <v>26.997900000000001</v>
      </c>
      <c r="BE162">
        <v>27.805099999999999</v>
      </c>
      <c r="BF162">
        <v>0</v>
      </c>
      <c r="BG162">
        <v>0</v>
      </c>
      <c r="BH162">
        <v>10001.9</v>
      </c>
      <c r="BI162">
        <v>1086.0999999999999</v>
      </c>
      <c r="BJ162">
        <v>1.4016500000000001</v>
      </c>
      <c r="BK162">
        <v>-406.05200000000002</v>
      </c>
      <c r="BL162">
        <v>404.52100000000002</v>
      </c>
      <c r="BM162">
        <v>800.17499999999995</v>
      </c>
      <c r="BN162">
        <v>25.924499999999998</v>
      </c>
      <c r="BO162">
        <v>799.99599999999998</v>
      </c>
      <c r="BP162">
        <v>0.22334799999999999</v>
      </c>
      <c r="BQ162">
        <v>2.581</v>
      </c>
      <c r="BR162">
        <v>2.2046199999999998E-2</v>
      </c>
      <c r="BS162">
        <v>21.546500000000002</v>
      </c>
      <c r="BT162">
        <v>-38.482999999999997</v>
      </c>
      <c r="BU162">
        <v>1800</v>
      </c>
      <c r="BV162">
        <v>0.91000099999999995</v>
      </c>
      <c r="BW162">
        <v>3.3991800000000003E-2</v>
      </c>
      <c r="BX162">
        <v>2.2002299999999999E-2</v>
      </c>
      <c r="BY162">
        <v>3.4004399999999997E-2</v>
      </c>
      <c r="BZ162">
        <v>25</v>
      </c>
      <c r="CA162">
        <v>33528.400000000001</v>
      </c>
      <c r="CB162">
        <v>1690373417</v>
      </c>
      <c r="CC162" t="s">
        <v>332</v>
      </c>
      <c r="CD162">
        <v>1690373417</v>
      </c>
      <c r="CE162">
        <v>1690373415</v>
      </c>
      <c r="CF162">
        <v>1</v>
      </c>
      <c r="CG162">
        <v>-1.319</v>
      </c>
      <c r="CH162">
        <v>0.01</v>
      </c>
      <c r="CI162">
        <v>-1.371</v>
      </c>
      <c r="CJ162">
        <v>0.183</v>
      </c>
      <c r="CK162">
        <v>800</v>
      </c>
      <c r="CL162">
        <v>21</v>
      </c>
      <c r="CM162">
        <v>0.09</v>
      </c>
      <c r="CN162">
        <v>7.0000000000000007E-2</v>
      </c>
      <c r="CO162">
        <v>-405.03922499999999</v>
      </c>
      <c r="CP162">
        <v>-5.8152157598486109</v>
      </c>
      <c r="CQ162">
        <v>0.56037092570456859</v>
      </c>
      <c r="CR162">
        <v>-1</v>
      </c>
      <c r="CS162">
        <v>25.878327500000001</v>
      </c>
      <c r="CT162">
        <v>0.2323711069418779</v>
      </c>
      <c r="CU162">
        <v>2.2388233377156092E-2</v>
      </c>
      <c r="CV162">
        <v>-1</v>
      </c>
      <c r="CW162">
        <v>0</v>
      </c>
      <c r="CX162">
        <v>0</v>
      </c>
      <c r="CY162" t="s">
        <v>333</v>
      </c>
      <c r="CZ162">
        <v>2.3655499999999998</v>
      </c>
      <c r="DA162">
        <v>2.7137699999999998</v>
      </c>
      <c r="DB162">
        <v>8.8514800000000005E-2</v>
      </c>
      <c r="DC162">
        <v>0.14574999999999999</v>
      </c>
      <c r="DD162">
        <v>0.120811</v>
      </c>
      <c r="DE162">
        <v>1.8717300000000001E-3</v>
      </c>
      <c r="DF162">
        <v>33299.4</v>
      </c>
      <c r="DG162">
        <v>27523.3</v>
      </c>
      <c r="DH162">
        <v>31185</v>
      </c>
      <c r="DI162">
        <v>28072</v>
      </c>
      <c r="DJ162">
        <v>37208.9</v>
      </c>
      <c r="DK162">
        <v>39829.699999999997</v>
      </c>
      <c r="DL162">
        <v>44376.2</v>
      </c>
      <c r="DM162">
        <v>42523.7</v>
      </c>
      <c r="DN162">
        <v>1.4861200000000001</v>
      </c>
      <c r="DO162">
        <v>2.06332</v>
      </c>
      <c r="DP162">
        <v>0.113584</v>
      </c>
      <c r="DQ162">
        <v>0.16722799999999999</v>
      </c>
      <c r="DR162">
        <v>25.137599999999999</v>
      </c>
      <c r="DS162">
        <v>25.067699999999999</v>
      </c>
      <c r="DT162">
        <v>37.799999999999997</v>
      </c>
      <c r="DU162">
        <v>25.3</v>
      </c>
      <c r="DV162">
        <v>12.398099999999999</v>
      </c>
      <c r="DW162">
        <v>61.310099999999998</v>
      </c>
      <c r="DX162">
        <v>36.770800000000001</v>
      </c>
      <c r="DY162">
        <v>1</v>
      </c>
      <c r="DZ162">
        <v>-0.16924</v>
      </c>
      <c r="EA162">
        <v>-0.72440899999999997</v>
      </c>
      <c r="EB162">
        <v>20.1891</v>
      </c>
      <c r="EC162">
        <v>5.242</v>
      </c>
      <c r="ED162">
        <v>12.039899999999999</v>
      </c>
      <c r="EE162">
        <v>5.0172499999999998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1.86876</v>
      </c>
      <c r="EL162">
        <v>1.86446</v>
      </c>
      <c r="EM162">
        <v>1.8690800000000001</v>
      </c>
      <c r="EN162">
        <v>1.86707</v>
      </c>
      <c r="EO162">
        <v>1.8632500000000001</v>
      </c>
      <c r="EP162">
        <v>1.86429</v>
      </c>
      <c r="EQ162">
        <v>1.8700699999999999</v>
      </c>
      <c r="ER162">
        <v>1.8692800000000001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-1.0840000000000001</v>
      </c>
      <c r="FG162">
        <v>0.18279999999999999</v>
      </c>
      <c r="FH162">
        <v>-0.81947142863283695</v>
      </c>
      <c r="FI162">
        <v>-6.1462078757559423E-4</v>
      </c>
      <c r="FJ162">
        <v>-1.8861989874597051E-7</v>
      </c>
      <c r="FK162">
        <v>1.1980462299894961E-10</v>
      </c>
      <c r="FL162">
        <v>0.18283500000000069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32</v>
      </c>
      <c r="FU162">
        <v>32</v>
      </c>
      <c r="FV162">
        <v>1.7614700000000001</v>
      </c>
      <c r="FW162">
        <v>2.5671400000000002</v>
      </c>
      <c r="FX162">
        <v>1.5490699999999999</v>
      </c>
      <c r="FY162">
        <v>2.34253</v>
      </c>
      <c r="FZ162">
        <v>1.50146</v>
      </c>
      <c r="GA162">
        <v>2.3156699999999999</v>
      </c>
      <c r="GB162">
        <v>30.738800000000001</v>
      </c>
      <c r="GC162">
        <v>23.982399999999998</v>
      </c>
      <c r="GD162">
        <v>19</v>
      </c>
      <c r="GE162">
        <v>282.93099999999998</v>
      </c>
      <c r="GF162">
        <v>594.53200000000004</v>
      </c>
      <c r="GG162">
        <v>25.7652</v>
      </c>
      <c r="GH162">
        <v>25.3</v>
      </c>
      <c r="GI162">
        <v>30.0001</v>
      </c>
      <c r="GJ162">
        <v>25.417400000000001</v>
      </c>
      <c r="GK162">
        <v>25.383199999999999</v>
      </c>
      <c r="GL162">
        <v>35.230200000000004</v>
      </c>
      <c r="GM162">
        <v>100</v>
      </c>
      <c r="GN162">
        <v>18.123200000000001</v>
      </c>
      <c r="GO162">
        <v>25.770099999999999</v>
      </c>
      <c r="GP162">
        <v>800</v>
      </c>
      <c r="GQ162">
        <v>0</v>
      </c>
      <c r="GR162">
        <v>99.774699999999996</v>
      </c>
      <c r="GS162">
        <v>99.499799999999993</v>
      </c>
    </row>
    <row r="163" spans="1:201" x14ac:dyDescent="0.25">
      <c r="A163">
        <v>147</v>
      </c>
      <c r="B163">
        <v>1690375346.0999999</v>
      </c>
      <c r="C163">
        <v>1526.599999904633</v>
      </c>
      <c r="D163" t="s">
        <v>627</v>
      </c>
      <c r="E163" t="s">
        <v>628</v>
      </c>
      <c r="F163" t="s">
        <v>330</v>
      </c>
      <c r="H163">
        <v>1690375346.0999999</v>
      </c>
      <c r="I163">
        <f t="shared" si="60"/>
        <v>2.6681964526781171E-3</v>
      </c>
      <c r="J163">
        <f t="shared" si="61"/>
        <v>2.6681964526781172</v>
      </c>
      <c r="K163">
        <f t="shared" si="62"/>
        <v>39.66439402277053</v>
      </c>
      <c r="L163">
        <f t="shared" si="63"/>
        <v>392.983</v>
      </c>
      <c r="M163">
        <f t="shared" si="64"/>
        <v>101.62888923161216</v>
      </c>
      <c r="N163">
        <f t="shared" si="65"/>
        <v>10.041464149111736</v>
      </c>
      <c r="O163">
        <f t="shared" si="66"/>
        <v>38.828769413362004</v>
      </c>
      <c r="P163">
        <f t="shared" si="67"/>
        <v>0.2322736992036806</v>
      </c>
      <c r="Q163">
        <f t="shared" si="68"/>
        <v>2.2509127433038589</v>
      </c>
      <c r="R163">
        <f t="shared" si="69"/>
        <v>0.21973207741096029</v>
      </c>
      <c r="S163">
        <f t="shared" si="70"/>
        <v>0.13840290346538625</v>
      </c>
      <c r="T163">
        <f t="shared" si="71"/>
        <v>276.11549659800005</v>
      </c>
      <c r="U163">
        <f t="shared" si="72"/>
        <v>27.793578365057819</v>
      </c>
      <c r="V163">
        <f t="shared" si="73"/>
        <v>27.793578365057819</v>
      </c>
      <c r="W163">
        <f t="shared" si="74"/>
        <v>3.7494128335290871</v>
      </c>
      <c r="X163">
        <f t="shared" si="75"/>
        <v>74.024459893745004</v>
      </c>
      <c r="Y163">
        <f t="shared" si="76"/>
        <v>2.5881037755160001</v>
      </c>
      <c r="Z163">
        <f t="shared" si="77"/>
        <v>3.4962818765999435</v>
      </c>
      <c r="AA163">
        <f t="shared" si="78"/>
        <v>1.1613090580130869</v>
      </c>
      <c r="AB163">
        <f t="shared" si="79"/>
        <v>-117.66746356310496</v>
      </c>
      <c r="AC163">
        <f t="shared" si="80"/>
        <v>-144.63587917071465</v>
      </c>
      <c r="AD163">
        <f t="shared" si="81"/>
        <v>-13.894794139886336</v>
      </c>
      <c r="AE163">
        <f t="shared" si="82"/>
        <v>-8.2640275705898603E-2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52327.556448156851</v>
      </c>
      <c r="AK163">
        <f t="shared" si="86"/>
        <v>1800</v>
      </c>
      <c r="AL163">
        <f t="shared" si="87"/>
        <v>1499.1141257999998</v>
      </c>
      <c r="AM163">
        <f t="shared" si="88"/>
        <v>0.83284118099999993</v>
      </c>
      <c r="AN163">
        <f t="shared" si="89"/>
        <v>0.15339749811000003</v>
      </c>
      <c r="AO163">
        <v>30</v>
      </c>
      <c r="AP163">
        <v>0.5</v>
      </c>
      <c r="AQ163" t="s">
        <v>331</v>
      </c>
      <c r="AR163">
        <v>2</v>
      </c>
      <c r="AS163">
        <v>1690375346.0999999</v>
      </c>
      <c r="AT163">
        <v>392.983</v>
      </c>
      <c r="AU163">
        <v>799.947</v>
      </c>
      <c r="AV163">
        <v>26.193999999999999</v>
      </c>
      <c r="AW163">
        <v>0.22150500000000001</v>
      </c>
      <c r="AX163">
        <v>394.06599999999997</v>
      </c>
      <c r="AY163">
        <v>26.011199999999999</v>
      </c>
      <c r="AZ163">
        <v>300.12200000000001</v>
      </c>
      <c r="BA163">
        <v>98.705200000000005</v>
      </c>
      <c r="BB163">
        <v>0.10001400000000001</v>
      </c>
      <c r="BC163">
        <v>26.601700000000001</v>
      </c>
      <c r="BD163">
        <v>26.995799999999999</v>
      </c>
      <c r="BE163">
        <v>27.8203</v>
      </c>
      <c r="BF163">
        <v>0</v>
      </c>
      <c r="BG163">
        <v>0</v>
      </c>
      <c r="BH163">
        <v>10013.1</v>
      </c>
      <c r="BI163">
        <v>1086.01</v>
      </c>
      <c r="BJ163">
        <v>1.4016500000000001</v>
      </c>
      <c r="BK163">
        <v>-406.964</v>
      </c>
      <c r="BL163">
        <v>403.553</v>
      </c>
      <c r="BM163">
        <v>800.12400000000002</v>
      </c>
      <c r="BN163">
        <v>25.9725</v>
      </c>
      <c r="BO163">
        <v>799.947</v>
      </c>
      <c r="BP163">
        <v>0.22150500000000001</v>
      </c>
      <c r="BQ163">
        <v>2.5854900000000001</v>
      </c>
      <c r="BR163">
        <v>2.18637E-2</v>
      </c>
      <c r="BS163">
        <v>21.5749</v>
      </c>
      <c r="BT163">
        <v>-38.563800000000001</v>
      </c>
      <c r="BU163">
        <v>1800</v>
      </c>
      <c r="BV163">
        <v>0.91000400000000004</v>
      </c>
      <c r="BW163">
        <v>3.3990899999999998E-2</v>
      </c>
      <c r="BX163">
        <v>2.2001799999999998E-2</v>
      </c>
      <c r="BY163">
        <v>3.4003499999999999E-2</v>
      </c>
      <c r="BZ163">
        <v>25</v>
      </c>
      <c r="CA163">
        <v>33528.300000000003</v>
      </c>
      <c r="CB163">
        <v>1690373417</v>
      </c>
      <c r="CC163" t="s">
        <v>332</v>
      </c>
      <c r="CD163">
        <v>1690373417</v>
      </c>
      <c r="CE163">
        <v>1690373415</v>
      </c>
      <c r="CF163">
        <v>1</v>
      </c>
      <c r="CG163">
        <v>-1.319</v>
      </c>
      <c r="CH163">
        <v>0.01</v>
      </c>
      <c r="CI163">
        <v>-1.371</v>
      </c>
      <c r="CJ163">
        <v>0.183</v>
      </c>
      <c r="CK163">
        <v>800</v>
      </c>
      <c r="CL163">
        <v>21</v>
      </c>
      <c r="CM163">
        <v>0.09</v>
      </c>
      <c r="CN163">
        <v>7.0000000000000007E-2</v>
      </c>
      <c r="CO163">
        <v>-405.92609756097562</v>
      </c>
      <c r="CP163">
        <v>-5.677630662020877</v>
      </c>
      <c r="CQ163">
        <v>0.56131803970777028</v>
      </c>
      <c r="CR163">
        <v>-1</v>
      </c>
      <c r="CS163">
        <v>25.918241463414631</v>
      </c>
      <c r="CT163">
        <v>0.28581533101050011</v>
      </c>
      <c r="CU163">
        <v>2.8229252909165552E-2</v>
      </c>
      <c r="CV163">
        <v>-1</v>
      </c>
      <c r="CW163">
        <v>0</v>
      </c>
      <c r="CX163">
        <v>0</v>
      </c>
      <c r="CY163" t="s">
        <v>333</v>
      </c>
      <c r="CZ163">
        <v>2.3654600000000001</v>
      </c>
      <c r="DA163">
        <v>2.7138200000000001</v>
      </c>
      <c r="DB163">
        <v>8.8347400000000006E-2</v>
      </c>
      <c r="DC163">
        <v>0.14574000000000001</v>
      </c>
      <c r="DD163">
        <v>0.120957</v>
      </c>
      <c r="DE163">
        <v>1.8564499999999999E-3</v>
      </c>
      <c r="DF163">
        <v>33305</v>
      </c>
      <c r="DG163">
        <v>27523.8</v>
      </c>
      <c r="DH163">
        <v>31184.400000000001</v>
      </c>
      <c r="DI163">
        <v>28072.2</v>
      </c>
      <c r="DJ163">
        <v>37202</v>
      </c>
      <c r="DK163">
        <v>39830.6</v>
      </c>
      <c r="DL163">
        <v>44375.6</v>
      </c>
      <c r="DM163">
        <v>42524</v>
      </c>
      <c r="DN163">
        <v>1.4863</v>
      </c>
      <c r="DO163">
        <v>2.06365</v>
      </c>
      <c r="DP163">
        <v>0.11332299999999999</v>
      </c>
      <c r="DQ163">
        <v>0.168152</v>
      </c>
      <c r="DR163">
        <v>25.139700000000001</v>
      </c>
      <c r="DS163">
        <v>25.067799999999998</v>
      </c>
      <c r="DT163">
        <v>37.5</v>
      </c>
      <c r="DU163">
        <v>25.4</v>
      </c>
      <c r="DV163">
        <v>12.3714</v>
      </c>
      <c r="DW163">
        <v>61.450099999999999</v>
      </c>
      <c r="DX163">
        <v>37.151400000000002</v>
      </c>
      <c r="DY163">
        <v>1</v>
      </c>
      <c r="DZ163">
        <v>-0.16936499999999999</v>
      </c>
      <c r="EA163">
        <v>-0.73024</v>
      </c>
      <c r="EB163">
        <v>20.1892</v>
      </c>
      <c r="EC163">
        <v>5.2418500000000003</v>
      </c>
      <c r="ED163">
        <v>12.039899999999999</v>
      </c>
      <c r="EE163">
        <v>5.0170500000000002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1.8687400000000001</v>
      </c>
      <c r="EL163">
        <v>1.8644499999999999</v>
      </c>
      <c r="EM163">
        <v>1.8690899999999999</v>
      </c>
      <c r="EN163">
        <v>1.86707</v>
      </c>
      <c r="EO163">
        <v>1.8632500000000001</v>
      </c>
      <c r="EP163">
        <v>1.86425</v>
      </c>
      <c r="EQ163">
        <v>1.8700600000000001</v>
      </c>
      <c r="ER163">
        <v>1.8692800000000001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-1.083</v>
      </c>
      <c r="FG163">
        <v>0.18279999999999999</v>
      </c>
      <c r="FH163">
        <v>-0.81947142863283695</v>
      </c>
      <c r="FI163">
        <v>-6.1462078757559423E-4</v>
      </c>
      <c r="FJ163">
        <v>-1.8861989874597051E-7</v>
      </c>
      <c r="FK163">
        <v>1.1980462299894961E-10</v>
      </c>
      <c r="FL163">
        <v>0.18283500000000069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32.200000000000003</v>
      </c>
      <c r="FU163">
        <v>32.200000000000003</v>
      </c>
      <c r="FV163">
        <v>1.7626999999999999</v>
      </c>
      <c r="FW163">
        <v>2.5610400000000002</v>
      </c>
      <c r="FX163">
        <v>1.5490699999999999</v>
      </c>
      <c r="FY163">
        <v>2.34375</v>
      </c>
      <c r="FZ163">
        <v>1.50146</v>
      </c>
      <c r="GA163">
        <v>2.3034699999999999</v>
      </c>
      <c r="GB163">
        <v>30.760400000000001</v>
      </c>
      <c r="GC163">
        <v>23.982399999999998</v>
      </c>
      <c r="GD163">
        <v>19</v>
      </c>
      <c r="GE163">
        <v>283.00599999999997</v>
      </c>
      <c r="GF163">
        <v>594.80399999999997</v>
      </c>
      <c r="GG163">
        <v>25.773800000000001</v>
      </c>
      <c r="GH163">
        <v>25.3</v>
      </c>
      <c r="GI163">
        <v>30</v>
      </c>
      <c r="GJ163">
        <v>25.417400000000001</v>
      </c>
      <c r="GK163">
        <v>25.383199999999999</v>
      </c>
      <c r="GL163">
        <v>35.231400000000001</v>
      </c>
      <c r="GM163">
        <v>100</v>
      </c>
      <c r="GN163">
        <v>17.340199999999999</v>
      </c>
      <c r="GO163">
        <v>25.769200000000001</v>
      </c>
      <c r="GP163">
        <v>800</v>
      </c>
      <c r="GQ163">
        <v>0</v>
      </c>
      <c r="GR163">
        <v>99.773099999999999</v>
      </c>
      <c r="GS163">
        <v>99.500500000000002</v>
      </c>
    </row>
    <row r="164" spans="1:201" x14ac:dyDescent="0.25">
      <c r="A164">
        <v>148</v>
      </c>
      <c r="B164">
        <v>1690375356.0999999</v>
      </c>
      <c r="C164">
        <v>1536.599999904633</v>
      </c>
      <c r="D164" t="s">
        <v>629</v>
      </c>
      <c r="E164" t="s">
        <v>630</v>
      </c>
      <c r="F164" t="s">
        <v>330</v>
      </c>
      <c r="H164">
        <v>1690375356.0999999</v>
      </c>
      <c r="I164">
        <f t="shared" si="60"/>
        <v>2.6739859605220211E-3</v>
      </c>
      <c r="J164">
        <f t="shared" si="61"/>
        <v>2.6739859605220211</v>
      </c>
      <c r="K164">
        <f t="shared" si="62"/>
        <v>39.780425601345812</v>
      </c>
      <c r="L164">
        <f t="shared" si="63"/>
        <v>392.06200000000001</v>
      </c>
      <c r="M164">
        <f t="shared" si="64"/>
        <v>101.42970669003805</v>
      </c>
      <c r="N164">
        <f t="shared" si="65"/>
        <v>10.021931455689675</v>
      </c>
      <c r="O164">
        <f t="shared" si="66"/>
        <v>38.738340261478001</v>
      </c>
      <c r="P164">
        <f t="shared" si="67"/>
        <v>0.23359592227119633</v>
      </c>
      <c r="Q164">
        <f t="shared" si="68"/>
        <v>2.2480360969288764</v>
      </c>
      <c r="R164">
        <f t="shared" si="69"/>
        <v>0.22090001276799812</v>
      </c>
      <c r="S164">
        <f t="shared" si="70"/>
        <v>0.13914565407870061</v>
      </c>
      <c r="T164">
        <f t="shared" si="71"/>
        <v>276.11553918600003</v>
      </c>
      <c r="U164">
        <f t="shared" si="72"/>
        <v>27.794945969229992</v>
      </c>
      <c r="V164">
        <f t="shared" si="73"/>
        <v>27.794945969229992</v>
      </c>
      <c r="W164">
        <f t="shared" si="74"/>
        <v>3.7497122313502231</v>
      </c>
      <c r="X164">
        <f t="shared" si="75"/>
        <v>74.128881723798671</v>
      </c>
      <c r="Y164">
        <f t="shared" si="76"/>
        <v>2.5920447512114997</v>
      </c>
      <c r="Z164">
        <f t="shared" si="77"/>
        <v>3.4966732141857446</v>
      </c>
      <c r="AA164">
        <f t="shared" si="78"/>
        <v>1.1576674801387234</v>
      </c>
      <c r="AB164">
        <f t="shared" si="79"/>
        <v>-117.92278085902113</v>
      </c>
      <c r="AC164">
        <f t="shared" si="80"/>
        <v>-144.38651149966319</v>
      </c>
      <c r="AD164">
        <f t="shared" si="81"/>
        <v>-13.888814239037284</v>
      </c>
      <c r="AE164">
        <f t="shared" si="82"/>
        <v>-8.2567411721583994E-2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52215.289185130678</v>
      </c>
      <c r="AK164">
        <f t="shared" si="86"/>
        <v>1800</v>
      </c>
      <c r="AL164">
        <f t="shared" si="87"/>
        <v>1499.1110495999999</v>
      </c>
      <c r="AM164">
        <f t="shared" si="88"/>
        <v>0.83283947199999997</v>
      </c>
      <c r="AN164">
        <f t="shared" si="89"/>
        <v>0.15339752177000002</v>
      </c>
      <c r="AO164">
        <v>30</v>
      </c>
      <c r="AP164">
        <v>0.5</v>
      </c>
      <c r="AQ164" t="s">
        <v>331</v>
      </c>
      <c r="AR164">
        <v>2</v>
      </c>
      <c r="AS164">
        <v>1690375356.0999999</v>
      </c>
      <c r="AT164">
        <v>392.06200000000001</v>
      </c>
      <c r="AU164">
        <v>799.95699999999999</v>
      </c>
      <c r="AV164">
        <v>26.233499999999999</v>
      </c>
      <c r="AW164">
        <v>0.22017999999999999</v>
      </c>
      <c r="AX164">
        <v>393.14499999999998</v>
      </c>
      <c r="AY164">
        <v>26.050699999999999</v>
      </c>
      <c r="AZ164">
        <v>300.28899999999999</v>
      </c>
      <c r="BA164">
        <v>98.706599999999995</v>
      </c>
      <c r="BB164">
        <v>0.10006900000000001</v>
      </c>
      <c r="BC164">
        <v>26.6036</v>
      </c>
      <c r="BD164">
        <v>27.0108</v>
      </c>
      <c r="BE164">
        <v>27.820399999999999</v>
      </c>
      <c r="BF164">
        <v>0</v>
      </c>
      <c r="BG164">
        <v>0</v>
      </c>
      <c r="BH164">
        <v>9990.6200000000008</v>
      </c>
      <c r="BI164">
        <v>1085.98</v>
      </c>
      <c r="BJ164">
        <v>1.4016500000000001</v>
      </c>
      <c r="BK164">
        <v>-407.89499999999998</v>
      </c>
      <c r="BL164">
        <v>402.62400000000002</v>
      </c>
      <c r="BM164">
        <v>800.13300000000004</v>
      </c>
      <c r="BN164">
        <v>26.013400000000001</v>
      </c>
      <c r="BO164">
        <v>799.95699999999999</v>
      </c>
      <c r="BP164">
        <v>0.22017999999999999</v>
      </c>
      <c r="BQ164">
        <v>2.5894200000000001</v>
      </c>
      <c r="BR164">
        <v>2.1733200000000001E-2</v>
      </c>
      <c r="BS164">
        <v>21.599799999999998</v>
      </c>
      <c r="BT164">
        <v>-38.621899999999997</v>
      </c>
      <c r="BU164">
        <v>1800</v>
      </c>
      <c r="BV164">
        <v>0.90999399999999997</v>
      </c>
      <c r="BW164">
        <v>3.4002400000000002E-2</v>
      </c>
      <c r="BX164">
        <v>2.2001099999999999E-2</v>
      </c>
      <c r="BY164">
        <v>3.4002499999999998E-2</v>
      </c>
      <c r="BZ164">
        <v>25</v>
      </c>
      <c r="CA164">
        <v>33528.300000000003</v>
      </c>
      <c r="CB164">
        <v>1690373417</v>
      </c>
      <c r="CC164" t="s">
        <v>332</v>
      </c>
      <c r="CD164">
        <v>1690373417</v>
      </c>
      <c r="CE164">
        <v>1690373415</v>
      </c>
      <c r="CF164">
        <v>1</v>
      </c>
      <c r="CG164">
        <v>-1.319</v>
      </c>
      <c r="CH164">
        <v>0.01</v>
      </c>
      <c r="CI164">
        <v>-1.371</v>
      </c>
      <c r="CJ164">
        <v>0.183</v>
      </c>
      <c r="CK164">
        <v>800</v>
      </c>
      <c r="CL164">
        <v>21</v>
      </c>
      <c r="CM164">
        <v>0.09</v>
      </c>
      <c r="CN164">
        <v>7.0000000000000007E-2</v>
      </c>
      <c r="CO164">
        <v>-406.94875000000002</v>
      </c>
      <c r="CP164">
        <v>-5.728480300186499</v>
      </c>
      <c r="CQ164">
        <v>0.55252745406902259</v>
      </c>
      <c r="CR164">
        <v>-1</v>
      </c>
      <c r="CS164">
        <v>25.967865</v>
      </c>
      <c r="CT164">
        <v>0.26577185741085491</v>
      </c>
      <c r="CU164">
        <v>2.5613302696060061E-2</v>
      </c>
      <c r="CV164">
        <v>-1</v>
      </c>
      <c r="CW164">
        <v>0</v>
      </c>
      <c r="CX164">
        <v>0</v>
      </c>
      <c r="CY164" t="s">
        <v>333</v>
      </c>
      <c r="CZ164">
        <v>2.3660299999999999</v>
      </c>
      <c r="DA164">
        <v>2.7138499999999999</v>
      </c>
      <c r="DB164">
        <v>8.8190500000000005E-2</v>
      </c>
      <c r="DC164">
        <v>0.14574300000000001</v>
      </c>
      <c r="DD164">
        <v>0.121086</v>
      </c>
      <c r="DE164">
        <v>1.84552E-3</v>
      </c>
      <c r="DF164">
        <v>33311</v>
      </c>
      <c r="DG164">
        <v>27524</v>
      </c>
      <c r="DH164">
        <v>31184.7</v>
      </c>
      <c r="DI164">
        <v>28072.5</v>
      </c>
      <c r="DJ164">
        <v>37196.800000000003</v>
      </c>
      <c r="DK164">
        <v>39831.699999999997</v>
      </c>
      <c r="DL164">
        <v>44376</v>
      </c>
      <c r="DM164">
        <v>42524.800000000003</v>
      </c>
      <c r="DN164">
        <v>1.4866200000000001</v>
      </c>
      <c r="DO164">
        <v>2.06352</v>
      </c>
      <c r="DP164">
        <v>0.114232</v>
      </c>
      <c r="DQ164">
        <v>0.16816</v>
      </c>
      <c r="DR164">
        <v>25.139800000000001</v>
      </c>
      <c r="DS164">
        <v>25.067799999999998</v>
      </c>
      <c r="DT164">
        <v>37.200000000000003</v>
      </c>
      <c r="DU164">
        <v>25.4</v>
      </c>
      <c r="DV164">
        <v>12.2728</v>
      </c>
      <c r="DW164">
        <v>62.040100000000002</v>
      </c>
      <c r="DX164">
        <v>37.195500000000003</v>
      </c>
      <c r="DY164">
        <v>1</v>
      </c>
      <c r="DZ164">
        <v>-0.16936699999999999</v>
      </c>
      <c r="EA164">
        <v>-0.720109</v>
      </c>
      <c r="EB164">
        <v>20.1892</v>
      </c>
      <c r="EC164">
        <v>5.2418500000000003</v>
      </c>
      <c r="ED164">
        <v>12.039899999999999</v>
      </c>
      <c r="EE164">
        <v>5.0171999999999999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1.8687499999999999</v>
      </c>
      <c r="EL164">
        <v>1.8644400000000001</v>
      </c>
      <c r="EM164">
        <v>1.8690899999999999</v>
      </c>
      <c r="EN164">
        <v>1.8670800000000001</v>
      </c>
      <c r="EO164">
        <v>1.8632500000000001</v>
      </c>
      <c r="EP164">
        <v>1.8642399999999999</v>
      </c>
      <c r="EQ164">
        <v>1.8700699999999999</v>
      </c>
      <c r="ER164">
        <v>1.8692500000000001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-1.083</v>
      </c>
      <c r="FG164">
        <v>0.18279999999999999</v>
      </c>
      <c r="FH164">
        <v>-0.81947142863283695</v>
      </c>
      <c r="FI164">
        <v>-6.1462078757559423E-4</v>
      </c>
      <c r="FJ164">
        <v>-1.8861989874597051E-7</v>
      </c>
      <c r="FK164">
        <v>1.1980462299894961E-10</v>
      </c>
      <c r="FL164">
        <v>0.18283500000000069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32.299999999999997</v>
      </c>
      <c r="FU164">
        <v>32.4</v>
      </c>
      <c r="FV164">
        <v>1.7614700000000001</v>
      </c>
      <c r="FW164">
        <v>2.5598100000000001</v>
      </c>
      <c r="FX164">
        <v>1.5490699999999999</v>
      </c>
      <c r="FY164">
        <v>2.34375</v>
      </c>
      <c r="FZ164">
        <v>1.50146</v>
      </c>
      <c r="GA164">
        <v>2.3022499999999999</v>
      </c>
      <c r="GB164">
        <v>30.760400000000001</v>
      </c>
      <c r="GC164">
        <v>23.991199999999999</v>
      </c>
      <c r="GD164">
        <v>19</v>
      </c>
      <c r="GE164">
        <v>283.13799999999998</v>
      </c>
      <c r="GF164">
        <v>594.70000000000005</v>
      </c>
      <c r="GG164">
        <v>25.770700000000001</v>
      </c>
      <c r="GH164">
        <v>25.3</v>
      </c>
      <c r="GI164">
        <v>30</v>
      </c>
      <c r="GJ164">
        <v>25.4161</v>
      </c>
      <c r="GK164">
        <v>25.383199999999999</v>
      </c>
      <c r="GL164">
        <v>35.232799999999997</v>
      </c>
      <c r="GM164">
        <v>100</v>
      </c>
      <c r="GN164">
        <v>16.576799999999999</v>
      </c>
      <c r="GO164">
        <v>25.770499999999998</v>
      </c>
      <c r="GP164">
        <v>800</v>
      </c>
      <c r="GQ164">
        <v>0</v>
      </c>
      <c r="GR164">
        <v>99.774100000000004</v>
      </c>
      <c r="GS164">
        <v>99.501999999999995</v>
      </c>
    </row>
    <row r="165" spans="1:201" x14ac:dyDescent="0.25">
      <c r="A165">
        <v>149</v>
      </c>
      <c r="B165">
        <v>1690375366.0999999</v>
      </c>
      <c r="C165">
        <v>1546.599999904633</v>
      </c>
      <c r="D165" t="s">
        <v>631</v>
      </c>
      <c r="E165" t="s">
        <v>632</v>
      </c>
      <c r="F165" t="s">
        <v>330</v>
      </c>
      <c r="H165">
        <v>1690375366.0999999</v>
      </c>
      <c r="I165">
        <f t="shared" si="60"/>
        <v>2.6763797947720299E-3</v>
      </c>
      <c r="J165">
        <f t="shared" si="61"/>
        <v>2.6763797947720298</v>
      </c>
      <c r="K165">
        <f t="shared" si="62"/>
        <v>39.852644992086923</v>
      </c>
      <c r="L165">
        <f t="shared" si="63"/>
        <v>391.11099999999999</v>
      </c>
      <c r="M165">
        <f t="shared" si="64"/>
        <v>101.25359044324783</v>
      </c>
      <c r="N165">
        <f t="shared" si="65"/>
        <v>10.004387916949442</v>
      </c>
      <c r="O165">
        <f t="shared" si="66"/>
        <v>38.643826312303801</v>
      </c>
      <c r="P165">
        <f t="shared" si="67"/>
        <v>0.23467631093763089</v>
      </c>
      <c r="Q165">
        <f t="shared" si="68"/>
        <v>2.2496269392878974</v>
      </c>
      <c r="R165">
        <f t="shared" si="69"/>
        <v>0.22187467760332336</v>
      </c>
      <c r="S165">
        <f t="shared" si="70"/>
        <v>0.13976362506930082</v>
      </c>
      <c r="T165">
        <f t="shared" si="71"/>
        <v>276.11396944498102</v>
      </c>
      <c r="U165">
        <f t="shared" si="72"/>
        <v>27.794669295529431</v>
      </c>
      <c r="V165">
        <f t="shared" si="73"/>
        <v>27.794669295529431</v>
      </c>
      <c r="W165">
        <f t="shared" si="74"/>
        <v>3.7496516598729799</v>
      </c>
      <c r="X165">
        <f t="shared" si="75"/>
        <v>74.238562278536889</v>
      </c>
      <c r="Y165">
        <f t="shared" si="76"/>
        <v>2.59607871731526</v>
      </c>
      <c r="Z165">
        <f t="shared" si="77"/>
        <v>3.4969409935162661</v>
      </c>
      <c r="AA165">
        <f t="shared" si="78"/>
        <v>1.1535729425577199</v>
      </c>
      <c r="AB165">
        <f t="shared" si="79"/>
        <v>-118.02834894944652</v>
      </c>
      <c r="AC165">
        <f t="shared" si="80"/>
        <v>-144.29746591190096</v>
      </c>
      <c r="AD165">
        <f t="shared" si="81"/>
        <v>-13.870504019080496</v>
      </c>
      <c r="AE165">
        <f t="shared" si="82"/>
        <v>-8.2349435446957386E-2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52276.937081134252</v>
      </c>
      <c r="AK165">
        <f t="shared" si="86"/>
        <v>1799.99</v>
      </c>
      <c r="AL165">
        <f t="shared" si="87"/>
        <v>1499.10258260605</v>
      </c>
      <c r="AM165">
        <f t="shared" si="88"/>
        <v>0.83283939499999993</v>
      </c>
      <c r="AN165">
        <f t="shared" si="89"/>
        <v>0.15339750190000001</v>
      </c>
      <c r="AO165">
        <v>30</v>
      </c>
      <c r="AP165">
        <v>0.5</v>
      </c>
      <c r="AQ165" t="s">
        <v>331</v>
      </c>
      <c r="AR165">
        <v>2</v>
      </c>
      <c r="AS165">
        <v>1690375366.0999999</v>
      </c>
      <c r="AT165">
        <v>391.11099999999999</v>
      </c>
      <c r="AU165">
        <v>800.04100000000005</v>
      </c>
      <c r="AV165">
        <v>26.274699999999999</v>
      </c>
      <c r="AW165">
        <v>0.218195</v>
      </c>
      <c r="AX165">
        <v>392.19400000000002</v>
      </c>
      <c r="AY165">
        <v>26.091899999999999</v>
      </c>
      <c r="AZ165">
        <v>300.04700000000003</v>
      </c>
      <c r="BA165">
        <v>98.705299999999994</v>
      </c>
      <c r="BB165">
        <v>9.9965799999999994E-2</v>
      </c>
      <c r="BC165">
        <v>26.604900000000001</v>
      </c>
      <c r="BD165">
        <v>27.002300000000002</v>
      </c>
      <c r="BE165">
        <v>27.839099999999998</v>
      </c>
      <c r="BF165">
        <v>0</v>
      </c>
      <c r="BG165">
        <v>0</v>
      </c>
      <c r="BH165">
        <v>10003.1</v>
      </c>
      <c r="BI165">
        <v>1086</v>
      </c>
      <c r="BJ165">
        <v>1.4016500000000001</v>
      </c>
      <c r="BK165">
        <v>-408.93</v>
      </c>
      <c r="BL165">
        <v>401.66500000000002</v>
      </c>
      <c r="BM165">
        <v>800.21600000000001</v>
      </c>
      <c r="BN165">
        <v>26.0565</v>
      </c>
      <c r="BO165">
        <v>800.04100000000005</v>
      </c>
      <c r="BP165">
        <v>0.218195</v>
      </c>
      <c r="BQ165">
        <v>2.5934499999999998</v>
      </c>
      <c r="BR165">
        <v>2.15371E-2</v>
      </c>
      <c r="BS165">
        <v>21.6252</v>
      </c>
      <c r="BT165">
        <v>-38.709899999999998</v>
      </c>
      <c r="BU165">
        <v>1799.99</v>
      </c>
      <c r="BV165">
        <v>0.90999399999999997</v>
      </c>
      <c r="BW165">
        <v>3.4004E-2</v>
      </c>
      <c r="BX165">
        <v>2.2000499999999999E-2</v>
      </c>
      <c r="BY165">
        <v>3.40016E-2</v>
      </c>
      <c r="BZ165">
        <v>25</v>
      </c>
      <c r="CA165">
        <v>33528.199999999997</v>
      </c>
      <c r="CB165">
        <v>1690373417</v>
      </c>
      <c r="CC165" t="s">
        <v>332</v>
      </c>
      <c r="CD165">
        <v>1690373417</v>
      </c>
      <c r="CE165">
        <v>1690373415</v>
      </c>
      <c r="CF165">
        <v>1</v>
      </c>
      <c r="CG165">
        <v>-1.319</v>
      </c>
      <c r="CH165">
        <v>0.01</v>
      </c>
      <c r="CI165">
        <v>-1.371</v>
      </c>
      <c r="CJ165">
        <v>0.183</v>
      </c>
      <c r="CK165">
        <v>800</v>
      </c>
      <c r="CL165">
        <v>21</v>
      </c>
      <c r="CM165">
        <v>0.09</v>
      </c>
      <c r="CN165">
        <v>7.0000000000000007E-2</v>
      </c>
      <c r="CO165">
        <v>-407.87369999999999</v>
      </c>
      <c r="CP165">
        <v>-5.486791744839663</v>
      </c>
      <c r="CQ165">
        <v>0.52896853403581656</v>
      </c>
      <c r="CR165">
        <v>-1</v>
      </c>
      <c r="CS165">
        <v>26.010617499999999</v>
      </c>
      <c r="CT165">
        <v>0.25077636022505018</v>
      </c>
      <c r="CU165">
        <v>2.412803232238394E-2</v>
      </c>
      <c r="CV165">
        <v>-1</v>
      </c>
      <c r="CW165">
        <v>0</v>
      </c>
      <c r="CX165">
        <v>0</v>
      </c>
      <c r="CY165" t="s">
        <v>333</v>
      </c>
      <c r="CZ165">
        <v>2.3652299999999999</v>
      </c>
      <c r="DA165">
        <v>2.7137600000000002</v>
      </c>
      <c r="DB165">
        <v>8.8025999999999993E-2</v>
      </c>
      <c r="DC165">
        <v>0.14575099999999999</v>
      </c>
      <c r="DD165">
        <v>0.12121800000000001</v>
      </c>
      <c r="DE165">
        <v>1.82909E-3</v>
      </c>
      <c r="DF165">
        <v>33317.199999999997</v>
      </c>
      <c r="DG165">
        <v>27523.8</v>
      </c>
      <c r="DH165">
        <v>31184.9</v>
      </c>
      <c r="DI165">
        <v>28072.6</v>
      </c>
      <c r="DJ165">
        <v>37191.5</v>
      </c>
      <c r="DK165">
        <v>39832.199999999997</v>
      </c>
      <c r="DL165">
        <v>44376.4</v>
      </c>
      <c r="DM165">
        <v>42524.6</v>
      </c>
      <c r="DN165">
        <v>1.4862</v>
      </c>
      <c r="DO165">
        <v>2.0633699999999999</v>
      </c>
      <c r="DP165">
        <v>0.113465</v>
      </c>
      <c r="DQ165">
        <v>0.169046</v>
      </c>
      <c r="DR165">
        <v>25.143999999999998</v>
      </c>
      <c r="DS165">
        <v>25.071999999999999</v>
      </c>
      <c r="DT165">
        <v>36.799999999999997</v>
      </c>
      <c r="DU165">
        <v>25.4</v>
      </c>
      <c r="DV165">
        <v>12.1393</v>
      </c>
      <c r="DW165">
        <v>61.430100000000003</v>
      </c>
      <c r="DX165">
        <v>37.848599999999998</v>
      </c>
      <c r="DY165">
        <v>1</v>
      </c>
      <c r="DZ165">
        <v>-0.16933200000000001</v>
      </c>
      <c r="EA165">
        <v>-0.67915599999999998</v>
      </c>
      <c r="EB165">
        <v>20.1892</v>
      </c>
      <c r="EC165">
        <v>5.242</v>
      </c>
      <c r="ED165">
        <v>12.039899999999999</v>
      </c>
      <c r="EE165">
        <v>5.01675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1.8687499999999999</v>
      </c>
      <c r="EL165">
        <v>1.8644400000000001</v>
      </c>
      <c r="EM165">
        <v>1.8691</v>
      </c>
      <c r="EN165">
        <v>1.8670800000000001</v>
      </c>
      <c r="EO165">
        <v>1.8632500000000001</v>
      </c>
      <c r="EP165">
        <v>1.86425</v>
      </c>
      <c r="EQ165">
        <v>1.87009</v>
      </c>
      <c r="ER165">
        <v>1.86927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-1.083</v>
      </c>
      <c r="FG165">
        <v>0.18279999999999999</v>
      </c>
      <c r="FH165">
        <v>-0.81947142863283695</v>
      </c>
      <c r="FI165">
        <v>-6.1462078757559423E-4</v>
      </c>
      <c r="FJ165">
        <v>-1.8861989874597051E-7</v>
      </c>
      <c r="FK165">
        <v>1.1980462299894961E-10</v>
      </c>
      <c r="FL165">
        <v>0.18283500000000069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32.5</v>
      </c>
      <c r="FU165">
        <v>32.5</v>
      </c>
      <c r="FV165">
        <v>1.7614700000000001</v>
      </c>
      <c r="FW165">
        <v>2.5549300000000001</v>
      </c>
      <c r="FX165">
        <v>1.5490699999999999</v>
      </c>
      <c r="FY165">
        <v>2.34253</v>
      </c>
      <c r="FZ165">
        <v>1.50146</v>
      </c>
      <c r="GA165">
        <v>2.3767100000000001</v>
      </c>
      <c r="GB165">
        <v>30.760400000000001</v>
      </c>
      <c r="GC165">
        <v>23.991199999999999</v>
      </c>
      <c r="GD165">
        <v>19</v>
      </c>
      <c r="GE165">
        <v>282.95400000000001</v>
      </c>
      <c r="GF165">
        <v>594.57399999999996</v>
      </c>
      <c r="GG165">
        <v>25.761199999999999</v>
      </c>
      <c r="GH165">
        <v>25.3</v>
      </c>
      <c r="GI165">
        <v>30</v>
      </c>
      <c r="GJ165">
        <v>25.415299999999998</v>
      </c>
      <c r="GK165">
        <v>25.383199999999999</v>
      </c>
      <c r="GL165">
        <v>35.2333</v>
      </c>
      <c r="GM165">
        <v>100</v>
      </c>
      <c r="GN165">
        <v>15.808199999999999</v>
      </c>
      <c r="GO165">
        <v>25.7486</v>
      </c>
      <c r="GP165">
        <v>800</v>
      </c>
      <c r="GQ165">
        <v>0</v>
      </c>
      <c r="GR165">
        <v>99.774799999999999</v>
      </c>
      <c r="GS165">
        <v>99.501900000000006</v>
      </c>
    </row>
    <row r="166" spans="1:201" x14ac:dyDescent="0.25">
      <c r="A166">
        <v>150</v>
      </c>
      <c r="B166">
        <v>1690375376.0999999</v>
      </c>
      <c r="C166">
        <v>1556.599999904633</v>
      </c>
      <c r="D166" t="s">
        <v>633</v>
      </c>
      <c r="E166" t="s">
        <v>634</v>
      </c>
      <c r="F166" t="s">
        <v>330</v>
      </c>
      <c r="H166">
        <v>1690375376.0999999</v>
      </c>
      <c r="I166">
        <f t="shared" si="60"/>
        <v>2.6803895955733108E-3</v>
      </c>
      <c r="J166">
        <f t="shared" si="61"/>
        <v>2.6803895955733106</v>
      </c>
      <c r="K166">
        <f t="shared" si="62"/>
        <v>39.937668716300941</v>
      </c>
      <c r="L166">
        <f t="shared" si="63"/>
        <v>390.209</v>
      </c>
      <c r="M166">
        <f t="shared" si="64"/>
        <v>101.51581169717268</v>
      </c>
      <c r="N166">
        <f t="shared" si="65"/>
        <v>10.030437275828447</v>
      </c>
      <c r="O166">
        <f t="shared" si="66"/>
        <v>38.55524408985</v>
      </c>
      <c r="P166">
        <f t="shared" si="67"/>
        <v>0.23619099262952878</v>
      </c>
      <c r="Q166">
        <f t="shared" si="68"/>
        <v>2.2493232641547198</v>
      </c>
      <c r="R166">
        <f t="shared" si="69"/>
        <v>0.22322682707899474</v>
      </c>
      <c r="S166">
        <f t="shared" si="70"/>
        <v>0.1406222155414899</v>
      </c>
      <c r="T166">
        <f t="shared" si="71"/>
        <v>276.11561948399998</v>
      </c>
      <c r="U166">
        <f t="shared" si="72"/>
        <v>27.787703330624126</v>
      </c>
      <c r="V166">
        <f t="shared" si="73"/>
        <v>27.787703330624126</v>
      </c>
      <c r="W166">
        <f t="shared" si="74"/>
        <v>3.7481269000190811</v>
      </c>
      <c r="X166">
        <f t="shared" si="75"/>
        <v>74.370964618545159</v>
      </c>
      <c r="Y166">
        <f t="shared" si="76"/>
        <v>2.5998203361300001</v>
      </c>
      <c r="Z166">
        <f t="shared" si="77"/>
        <v>3.49574642397701</v>
      </c>
      <c r="AA166">
        <f t="shared" si="78"/>
        <v>1.148306563889081</v>
      </c>
      <c r="AB166">
        <f t="shared" si="79"/>
        <v>-118.205181164783</v>
      </c>
      <c r="AC166">
        <f t="shared" si="80"/>
        <v>-144.13659599006871</v>
      </c>
      <c r="AD166">
        <f t="shared" si="81"/>
        <v>-13.856027049056616</v>
      </c>
      <c r="AE166">
        <f t="shared" si="82"/>
        <v>-8.2184719908326542E-2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52266.159535403982</v>
      </c>
      <c r="AK166">
        <f t="shared" si="86"/>
        <v>1800</v>
      </c>
      <c r="AL166">
        <f t="shared" si="87"/>
        <v>1499.1107633999998</v>
      </c>
      <c r="AM166">
        <f t="shared" si="88"/>
        <v>0.83283931299999991</v>
      </c>
      <c r="AN166">
        <f t="shared" si="89"/>
        <v>0.15339756637999999</v>
      </c>
      <c r="AO166">
        <v>30</v>
      </c>
      <c r="AP166">
        <v>0.5</v>
      </c>
      <c r="AQ166" t="s">
        <v>331</v>
      </c>
      <c r="AR166">
        <v>2</v>
      </c>
      <c r="AS166">
        <v>1690375376.0999999</v>
      </c>
      <c r="AT166">
        <v>390.209</v>
      </c>
      <c r="AU166">
        <v>799.99699999999996</v>
      </c>
      <c r="AV166">
        <v>26.312200000000001</v>
      </c>
      <c r="AW166">
        <v>0.216618</v>
      </c>
      <c r="AX166">
        <v>391.291</v>
      </c>
      <c r="AY166">
        <v>26.1294</v>
      </c>
      <c r="AZ166">
        <v>300.03500000000003</v>
      </c>
      <c r="BA166">
        <v>98.706699999999998</v>
      </c>
      <c r="BB166">
        <v>9.9949999999999997E-2</v>
      </c>
      <c r="BC166">
        <v>26.5991</v>
      </c>
      <c r="BD166">
        <v>27.017600000000002</v>
      </c>
      <c r="BE166">
        <v>27.819700000000001</v>
      </c>
      <c r="BF166">
        <v>0</v>
      </c>
      <c r="BG166">
        <v>0</v>
      </c>
      <c r="BH166">
        <v>10000.6</v>
      </c>
      <c r="BI166">
        <v>1086.0999999999999</v>
      </c>
      <c r="BJ166">
        <v>1.4016500000000001</v>
      </c>
      <c r="BK166">
        <v>-409.78800000000001</v>
      </c>
      <c r="BL166">
        <v>400.75400000000002</v>
      </c>
      <c r="BM166">
        <v>800.17</v>
      </c>
      <c r="BN166">
        <v>26.095600000000001</v>
      </c>
      <c r="BO166">
        <v>799.99699999999996</v>
      </c>
      <c r="BP166">
        <v>0.216618</v>
      </c>
      <c r="BQ166">
        <v>2.5971899999999999</v>
      </c>
      <c r="BR166">
        <v>2.1381600000000001E-2</v>
      </c>
      <c r="BS166">
        <v>21.648700000000002</v>
      </c>
      <c r="BT166">
        <v>-38.780099999999997</v>
      </c>
      <c r="BU166">
        <v>1800</v>
      </c>
      <c r="BV166">
        <v>0.90999200000000002</v>
      </c>
      <c r="BW166">
        <v>3.4008099999999999E-2</v>
      </c>
      <c r="BX166">
        <v>2.1999899999999999E-2</v>
      </c>
      <c r="BY166">
        <v>3.4000599999999999E-2</v>
      </c>
      <c r="BZ166">
        <v>25</v>
      </c>
      <c r="CA166">
        <v>33528.300000000003</v>
      </c>
      <c r="CB166">
        <v>1690373417</v>
      </c>
      <c r="CC166" t="s">
        <v>332</v>
      </c>
      <c r="CD166">
        <v>1690373417</v>
      </c>
      <c r="CE166">
        <v>1690373415</v>
      </c>
      <c r="CF166">
        <v>1</v>
      </c>
      <c r="CG166">
        <v>-1.319</v>
      </c>
      <c r="CH166">
        <v>0.01</v>
      </c>
      <c r="CI166">
        <v>-1.371</v>
      </c>
      <c r="CJ166">
        <v>0.183</v>
      </c>
      <c r="CK166">
        <v>800</v>
      </c>
      <c r="CL166">
        <v>21</v>
      </c>
      <c r="CM166">
        <v>0.09</v>
      </c>
      <c r="CN166">
        <v>7.0000000000000007E-2</v>
      </c>
      <c r="CO166">
        <v>-408.82041463414629</v>
      </c>
      <c r="CP166">
        <v>-5.6273728222992689</v>
      </c>
      <c r="CQ166">
        <v>0.55597161603324718</v>
      </c>
      <c r="CR166">
        <v>-1</v>
      </c>
      <c r="CS166">
        <v>26.05409756097561</v>
      </c>
      <c r="CT166">
        <v>0.25408641114977287</v>
      </c>
      <c r="CU166">
        <v>2.50850308857485E-2</v>
      </c>
      <c r="CV166">
        <v>-1</v>
      </c>
      <c r="CW166">
        <v>0</v>
      </c>
      <c r="CX166">
        <v>0</v>
      </c>
      <c r="CY166" t="s">
        <v>333</v>
      </c>
      <c r="CZ166">
        <v>2.3652000000000002</v>
      </c>
      <c r="DA166">
        <v>2.71374</v>
      </c>
      <c r="DB166">
        <v>8.7871400000000002E-2</v>
      </c>
      <c r="DC166">
        <v>0.14574699999999999</v>
      </c>
      <c r="DD166">
        <v>0.12134</v>
      </c>
      <c r="DE166">
        <v>1.81605E-3</v>
      </c>
      <c r="DF166">
        <v>33322.9</v>
      </c>
      <c r="DG166">
        <v>27523.9</v>
      </c>
      <c r="DH166">
        <v>31184.9</v>
      </c>
      <c r="DI166">
        <v>28072.5</v>
      </c>
      <c r="DJ166">
        <v>37186.1</v>
      </c>
      <c r="DK166">
        <v>39832.800000000003</v>
      </c>
      <c r="DL166">
        <v>44376.2</v>
      </c>
      <c r="DM166">
        <v>42524.7</v>
      </c>
      <c r="DN166">
        <v>1.4858800000000001</v>
      </c>
      <c r="DO166">
        <v>2.0630500000000001</v>
      </c>
      <c r="DP166">
        <v>0.114195</v>
      </c>
      <c r="DQ166">
        <v>0.167601</v>
      </c>
      <c r="DR166">
        <v>25.147200000000002</v>
      </c>
      <c r="DS166">
        <v>25.0763</v>
      </c>
      <c r="DT166">
        <v>36.5</v>
      </c>
      <c r="DU166">
        <v>25.4</v>
      </c>
      <c r="DV166">
        <v>12.0404</v>
      </c>
      <c r="DW166">
        <v>61.510100000000001</v>
      </c>
      <c r="DX166">
        <v>38.032899999999998</v>
      </c>
      <c r="DY166">
        <v>1</v>
      </c>
      <c r="DZ166">
        <v>-0.169126</v>
      </c>
      <c r="EA166">
        <v>-0.648837</v>
      </c>
      <c r="EB166">
        <v>20.1891</v>
      </c>
      <c r="EC166">
        <v>5.2398999999999996</v>
      </c>
      <c r="ED166">
        <v>12.039899999999999</v>
      </c>
      <c r="EE166">
        <v>5.0137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1.86876</v>
      </c>
      <c r="EL166">
        <v>1.8644400000000001</v>
      </c>
      <c r="EM166">
        <v>1.8691</v>
      </c>
      <c r="EN166">
        <v>1.86707</v>
      </c>
      <c r="EO166">
        <v>1.8632500000000001</v>
      </c>
      <c r="EP166">
        <v>1.8642300000000001</v>
      </c>
      <c r="EQ166">
        <v>1.87009</v>
      </c>
      <c r="ER166">
        <v>1.86927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-1.0820000000000001</v>
      </c>
      <c r="FG166">
        <v>0.18279999999999999</v>
      </c>
      <c r="FH166">
        <v>-0.81947142863283695</v>
      </c>
      <c r="FI166">
        <v>-6.1462078757559423E-4</v>
      </c>
      <c r="FJ166">
        <v>-1.8861989874597051E-7</v>
      </c>
      <c r="FK166">
        <v>1.1980462299894961E-10</v>
      </c>
      <c r="FL166">
        <v>0.18283500000000069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32.700000000000003</v>
      </c>
      <c r="FU166">
        <v>32.700000000000003</v>
      </c>
      <c r="FV166">
        <v>1.7614700000000001</v>
      </c>
      <c r="FW166">
        <v>2.5610400000000002</v>
      </c>
      <c r="FX166">
        <v>1.5490699999999999</v>
      </c>
      <c r="FY166">
        <v>2.34253</v>
      </c>
      <c r="FZ166">
        <v>1.50146</v>
      </c>
      <c r="GA166">
        <v>2.3535200000000001</v>
      </c>
      <c r="GB166">
        <v>30.782</v>
      </c>
      <c r="GC166">
        <v>23.991199999999999</v>
      </c>
      <c r="GD166">
        <v>19</v>
      </c>
      <c r="GE166">
        <v>282.81900000000002</v>
      </c>
      <c r="GF166">
        <v>594.303</v>
      </c>
      <c r="GG166">
        <v>25.739799999999999</v>
      </c>
      <c r="GH166">
        <v>25.3</v>
      </c>
      <c r="GI166">
        <v>30.0002</v>
      </c>
      <c r="GJ166">
        <v>25.415800000000001</v>
      </c>
      <c r="GK166">
        <v>25.383199999999999</v>
      </c>
      <c r="GL166">
        <v>35.232199999999999</v>
      </c>
      <c r="GM166">
        <v>100</v>
      </c>
      <c r="GN166">
        <v>15.0502</v>
      </c>
      <c r="GO166">
        <v>25.719899999999999</v>
      </c>
      <c r="GP166">
        <v>800</v>
      </c>
      <c r="GQ166">
        <v>0</v>
      </c>
      <c r="GR166">
        <v>99.774600000000007</v>
      </c>
      <c r="GS166">
        <v>99.501999999999995</v>
      </c>
    </row>
    <row r="167" spans="1:201" x14ac:dyDescent="0.25">
      <c r="A167">
        <v>151</v>
      </c>
      <c r="B167">
        <v>1690375386.0999999</v>
      </c>
      <c r="C167">
        <v>1566.599999904633</v>
      </c>
      <c r="D167" t="s">
        <v>635</v>
      </c>
      <c r="E167" t="s">
        <v>636</v>
      </c>
      <c r="F167" t="s">
        <v>330</v>
      </c>
      <c r="H167">
        <v>1690375386.0999999</v>
      </c>
      <c r="I167">
        <f t="shared" si="60"/>
        <v>2.6844191145044692E-3</v>
      </c>
      <c r="J167">
        <f t="shared" si="61"/>
        <v>2.6844191145044691</v>
      </c>
      <c r="K167">
        <f t="shared" si="62"/>
        <v>40.030796957578872</v>
      </c>
      <c r="L167">
        <f t="shared" si="63"/>
        <v>389.32499999999999</v>
      </c>
      <c r="M167">
        <f t="shared" si="64"/>
        <v>101.26262914951585</v>
      </c>
      <c r="N167">
        <f t="shared" si="65"/>
        <v>10.005263531047476</v>
      </c>
      <c r="O167">
        <f t="shared" si="66"/>
        <v>38.467292987954998</v>
      </c>
      <c r="P167">
        <f t="shared" si="67"/>
        <v>0.23732034018581183</v>
      </c>
      <c r="Q167">
        <f t="shared" si="68"/>
        <v>2.2455991393102281</v>
      </c>
      <c r="R167">
        <f t="shared" si="69"/>
        <v>0.22421517561185381</v>
      </c>
      <c r="S167">
        <f t="shared" si="70"/>
        <v>0.14125159159789188</v>
      </c>
      <c r="T167">
        <f t="shared" si="71"/>
        <v>276.11528675400001</v>
      </c>
      <c r="U167">
        <f t="shared" si="72"/>
        <v>27.787460945033693</v>
      </c>
      <c r="V167">
        <f t="shared" si="73"/>
        <v>27.787460945033693</v>
      </c>
      <c r="W167">
        <f t="shared" si="74"/>
        <v>3.7480738546815067</v>
      </c>
      <c r="X167">
        <f t="shared" si="75"/>
        <v>74.469245262812052</v>
      </c>
      <c r="Y167">
        <f t="shared" si="76"/>
        <v>2.6031486322444204</v>
      </c>
      <c r="Z167">
        <f t="shared" si="77"/>
        <v>3.4956022758892704</v>
      </c>
      <c r="AA167">
        <f t="shared" si="78"/>
        <v>1.1449252224370863</v>
      </c>
      <c r="AB167">
        <f t="shared" si="79"/>
        <v>-118.3828829496471</v>
      </c>
      <c r="AC167">
        <f t="shared" si="80"/>
        <v>-143.95335510411508</v>
      </c>
      <c r="AD167">
        <f t="shared" si="81"/>
        <v>-13.861296414723004</v>
      </c>
      <c r="AE167">
        <f t="shared" si="82"/>
        <v>-8.2247714485191636E-2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52121.413796856068</v>
      </c>
      <c r="AK167">
        <f t="shared" si="86"/>
        <v>1800</v>
      </c>
      <c r="AL167">
        <f t="shared" si="87"/>
        <v>1499.1096654</v>
      </c>
      <c r="AM167">
        <f t="shared" si="88"/>
        <v>0.83283870300000007</v>
      </c>
      <c r="AN167">
        <f t="shared" si="89"/>
        <v>0.15339738153000002</v>
      </c>
      <c r="AO167">
        <v>30</v>
      </c>
      <c r="AP167">
        <v>0.5</v>
      </c>
      <c r="AQ167" t="s">
        <v>331</v>
      </c>
      <c r="AR167">
        <v>2</v>
      </c>
      <c r="AS167">
        <v>1690375386.0999999</v>
      </c>
      <c r="AT167">
        <v>389.32499999999999</v>
      </c>
      <c r="AU167">
        <v>799.99099999999999</v>
      </c>
      <c r="AV167">
        <v>26.346299999999999</v>
      </c>
      <c r="AW167">
        <v>0.215277</v>
      </c>
      <c r="AX167">
        <v>390.40600000000001</v>
      </c>
      <c r="AY167">
        <v>26.163499999999999</v>
      </c>
      <c r="AZ167">
        <v>300.06799999999998</v>
      </c>
      <c r="BA167">
        <v>98.705100000000002</v>
      </c>
      <c r="BB167">
        <v>9.9993399999999996E-2</v>
      </c>
      <c r="BC167">
        <v>26.598400000000002</v>
      </c>
      <c r="BD167">
        <v>26.996500000000001</v>
      </c>
      <c r="BE167">
        <v>27.822500000000002</v>
      </c>
      <c r="BF167">
        <v>0</v>
      </c>
      <c r="BG167">
        <v>0</v>
      </c>
      <c r="BH167">
        <v>9971.8799999999992</v>
      </c>
      <c r="BI167">
        <v>1086.0999999999999</v>
      </c>
      <c r="BJ167">
        <v>1.4016500000000001</v>
      </c>
      <c r="BK167">
        <v>-410.66500000000002</v>
      </c>
      <c r="BL167">
        <v>399.86</v>
      </c>
      <c r="BM167">
        <v>800.16300000000001</v>
      </c>
      <c r="BN167">
        <v>26.1311</v>
      </c>
      <c r="BO167">
        <v>799.99099999999999</v>
      </c>
      <c r="BP167">
        <v>0.215277</v>
      </c>
      <c r="BQ167">
        <v>2.6005199999999999</v>
      </c>
      <c r="BR167">
        <v>2.1248900000000001E-2</v>
      </c>
      <c r="BS167">
        <v>21.669699999999999</v>
      </c>
      <c r="BT167">
        <v>-38.840499999999999</v>
      </c>
      <c r="BU167">
        <v>1800</v>
      </c>
      <c r="BV167">
        <v>0.90999300000000005</v>
      </c>
      <c r="BW167">
        <v>3.40074E-2</v>
      </c>
      <c r="BX167">
        <v>2.1999399999999999E-2</v>
      </c>
      <c r="BY167">
        <v>3.39999E-2</v>
      </c>
      <c r="BZ167">
        <v>25</v>
      </c>
      <c r="CA167">
        <v>33528.300000000003</v>
      </c>
      <c r="CB167">
        <v>1690373417</v>
      </c>
      <c r="CC167" t="s">
        <v>332</v>
      </c>
      <c r="CD167">
        <v>1690373417</v>
      </c>
      <c r="CE167">
        <v>1690373415</v>
      </c>
      <c r="CF167">
        <v>1</v>
      </c>
      <c r="CG167">
        <v>-1.319</v>
      </c>
      <c r="CH167">
        <v>0.01</v>
      </c>
      <c r="CI167">
        <v>-1.371</v>
      </c>
      <c r="CJ167">
        <v>0.183</v>
      </c>
      <c r="CK167">
        <v>800</v>
      </c>
      <c r="CL167">
        <v>21</v>
      </c>
      <c r="CM167">
        <v>0.09</v>
      </c>
      <c r="CN167">
        <v>7.0000000000000007E-2</v>
      </c>
      <c r="CO167">
        <v>-409.65573170731699</v>
      </c>
      <c r="CP167">
        <v>-5.3768780487813741</v>
      </c>
      <c r="CQ167">
        <v>0.53103332422144001</v>
      </c>
      <c r="CR167">
        <v>-1</v>
      </c>
      <c r="CS167">
        <v>26.08971463414634</v>
      </c>
      <c r="CT167">
        <v>0.21956445993033641</v>
      </c>
      <c r="CU167">
        <v>2.1692783569945469E-2</v>
      </c>
      <c r="CV167">
        <v>-1</v>
      </c>
      <c r="CW167">
        <v>0</v>
      </c>
      <c r="CX167">
        <v>0</v>
      </c>
      <c r="CY167" t="s">
        <v>333</v>
      </c>
      <c r="CZ167">
        <v>2.3652899999999999</v>
      </c>
      <c r="DA167">
        <v>2.7137600000000002</v>
      </c>
      <c r="DB167">
        <v>8.7717900000000001E-2</v>
      </c>
      <c r="DC167">
        <v>0.14574500000000001</v>
      </c>
      <c r="DD167">
        <v>0.121448</v>
      </c>
      <c r="DE167">
        <v>1.8049400000000001E-3</v>
      </c>
      <c r="DF167">
        <v>33328.6</v>
      </c>
      <c r="DG167">
        <v>27524.3</v>
      </c>
      <c r="DH167">
        <v>31185.1</v>
      </c>
      <c r="DI167">
        <v>28072.799999999999</v>
      </c>
      <c r="DJ167">
        <v>37181.699999999997</v>
      </c>
      <c r="DK167">
        <v>39833.699999999997</v>
      </c>
      <c r="DL167">
        <v>44376.6</v>
      </c>
      <c r="DM167">
        <v>42525.2</v>
      </c>
      <c r="DN167">
        <v>1.4862</v>
      </c>
      <c r="DO167">
        <v>2.0627499999999999</v>
      </c>
      <c r="DP167">
        <v>0.112846</v>
      </c>
      <c r="DQ167">
        <v>0.16783200000000001</v>
      </c>
      <c r="DR167">
        <v>25.148199999999999</v>
      </c>
      <c r="DS167">
        <v>25.075299999999999</v>
      </c>
      <c r="DT167">
        <v>36.200000000000003</v>
      </c>
      <c r="DU167">
        <v>25.4</v>
      </c>
      <c r="DV167">
        <v>11.942299999999999</v>
      </c>
      <c r="DW167">
        <v>61.950099999999999</v>
      </c>
      <c r="DX167">
        <v>37.568100000000001</v>
      </c>
      <c r="DY167">
        <v>1</v>
      </c>
      <c r="DZ167">
        <v>-0.169324</v>
      </c>
      <c r="EA167">
        <v>-0.60004900000000005</v>
      </c>
      <c r="EB167">
        <v>20.189399999999999</v>
      </c>
      <c r="EC167">
        <v>5.2403500000000003</v>
      </c>
      <c r="ED167">
        <v>12.039899999999999</v>
      </c>
      <c r="EE167">
        <v>5.0137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1.8687499999999999</v>
      </c>
      <c r="EL167">
        <v>1.8644499999999999</v>
      </c>
      <c r="EM167">
        <v>1.8690899999999999</v>
      </c>
      <c r="EN167">
        <v>1.8670800000000001</v>
      </c>
      <c r="EO167">
        <v>1.8632500000000001</v>
      </c>
      <c r="EP167">
        <v>1.86425</v>
      </c>
      <c r="EQ167">
        <v>1.8700600000000001</v>
      </c>
      <c r="ER167">
        <v>1.8693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-1.081</v>
      </c>
      <c r="FG167">
        <v>0.18279999999999999</v>
      </c>
      <c r="FH167">
        <v>-0.81947142863283695</v>
      </c>
      <c r="FI167">
        <v>-6.1462078757559423E-4</v>
      </c>
      <c r="FJ167">
        <v>-1.8861989874597051E-7</v>
      </c>
      <c r="FK167">
        <v>1.1980462299894961E-10</v>
      </c>
      <c r="FL167">
        <v>0.18283500000000069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32.799999999999997</v>
      </c>
      <c r="FU167">
        <v>32.9</v>
      </c>
      <c r="FV167">
        <v>1.7626999999999999</v>
      </c>
      <c r="FW167">
        <v>2.5622600000000002</v>
      </c>
      <c r="FX167">
        <v>1.5490699999999999</v>
      </c>
      <c r="FY167">
        <v>2.34253</v>
      </c>
      <c r="FZ167">
        <v>1.50146</v>
      </c>
      <c r="GA167">
        <v>2.3339799999999999</v>
      </c>
      <c r="GB167">
        <v>30.782</v>
      </c>
      <c r="GC167">
        <v>23.982399999999998</v>
      </c>
      <c r="GD167">
        <v>19</v>
      </c>
      <c r="GE167">
        <v>282.95400000000001</v>
      </c>
      <c r="GF167">
        <v>594.053</v>
      </c>
      <c r="GG167">
        <v>25.695599999999999</v>
      </c>
      <c r="GH167">
        <v>25.3</v>
      </c>
      <c r="GI167">
        <v>30</v>
      </c>
      <c r="GJ167">
        <v>25.415299999999998</v>
      </c>
      <c r="GK167">
        <v>25.383199999999999</v>
      </c>
      <c r="GL167">
        <v>35.229599999999998</v>
      </c>
      <c r="GM167">
        <v>100</v>
      </c>
      <c r="GN167">
        <v>14.2958</v>
      </c>
      <c r="GO167">
        <v>25.691299999999998</v>
      </c>
      <c r="GP167">
        <v>800</v>
      </c>
      <c r="GQ167">
        <v>0</v>
      </c>
      <c r="GR167">
        <v>99.775300000000001</v>
      </c>
      <c r="GS167">
        <v>99.503100000000003</v>
      </c>
    </row>
    <row r="168" spans="1:201" x14ac:dyDescent="0.25">
      <c r="A168">
        <v>152</v>
      </c>
      <c r="B168">
        <v>1690375396.0999999</v>
      </c>
      <c r="C168">
        <v>1576.599999904633</v>
      </c>
      <c r="D168" t="s">
        <v>637</v>
      </c>
      <c r="E168" t="s">
        <v>638</v>
      </c>
      <c r="F168" t="s">
        <v>330</v>
      </c>
      <c r="H168">
        <v>1690375396.0999999</v>
      </c>
      <c r="I168">
        <f t="shared" si="60"/>
        <v>2.6885152790204242E-3</v>
      </c>
      <c r="J168">
        <f t="shared" si="61"/>
        <v>2.6885152790204243</v>
      </c>
      <c r="K168">
        <f t="shared" si="62"/>
        <v>40.11901299155614</v>
      </c>
      <c r="L168">
        <f t="shared" si="63"/>
        <v>388.49200000000002</v>
      </c>
      <c r="M168">
        <f t="shared" si="64"/>
        <v>101.09277296802406</v>
      </c>
      <c r="N168">
        <f t="shared" si="65"/>
        <v>9.9884486973409761</v>
      </c>
      <c r="O168">
        <f t="shared" si="66"/>
        <v>38.3848646881492</v>
      </c>
      <c r="P168">
        <f t="shared" si="67"/>
        <v>0.238458110908912</v>
      </c>
      <c r="Q168">
        <f t="shared" si="68"/>
        <v>2.2412309028412665</v>
      </c>
      <c r="R168">
        <f t="shared" si="69"/>
        <v>0.22520650375840678</v>
      </c>
      <c r="S168">
        <f t="shared" si="70"/>
        <v>0.141883266297962</v>
      </c>
      <c r="T168">
        <f t="shared" si="71"/>
        <v>276.11377151808063</v>
      </c>
      <c r="U168">
        <f t="shared" si="72"/>
        <v>27.78909909520813</v>
      </c>
      <c r="V168">
        <f t="shared" si="73"/>
        <v>27.78909909520813</v>
      </c>
      <c r="W168">
        <f t="shared" si="74"/>
        <v>3.7484323715327594</v>
      </c>
      <c r="X168">
        <f t="shared" si="75"/>
        <v>74.570764461650199</v>
      </c>
      <c r="Y168">
        <f t="shared" si="76"/>
        <v>2.60683554480587</v>
      </c>
      <c r="Z168">
        <f t="shared" si="77"/>
        <v>3.4957876100981875</v>
      </c>
      <c r="AA168">
        <f t="shared" si="78"/>
        <v>1.1415968267268894</v>
      </c>
      <c r="AB168">
        <f t="shared" si="79"/>
        <v>-118.56352380480071</v>
      </c>
      <c r="AC168">
        <f t="shared" si="80"/>
        <v>-143.76252094303308</v>
      </c>
      <c r="AD168">
        <f t="shared" si="81"/>
        <v>-13.870077261863385</v>
      </c>
      <c r="AE168">
        <f t="shared" si="82"/>
        <v>-8.2350491616551835E-2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51951.650851885453</v>
      </c>
      <c r="AK168">
        <f t="shared" si="86"/>
        <v>1799.99</v>
      </c>
      <c r="AL168">
        <f t="shared" si="87"/>
        <v>1499.1017528106599</v>
      </c>
      <c r="AM168">
        <f t="shared" si="88"/>
        <v>0.83283893399999998</v>
      </c>
      <c r="AN168">
        <f t="shared" si="89"/>
        <v>0.15339739194000002</v>
      </c>
      <c r="AO168">
        <v>30</v>
      </c>
      <c r="AP168">
        <v>0.5</v>
      </c>
      <c r="AQ168" t="s">
        <v>331</v>
      </c>
      <c r="AR168">
        <v>2</v>
      </c>
      <c r="AS168">
        <v>1690375396.0999999</v>
      </c>
      <c r="AT168">
        <v>388.49200000000002</v>
      </c>
      <c r="AU168">
        <v>800.03899999999999</v>
      </c>
      <c r="AV168">
        <v>26.383700000000001</v>
      </c>
      <c r="AW168">
        <v>0.21346000000000001</v>
      </c>
      <c r="AX168">
        <v>389.57299999999998</v>
      </c>
      <c r="AY168">
        <v>26.200900000000001</v>
      </c>
      <c r="AZ168">
        <v>300.06400000000002</v>
      </c>
      <c r="BA168">
        <v>98.704800000000006</v>
      </c>
      <c r="BB168">
        <v>9.9975099999999997E-2</v>
      </c>
      <c r="BC168">
        <v>26.599299999999999</v>
      </c>
      <c r="BD168">
        <v>27.000499999999999</v>
      </c>
      <c r="BE168">
        <v>27.813500000000001</v>
      </c>
      <c r="BF168">
        <v>0</v>
      </c>
      <c r="BG168">
        <v>0</v>
      </c>
      <c r="BH168">
        <v>9938.1200000000008</v>
      </c>
      <c r="BI168">
        <v>1086.08</v>
      </c>
      <c r="BJ168">
        <v>1.4016500000000001</v>
      </c>
      <c r="BK168">
        <v>-411.54599999999999</v>
      </c>
      <c r="BL168">
        <v>399.02</v>
      </c>
      <c r="BM168">
        <v>800.20899999999995</v>
      </c>
      <c r="BN168">
        <v>26.170300000000001</v>
      </c>
      <c r="BO168">
        <v>800.03899999999999</v>
      </c>
      <c r="BP168">
        <v>0.21346000000000001</v>
      </c>
      <c r="BQ168">
        <v>2.6042000000000001</v>
      </c>
      <c r="BR168">
        <v>2.1069500000000001E-2</v>
      </c>
      <c r="BS168">
        <v>21.692799999999998</v>
      </c>
      <c r="BT168">
        <v>-38.922600000000003</v>
      </c>
      <c r="BU168">
        <v>1799.99</v>
      </c>
      <c r="BV168">
        <v>0.90999399999999997</v>
      </c>
      <c r="BW168">
        <v>3.4007099999999998E-2</v>
      </c>
      <c r="BX168">
        <v>2.19992E-2</v>
      </c>
      <c r="BY168">
        <v>3.3999599999999998E-2</v>
      </c>
      <c r="BZ168">
        <v>25</v>
      </c>
      <c r="CA168">
        <v>33528.199999999997</v>
      </c>
      <c r="CB168">
        <v>1690373417</v>
      </c>
      <c r="CC168" t="s">
        <v>332</v>
      </c>
      <c r="CD168">
        <v>1690373417</v>
      </c>
      <c r="CE168">
        <v>1690373415</v>
      </c>
      <c r="CF168">
        <v>1</v>
      </c>
      <c r="CG168">
        <v>-1.319</v>
      </c>
      <c r="CH168">
        <v>0.01</v>
      </c>
      <c r="CI168">
        <v>-1.371</v>
      </c>
      <c r="CJ168">
        <v>0.183</v>
      </c>
      <c r="CK168">
        <v>800</v>
      </c>
      <c r="CL168">
        <v>21</v>
      </c>
      <c r="CM168">
        <v>0.09</v>
      </c>
      <c r="CN168">
        <v>7.0000000000000007E-2</v>
      </c>
      <c r="CO168">
        <v>-410.61570731707309</v>
      </c>
      <c r="CP168">
        <v>-5.0955261324040011</v>
      </c>
      <c r="CQ168">
        <v>0.50381792316526097</v>
      </c>
      <c r="CR168">
        <v>-1</v>
      </c>
      <c r="CS168">
        <v>26.130099999999999</v>
      </c>
      <c r="CT168">
        <v>0.22361811846691679</v>
      </c>
      <c r="CU168">
        <v>2.206816490873258E-2</v>
      </c>
      <c r="CV168">
        <v>-1</v>
      </c>
      <c r="CW168">
        <v>0</v>
      </c>
      <c r="CX168">
        <v>0</v>
      </c>
      <c r="CY168" t="s">
        <v>333</v>
      </c>
      <c r="CZ168">
        <v>2.3652700000000002</v>
      </c>
      <c r="DA168">
        <v>2.7137099999999998</v>
      </c>
      <c r="DB168">
        <v>8.7573799999999993E-2</v>
      </c>
      <c r="DC168">
        <v>0.14574999999999999</v>
      </c>
      <c r="DD168">
        <v>0.121568</v>
      </c>
      <c r="DE168">
        <v>1.7899000000000001E-3</v>
      </c>
      <c r="DF168">
        <v>33333.800000000003</v>
      </c>
      <c r="DG168">
        <v>27524.5</v>
      </c>
      <c r="DH168">
        <v>31185</v>
      </c>
      <c r="DI168">
        <v>28073.3</v>
      </c>
      <c r="DJ168">
        <v>37176.400000000001</v>
      </c>
      <c r="DK168">
        <v>39834.9</v>
      </c>
      <c r="DL168">
        <v>44376.3</v>
      </c>
      <c r="DM168">
        <v>42525.8</v>
      </c>
      <c r="DN168">
        <v>1.4862500000000001</v>
      </c>
      <c r="DO168">
        <v>2.0629200000000001</v>
      </c>
      <c r="DP168">
        <v>0.112966</v>
      </c>
      <c r="DQ168">
        <v>0.16709399999999999</v>
      </c>
      <c r="DR168">
        <v>25.150300000000001</v>
      </c>
      <c r="DS168">
        <v>25.078399999999998</v>
      </c>
      <c r="DT168">
        <v>35.9</v>
      </c>
      <c r="DU168">
        <v>25.4</v>
      </c>
      <c r="DV168">
        <v>11.843400000000001</v>
      </c>
      <c r="DW168">
        <v>61.790100000000002</v>
      </c>
      <c r="DX168">
        <v>37.303699999999999</v>
      </c>
      <c r="DY168">
        <v>1</v>
      </c>
      <c r="DZ168">
        <v>-0.16914599999999999</v>
      </c>
      <c r="EA168">
        <v>-0.77315599999999995</v>
      </c>
      <c r="EB168">
        <v>20.188500000000001</v>
      </c>
      <c r="EC168">
        <v>5.2401999999999997</v>
      </c>
      <c r="ED168">
        <v>12.039899999999999</v>
      </c>
      <c r="EE168">
        <v>5.0137499999999999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1.8687400000000001</v>
      </c>
      <c r="EL168">
        <v>1.8644499999999999</v>
      </c>
      <c r="EM168">
        <v>1.8691</v>
      </c>
      <c r="EN168">
        <v>1.8670899999999999</v>
      </c>
      <c r="EO168">
        <v>1.8632500000000001</v>
      </c>
      <c r="EP168">
        <v>1.8642799999999999</v>
      </c>
      <c r="EQ168">
        <v>1.87009</v>
      </c>
      <c r="ER168">
        <v>1.86931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-1.081</v>
      </c>
      <c r="FG168">
        <v>0.18279999999999999</v>
      </c>
      <c r="FH168">
        <v>-0.81947142863283695</v>
      </c>
      <c r="FI168">
        <v>-6.1462078757559423E-4</v>
      </c>
      <c r="FJ168">
        <v>-1.8861989874597051E-7</v>
      </c>
      <c r="FK168">
        <v>1.1980462299894961E-10</v>
      </c>
      <c r="FL168">
        <v>0.18283500000000069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33</v>
      </c>
      <c r="FU168">
        <v>33</v>
      </c>
      <c r="FV168">
        <v>1.7626999999999999</v>
      </c>
      <c r="FW168">
        <v>2.5634800000000002</v>
      </c>
      <c r="FX168">
        <v>1.5490699999999999</v>
      </c>
      <c r="FY168">
        <v>2.34253</v>
      </c>
      <c r="FZ168">
        <v>1.50146</v>
      </c>
      <c r="GA168">
        <v>2.3156699999999999</v>
      </c>
      <c r="GB168">
        <v>30.782</v>
      </c>
      <c r="GC168">
        <v>23.982399999999998</v>
      </c>
      <c r="GD168">
        <v>19</v>
      </c>
      <c r="GE168">
        <v>282.97500000000002</v>
      </c>
      <c r="GF168">
        <v>594.19899999999996</v>
      </c>
      <c r="GG168">
        <v>25.717600000000001</v>
      </c>
      <c r="GH168">
        <v>25.3</v>
      </c>
      <c r="GI168">
        <v>30.0001</v>
      </c>
      <c r="GJ168">
        <v>25.415299999999998</v>
      </c>
      <c r="GK168">
        <v>25.383199999999999</v>
      </c>
      <c r="GL168">
        <v>35.228400000000001</v>
      </c>
      <c r="GM168">
        <v>100</v>
      </c>
      <c r="GN168">
        <v>13.9185</v>
      </c>
      <c r="GO168">
        <v>25.729299999999999</v>
      </c>
      <c r="GP168">
        <v>800</v>
      </c>
      <c r="GQ168">
        <v>0</v>
      </c>
      <c r="GR168">
        <v>99.774799999999999</v>
      </c>
      <c r="GS168">
        <v>99.504499999999993</v>
      </c>
    </row>
    <row r="169" spans="1:201" x14ac:dyDescent="0.25">
      <c r="A169">
        <v>153</v>
      </c>
      <c r="B169">
        <v>1690375406.0999999</v>
      </c>
      <c r="C169">
        <v>1586.599999904633</v>
      </c>
      <c r="D169" t="s">
        <v>639</v>
      </c>
      <c r="E169" t="s">
        <v>640</v>
      </c>
      <c r="F169" t="s">
        <v>330</v>
      </c>
      <c r="H169">
        <v>1690375406.0999999</v>
      </c>
      <c r="I169">
        <f t="shared" si="60"/>
        <v>2.6932128547484013E-3</v>
      </c>
      <c r="J169">
        <f t="shared" si="61"/>
        <v>2.6932128547484013</v>
      </c>
      <c r="K169">
        <f t="shared" si="62"/>
        <v>40.202739989226004</v>
      </c>
      <c r="L169">
        <f t="shared" si="63"/>
        <v>387.72500000000002</v>
      </c>
      <c r="M169">
        <f t="shared" si="64"/>
        <v>101.32399536778875</v>
      </c>
      <c r="N169">
        <f t="shared" si="65"/>
        <v>10.010853014708397</v>
      </c>
      <c r="O169">
        <f t="shared" si="66"/>
        <v>38.307391758869997</v>
      </c>
      <c r="P169">
        <f t="shared" si="67"/>
        <v>0.23980644132751661</v>
      </c>
      <c r="Q169">
        <f t="shared" si="68"/>
        <v>2.2493196323885236</v>
      </c>
      <c r="R169">
        <f t="shared" si="69"/>
        <v>0.22645436921862502</v>
      </c>
      <c r="S169">
        <f t="shared" si="70"/>
        <v>0.14267162422199661</v>
      </c>
      <c r="T169">
        <f t="shared" si="71"/>
        <v>276.11528563799999</v>
      </c>
      <c r="U169">
        <f t="shared" si="72"/>
        <v>27.785643684746518</v>
      </c>
      <c r="V169">
        <f t="shared" si="73"/>
        <v>27.785643684746518</v>
      </c>
      <c r="W169">
        <f t="shared" si="74"/>
        <v>3.7476761737478315</v>
      </c>
      <c r="X169">
        <f t="shared" si="75"/>
        <v>74.665511137802639</v>
      </c>
      <c r="Y169">
        <f t="shared" si="76"/>
        <v>2.6104552230498004</v>
      </c>
      <c r="Z169">
        <f t="shared" si="77"/>
        <v>3.49619949461264</v>
      </c>
      <c r="AA169">
        <f t="shared" si="78"/>
        <v>1.1372209506980311</v>
      </c>
      <c r="AB169">
        <f t="shared" si="79"/>
        <v>-118.77068689440451</v>
      </c>
      <c r="AC169">
        <f t="shared" si="80"/>
        <v>-143.61981594602793</v>
      </c>
      <c r="AD169">
        <f t="shared" si="81"/>
        <v>-13.806379939439628</v>
      </c>
      <c r="AE169">
        <f t="shared" si="82"/>
        <v>-8.1597141872066459E-2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52265.500134740425</v>
      </c>
      <c r="AK169">
        <f t="shared" si="86"/>
        <v>1800</v>
      </c>
      <c r="AL169">
        <f t="shared" si="87"/>
        <v>1499.1106517999999</v>
      </c>
      <c r="AM169">
        <f t="shared" si="88"/>
        <v>0.832839251</v>
      </c>
      <c r="AN169">
        <f t="shared" si="89"/>
        <v>0.15339738090999999</v>
      </c>
      <c r="AO169">
        <v>30</v>
      </c>
      <c r="AP169">
        <v>0.5</v>
      </c>
      <c r="AQ169" t="s">
        <v>331</v>
      </c>
      <c r="AR169">
        <v>2</v>
      </c>
      <c r="AS169">
        <v>1690375406.0999999</v>
      </c>
      <c r="AT169">
        <v>387.72500000000002</v>
      </c>
      <c r="AU169">
        <v>800.01599999999996</v>
      </c>
      <c r="AV169">
        <v>26.421500000000002</v>
      </c>
      <c r="AW169">
        <v>0.212316</v>
      </c>
      <c r="AX169">
        <v>388.80500000000001</v>
      </c>
      <c r="AY169">
        <v>26.238700000000001</v>
      </c>
      <c r="AZ169">
        <v>300.13</v>
      </c>
      <c r="BA169">
        <v>98.700500000000005</v>
      </c>
      <c r="BB169">
        <v>9.9917199999999998E-2</v>
      </c>
      <c r="BC169">
        <v>26.601299999999998</v>
      </c>
      <c r="BD169">
        <v>26.9816</v>
      </c>
      <c r="BE169">
        <v>27.812000000000001</v>
      </c>
      <c r="BF169">
        <v>0</v>
      </c>
      <c r="BG169">
        <v>0</v>
      </c>
      <c r="BH169">
        <v>10001.200000000001</v>
      </c>
      <c r="BI169">
        <v>1086.1400000000001</v>
      </c>
      <c r="BJ169">
        <v>1.4016500000000001</v>
      </c>
      <c r="BK169">
        <v>-412.29199999999997</v>
      </c>
      <c r="BL169">
        <v>398.24700000000001</v>
      </c>
      <c r="BM169">
        <v>800.18600000000004</v>
      </c>
      <c r="BN169">
        <v>26.209199999999999</v>
      </c>
      <c r="BO169">
        <v>800.01599999999996</v>
      </c>
      <c r="BP169">
        <v>0.212316</v>
      </c>
      <c r="BQ169">
        <v>2.6078199999999998</v>
      </c>
      <c r="BR169">
        <v>2.0955600000000001E-2</v>
      </c>
      <c r="BS169">
        <v>21.715499999999999</v>
      </c>
      <c r="BT169">
        <v>-38.975000000000001</v>
      </c>
      <c r="BU169">
        <v>1800</v>
      </c>
      <c r="BV169">
        <v>0.90999600000000003</v>
      </c>
      <c r="BW169">
        <v>3.4006399999999999E-2</v>
      </c>
      <c r="BX169">
        <v>2.1998799999999999E-2</v>
      </c>
      <c r="BY169">
        <v>3.3998899999999999E-2</v>
      </c>
      <c r="BZ169">
        <v>25</v>
      </c>
      <c r="CA169">
        <v>33528.400000000001</v>
      </c>
      <c r="CB169">
        <v>1690373417</v>
      </c>
      <c r="CC169" t="s">
        <v>332</v>
      </c>
      <c r="CD169">
        <v>1690373417</v>
      </c>
      <c r="CE169">
        <v>1690373415</v>
      </c>
      <c r="CF169">
        <v>1</v>
      </c>
      <c r="CG169">
        <v>-1.319</v>
      </c>
      <c r="CH169">
        <v>0.01</v>
      </c>
      <c r="CI169">
        <v>-1.371</v>
      </c>
      <c r="CJ169">
        <v>0.183</v>
      </c>
      <c r="CK169">
        <v>800</v>
      </c>
      <c r="CL169">
        <v>21</v>
      </c>
      <c r="CM169">
        <v>0.09</v>
      </c>
      <c r="CN169">
        <v>7.0000000000000007E-2</v>
      </c>
      <c r="CO169">
        <v>-411.38524390243907</v>
      </c>
      <c r="CP169">
        <v>-5.1817003484322806</v>
      </c>
      <c r="CQ169">
        <v>0.51208082348384043</v>
      </c>
      <c r="CR169">
        <v>-1</v>
      </c>
      <c r="CS169">
        <v>26.163860975609751</v>
      </c>
      <c r="CT169">
        <v>0.22935261324039891</v>
      </c>
      <c r="CU169">
        <v>2.262235973597378E-2</v>
      </c>
      <c r="CV169">
        <v>-1</v>
      </c>
      <c r="CW169">
        <v>0</v>
      </c>
      <c r="CX169">
        <v>0</v>
      </c>
      <c r="CY169" t="s">
        <v>333</v>
      </c>
      <c r="CZ169">
        <v>2.3654799999999998</v>
      </c>
      <c r="DA169">
        <v>2.7137099999999998</v>
      </c>
      <c r="DB169">
        <v>8.7437500000000001E-2</v>
      </c>
      <c r="DC169">
        <v>0.14574100000000001</v>
      </c>
      <c r="DD169">
        <v>0.121684</v>
      </c>
      <c r="DE169">
        <v>1.78035E-3</v>
      </c>
      <c r="DF169">
        <v>33338.9</v>
      </c>
      <c r="DG169">
        <v>27525</v>
      </c>
      <c r="DH169">
        <v>31185.1</v>
      </c>
      <c r="DI169">
        <v>28073.5</v>
      </c>
      <c r="DJ169">
        <v>37171.5</v>
      </c>
      <c r="DK169">
        <v>39835.4</v>
      </c>
      <c r="DL169">
        <v>44376.4</v>
      </c>
      <c r="DM169">
        <v>42526</v>
      </c>
      <c r="DN169">
        <v>1.4859199999999999</v>
      </c>
      <c r="DO169">
        <v>2.0628799999999998</v>
      </c>
      <c r="DP169">
        <v>0.111677</v>
      </c>
      <c r="DQ169">
        <v>0.166744</v>
      </c>
      <c r="DR169">
        <v>25.1525</v>
      </c>
      <c r="DS169">
        <v>25.082599999999999</v>
      </c>
      <c r="DT169">
        <v>35.700000000000003</v>
      </c>
      <c r="DU169">
        <v>25.4</v>
      </c>
      <c r="DV169">
        <v>11.775600000000001</v>
      </c>
      <c r="DW169">
        <v>61.690100000000001</v>
      </c>
      <c r="DX169">
        <v>37.255600000000001</v>
      </c>
      <c r="DY169">
        <v>1</v>
      </c>
      <c r="DZ169">
        <v>-0.16881099999999999</v>
      </c>
      <c r="EA169">
        <v>-0.70834200000000003</v>
      </c>
      <c r="EB169">
        <v>20.188800000000001</v>
      </c>
      <c r="EC169">
        <v>5.2401999999999997</v>
      </c>
      <c r="ED169">
        <v>12.039899999999999</v>
      </c>
      <c r="EE169">
        <v>5.0137499999999999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1.8687499999999999</v>
      </c>
      <c r="EL169">
        <v>1.8644700000000001</v>
      </c>
      <c r="EM169">
        <v>1.8691</v>
      </c>
      <c r="EN169">
        <v>1.8670800000000001</v>
      </c>
      <c r="EO169">
        <v>1.8632500000000001</v>
      </c>
      <c r="EP169">
        <v>1.86429</v>
      </c>
      <c r="EQ169">
        <v>1.8700600000000001</v>
      </c>
      <c r="ER169">
        <v>1.8692899999999999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-1.08</v>
      </c>
      <c r="FG169">
        <v>0.18279999999999999</v>
      </c>
      <c r="FH169">
        <v>-0.81947142863283695</v>
      </c>
      <c r="FI169">
        <v>-6.1462078757559423E-4</v>
      </c>
      <c r="FJ169">
        <v>-1.8861989874597051E-7</v>
      </c>
      <c r="FK169">
        <v>1.1980462299894961E-10</v>
      </c>
      <c r="FL169">
        <v>0.18283500000000069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33.200000000000003</v>
      </c>
      <c r="FU169">
        <v>33.200000000000003</v>
      </c>
      <c r="FV169">
        <v>1.7614700000000001</v>
      </c>
      <c r="FW169">
        <v>2.5622600000000002</v>
      </c>
      <c r="FX169">
        <v>1.5490699999999999</v>
      </c>
      <c r="FY169">
        <v>2.34253</v>
      </c>
      <c r="FZ169">
        <v>1.50146</v>
      </c>
      <c r="GA169">
        <v>2.3132299999999999</v>
      </c>
      <c r="GB169">
        <v>30.803699999999999</v>
      </c>
      <c r="GC169">
        <v>23.982399999999998</v>
      </c>
      <c r="GD169">
        <v>19</v>
      </c>
      <c r="GE169">
        <v>282.83800000000002</v>
      </c>
      <c r="GF169">
        <v>594.15700000000004</v>
      </c>
      <c r="GG169">
        <v>25.7318</v>
      </c>
      <c r="GH169">
        <v>25.302199999999999</v>
      </c>
      <c r="GI169">
        <v>30.0002</v>
      </c>
      <c r="GJ169">
        <v>25.415299999999998</v>
      </c>
      <c r="GK169">
        <v>25.383199999999999</v>
      </c>
      <c r="GL169">
        <v>35.226799999999997</v>
      </c>
      <c r="GM169">
        <v>100</v>
      </c>
      <c r="GN169">
        <v>13.1439</v>
      </c>
      <c r="GO169">
        <v>25.727699999999999</v>
      </c>
      <c r="GP169">
        <v>800</v>
      </c>
      <c r="GQ169">
        <v>0</v>
      </c>
      <c r="GR169">
        <v>99.775099999999995</v>
      </c>
      <c r="GS169">
        <v>99.505099999999999</v>
      </c>
    </row>
    <row r="170" spans="1:201" x14ac:dyDescent="0.25">
      <c r="A170">
        <v>154</v>
      </c>
      <c r="B170">
        <v>1690375416.0999999</v>
      </c>
      <c r="C170">
        <v>1596.599999904633</v>
      </c>
      <c r="D170" t="s">
        <v>641</v>
      </c>
      <c r="E170" t="s">
        <v>642</v>
      </c>
      <c r="F170" t="s">
        <v>330</v>
      </c>
      <c r="H170">
        <v>1690375416.0999999</v>
      </c>
      <c r="I170">
        <f t="shared" si="60"/>
        <v>2.6980730831868919E-3</v>
      </c>
      <c r="J170">
        <f t="shared" si="61"/>
        <v>2.698073083186892</v>
      </c>
      <c r="K170">
        <f t="shared" si="62"/>
        <v>40.299503424927813</v>
      </c>
      <c r="L170">
        <f t="shared" si="63"/>
        <v>386.89800000000002</v>
      </c>
      <c r="M170">
        <f t="shared" si="64"/>
        <v>101.07959112287116</v>
      </c>
      <c r="N170">
        <f t="shared" si="65"/>
        <v>9.9867879308367513</v>
      </c>
      <c r="O170">
        <f t="shared" si="66"/>
        <v>38.225998284539997</v>
      </c>
      <c r="P170">
        <f t="shared" si="67"/>
        <v>0.24092526028755407</v>
      </c>
      <c r="Q170">
        <f t="shared" si="68"/>
        <v>2.2476433726242719</v>
      </c>
      <c r="R170">
        <f t="shared" si="69"/>
        <v>0.22744262212106819</v>
      </c>
      <c r="S170">
        <f t="shared" si="70"/>
        <v>0.1433000875896652</v>
      </c>
      <c r="T170">
        <f t="shared" si="71"/>
        <v>276.11368997853356</v>
      </c>
      <c r="U170">
        <f t="shared" si="72"/>
        <v>27.789618448661994</v>
      </c>
      <c r="V170">
        <f t="shared" si="73"/>
        <v>27.789618448661994</v>
      </c>
      <c r="W170">
        <f t="shared" si="74"/>
        <v>3.7485460407196651</v>
      </c>
      <c r="X170">
        <f t="shared" si="75"/>
        <v>74.752655076950191</v>
      </c>
      <c r="Y170">
        <f t="shared" si="76"/>
        <v>2.614241025308</v>
      </c>
      <c r="Z170">
        <f t="shared" si="77"/>
        <v>3.4971881903283664</v>
      </c>
      <c r="AA170">
        <f t="shared" si="78"/>
        <v>1.1343050154116652</v>
      </c>
      <c r="AB170">
        <f t="shared" si="79"/>
        <v>-118.98502296854193</v>
      </c>
      <c r="AC170">
        <f t="shared" si="80"/>
        <v>-143.41278825475788</v>
      </c>
      <c r="AD170">
        <f t="shared" si="81"/>
        <v>-13.797364682947768</v>
      </c>
      <c r="AE170">
        <f t="shared" si="82"/>
        <v>-8.1485927714027184E-2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52199.462285063099</v>
      </c>
      <c r="AK170">
        <f t="shared" si="86"/>
        <v>1799.99</v>
      </c>
      <c r="AL170">
        <f t="shared" si="87"/>
        <v>1499.10372379971</v>
      </c>
      <c r="AM170">
        <f t="shared" si="88"/>
        <v>0.83284002899999998</v>
      </c>
      <c r="AN170">
        <f t="shared" si="89"/>
        <v>0.15339734663999999</v>
      </c>
      <c r="AO170">
        <v>30</v>
      </c>
      <c r="AP170">
        <v>0.5</v>
      </c>
      <c r="AQ170" t="s">
        <v>331</v>
      </c>
      <c r="AR170">
        <v>2</v>
      </c>
      <c r="AS170">
        <v>1690375416.0999999</v>
      </c>
      <c r="AT170">
        <v>386.89800000000002</v>
      </c>
      <c r="AU170">
        <v>800.04399999999998</v>
      </c>
      <c r="AV170">
        <v>26.459599999999998</v>
      </c>
      <c r="AW170">
        <v>0.21105499999999999</v>
      </c>
      <c r="AX170">
        <v>387.97800000000001</v>
      </c>
      <c r="AY170">
        <v>26.276800000000001</v>
      </c>
      <c r="AZ170">
        <v>300.209</v>
      </c>
      <c r="BA170">
        <v>98.7012</v>
      </c>
      <c r="BB170">
        <v>0.10002999999999999</v>
      </c>
      <c r="BC170">
        <v>26.606100000000001</v>
      </c>
      <c r="BD170">
        <v>27.002500000000001</v>
      </c>
      <c r="BE170">
        <v>27.833600000000001</v>
      </c>
      <c r="BF170">
        <v>0</v>
      </c>
      <c r="BG170">
        <v>0</v>
      </c>
      <c r="BH170">
        <v>9988.1200000000008</v>
      </c>
      <c r="BI170">
        <v>1086.1099999999999</v>
      </c>
      <c r="BJ170">
        <v>1.4016500000000001</v>
      </c>
      <c r="BK170">
        <v>-413.14499999999998</v>
      </c>
      <c r="BL170">
        <v>397.41399999999999</v>
      </c>
      <c r="BM170">
        <v>800.21199999999999</v>
      </c>
      <c r="BN170">
        <v>26.2485</v>
      </c>
      <c r="BO170">
        <v>800.04399999999998</v>
      </c>
      <c r="BP170">
        <v>0.21105499999999999</v>
      </c>
      <c r="BQ170">
        <v>2.6115900000000001</v>
      </c>
      <c r="BR170">
        <v>2.08314E-2</v>
      </c>
      <c r="BS170">
        <v>21.7392</v>
      </c>
      <c r="BT170">
        <v>-39.032499999999999</v>
      </c>
      <c r="BU170">
        <v>1799.99</v>
      </c>
      <c r="BV170">
        <v>0.91000099999999995</v>
      </c>
      <c r="BW170">
        <v>3.4004699999999999E-2</v>
      </c>
      <c r="BX170">
        <v>2.1997699999999999E-2</v>
      </c>
      <c r="BY170">
        <v>3.3997199999999998E-2</v>
      </c>
      <c r="BZ170">
        <v>25</v>
      </c>
      <c r="CA170">
        <v>33528.199999999997</v>
      </c>
      <c r="CB170">
        <v>1690373417</v>
      </c>
      <c r="CC170" t="s">
        <v>332</v>
      </c>
      <c r="CD170">
        <v>1690373417</v>
      </c>
      <c r="CE170">
        <v>1690373415</v>
      </c>
      <c r="CF170">
        <v>1</v>
      </c>
      <c r="CG170">
        <v>-1.319</v>
      </c>
      <c r="CH170">
        <v>0.01</v>
      </c>
      <c r="CI170">
        <v>-1.371</v>
      </c>
      <c r="CJ170">
        <v>0.183</v>
      </c>
      <c r="CK170">
        <v>800</v>
      </c>
      <c r="CL170">
        <v>21</v>
      </c>
      <c r="CM170">
        <v>0.09</v>
      </c>
      <c r="CN170">
        <v>7.0000000000000007E-2</v>
      </c>
      <c r="CO170">
        <v>-412.25867499999998</v>
      </c>
      <c r="CP170">
        <v>-4.5642439024387338</v>
      </c>
      <c r="CQ170">
        <v>0.44007592455734618</v>
      </c>
      <c r="CR170">
        <v>-1</v>
      </c>
      <c r="CS170">
        <v>26.205807499999999</v>
      </c>
      <c r="CT170">
        <v>0.23697523452161151</v>
      </c>
      <c r="CU170">
        <v>2.2809552686319689E-2</v>
      </c>
      <c r="CV170">
        <v>-1</v>
      </c>
      <c r="CW170">
        <v>0</v>
      </c>
      <c r="CX170">
        <v>0</v>
      </c>
      <c r="CY170" t="s">
        <v>333</v>
      </c>
      <c r="CZ170">
        <v>2.3657599999999999</v>
      </c>
      <c r="DA170">
        <v>2.7138100000000001</v>
      </c>
      <c r="DB170">
        <v>8.7294999999999998E-2</v>
      </c>
      <c r="DC170">
        <v>0.14574500000000001</v>
      </c>
      <c r="DD170">
        <v>0.121807</v>
      </c>
      <c r="DE170">
        <v>1.76994E-3</v>
      </c>
      <c r="DF170">
        <v>33344.300000000003</v>
      </c>
      <c r="DG170">
        <v>27525.200000000001</v>
      </c>
      <c r="DH170">
        <v>31185.3</v>
      </c>
      <c r="DI170">
        <v>28073.8</v>
      </c>
      <c r="DJ170">
        <v>37166.6</v>
      </c>
      <c r="DK170">
        <v>39836.400000000001</v>
      </c>
      <c r="DL170">
        <v>44376.9</v>
      </c>
      <c r="DM170">
        <v>42526.6</v>
      </c>
      <c r="DN170">
        <v>1.4863</v>
      </c>
      <c r="DO170">
        <v>2.0626000000000002</v>
      </c>
      <c r="DP170">
        <v>0.112757</v>
      </c>
      <c r="DQ170">
        <v>0.16780900000000001</v>
      </c>
      <c r="DR170">
        <v>25.1557</v>
      </c>
      <c r="DS170">
        <v>25.0869</v>
      </c>
      <c r="DT170">
        <v>35.4</v>
      </c>
      <c r="DU170">
        <v>25.5</v>
      </c>
      <c r="DV170">
        <v>11.7493</v>
      </c>
      <c r="DW170">
        <v>61.560099999999998</v>
      </c>
      <c r="DX170">
        <v>37.2316</v>
      </c>
      <c r="DY170">
        <v>1</v>
      </c>
      <c r="DZ170">
        <v>-0.168905</v>
      </c>
      <c r="EA170">
        <v>-0.70297699999999996</v>
      </c>
      <c r="EB170">
        <v>20.1889</v>
      </c>
      <c r="EC170">
        <v>5.2401999999999997</v>
      </c>
      <c r="ED170">
        <v>12.039899999999999</v>
      </c>
      <c r="EE170">
        <v>5.0137999999999998</v>
      </c>
      <c r="EF170">
        <v>3.2879700000000001</v>
      </c>
      <c r="EG170">
        <v>9999</v>
      </c>
      <c r="EH170">
        <v>9999</v>
      </c>
      <c r="EI170">
        <v>9999</v>
      </c>
      <c r="EJ170">
        <v>999.9</v>
      </c>
      <c r="EK170">
        <v>1.8687499999999999</v>
      </c>
      <c r="EL170">
        <v>1.8644499999999999</v>
      </c>
      <c r="EM170">
        <v>1.8691</v>
      </c>
      <c r="EN170">
        <v>1.8670800000000001</v>
      </c>
      <c r="EO170">
        <v>1.8632500000000001</v>
      </c>
      <c r="EP170">
        <v>1.86426</v>
      </c>
      <c r="EQ170">
        <v>1.8700600000000001</v>
      </c>
      <c r="ER170">
        <v>1.8692599999999999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-1.08</v>
      </c>
      <c r="FG170">
        <v>0.18279999999999999</v>
      </c>
      <c r="FH170">
        <v>-0.81947142863283695</v>
      </c>
      <c r="FI170">
        <v>-6.1462078757559423E-4</v>
      </c>
      <c r="FJ170">
        <v>-1.8861989874597051E-7</v>
      </c>
      <c r="FK170">
        <v>1.1980462299894961E-10</v>
      </c>
      <c r="FL170">
        <v>0.18283500000000069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33.299999999999997</v>
      </c>
      <c r="FU170">
        <v>33.4</v>
      </c>
      <c r="FV170">
        <v>1.7614700000000001</v>
      </c>
      <c r="FW170">
        <v>2.5610400000000002</v>
      </c>
      <c r="FX170">
        <v>1.5490699999999999</v>
      </c>
      <c r="FY170">
        <v>2.34253</v>
      </c>
      <c r="FZ170">
        <v>1.50146</v>
      </c>
      <c r="GA170">
        <v>2.2802699999999998</v>
      </c>
      <c r="GB170">
        <v>30.803699999999999</v>
      </c>
      <c r="GC170">
        <v>23.982399999999998</v>
      </c>
      <c r="GD170">
        <v>19</v>
      </c>
      <c r="GE170">
        <v>283.00099999999998</v>
      </c>
      <c r="GF170">
        <v>593.928</v>
      </c>
      <c r="GG170">
        <v>25.730399999999999</v>
      </c>
      <c r="GH170">
        <v>25.302199999999999</v>
      </c>
      <c r="GI170">
        <v>30.0001</v>
      </c>
      <c r="GJ170">
        <v>25.416399999999999</v>
      </c>
      <c r="GK170">
        <v>25.383199999999999</v>
      </c>
      <c r="GL170">
        <v>35.225700000000003</v>
      </c>
      <c r="GM170">
        <v>100</v>
      </c>
      <c r="GN170">
        <v>12.360900000000001</v>
      </c>
      <c r="GO170">
        <v>25.73</v>
      </c>
      <c r="GP170">
        <v>800</v>
      </c>
      <c r="GQ170">
        <v>0</v>
      </c>
      <c r="GR170">
        <v>99.775999999999996</v>
      </c>
      <c r="GS170">
        <v>99.506299999999996</v>
      </c>
    </row>
    <row r="171" spans="1:201" x14ac:dyDescent="0.25">
      <c r="A171">
        <v>155</v>
      </c>
      <c r="B171">
        <v>1690375426.0999999</v>
      </c>
      <c r="C171">
        <v>1606.599999904633</v>
      </c>
      <c r="D171" t="s">
        <v>643</v>
      </c>
      <c r="E171" t="s">
        <v>644</v>
      </c>
      <c r="F171" t="s">
        <v>330</v>
      </c>
      <c r="H171">
        <v>1690375426.0999999</v>
      </c>
      <c r="I171">
        <f t="shared" si="60"/>
        <v>2.7021561931174299E-3</v>
      </c>
      <c r="J171">
        <f t="shared" si="61"/>
        <v>2.70215619311743</v>
      </c>
      <c r="K171">
        <f t="shared" si="62"/>
        <v>40.370262545178441</v>
      </c>
      <c r="L171">
        <f t="shared" si="63"/>
        <v>386.053</v>
      </c>
      <c r="M171">
        <f t="shared" si="64"/>
        <v>101.38556475857752</v>
      </c>
      <c r="N171">
        <f t="shared" si="65"/>
        <v>10.017060952528077</v>
      </c>
      <c r="O171">
        <f t="shared" si="66"/>
        <v>38.142672885581099</v>
      </c>
      <c r="P171">
        <f t="shared" si="67"/>
        <v>0.24236769302826905</v>
      </c>
      <c r="Q171">
        <f t="shared" si="68"/>
        <v>2.251677390083108</v>
      </c>
      <c r="R171">
        <f t="shared" si="69"/>
        <v>0.22875099744474928</v>
      </c>
      <c r="S171">
        <f t="shared" si="70"/>
        <v>0.14412899065411466</v>
      </c>
      <c r="T171">
        <f t="shared" si="71"/>
        <v>276.11339472617391</v>
      </c>
      <c r="U171">
        <f t="shared" si="72"/>
        <v>27.78742547222366</v>
      </c>
      <c r="V171">
        <f t="shared" si="73"/>
        <v>27.78742547222366</v>
      </c>
      <c r="W171">
        <f t="shared" si="74"/>
        <v>3.748066091621578</v>
      </c>
      <c r="X171">
        <f t="shared" si="75"/>
        <v>74.871297943278435</v>
      </c>
      <c r="Y171">
        <f t="shared" si="76"/>
        <v>2.6185598558258398</v>
      </c>
      <c r="Z171">
        <f t="shared" si="77"/>
        <v>3.4974148008087536</v>
      </c>
      <c r="AA171">
        <f t="shared" si="78"/>
        <v>1.1295062357957382</v>
      </c>
      <c r="AB171">
        <f t="shared" si="79"/>
        <v>-119.16508811647866</v>
      </c>
      <c r="AC171">
        <f t="shared" si="80"/>
        <v>-143.27043973736505</v>
      </c>
      <c r="AD171">
        <f t="shared" si="81"/>
        <v>-13.758899985092826</v>
      </c>
      <c r="AE171">
        <f t="shared" si="82"/>
        <v>-8.1033112762668225E-2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52356.302988859461</v>
      </c>
      <c r="AK171">
        <f t="shared" si="86"/>
        <v>1799.99</v>
      </c>
      <c r="AL171">
        <f t="shared" si="87"/>
        <v>1499.1034574011899</v>
      </c>
      <c r="AM171">
        <f t="shared" si="88"/>
        <v>0.83283988099999995</v>
      </c>
      <c r="AN171">
        <f t="shared" si="89"/>
        <v>0.15339718261000002</v>
      </c>
      <c r="AO171">
        <v>30</v>
      </c>
      <c r="AP171">
        <v>0.5</v>
      </c>
      <c r="AQ171" t="s">
        <v>331</v>
      </c>
      <c r="AR171">
        <v>2</v>
      </c>
      <c r="AS171">
        <v>1690375426.0999999</v>
      </c>
      <c r="AT171">
        <v>386.053</v>
      </c>
      <c r="AU171">
        <v>800.00800000000004</v>
      </c>
      <c r="AV171">
        <v>26.5032</v>
      </c>
      <c r="AW171">
        <v>0.20918999999999999</v>
      </c>
      <c r="AX171">
        <v>387.13099999999997</v>
      </c>
      <c r="AY171">
        <v>26.320399999999999</v>
      </c>
      <c r="AZ171">
        <v>300.13</v>
      </c>
      <c r="BA171">
        <v>98.701700000000002</v>
      </c>
      <c r="BB171">
        <v>9.9948700000000001E-2</v>
      </c>
      <c r="BC171">
        <v>26.607199999999999</v>
      </c>
      <c r="BD171">
        <v>27.015000000000001</v>
      </c>
      <c r="BE171">
        <v>27.813099999999999</v>
      </c>
      <c r="BF171">
        <v>0</v>
      </c>
      <c r="BG171">
        <v>0</v>
      </c>
      <c r="BH171">
        <v>10019.4</v>
      </c>
      <c r="BI171">
        <v>1086.04</v>
      </c>
      <c r="BJ171">
        <v>1.4016500000000001</v>
      </c>
      <c r="BK171">
        <v>-413.95499999999998</v>
      </c>
      <c r="BL171">
        <v>396.56299999999999</v>
      </c>
      <c r="BM171">
        <v>800.17600000000004</v>
      </c>
      <c r="BN171">
        <v>26.294</v>
      </c>
      <c r="BO171">
        <v>800.00800000000004</v>
      </c>
      <c r="BP171">
        <v>0.20918999999999999</v>
      </c>
      <c r="BQ171">
        <v>2.61591</v>
      </c>
      <c r="BR171">
        <v>2.06474E-2</v>
      </c>
      <c r="BS171">
        <v>21.766200000000001</v>
      </c>
      <c r="BT171">
        <v>-39.118299999999998</v>
      </c>
      <c r="BU171">
        <v>1799.99</v>
      </c>
      <c r="BV171">
        <v>0.91000400000000004</v>
      </c>
      <c r="BW171">
        <v>3.4003400000000003E-2</v>
      </c>
      <c r="BX171">
        <v>2.19968E-2</v>
      </c>
      <c r="BY171">
        <v>3.3995900000000003E-2</v>
      </c>
      <c r="BZ171">
        <v>25</v>
      </c>
      <c r="CA171">
        <v>33528.300000000003</v>
      </c>
      <c r="CB171">
        <v>1690373417</v>
      </c>
      <c r="CC171" t="s">
        <v>332</v>
      </c>
      <c r="CD171">
        <v>1690373417</v>
      </c>
      <c r="CE171">
        <v>1690373415</v>
      </c>
      <c r="CF171">
        <v>1</v>
      </c>
      <c r="CG171">
        <v>-1.319</v>
      </c>
      <c r="CH171">
        <v>0.01</v>
      </c>
      <c r="CI171">
        <v>-1.371</v>
      </c>
      <c r="CJ171">
        <v>0.183</v>
      </c>
      <c r="CK171">
        <v>800</v>
      </c>
      <c r="CL171">
        <v>21</v>
      </c>
      <c r="CM171">
        <v>0.09</v>
      </c>
      <c r="CN171">
        <v>7.0000000000000007E-2</v>
      </c>
      <c r="CO171">
        <v>-413.04327499999999</v>
      </c>
      <c r="CP171">
        <v>-4.8747804878037329</v>
      </c>
      <c r="CQ171">
        <v>0.46981735746458181</v>
      </c>
      <c r="CR171">
        <v>-1</v>
      </c>
      <c r="CS171">
        <v>26.246737499999991</v>
      </c>
      <c r="CT171">
        <v>0.25011219512185667</v>
      </c>
      <c r="CU171">
        <v>2.4083300100899849E-2</v>
      </c>
      <c r="CV171">
        <v>-1</v>
      </c>
      <c r="CW171">
        <v>0</v>
      </c>
      <c r="CX171">
        <v>0</v>
      </c>
      <c r="CY171" t="s">
        <v>333</v>
      </c>
      <c r="CZ171">
        <v>2.3654999999999999</v>
      </c>
      <c r="DA171">
        <v>2.7137600000000002</v>
      </c>
      <c r="DB171">
        <v>8.7148799999999998E-2</v>
      </c>
      <c r="DC171">
        <v>0.14574200000000001</v>
      </c>
      <c r="DD171">
        <v>0.121948</v>
      </c>
      <c r="DE171">
        <v>1.7545E-3</v>
      </c>
      <c r="DF171">
        <v>33349.4</v>
      </c>
      <c r="DG171">
        <v>27525.200000000001</v>
      </c>
      <c r="DH171">
        <v>31185.1</v>
      </c>
      <c r="DI171">
        <v>28073.7</v>
      </c>
      <c r="DJ171">
        <v>37160.400000000001</v>
      </c>
      <c r="DK171">
        <v>39836.800000000003</v>
      </c>
      <c r="DL171">
        <v>44376.7</v>
      </c>
      <c r="DM171">
        <v>42526.400000000001</v>
      </c>
      <c r="DN171">
        <v>1.4861</v>
      </c>
      <c r="DO171">
        <v>2.0627300000000002</v>
      </c>
      <c r="DP171">
        <v>0.11333799999999999</v>
      </c>
      <c r="DQ171">
        <v>0.16628999999999999</v>
      </c>
      <c r="DR171">
        <v>25.158799999999999</v>
      </c>
      <c r="DS171">
        <v>25.091200000000001</v>
      </c>
      <c r="DT171">
        <v>35.1</v>
      </c>
      <c r="DU171">
        <v>25.5</v>
      </c>
      <c r="DV171">
        <v>11.648199999999999</v>
      </c>
      <c r="DW171">
        <v>61.7301</v>
      </c>
      <c r="DX171">
        <v>37.644199999999998</v>
      </c>
      <c r="DY171">
        <v>1</v>
      </c>
      <c r="DZ171">
        <v>-0.16922999999999999</v>
      </c>
      <c r="EA171">
        <v>-0.67937400000000003</v>
      </c>
      <c r="EB171">
        <v>20.1892</v>
      </c>
      <c r="EC171">
        <v>5.2398999999999996</v>
      </c>
      <c r="ED171">
        <v>12.039899999999999</v>
      </c>
      <c r="EE171">
        <v>5.0137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1.8687400000000001</v>
      </c>
      <c r="EL171">
        <v>1.86443</v>
      </c>
      <c r="EM171">
        <v>1.8690800000000001</v>
      </c>
      <c r="EN171">
        <v>1.86707</v>
      </c>
      <c r="EO171">
        <v>1.8632500000000001</v>
      </c>
      <c r="EP171">
        <v>1.8642399999999999</v>
      </c>
      <c r="EQ171">
        <v>1.87008</v>
      </c>
      <c r="ER171">
        <v>1.8692800000000001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-1.0780000000000001</v>
      </c>
      <c r="FG171">
        <v>0.18279999999999999</v>
      </c>
      <c r="FH171">
        <v>-0.81947142863283695</v>
      </c>
      <c r="FI171">
        <v>-6.1462078757559423E-4</v>
      </c>
      <c r="FJ171">
        <v>-1.8861989874597051E-7</v>
      </c>
      <c r="FK171">
        <v>1.1980462299894961E-10</v>
      </c>
      <c r="FL171">
        <v>0.18283500000000069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33.5</v>
      </c>
      <c r="FU171">
        <v>33.5</v>
      </c>
      <c r="FV171">
        <v>1.7614700000000001</v>
      </c>
      <c r="FW171">
        <v>2.5622600000000002</v>
      </c>
      <c r="FX171">
        <v>1.5490699999999999</v>
      </c>
      <c r="FY171">
        <v>2.34253</v>
      </c>
      <c r="FZ171">
        <v>1.50146</v>
      </c>
      <c r="GA171">
        <v>2.33643</v>
      </c>
      <c r="GB171">
        <v>30.803699999999999</v>
      </c>
      <c r="GC171">
        <v>23.991199999999999</v>
      </c>
      <c r="GD171">
        <v>19</v>
      </c>
      <c r="GE171">
        <v>282.92099999999999</v>
      </c>
      <c r="GF171">
        <v>594.03200000000004</v>
      </c>
      <c r="GG171">
        <v>25.728300000000001</v>
      </c>
      <c r="GH171">
        <v>25.302199999999999</v>
      </c>
      <c r="GI171">
        <v>30.0001</v>
      </c>
      <c r="GJ171">
        <v>25.417400000000001</v>
      </c>
      <c r="GK171">
        <v>25.383199999999999</v>
      </c>
      <c r="GL171">
        <v>35.227800000000002</v>
      </c>
      <c r="GM171">
        <v>100</v>
      </c>
      <c r="GN171">
        <v>11.9651</v>
      </c>
      <c r="GO171">
        <v>25.715699999999998</v>
      </c>
      <c r="GP171">
        <v>800</v>
      </c>
      <c r="GQ171">
        <v>0</v>
      </c>
      <c r="GR171">
        <v>99.775499999999994</v>
      </c>
      <c r="GS171">
        <v>99.506</v>
      </c>
    </row>
    <row r="172" spans="1:201" x14ac:dyDescent="0.25">
      <c r="A172">
        <v>156</v>
      </c>
      <c r="B172">
        <v>1690375436.0999999</v>
      </c>
      <c r="C172">
        <v>1616.599999904633</v>
      </c>
      <c r="D172" t="s">
        <v>645</v>
      </c>
      <c r="E172" t="s">
        <v>646</v>
      </c>
      <c r="F172" t="s">
        <v>330</v>
      </c>
      <c r="H172">
        <v>1690375436.0999999</v>
      </c>
      <c r="I172">
        <f t="shared" si="60"/>
        <v>2.7052344421476127E-3</v>
      </c>
      <c r="J172">
        <f t="shared" si="61"/>
        <v>2.7052344421476127</v>
      </c>
      <c r="K172">
        <f t="shared" si="62"/>
        <v>40.443900517598252</v>
      </c>
      <c r="L172">
        <f t="shared" si="63"/>
        <v>385.27800000000002</v>
      </c>
      <c r="M172">
        <f t="shared" si="64"/>
        <v>100.89769132298696</v>
      </c>
      <c r="N172">
        <f t="shared" si="65"/>
        <v>9.9688616227176858</v>
      </c>
      <c r="O172">
        <f t="shared" si="66"/>
        <v>38.066114476123801</v>
      </c>
      <c r="P172">
        <f t="shared" si="67"/>
        <v>0.2431112050957332</v>
      </c>
      <c r="Q172">
        <f t="shared" si="68"/>
        <v>2.2453921273360313</v>
      </c>
      <c r="R172">
        <f t="shared" si="69"/>
        <v>0.22937735434292442</v>
      </c>
      <c r="S172">
        <f t="shared" si="70"/>
        <v>0.14453008480566251</v>
      </c>
      <c r="T172">
        <f t="shared" si="71"/>
        <v>276.11465542200006</v>
      </c>
      <c r="U172">
        <f t="shared" si="72"/>
        <v>27.792723152513808</v>
      </c>
      <c r="V172">
        <f t="shared" si="73"/>
        <v>27.792723152513808</v>
      </c>
      <c r="W172">
        <f t="shared" si="74"/>
        <v>3.7492256198013663</v>
      </c>
      <c r="X172">
        <f t="shared" si="75"/>
        <v>74.942069034202135</v>
      </c>
      <c r="Y172">
        <f t="shared" si="76"/>
        <v>2.6215445518321405</v>
      </c>
      <c r="Z172">
        <f t="shared" si="77"/>
        <v>3.4980947091755867</v>
      </c>
      <c r="AA172">
        <f t="shared" si="78"/>
        <v>1.1276810679692257</v>
      </c>
      <c r="AB172">
        <f t="shared" si="79"/>
        <v>-119.30083889870973</v>
      </c>
      <c r="AC172">
        <f t="shared" si="80"/>
        <v>-143.11234540685226</v>
      </c>
      <c r="AD172">
        <f t="shared" si="81"/>
        <v>-13.782780928823566</v>
      </c>
      <c r="AE172">
        <f t="shared" si="82"/>
        <v>-8.1309812385512714E-2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52111.192782481958</v>
      </c>
      <c r="AK172">
        <f t="shared" si="86"/>
        <v>1800</v>
      </c>
      <c r="AL172">
        <f t="shared" si="87"/>
        <v>1499.1112602000001</v>
      </c>
      <c r="AM172">
        <f t="shared" si="88"/>
        <v>0.83283958899999999</v>
      </c>
      <c r="AN172">
        <f t="shared" si="89"/>
        <v>0.15339703079000003</v>
      </c>
      <c r="AO172">
        <v>30</v>
      </c>
      <c r="AP172">
        <v>0.5</v>
      </c>
      <c r="AQ172" t="s">
        <v>331</v>
      </c>
      <c r="AR172">
        <v>2</v>
      </c>
      <c r="AS172">
        <v>1690375436.0999999</v>
      </c>
      <c r="AT172">
        <v>385.27800000000002</v>
      </c>
      <c r="AU172">
        <v>799.98900000000003</v>
      </c>
      <c r="AV172">
        <v>26.5334</v>
      </c>
      <c r="AW172">
        <v>0.20841100000000001</v>
      </c>
      <c r="AX172">
        <v>386.35599999999999</v>
      </c>
      <c r="AY172">
        <v>26.3505</v>
      </c>
      <c r="AZ172">
        <v>300.10899999999998</v>
      </c>
      <c r="BA172">
        <v>98.701700000000002</v>
      </c>
      <c r="BB172">
        <v>9.9982100000000004E-2</v>
      </c>
      <c r="BC172">
        <v>26.610499999999998</v>
      </c>
      <c r="BD172">
        <v>27.008900000000001</v>
      </c>
      <c r="BE172">
        <v>27.820900000000002</v>
      </c>
      <c r="BF172">
        <v>0</v>
      </c>
      <c r="BG172">
        <v>0</v>
      </c>
      <c r="BH172">
        <v>9970.6200000000008</v>
      </c>
      <c r="BI172">
        <v>1085.92</v>
      </c>
      <c r="BJ172">
        <v>1.4016500000000001</v>
      </c>
      <c r="BK172">
        <v>-414.71100000000001</v>
      </c>
      <c r="BL172">
        <v>395.78</v>
      </c>
      <c r="BM172">
        <v>800.15599999999995</v>
      </c>
      <c r="BN172">
        <v>26.3249</v>
      </c>
      <c r="BO172">
        <v>799.98900000000003</v>
      </c>
      <c r="BP172">
        <v>0.20841100000000001</v>
      </c>
      <c r="BQ172">
        <v>2.6188899999999999</v>
      </c>
      <c r="BR172">
        <v>2.0570499999999999E-2</v>
      </c>
      <c r="BS172">
        <v>21.784800000000001</v>
      </c>
      <c r="BT172">
        <v>-39.154299999999999</v>
      </c>
      <c r="BU172">
        <v>1800</v>
      </c>
      <c r="BV172">
        <v>0.91000599999999998</v>
      </c>
      <c r="BW172">
        <v>3.4002400000000002E-2</v>
      </c>
      <c r="BX172">
        <v>2.19962E-2</v>
      </c>
      <c r="BY172">
        <v>3.3994900000000002E-2</v>
      </c>
      <c r="BZ172">
        <v>25</v>
      </c>
      <c r="CA172">
        <v>33528.400000000001</v>
      </c>
      <c r="CB172">
        <v>1690373417</v>
      </c>
      <c r="CC172" t="s">
        <v>332</v>
      </c>
      <c r="CD172">
        <v>1690373417</v>
      </c>
      <c r="CE172">
        <v>1690373415</v>
      </c>
      <c r="CF172">
        <v>1</v>
      </c>
      <c r="CG172">
        <v>-1.319</v>
      </c>
      <c r="CH172">
        <v>0.01</v>
      </c>
      <c r="CI172">
        <v>-1.371</v>
      </c>
      <c r="CJ172">
        <v>0.183</v>
      </c>
      <c r="CK172">
        <v>800</v>
      </c>
      <c r="CL172">
        <v>21</v>
      </c>
      <c r="CM172">
        <v>0.09</v>
      </c>
      <c r="CN172">
        <v>7.0000000000000007E-2</v>
      </c>
      <c r="CO172">
        <v>-413.81026829268302</v>
      </c>
      <c r="CP172">
        <v>-5.0554076655055784</v>
      </c>
      <c r="CQ172">
        <v>0.49963049880497268</v>
      </c>
      <c r="CR172">
        <v>-1</v>
      </c>
      <c r="CS172">
        <v>26.284853658536591</v>
      </c>
      <c r="CT172">
        <v>0.24430662020906729</v>
      </c>
      <c r="CU172">
        <v>2.417204692343564E-2</v>
      </c>
      <c r="CV172">
        <v>-1</v>
      </c>
      <c r="CW172">
        <v>0</v>
      </c>
      <c r="CX172">
        <v>0</v>
      </c>
      <c r="CY172" t="s">
        <v>333</v>
      </c>
      <c r="CZ172">
        <v>2.3654099999999998</v>
      </c>
      <c r="DA172">
        <v>2.7137500000000001</v>
      </c>
      <c r="DB172">
        <v>8.7014599999999998E-2</v>
      </c>
      <c r="DC172">
        <v>0.14573900000000001</v>
      </c>
      <c r="DD172">
        <v>0.122044</v>
      </c>
      <c r="DE172">
        <v>1.7480499999999999E-3</v>
      </c>
      <c r="DF172">
        <v>33354.5</v>
      </c>
      <c r="DG172">
        <v>27525.4</v>
      </c>
      <c r="DH172">
        <v>31185.200000000001</v>
      </c>
      <c r="DI172">
        <v>28073.9</v>
      </c>
      <c r="DJ172">
        <v>37156.5</v>
      </c>
      <c r="DK172">
        <v>39837.800000000003</v>
      </c>
      <c r="DL172">
        <v>44377</v>
      </c>
      <c r="DM172">
        <v>42527.1</v>
      </c>
      <c r="DN172">
        <v>1.4860199999999999</v>
      </c>
      <c r="DO172">
        <v>2.0626699999999998</v>
      </c>
      <c r="DP172">
        <v>0.11272699999999999</v>
      </c>
      <c r="DQ172">
        <v>0.16647600000000001</v>
      </c>
      <c r="DR172">
        <v>25.162600000000001</v>
      </c>
      <c r="DS172">
        <v>25.0959</v>
      </c>
      <c r="DT172">
        <v>34.9</v>
      </c>
      <c r="DU172">
        <v>25.5</v>
      </c>
      <c r="DV172">
        <v>11.5823</v>
      </c>
      <c r="DW172">
        <v>61.420099999999998</v>
      </c>
      <c r="DX172">
        <v>37.908700000000003</v>
      </c>
      <c r="DY172">
        <v>1</v>
      </c>
      <c r="DZ172">
        <v>-0.16913600000000001</v>
      </c>
      <c r="EA172">
        <v>-0.62268800000000002</v>
      </c>
      <c r="EB172">
        <v>20.189299999999999</v>
      </c>
      <c r="EC172">
        <v>5.2400500000000001</v>
      </c>
      <c r="ED172">
        <v>12.039899999999999</v>
      </c>
      <c r="EE172">
        <v>5.0137499999999999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1.8687499999999999</v>
      </c>
      <c r="EL172">
        <v>1.8644400000000001</v>
      </c>
      <c r="EM172">
        <v>1.8691</v>
      </c>
      <c r="EN172">
        <v>1.86707</v>
      </c>
      <c r="EO172">
        <v>1.86324</v>
      </c>
      <c r="EP172">
        <v>1.8642700000000001</v>
      </c>
      <c r="EQ172">
        <v>1.8700699999999999</v>
      </c>
      <c r="ER172">
        <v>1.8692599999999999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-1.0780000000000001</v>
      </c>
      <c r="FG172">
        <v>0.18290000000000001</v>
      </c>
      <c r="FH172">
        <v>-0.81947142863283695</v>
      </c>
      <c r="FI172">
        <v>-6.1462078757559423E-4</v>
      </c>
      <c r="FJ172">
        <v>-1.8861989874597051E-7</v>
      </c>
      <c r="FK172">
        <v>1.1980462299894961E-10</v>
      </c>
      <c r="FL172">
        <v>0.18283500000000069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33.700000000000003</v>
      </c>
      <c r="FU172">
        <v>33.700000000000003</v>
      </c>
      <c r="FV172">
        <v>1.7614700000000001</v>
      </c>
      <c r="FW172">
        <v>2.5549300000000001</v>
      </c>
      <c r="FX172">
        <v>1.5490699999999999</v>
      </c>
      <c r="FY172">
        <v>2.34253</v>
      </c>
      <c r="FZ172">
        <v>1.50146</v>
      </c>
      <c r="GA172">
        <v>2.31934</v>
      </c>
      <c r="GB172">
        <v>30.803699999999999</v>
      </c>
      <c r="GC172">
        <v>23.991199999999999</v>
      </c>
      <c r="GD172">
        <v>19</v>
      </c>
      <c r="GE172">
        <v>282.88900000000001</v>
      </c>
      <c r="GF172">
        <v>593.99</v>
      </c>
      <c r="GG172">
        <v>25.701599999999999</v>
      </c>
      <c r="GH172">
        <v>25.302199999999999</v>
      </c>
      <c r="GI172">
        <v>30.0001</v>
      </c>
      <c r="GJ172">
        <v>25.417400000000001</v>
      </c>
      <c r="GK172">
        <v>25.383199999999999</v>
      </c>
      <c r="GL172">
        <v>35.2271</v>
      </c>
      <c r="GM172">
        <v>100</v>
      </c>
      <c r="GN172">
        <v>11.173</v>
      </c>
      <c r="GO172">
        <v>25.6875</v>
      </c>
      <c r="GP172">
        <v>800</v>
      </c>
      <c r="GQ172">
        <v>0</v>
      </c>
      <c r="GR172">
        <v>99.7761</v>
      </c>
      <c r="GS172">
        <v>99.507099999999994</v>
      </c>
    </row>
    <row r="173" spans="1:201" x14ac:dyDescent="0.25">
      <c r="A173">
        <v>157</v>
      </c>
      <c r="B173">
        <v>1690375446.0999999</v>
      </c>
      <c r="C173">
        <v>1626.599999904633</v>
      </c>
      <c r="D173" t="s">
        <v>647</v>
      </c>
      <c r="E173" t="s">
        <v>648</v>
      </c>
      <c r="F173" t="s">
        <v>330</v>
      </c>
      <c r="H173">
        <v>1690375446.0999999</v>
      </c>
      <c r="I173">
        <f t="shared" si="60"/>
        <v>2.7088044826533058E-3</v>
      </c>
      <c r="J173">
        <f t="shared" si="61"/>
        <v>2.708804482653306</v>
      </c>
      <c r="K173">
        <f t="shared" si="62"/>
        <v>40.524062902092673</v>
      </c>
      <c r="L173">
        <f t="shared" si="63"/>
        <v>384.45400000000001</v>
      </c>
      <c r="M173">
        <f t="shared" si="64"/>
        <v>101.20846218520271</v>
      </c>
      <c r="N173">
        <f t="shared" si="65"/>
        <v>9.9999895401994365</v>
      </c>
      <c r="O173">
        <f t="shared" si="66"/>
        <v>37.986309599810603</v>
      </c>
      <c r="P173">
        <f t="shared" si="67"/>
        <v>0.2446081955857827</v>
      </c>
      <c r="Q173">
        <f t="shared" si="68"/>
        <v>2.2505229887842919</v>
      </c>
      <c r="R173">
        <f t="shared" si="69"/>
        <v>0.23073963546591322</v>
      </c>
      <c r="S173">
        <f t="shared" si="70"/>
        <v>0.14539274139009267</v>
      </c>
      <c r="T173">
        <f t="shared" si="71"/>
        <v>276.11461358999998</v>
      </c>
      <c r="U173">
        <f t="shared" si="72"/>
        <v>27.784782511615852</v>
      </c>
      <c r="V173">
        <f t="shared" si="73"/>
        <v>27.784782511615852</v>
      </c>
      <c r="W173">
        <f t="shared" si="74"/>
        <v>3.7474877314146826</v>
      </c>
      <c r="X173">
        <f t="shared" si="75"/>
        <v>75.05830796874335</v>
      </c>
      <c r="Y173">
        <f t="shared" si="76"/>
        <v>2.62494574447213</v>
      </c>
      <c r="Z173">
        <f t="shared" si="77"/>
        <v>3.497208790751372</v>
      </c>
      <c r="AA173">
        <f t="shared" si="78"/>
        <v>1.1225419869425526</v>
      </c>
      <c r="AB173">
        <f t="shared" si="79"/>
        <v>-119.45827768501078</v>
      </c>
      <c r="AC173">
        <f t="shared" si="80"/>
        <v>-142.99764639559427</v>
      </c>
      <c r="AD173">
        <f t="shared" si="81"/>
        <v>-13.739496337153385</v>
      </c>
      <c r="AE173">
        <f t="shared" si="82"/>
        <v>-8.0806827758493682E-2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52311.607952746715</v>
      </c>
      <c r="AK173">
        <f t="shared" si="86"/>
        <v>1800</v>
      </c>
      <c r="AL173">
        <f t="shared" si="87"/>
        <v>1499.1120899999999</v>
      </c>
      <c r="AM173">
        <f t="shared" si="88"/>
        <v>0.83284004999999994</v>
      </c>
      <c r="AN173">
        <f t="shared" si="89"/>
        <v>0.15339700754999999</v>
      </c>
      <c r="AO173">
        <v>30</v>
      </c>
      <c r="AP173">
        <v>0.5</v>
      </c>
      <c r="AQ173" t="s">
        <v>331</v>
      </c>
      <c r="AR173">
        <v>2</v>
      </c>
      <c r="AS173">
        <v>1690375446.0999999</v>
      </c>
      <c r="AT173">
        <v>384.45400000000001</v>
      </c>
      <c r="AU173">
        <v>799.97299999999996</v>
      </c>
      <c r="AV173">
        <v>26.566700000000001</v>
      </c>
      <c r="AW173">
        <v>0.20690600000000001</v>
      </c>
      <c r="AX173">
        <v>385.53199999999998</v>
      </c>
      <c r="AY173">
        <v>26.383900000000001</v>
      </c>
      <c r="AZ173">
        <v>300.09800000000001</v>
      </c>
      <c r="BA173">
        <v>98.7059</v>
      </c>
      <c r="BB173">
        <v>9.9963899999999994E-2</v>
      </c>
      <c r="BC173">
        <v>26.606200000000001</v>
      </c>
      <c r="BD173">
        <v>27.02</v>
      </c>
      <c r="BE173">
        <v>27.8186</v>
      </c>
      <c r="BF173">
        <v>0</v>
      </c>
      <c r="BG173">
        <v>0</v>
      </c>
      <c r="BH173">
        <v>10010</v>
      </c>
      <c r="BI173">
        <v>1085.97</v>
      </c>
      <c r="BJ173">
        <v>1.4016500000000001</v>
      </c>
      <c r="BK173">
        <v>-415.51900000000001</v>
      </c>
      <c r="BL173">
        <v>394.94600000000003</v>
      </c>
      <c r="BM173">
        <v>800.13900000000001</v>
      </c>
      <c r="BN173">
        <v>26.3598</v>
      </c>
      <c r="BO173">
        <v>799.97299999999996</v>
      </c>
      <c r="BP173">
        <v>0.20690600000000001</v>
      </c>
      <c r="BQ173">
        <v>2.62229</v>
      </c>
      <c r="BR173">
        <v>2.0422900000000001E-2</v>
      </c>
      <c r="BS173">
        <v>21.806100000000001</v>
      </c>
      <c r="BT173">
        <v>-39.223799999999997</v>
      </c>
      <c r="BU173">
        <v>1800</v>
      </c>
      <c r="BV173">
        <v>0.91000899999999996</v>
      </c>
      <c r="BW173">
        <v>3.4001400000000001E-2</v>
      </c>
      <c r="BX173">
        <v>2.1995500000000001E-2</v>
      </c>
      <c r="BY173">
        <v>3.3993900000000001E-2</v>
      </c>
      <c r="BZ173">
        <v>25</v>
      </c>
      <c r="CA173">
        <v>33528.400000000001</v>
      </c>
      <c r="CB173">
        <v>1690373417</v>
      </c>
      <c r="CC173" t="s">
        <v>332</v>
      </c>
      <c r="CD173">
        <v>1690373417</v>
      </c>
      <c r="CE173">
        <v>1690373415</v>
      </c>
      <c r="CF173">
        <v>1</v>
      </c>
      <c r="CG173">
        <v>-1.319</v>
      </c>
      <c r="CH173">
        <v>0.01</v>
      </c>
      <c r="CI173">
        <v>-1.371</v>
      </c>
      <c r="CJ173">
        <v>0.183</v>
      </c>
      <c r="CK173">
        <v>800</v>
      </c>
      <c r="CL173">
        <v>21</v>
      </c>
      <c r="CM173">
        <v>0.09</v>
      </c>
      <c r="CN173">
        <v>7.0000000000000007E-2</v>
      </c>
      <c r="CO173">
        <v>-414.68042500000013</v>
      </c>
      <c r="CP173">
        <v>-4.6715909943701188</v>
      </c>
      <c r="CQ173">
        <v>0.4522288075465799</v>
      </c>
      <c r="CR173">
        <v>-1</v>
      </c>
      <c r="CS173">
        <v>26.324795000000009</v>
      </c>
      <c r="CT173">
        <v>0.20169455909941589</v>
      </c>
      <c r="CU173">
        <v>1.9438350624474129E-2</v>
      </c>
      <c r="CV173">
        <v>-1</v>
      </c>
      <c r="CW173">
        <v>0</v>
      </c>
      <c r="CX173">
        <v>0</v>
      </c>
      <c r="CY173" t="s">
        <v>333</v>
      </c>
      <c r="CZ173">
        <v>2.3653900000000001</v>
      </c>
      <c r="DA173">
        <v>2.7137600000000002</v>
      </c>
      <c r="DB173">
        <v>8.68752E-2</v>
      </c>
      <c r="DC173">
        <v>0.14574300000000001</v>
      </c>
      <c r="DD173">
        <v>0.122156</v>
      </c>
      <c r="DE173">
        <v>1.73566E-3</v>
      </c>
      <c r="DF173">
        <v>33359.599999999999</v>
      </c>
      <c r="DG173">
        <v>27525.1</v>
      </c>
      <c r="DH173">
        <v>31185.3</v>
      </c>
      <c r="DI173">
        <v>28073.7</v>
      </c>
      <c r="DJ173">
        <v>37151.699999999997</v>
      </c>
      <c r="DK173">
        <v>39837.9</v>
      </c>
      <c r="DL173">
        <v>44377</v>
      </c>
      <c r="DM173">
        <v>42526.7</v>
      </c>
      <c r="DN173">
        <v>1.4864299999999999</v>
      </c>
      <c r="DO173">
        <v>2.0627</v>
      </c>
      <c r="DP173">
        <v>0.113383</v>
      </c>
      <c r="DQ173">
        <v>0.16611799999999999</v>
      </c>
      <c r="DR173">
        <v>25.163</v>
      </c>
      <c r="DS173">
        <v>25.099499999999999</v>
      </c>
      <c r="DT173">
        <v>34.700000000000003</v>
      </c>
      <c r="DU173">
        <v>25.5</v>
      </c>
      <c r="DV173">
        <v>11.515700000000001</v>
      </c>
      <c r="DW173">
        <v>61.860100000000003</v>
      </c>
      <c r="DX173">
        <v>38.128999999999998</v>
      </c>
      <c r="DY173">
        <v>1</v>
      </c>
      <c r="DZ173">
        <v>-0.168908</v>
      </c>
      <c r="EA173">
        <v>-0.61912</v>
      </c>
      <c r="EB173">
        <v>20.1892</v>
      </c>
      <c r="EC173">
        <v>5.2401999999999997</v>
      </c>
      <c r="ED173">
        <v>12.039899999999999</v>
      </c>
      <c r="EE173">
        <v>5.0134999999999996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1.8687499999999999</v>
      </c>
      <c r="EL173">
        <v>1.8644499999999999</v>
      </c>
      <c r="EM173">
        <v>1.8691199999999999</v>
      </c>
      <c r="EN173">
        <v>1.8670800000000001</v>
      </c>
      <c r="EO173">
        <v>1.86324</v>
      </c>
      <c r="EP173">
        <v>1.86426</v>
      </c>
      <c r="EQ173">
        <v>1.87009</v>
      </c>
      <c r="ER173">
        <v>1.8693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-1.0780000000000001</v>
      </c>
      <c r="FG173">
        <v>0.18279999999999999</v>
      </c>
      <c r="FH173">
        <v>-0.81947142863283695</v>
      </c>
      <c r="FI173">
        <v>-6.1462078757559423E-4</v>
      </c>
      <c r="FJ173">
        <v>-1.8861989874597051E-7</v>
      </c>
      <c r="FK173">
        <v>1.1980462299894961E-10</v>
      </c>
      <c r="FL173">
        <v>0.18283500000000069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33.799999999999997</v>
      </c>
      <c r="FU173">
        <v>33.9</v>
      </c>
      <c r="FV173">
        <v>1.7614700000000001</v>
      </c>
      <c r="FW173">
        <v>2.5537100000000001</v>
      </c>
      <c r="FX173">
        <v>1.5490699999999999</v>
      </c>
      <c r="FY173">
        <v>2.34253</v>
      </c>
      <c r="FZ173">
        <v>1.50146</v>
      </c>
      <c r="GA173">
        <v>2.34741</v>
      </c>
      <c r="GB173">
        <v>30.825299999999999</v>
      </c>
      <c r="GC173">
        <v>23.991199999999999</v>
      </c>
      <c r="GD173">
        <v>19</v>
      </c>
      <c r="GE173">
        <v>283.05900000000003</v>
      </c>
      <c r="GF173">
        <v>594.01800000000003</v>
      </c>
      <c r="GG173">
        <v>25.672899999999998</v>
      </c>
      <c r="GH173">
        <v>25.302399999999999</v>
      </c>
      <c r="GI173">
        <v>30</v>
      </c>
      <c r="GJ173">
        <v>25.417400000000001</v>
      </c>
      <c r="GK173">
        <v>25.383900000000001</v>
      </c>
      <c r="GL173">
        <v>35.228299999999997</v>
      </c>
      <c r="GM173">
        <v>100</v>
      </c>
      <c r="GN173">
        <v>10.390700000000001</v>
      </c>
      <c r="GO173">
        <v>25.668199999999999</v>
      </c>
      <c r="GP173">
        <v>800</v>
      </c>
      <c r="GQ173">
        <v>0</v>
      </c>
      <c r="GR173">
        <v>99.776200000000003</v>
      </c>
      <c r="GS173">
        <v>99.506399999999999</v>
      </c>
    </row>
    <row r="174" spans="1:201" x14ac:dyDescent="0.25">
      <c r="A174">
        <v>158</v>
      </c>
      <c r="B174">
        <v>1690375456.0999999</v>
      </c>
      <c r="C174">
        <v>1636.599999904633</v>
      </c>
      <c r="D174" t="s">
        <v>649</v>
      </c>
      <c r="E174" t="s">
        <v>650</v>
      </c>
      <c r="F174" t="s">
        <v>330</v>
      </c>
      <c r="H174">
        <v>1690375456.0999999</v>
      </c>
      <c r="I174">
        <f t="shared" si="60"/>
        <v>2.7128633547278901E-3</v>
      </c>
      <c r="J174">
        <f t="shared" si="61"/>
        <v>2.7128633547278902</v>
      </c>
      <c r="K174">
        <f t="shared" si="62"/>
        <v>40.59677005257349</v>
      </c>
      <c r="L174">
        <f t="shared" si="63"/>
        <v>383.73500000000001</v>
      </c>
      <c r="M174">
        <f t="shared" si="64"/>
        <v>101.56066534202394</v>
      </c>
      <c r="N174">
        <f t="shared" si="65"/>
        <v>10.034179700108016</v>
      </c>
      <c r="O174">
        <f t="shared" si="66"/>
        <v>37.912964967823008</v>
      </c>
      <c r="P174">
        <f t="shared" si="67"/>
        <v>0.24604812678909158</v>
      </c>
      <c r="Q174">
        <f t="shared" si="68"/>
        <v>2.249723853909054</v>
      </c>
      <c r="R174">
        <f t="shared" si="69"/>
        <v>0.23201615434959577</v>
      </c>
      <c r="S174">
        <f t="shared" si="70"/>
        <v>0.14620408520121475</v>
      </c>
      <c r="T174">
        <f t="shared" si="71"/>
        <v>276.11463232800003</v>
      </c>
      <c r="U174">
        <f t="shared" si="72"/>
        <v>27.780820783760152</v>
      </c>
      <c r="V174">
        <f t="shared" si="73"/>
        <v>27.780820783760152</v>
      </c>
      <c r="W174">
        <f t="shared" si="74"/>
        <v>3.7466209306535627</v>
      </c>
      <c r="X174">
        <f t="shared" si="75"/>
        <v>75.178059294131671</v>
      </c>
      <c r="Y174">
        <f t="shared" si="76"/>
        <v>2.6286691230508006</v>
      </c>
      <c r="Z174">
        <f t="shared" si="77"/>
        <v>3.4965908241475341</v>
      </c>
      <c r="AA174">
        <f t="shared" si="78"/>
        <v>1.1179518076027621</v>
      </c>
      <c r="AB174">
        <f t="shared" si="79"/>
        <v>-119.63727394349995</v>
      </c>
      <c r="AC174">
        <f t="shared" si="80"/>
        <v>-142.83022437856013</v>
      </c>
      <c r="AD174">
        <f t="shared" si="81"/>
        <v>-13.727807224117031</v>
      </c>
      <c r="AE174">
        <f t="shared" si="82"/>
        <v>-8.0673218177111039E-2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52280.888971027773</v>
      </c>
      <c r="AK174">
        <f t="shared" si="86"/>
        <v>1800</v>
      </c>
      <c r="AL174">
        <f t="shared" si="87"/>
        <v>1499.1125058000002</v>
      </c>
      <c r="AM174">
        <f t="shared" si="88"/>
        <v>0.83284028100000007</v>
      </c>
      <c r="AN174">
        <f t="shared" si="89"/>
        <v>0.15339701796000002</v>
      </c>
      <c r="AO174">
        <v>30</v>
      </c>
      <c r="AP174">
        <v>0.5</v>
      </c>
      <c r="AQ174" t="s">
        <v>331</v>
      </c>
      <c r="AR174">
        <v>2</v>
      </c>
      <c r="AS174">
        <v>1690375456.0999999</v>
      </c>
      <c r="AT174">
        <v>383.73500000000001</v>
      </c>
      <c r="AU174">
        <v>800.01300000000003</v>
      </c>
      <c r="AV174">
        <v>26.606000000000002</v>
      </c>
      <c r="AW174">
        <v>0.205487</v>
      </c>
      <c r="AX174">
        <v>384.81200000000001</v>
      </c>
      <c r="AY174">
        <v>26.423200000000001</v>
      </c>
      <c r="AZ174">
        <v>300.072</v>
      </c>
      <c r="BA174">
        <v>98.6999</v>
      </c>
      <c r="BB174">
        <v>9.9961800000000003E-2</v>
      </c>
      <c r="BC174">
        <v>26.603200000000001</v>
      </c>
      <c r="BD174">
        <v>26.992999999999999</v>
      </c>
      <c r="BE174">
        <v>27.805099999999999</v>
      </c>
      <c r="BF174">
        <v>0</v>
      </c>
      <c r="BG174">
        <v>0</v>
      </c>
      <c r="BH174">
        <v>10004.4</v>
      </c>
      <c r="BI174">
        <v>1085.98</v>
      </c>
      <c r="BJ174">
        <v>1.4016500000000001</v>
      </c>
      <c r="BK174">
        <v>-416.27800000000002</v>
      </c>
      <c r="BL174">
        <v>394.22399999999999</v>
      </c>
      <c r="BM174">
        <v>800.178</v>
      </c>
      <c r="BN174">
        <v>26.400500000000001</v>
      </c>
      <c r="BO174">
        <v>800.01300000000003</v>
      </c>
      <c r="BP174">
        <v>0.205487</v>
      </c>
      <c r="BQ174">
        <v>2.62601</v>
      </c>
      <c r="BR174">
        <v>2.0281500000000001E-2</v>
      </c>
      <c r="BS174">
        <v>21.8293</v>
      </c>
      <c r="BT174">
        <v>-39.290799999999997</v>
      </c>
      <c r="BU174">
        <v>1800</v>
      </c>
      <c r="BV174">
        <v>0.91000999999999999</v>
      </c>
      <c r="BW174">
        <v>3.4001099999999999E-2</v>
      </c>
      <c r="BX174">
        <v>2.1995299999999999E-2</v>
      </c>
      <c r="BY174">
        <v>3.3993599999999999E-2</v>
      </c>
      <c r="BZ174">
        <v>25</v>
      </c>
      <c r="CA174">
        <v>33528.5</v>
      </c>
      <c r="CB174">
        <v>1690373417</v>
      </c>
      <c r="CC174" t="s">
        <v>332</v>
      </c>
      <c r="CD174">
        <v>1690373417</v>
      </c>
      <c r="CE174">
        <v>1690373415</v>
      </c>
      <c r="CF174">
        <v>1</v>
      </c>
      <c r="CG174">
        <v>-1.319</v>
      </c>
      <c r="CH174">
        <v>0.01</v>
      </c>
      <c r="CI174">
        <v>-1.371</v>
      </c>
      <c r="CJ174">
        <v>0.183</v>
      </c>
      <c r="CK174">
        <v>800</v>
      </c>
      <c r="CL174">
        <v>21</v>
      </c>
      <c r="CM174">
        <v>0.09</v>
      </c>
      <c r="CN174">
        <v>7.0000000000000007E-2</v>
      </c>
      <c r="CO174">
        <v>-415.47789999999998</v>
      </c>
      <c r="CP174">
        <v>-4.7971181988738207</v>
      </c>
      <c r="CQ174">
        <v>0.46413903089483721</v>
      </c>
      <c r="CR174">
        <v>-1</v>
      </c>
      <c r="CS174">
        <v>26.358417500000002</v>
      </c>
      <c r="CT174">
        <v>0.210192495309489</v>
      </c>
      <c r="CU174">
        <v>2.0257330617581028E-2</v>
      </c>
      <c r="CV174">
        <v>-1</v>
      </c>
      <c r="CW174">
        <v>0</v>
      </c>
      <c r="CX174">
        <v>0</v>
      </c>
      <c r="CY174" t="s">
        <v>333</v>
      </c>
      <c r="CZ174">
        <v>2.3653</v>
      </c>
      <c r="DA174">
        <v>2.7137600000000002</v>
      </c>
      <c r="DB174">
        <v>8.67454E-2</v>
      </c>
      <c r="DC174">
        <v>0.14573900000000001</v>
      </c>
      <c r="DD174">
        <v>0.12227499999999999</v>
      </c>
      <c r="DE174">
        <v>1.72379E-3</v>
      </c>
      <c r="DF174">
        <v>33364.6</v>
      </c>
      <c r="DG174">
        <v>27525.5</v>
      </c>
      <c r="DH174">
        <v>31185.5</v>
      </c>
      <c r="DI174">
        <v>28074</v>
      </c>
      <c r="DJ174">
        <v>37146.9</v>
      </c>
      <c r="DK174">
        <v>39838.800000000003</v>
      </c>
      <c r="DL174">
        <v>44377.4</v>
      </c>
      <c r="DM174">
        <v>42527.1</v>
      </c>
      <c r="DN174">
        <v>1.48647</v>
      </c>
      <c r="DO174">
        <v>2.0624500000000001</v>
      </c>
      <c r="DP174">
        <v>0.11160200000000001</v>
      </c>
      <c r="DQ174">
        <v>0.16511999999999999</v>
      </c>
      <c r="DR174">
        <v>25.165099999999999</v>
      </c>
      <c r="DS174">
        <v>25.1023</v>
      </c>
      <c r="DT174">
        <v>34.4</v>
      </c>
      <c r="DU174">
        <v>25.5</v>
      </c>
      <c r="DV174">
        <v>11.4156</v>
      </c>
      <c r="DW174">
        <v>62.3001</v>
      </c>
      <c r="DX174">
        <v>38.173099999999998</v>
      </c>
      <c r="DY174">
        <v>1</v>
      </c>
      <c r="DZ174">
        <v>-0.169126</v>
      </c>
      <c r="EA174">
        <v>-0.68401999999999996</v>
      </c>
      <c r="EB174">
        <v>20.1891</v>
      </c>
      <c r="EC174">
        <v>5.2401999999999997</v>
      </c>
      <c r="ED174">
        <v>12.039899999999999</v>
      </c>
      <c r="EE174">
        <v>5.0136000000000003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1.8687400000000001</v>
      </c>
      <c r="EL174">
        <v>1.86443</v>
      </c>
      <c r="EM174">
        <v>1.8691</v>
      </c>
      <c r="EN174">
        <v>1.8670800000000001</v>
      </c>
      <c r="EO174">
        <v>1.8632500000000001</v>
      </c>
      <c r="EP174">
        <v>1.86425</v>
      </c>
      <c r="EQ174">
        <v>1.87009</v>
      </c>
      <c r="ER174">
        <v>1.8692599999999999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-1.077</v>
      </c>
      <c r="FG174">
        <v>0.18279999999999999</v>
      </c>
      <c r="FH174">
        <v>-0.81947142863283695</v>
      </c>
      <c r="FI174">
        <v>-6.1462078757559423E-4</v>
      </c>
      <c r="FJ174">
        <v>-1.8861989874597051E-7</v>
      </c>
      <c r="FK174">
        <v>1.1980462299894961E-10</v>
      </c>
      <c r="FL174">
        <v>0.18283500000000069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34</v>
      </c>
      <c r="FU174">
        <v>34</v>
      </c>
      <c r="FV174">
        <v>1.7614700000000001</v>
      </c>
      <c r="FW174">
        <v>2.5524900000000001</v>
      </c>
      <c r="FX174">
        <v>1.5490699999999999</v>
      </c>
      <c r="FY174">
        <v>2.34375</v>
      </c>
      <c r="FZ174">
        <v>1.50146</v>
      </c>
      <c r="GA174">
        <v>2.36938</v>
      </c>
      <c r="GB174">
        <v>30.825299999999999</v>
      </c>
      <c r="GC174">
        <v>23.982399999999998</v>
      </c>
      <c r="GD174">
        <v>19</v>
      </c>
      <c r="GE174">
        <v>283.07900000000001</v>
      </c>
      <c r="GF174">
        <v>593.82799999999997</v>
      </c>
      <c r="GG174">
        <v>25.662500000000001</v>
      </c>
      <c r="GH174">
        <v>25.304300000000001</v>
      </c>
      <c r="GI174">
        <v>30</v>
      </c>
      <c r="GJ174">
        <v>25.417400000000001</v>
      </c>
      <c r="GK174">
        <v>25.385400000000001</v>
      </c>
      <c r="GL174">
        <v>35.227699999999999</v>
      </c>
      <c r="GM174">
        <v>100</v>
      </c>
      <c r="GN174">
        <v>9.9986300000000004</v>
      </c>
      <c r="GO174">
        <v>25.696400000000001</v>
      </c>
      <c r="GP174">
        <v>800</v>
      </c>
      <c r="GQ174">
        <v>0</v>
      </c>
      <c r="GR174">
        <v>99.777100000000004</v>
      </c>
      <c r="GS174">
        <v>99.507400000000004</v>
      </c>
    </row>
    <row r="175" spans="1:201" x14ac:dyDescent="0.25">
      <c r="A175">
        <v>159</v>
      </c>
      <c r="B175">
        <v>1690375466.0999999</v>
      </c>
      <c r="C175">
        <v>1646.599999904633</v>
      </c>
      <c r="D175" t="s">
        <v>651</v>
      </c>
      <c r="E175" t="s">
        <v>652</v>
      </c>
      <c r="F175" t="s">
        <v>330</v>
      </c>
      <c r="H175">
        <v>1690375466.0999999</v>
      </c>
      <c r="I175">
        <f t="shared" si="60"/>
        <v>2.7179965589626768E-3</v>
      </c>
      <c r="J175">
        <f t="shared" si="61"/>
        <v>2.7179965589626769</v>
      </c>
      <c r="K175">
        <f t="shared" si="62"/>
        <v>40.662489947817505</v>
      </c>
      <c r="L175">
        <f t="shared" si="63"/>
        <v>382.971</v>
      </c>
      <c r="M175">
        <f t="shared" si="64"/>
        <v>102.24265198833125</v>
      </c>
      <c r="N175">
        <f t="shared" si="65"/>
        <v>10.101312121894059</v>
      </c>
      <c r="O175">
        <f t="shared" si="66"/>
        <v>37.836553819783497</v>
      </c>
      <c r="P175">
        <f t="shared" si="67"/>
        <v>0.24778615032179221</v>
      </c>
      <c r="Q175">
        <f t="shared" si="68"/>
        <v>2.2526637879755564</v>
      </c>
      <c r="R175">
        <f t="shared" si="69"/>
        <v>0.23357881397847091</v>
      </c>
      <c r="S175">
        <f t="shared" si="70"/>
        <v>0.14719530378290444</v>
      </c>
      <c r="T175">
        <f t="shared" si="71"/>
        <v>276.11437778999999</v>
      </c>
      <c r="U175">
        <f t="shared" si="72"/>
        <v>27.778413507459842</v>
      </c>
      <c r="V175">
        <f t="shared" si="73"/>
        <v>27.778413507459842</v>
      </c>
      <c r="W175">
        <f t="shared" si="74"/>
        <v>3.7460943194181167</v>
      </c>
      <c r="X175">
        <f t="shared" si="75"/>
        <v>75.315234182539186</v>
      </c>
      <c r="Y175">
        <f t="shared" si="76"/>
        <v>2.6335741598875502</v>
      </c>
      <c r="Z175">
        <f t="shared" si="77"/>
        <v>3.4967350078267545</v>
      </c>
      <c r="AA175">
        <f t="shared" si="78"/>
        <v>1.1125201595305665</v>
      </c>
      <c r="AB175">
        <f t="shared" si="79"/>
        <v>-119.86364825025404</v>
      </c>
      <c r="AC175">
        <f t="shared" si="80"/>
        <v>-142.6395095280057</v>
      </c>
      <c r="AD175">
        <f t="shared" si="81"/>
        <v>-13.691467882050222</v>
      </c>
      <c r="AE175">
        <f t="shared" si="82"/>
        <v>-8.0247870309989366E-2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52395.222426197732</v>
      </c>
      <c r="AK175">
        <f t="shared" si="86"/>
        <v>1800</v>
      </c>
      <c r="AL175">
        <f t="shared" si="87"/>
        <v>1499.112396</v>
      </c>
      <c r="AM175">
        <f t="shared" si="88"/>
        <v>0.83284022000000002</v>
      </c>
      <c r="AN175">
        <f t="shared" si="89"/>
        <v>0.15339687655000001</v>
      </c>
      <c r="AO175">
        <v>30</v>
      </c>
      <c r="AP175">
        <v>0.5</v>
      </c>
      <c r="AQ175" t="s">
        <v>331</v>
      </c>
      <c r="AR175">
        <v>2</v>
      </c>
      <c r="AS175">
        <v>1690375466.0999999</v>
      </c>
      <c r="AT175">
        <v>382.971</v>
      </c>
      <c r="AU175">
        <v>799.95500000000004</v>
      </c>
      <c r="AV175">
        <v>26.656300000000002</v>
      </c>
      <c r="AW175">
        <v>0.20402600000000001</v>
      </c>
      <c r="AX175">
        <v>384.048</v>
      </c>
      <c r="AY175">
        <v>26.473400000000002</v>
      </c>
      <c r="AZ175">
        <v>300.036</v>
      </c>
      <c r="BA175">
        <v>98.697500000000005</v>
      </c>
      <c r="BB175">
        <v>9.99385E-2</v>
      </c>
      <c r="BC175">
        <v>26.603899999999999</v>
      </c>
      <c r="BD175">
        <v>26.992799999999999</v>
      </c>
      <c r="BE175">
        <v>27.782599999999999</v>
      </c>
      <c r="BF175">
        <v>0</v>
      </c>
      <c r="BG175">
        <v>0</v>
      </c>
      <c r="BH175">
        <v>10027.5</v>
      </c>
      <c r="BI175">
        <v>1085.92</v>
      </c>
      <c r="BJ175">
        <v>1.4016500000000001</v>
      </c>
      <c r="BK175">
        <v>-416.98399999999998</v>
      </c>
      <c r="BL175">
        <v>393.459</v>
      </c>
      <c r="BM175">
        <v>800.11800000000005</v>
      </c>
      <c r="BN175">
        <v>26.452300000000001</v>
      </c>
      <c r="BO175">
        <v>799.95500000000004</v>
      </c>
      <c r="BP175">
        <v>0.20402600000000001</v>
      </c>
      <c r="BQ175">
        <v>2.6309100000000001</v>
      </c>
      <c r="BR175">
        <v>2.0136899999999999E-2</v>
      </c>
      <c r="BS175">
        <v>21.8598</v>
      </c>
      <c r="BT175">
        <v>-39.359900000000003</v>
      </c>
      <c r="BU175">
        <v>1800</v>
      </c>
      <c r="BV175">
        <v>0.91001299999999996</v>
      </c>
      <c r="BW175">
        <v>3.3999799999999997E-2</v>
      </c>
      <c r="BX175">
        <v>2.19945E-2</v>
      </c>
      <c r="BY175">
        <v>3.3992300000000003E-2</v>
      </c>
      <c r="BZ175">
        <v>25</v>
      </c>
      <c r="CA175">
        <v>33528.400000000001</v>
      </c>
      <c r="CB175">
        <v>1690373417</v>
      </c>
      <c r="CC175" t="s">
        <v>332</v>
      </c>
      <c r="CD175">
        <v>1690373417</v>
      </c>
      <c r="CE175">
        <v>1690373415</v>
      </c>
      <c r="CF175">
        <v>1</v>
      </c>
      <c r="CG175">
        <v>-1.319</v>
      </c>
      <c r="CH175">
        <v>0.01</v>
      </c>
      <c r="CI175">
        <v>-1.371</v>
      </c>
      <c r="CJ175">
        <v>0.183</v>
      </c>
      <c r="CK175">
        <v>800</v>
      </c>
      <c r="CL175">
        <v>21</v>
      </c>
      <c r="CM175">
        <v>0.09</v>
      </c>
      <c r="CN175">
        <v>7.0000000000000007E-2</v>
      </c>
      <c r="CO175">
        <v>-416.24545000000001</v>
      </c>
      <c r="CP175">
        <v>-4.4140863039387499</v>
      </c>
      <c r="CQ175">
        <v>0.42636134616074423</v>
      </c>
      <c r="CR175">
        <v>-1</v>
      </c>
      <c r="CS175">
        <v>26.397984999999991</v>
      </c>
      <c r="CT175">
        <v>0.26889681050650732</v>
      </c>
      <c r="CU175">
        <v>2.5936167315160848E-2</v>
      </c>
      <c r="CV175">
        <v>-1</v>
      </c>
      <c r="CW175">
        <v>0</v>
      </c>
      <c r="CX175">
        <v>0</v>
      </c>
      <c r="CY175" t="s">
        <v>333</v>
      </c>
      <c r="CZ175">
        <v>2.3652099999999998</v>
      </c>
      <c r="DA175">
        <v>2.7137500000000001</v>
      </c>
      <c r="DB175">
        <v>8.6610699999999999E-2</v>
      </c>
      <c r="DC175">
        <v>0.145728</v>
      </c>
      <c r="DD175">
        <v>0.122433</v>
      </c>
      <c r="DE175">
        <v>1.7116500000000001E-3</v>
      </c>
      <c r="DF175">
        <v>33369</v>
      </c>
      <c r="DG175">
        <v>27526.1</v>
      </c>
      <c r="DH175">
        <v>31185</v>
      </c>
      <c r="DI175">
        <v>28074.2</v>
      </c>
      <c r="DJ175">
        <v>37139.5</v>
      </c>
      <c r="DK175">
        <v>39839.699999999997</v>
      </c>
      <c r="DL175">
        <v>44376.7</v>
      </c>
      <c r="DM175">
        <v>42527.6</v>
      </c>
      <c r="DN175">
        <v>1.48617</v>
      </c>
      <c r="DO175">
        <v>2.0626699999999998</v>
      </c>
      <c r="DP175">
        <v>0.11158700000000001</v>
      </c>
      <c r="DQ175">
        <v>0.163525</v>
      </c>
      <c r="DR175">
        <v>25.165099999999999</v>
      </c>
      <c r="DS175">
        <v>25.105799999999999</v>
      </c>
      <c r="DT175">
        <v>34.200000000000003</v>
      </c>
      <c r="DU175">
        <v>25.5</v>
      </c>
      <c r="DV175">
        <v>11.349399999999999</v>
      </c>
      <c r="DW175">
        <v>61.750100000000003</v>
      </c>
      <c r="DX175">
        <v>37.796500000000002</v>
      </c>
      <c r="DY175">
        <v>1</v>
      </c>
      <c r="DZ175">
        <v>-0.16891500000000001</v>
      </c>
      <c r="EA175">
        <v>-0.68970900000000002</v>
      </c>
      <c r="EB175">
        <v>20.1889</v>
      </c>
      <c r="EC175">
        <v>5.2401999999999997</v>
      </c>
      <c r="ED175">
        <v>12.039899999999999</v>
      </c>
      <c r="EE175">
        <v>5.0136000000000003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1.86876</v>
      </c>
      <c r="EL175">
        <v>1.8644700000000001</v>
      </c>
      <c r="EM175">
        <v>1.8691</v>
      </c>
      <c r="EN175">
        <v>1.8670800000000001</v>
      </c>
      <c r="EO175">
        <v>1.8632500000000001</v>
      </c>
      <c r="EP175">
        <v>1.8642799999999999</v>
      </c>
      <c r="EQ175">
        <v>1.87009</v>
      </c>
      <c r="ER175">
        <v>1.86931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-1.077</v>
      </c>
      <c r="FG175">
        <v>0.18290000000000001</v>
      </c>
      <c r="FH175">
        <v>-0.81947142863283695</v>
      </c>
      <c r="FI175">
        <v>-6.1462078757559423E-4</v>
      </c>
      <c r="FJ175">
        <v>-1.8861989874597051E-7</v>
      </c>
      <c r="FK175">
        <v>1.1980462299894961E-10</v>
      </c>
      <c r="FL175">
        <v>0.18283500000000069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34.200000000000003</v>
      </c>
      <c r="FU175">
        <v>34.200000000000003</v>
      </c>
      <c r="FV175">
        <v>1.7626999999999999</v>
      </c>
      <c r="FW175">
        <v>2.5561500000000001</v>
      </c>
      <c r="FX175">
        <v>1.5490699999999999</v>
      </c>
      <c r="FY175">
        <v>2.34375</v>
      </c>
      <c r="FZ175">
        <v>1.50146</v>
      </c>
      <c r="GA175">
        <v>2.3986800000000001</v>
      </c>
      <c r="GB175">
        <v>30.825299999999999</v>
      </c>
      <c r="GC175">
        <v>23.991199999999999</v>
      </c>
      <c r="GD175">
        <v>19</v>
      </c>
      <c r="GE175">
        <v>282.95299999999997</v>
      </c>
      <c r="GF175">
        <v>594.01499999999999</v>
      </c>
      <c r="GG175">
        <v>25.692699999999999</v>
      </c>
      <c r="GH175">
        <v>25.304300000000001</v>
      </c>
      <c r="GI175">
        <v>30.0001</v>
      </c>
      <c r="GJ175">
        <v>25.417400000000001</v>
      </c>
      <c r="GK175">
        <v>25.385400000000001</v>
      </c>
      <c r="GL175">
        <v>35.229599999999998</v>
      </c>
      <c r="GM175">
        <v>100</v>
      </c>
      <c r="GN175">
        <v>9.2291500000000006</v>
      </c>
      <c r="GO175">
        <v>25.691199999999998</v>
      </c>
      <c r="GP175">
        <v>800</v>
      </c>
      <c r="GQ175">
        <v>0</v>
      </c>
      <c r="GR175">
        <v>99.775400000000005</v>
      </c>
      <c r="GS175">
        <v>99.508399999999995</v>
      </c>
    </row>
    <row r="176" spans="1:201" x14ac:dyDescent="0.25">
      <c r="A176">
        <v>160</v>
      </c>
      <c r="B176">
        <v>1690375476.0999999</v>
      </c>
      <c r="C176">
        <v>1656.599999904633</v>
      </c>
      <c r="D176" t="s">
        <v>653</v>
      </c>
      <c r="E176" t="s">
        <v>654</v>
      </c>
      <c r="F176" t="s">
        <v>330</v>
      </c>
      <c r="H176">
        <v>1690375476.0999999</v>
      </c>
      <c r="I176">
        <f t="shared" si="60"/>
        <v>2.7214959420799097E-3</v>
      </c>
      <c r="J176">
        <f t="shared" si="61"/>
        <v>2.7214959420799096</v>
      </c>
      <c r="K176">
        <f t="shared" si="62"/>
        <v>40.75318846238401</v>
      </c>
      <c r="L176">
        <f t="shared" si="63"/>
        <v>382.22800000000001</v>
      </c>
      <c r="M176">
        <f t="shared" si="64"/>
        <v>101.77177864240019</v>
      </c>
      <c r="N176">
        <f t="shared" si="65"/>
        <v>10.055039914165638</v>
      </c>
      <c r="O176">
        <f t="shared" si="66"/>
        <v>37.764082023329202</v>
      </c>
      <c r="P176">
        <f t="shared" si="67"/>
        <v>0.24863113664002964</v>
      </c>
      <c r="Q176">
        <f t="shared" si="68"/>
        <v>2.2484332555799282</v>
      </c>
      <c r="R176">
        <f t="shared" si="69"/>
        <v>0.23430449405969631</v>
      </c>
      <c r="S176">
        <f t="shared" si="70"/>
        <v>0.14765866122952837</v>
      </c>
      <c r="T176">
        <f t="shared" si="71"/>
        <v>276.11450307000001</v>
      </c>
      <c r="U176">
        <f t="shared" si="72"/>
        <v>27.782166522645518</v>
      </c>
      <c r="V176">
        <f t="shared" si="73"/>
        <v>27.782166522645518</v>
      </c>
      <c r="W176">
        <f t="shared" si="74"/>
        <v>3.7469153501082348</v>
      </c>
      <c r="X176">
        <f t="shared" si="75"/>
        <v>75.383333461074187</v>
      </c>
      <c r="Y176">
        <f t="shared" si="76"/>
        <v>2.6364057419527698</v>
      </c>
      <c r="Z176">
        <f t="shared" si="77"/>
        <v>3.4973323955143676</v>
      </c>
      <c r="AA176">
        <f t="shared" si="78"/>
        <v>1.1105096081554651</v>
      </c>
      <c r="AB176">
        <f t="shared" si="79"/>
        <v>-120.01797104572402</v>
      </c>
      <c r="AC176">
        <f t="shared" si="80"/>
        <v>-142.47503103904518</v>
      </c>
      <c r="AD176">
        <f t="shared" si="81"/>
        <v>-13.701867167467103</v>
      </c>
      <c r="AE176">
        <f t="shared" si="82"/>
        <v>-8.0366182236332406E-2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52230.037364537595</v>
      </c>
      <c r="AK176">
        <f t="shared" si="86"/>
        <v>1800</v>
      </c>
      <c r="AL176">
        <f t="shared" si="87"/>
        <v>1499.1139349999999</v>
      </c>
      <c r="AM176">
        <f t="shared" si="88"/>
        <v>0.83284107499999993</v>
      </c>
      <c r="AN176">
        <f t="shared" si="89"/>
        <v>0.15339694615000002</v>
      </c>
      <c r="AO176">
        <v>30</v>
      </c>
      <c r="AP176">
        <v>0.5</v>
      </c>
      <c r="AQ176" t="s">
        <v>331</v>
      </c>
      <c r="AR176">
        <v>2</v>
      </c>
      <c r="AS176">
        <v>1690375476.0999999</v>
      </c>
      <c r="AT176">
        <v>382.22800000000001</v>
      </c>
      <c r="AU176">
        <v>800.048</v>
      </c>
      <c r="AV176">
        <v>26.6843</v>
      </c>
      <c r="AW176">
        <v>0.202791</v>
      </c>
      <c r="AX176">
        <v>383.30399999999997</v>
      </c>
      <c r="AY176">
        <v>26.5015</v>
      </c>
      <c r="AZ176">
        <v>300.08199999999999</v>
      </c>
      <c r="BA176">
        <v>98.6999</v>
      </c>
      <c r="BB176">
        <v>9.9983900000000001E-2</v>
      </c>
      <c r="BC176">
        <v>26.6068</v>
      </c>
      <c r="BD176">
        <v>27.0107</v>
      </c>
      <c r="BE176">
        <v>27.828600000000002</v>
      </c>
      <c r="BF176">
        <v>0</v>
      </c>
      <c r="BG176">
        <v>0</v>
      </c>
      <c r="BH176">
        <v>9994.3799999999992</v>
      </c>
      <c r="BI176">
        <v>1085.8599999999999</v>
      </c>
      <c r="BJ176">
        <v>1.4016500000000001</v>
      </c>
      <c r="BK176">
        <v>-417.82100000000003</v>
      </c>
      <c r="BL176">
        <v>392.70699999999999</v>
      </c>
      <c r="BM176">
        <v>800.21100000000001</v>
      </c>
      <c r="BN176">
        <v>26.4816</v>
      </c>
      <c r="BO176">
        <v>800.048</v>
      </c>
      <c r="BP176">
        <v>0.202791</v>
      </c>
      <c r="BQ176">
        <v>2.63374</v>
      </c>
      <c r="BR176">
        <v>2.0015499999999999E-2</v>
      </c>
      <c r="BS176">
        <v>21.877500000000001</v>
      </c>
      <c r="BT176">
        <v>-39.418100000000003</v>
      </c>
      <c r="BU176">
        <v>1800</v>
      </c>
      <c r="BV176">
        <v>0.91001600000000005</v>
      </c>
      <c r="BW176">
        <v>3.3998899999999999E-2</v>
      </c>
      <c r="BX176">
        <v>2.1994E-2</v>
      </c>
      <c r="BY176">
        <v>3.3991500000000001E-2</v>
      </c>
      <c r="BZ176">
        <v>25</v>
      </c>
      <c r="CA176">
        <v>33528.5</v>
      </c>
      <c r="CB176">
        <v>1690373417</v>
      </c>
      <c r="CC176" t="s">
        <v>332</v>
      </c>
      <c r="CD176">
        <v>1690373417</v>
      </c>
      <c r="CE176">
        <v>1690373415</v>
      </c>
      <c r="CF176">
        <v>1</v>
      </c>
      <c r="CG176">
        <v>-1.319</v>
      </c>
      <c r="CH176">
        <v>0.01</v>
      </c>
      <c r="CI176">
        <v>-1.371</v>
      </c>
      <c r="CJ176">
        <v>0.183</v>
      </c>
      <c r="CK176">
        <v>800</v>
      </c>
      <c r="CL176">
        <v>21</v>
      </c>
      <c r="CM176">
        <v>0.09</v>
      </c>
      <c r="CN176">
        <v>7.0000000000000007E-2</v>
      </c>
      <c r="CO176">
        <v>-416.96449999999999</v>
      </c>
      <c r="CP176">
        <v>-4.5539212007495671</v>
      </c>
      <c r="CQ176">
        <v>0.44129666892012381</v>
      </c>
      <c r="CR176">
        <v>-1</v>
      </c>
      <c r="CS176">
        <v>26.442812499999999</v>
      </c>
      <c r="CT176">
        <v>0.25834333958719402</v>
      </c>
      <c r="CU176">
        <v>2.511440012721811E-2</v>
      </c>
      <c r="CV176">
        <v>-1</v>
      </c>
      <c r="CW176">
        <v>0</v>
      </c>
      <c r="CX176">
        <v>0</v>
      </c>
      <c r="CY176" t="s">
        <v>333</v>
      </c>
      <c r="CZ176">
        <v>2.3653400000000002</v>
      </c>
      <c r="DA176">
        <v>2.7137699999999998</v>
      </c>
      <c r="DB176">
        <v>8.6483199999999996E-2</v>
      </c>
      <c r="DC176">
        <v>0.14574300000000001</v>
      </c>
      <c r="DD176">
        <v>0.122526</v>
      </c>
      <c r="DE176">
        <v>1.7014599999999999E-3</v>
      </c>
      <c r="DF176">
        <v>33374.400000000001</v>
      </c>
      <c r="DG176">
        <v>27525.9</v>
      </c>
      <c r="DH176">
        <v>31185.8</v>
      </c>
      <c r="DI176">
        <v>28074.5</v>
      </c>
      <c r="DJ176">
        <v>37136.400000000001</v>
      </c>
      <c r="DK176">
        <v>39840.5</v>
      </c>
      <c r="DL176">
        <v>44377.7</v>
      </c>
      <c r="DM176">
        <v>42528</v>
      </c>
      <c r="DN176">
        <v>1.4865999999999999</v>
      </c>
      <c r="DO176">
        <v>2.0626000000000002</v>
      </c>
      <c r="DP176">
        <v>0.112556</v>
      </c>
      <c r="DQ176">
        <v>0.16634199999999999</v>
      </c>
      <c r="DR176">
        <v>25.167300000000001</v>
      </c>
      <c r="DS176">
        <v>25.105799999999999</v>
      </c>
      <c r="DT176">
        <v>34</v>
      </c>
      <c r="DU176">
        <v>25.5</v>
      </c>
      <c r="DV176">
        <v>11.2843</v>
      </c>
      <c r="DW176">
        <v>61.560099999999998</v>
      </c>
      <c r="DX176">
        <v>37.496000000000002</v>
      </c>
      <c r="DY176">
        <v>1</v>
      </c>
      <c r="DZ176">
        <v>-0.16873199999999999</v>
      </c>
      <c r="EA176">
        <v>-0.69549799999999995</v>
      </c>
      <c r="EB176">
        <v>20.1891</v>
      </c>
      <c r="EC176">
        <v>5.2401999999999997</v>
      </c>
      <c r="ED176">
        <v>12.039899999999999</v>
      </c>
      <c r="EE176">
        <v>5.0138499999999997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1.8687400000000001</v>
      </c>
      <c r="EL176">
        <v>1.86446</v>
      </c>
      <c r="EM176">
        <v>1.8691</v>
      </c>
      <c r="EN176">
        <v>1.86707</v>
      </c>
      <c r="EO176">
        <v>1.8632500000000001</v>
      </c>
      <c r="EP176">
        <v>1.8642700000000001</v>
      </c>
      <c r="EQ176">
        <v>1.87008</v>
      </c>
      <c r="ER176">
        <v>1.8692899999999999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-1.0760000000000001</v>
      </c>
      <c r="FG176">
        <v>0.18279999999999999</v>
      </c>
      <c r="FH176">
        <v>-0.81947142863283695</v>
      </c>
      <c r="FI176">
        <v>-6.1462078757559423E-4</v>
      </c>
      <c r="FJ176">
        <v>-1.8861989874597051E-7</v>
      </c>
      <c r="FK176">
        <v>1.1980462299894961E-10</v>
      </c>
      <c r="FL176">
        <v>0.18283500000000069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34.299999999999997</v>
      </c>
      <c r="FU176">
        <v>34.4</v>
      </c>
      <c r="FV176">
        <v>1.7626999999999999</v>
      </c>
      <c r="FW176">
        <v>2.5610400000000002</v>
      </c>
      <c r="FX176">
        <v>1.5490699999999999</v>
      </c>
      <c r="FY176">
        <v>2.34375</v>
      </c>
      <c r="FZ176">
        <v>1.50146</v>
      </c>
      <c r="GA176">
        <v>2.36084</v>
      </c>
      <c r="GB176">
        <v>30.846900000000002</v>
      </c>
      <c r="GC176">
        <v>23.991199999999999</v>
      </c>
      <c r="GD176">
        <v>19</v>
      </c>
      <c r="GE176">
        <v>283.13799999999998</v>
      </c>
      <c r="GF176">
        <v>593.95299999999997</v>
      </c>
      <c r="GG176">
        <v>25.7012</v>
      </c>
      <c r="GH176">
        <v>25.305599999999998</v>
      </c>
      <c r="GI176">
        <v>30.0002</v>
      </c>
      <c r="GJ176">
        <v>25.418700000000001</v>
      </c>
      <c r="GK176">
        <v>25.385400000000001</v>
      </c>
      <c r="GL176">
        <v>35.227499999999999</v>
      </c>
      <c r="GM176">
        <v>100</v>
      </c>
      <c r="GN176">
        <v>8.4688499999999998</v>
      </c>
      <c r="GO176">
        <v>25.6953</v>
      </c>
      <c r="GP176">
        <v>800</v>
      </c>
      <c r="GQ176">
        <v>0</v>
      </c>
      <c r="GR176">
        <v>99.777799999999999</v>
      </c>
      <c r="GS176">
        <v>99.509399999999999</v>
      </c>
    </row>
    <row r="177" spans="1:201" x14ac:dyDescent="0.25">
      <c r="A177">
        <v>161</v>
      </c>
      <c r="B177">
        <v>1690375486.0999999</v>
      </c>
      <c r="C177">
        <v>1666.599999904633</v>
      </c>
      <c r="D177" t="s">
        <v>655</v>
      </c>
      <c r="E177" t="s">
        <v>656</v>
      </c>
      <c r="F177" t="s">
        <v>330</v>
      </c>
      <c r="H177">
        <v>1690375486.0999999</v>
      </c>
      <c r="I177">
        <f t="shared" si="60"/>
        <v>2.7243696629613689E-3</v>
      </c>
      <c r="J177">
        <f t="shared" si="61"/>
        <v>2.7243696629613687</v>
      </c>
      <c r="K177">
        <f t="shared" si="62"/>
        <v>40.821317451454021</v>
      </c>
      <c r="L177">
        <f t="shared" si="63"/>
        <v>381.53100000000001</v>
      </c>
      <c r="M177">
        <f t="shared" si="64"/>
        <v>101.36629468206361</v>
      </c>
      <c r="N177">
        <f t="shared" si="65"/>
        <v>10.014873140616412</v>
      </c>
      <c r="O177">
        <f t="shared" si="66"/>
        <v>37.694823276287998</v>
      </c>
      <c r="P177">
        <f t="shared" si="67"/>
        <v>0.24933298764132722</v>
      </c>
      <c r="Q177">
        <f t="shared" si="68"/>
        <v>2.2477744939732354</v>
      </c>
      <c r="R177">
        <f t="shared" si="69"/>
        <v>0.23492390180495509</v>
      </c>
      <c r="S177">
        <f t="shared" si="70"/>
        <v>0.1480525991821906</v>
      </c>
      <c r="T177">
        <f t="shared" si="71"/>
        <v>276.11427751200006</v>
      </c>
      <c r="U177">
        <f t="shared" si="72"/>
        <v>27.785021123156604</v>
      </c>
      <c r="V177">
        <f t="shared" si="73"/>
        <v>27.785021123156604</v>
      </c>
      <c r="W177">
        <f t="shared" si="74"/>
        <v>3.7475399436827583</v>
      </c>
      <c r="X177">
        <f t="shared" si="75"/>
        <v>75.436765954057321</v>
      </c>
      <c r="Y177">
        <f t="shared" si="76"/>
        <v>2.638818431232</v>
      </c>
      <c r="Z177">
        <f t="shared" si="77"/>
        <v>3.498053499322995</v>
      </c>
      <c r="AA177">
        <f t="shared" si="78"/>
        <v>1.1087215124507583</v>
      </c>
      <c r="AB177">
        <f t="shared" si="79"/>
        <v>-120.14470213659636</v>
      </c>
      <c r="AC177">
        <f t="shared" si="80"/>
        <v>-142.35507690112411</v>
      </c>
      <c r="AD177">
        <f t="shared" si="81"/>
        <v>-13.694778179779652</v>
      </c>
      <c r="AE177">
        <f t="shared" si="82"/>
        <v>-8.0279705500061027E-2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52203.778624178929</v>
      </c>
      <c r="AK177">
        <f t="shared" si="86"/>
        <v>1800</v>
      </c>
      <c r="AL177">
        <f t="shared" si="87"/>
        <v>1499.1139512</v>
      </c>
      <c r="AM177">
        <f t="shared" si="88"/>
        <v>0.83284108400000001</v>
      </c>
      <c r="AN177">
        <f t="shared" si="89"/>
        <v>0.15339682084000003</v>
      </c>
      <c r="AO177">
        <v>30</v>
      </c>
      <c r="AP177">
        <v>0.5</v>
      </c>
      <c r="AQ177" t="s">
        <v>331</v>
      </c>
      <c r="AR177">
        <v>2</v>
      </c>
      <c r="AS177">
        <v>1690375486.0999999</v>
      </c>
      <c r="AT177">
        <v>381.53100000000001</v>
      </c>
      <c r="AU177">
        <v>799.99900000000002</v>
      </c>
      <c r="AV177">
        <v>26.709</v>
      </c>
      <c r="AW177">
        <v>0.201791</v>
      </c>
      <c r="AX177">
        <v>382.60599999999999</v>
      </c>
      <c r="AY177">
        <v>26.5261</v>
      </c>
      <c r="AZ177">
        <v>300.10000000000002</v>
      </c>
      <c r="BA177">
        <v>98.698800000000006</v>
      </c>
      <c r="BB177">
        <v>0.100048</v>
      </c>
      <c r="BC177">
        <v>26.610299999999999</v>
      </c>
      <c r="BD177">
        <v>26.988399999999999</v>
      </c>
      <c r="BE177">
        <v>27.801200000000001</v>
      </c>
      <c r="BF177">
        <v>0</v>
      </c>
      <c r="BG177">
        <v>0</v>
      </c>
      <c r="BH177">
        <v>9989.3799999999992</v>
      </c>
      <c r="BI177">
        <v>1085.79</v>
      </c>
      <c r="BJ177">
        <v>1.4016500000000001</v>
      </c>
      <c r="BK177">
        <v>-418.46800000000002</v>
      </c>
      <c r="BL177">
        <v>392.00099999999998</v>
      </c>
      <c r="BM177">
        <v>800.16</v>
      </c>
      <c r="BN177">
        <v>26.507200000000001</v>
      </c>
      <c r="BO177">
        <v>799.99900000000002</v>
      </c>
      <c r="BP177">
        <v>0.201791</v>
      </c>
      <c r="BQ177">
        <v>2.6361400000000001</v>
      </c>
      <c r="BR177">
        <v>1.99166E-2</v>
      </c>
      <c r="BS177">
        <v>21.892399999999999</v>
      </c>
      <c r="BT177">
        <v>-39.465800000000002</v>
      </c>
      <c r="BU177">
        <v>1800</v>
      </c>
      <c r="BV177">
        <v>0.91001900000000002</v>
      </c>
      <c r="BW177">
        <v>3.3997699999999999E-2</v>
      </c>
      <c r="BX177">
        <v>2.1993200000000001E-2</v>
      </c>
      <c r="BY177">
        <v>3.3990199999999998E-2</v>
      </c>
      <c r="BZ177">
        <v>25</v>
      </c>
      <c r="CA177">
        <v>33528.5</v>
      </c>
      <c r="CB177">
        <v>1690373417</v>
      </c>
      <c r="CC177" t="s">
        <v>332</v>
      </c>
      <c r="CD177">
        <v>1690373417</v>
      </c>
      <c r="CE177">
        <v>1690373415</v>
      </c>
      <c r="CF177">
        <v>1</v>
      </c>
      <c r="CG177">
        <v>-1.319</v>
      </c>
      <c r="CH177">
        <v>0.01</v>
      </c>
      <c r="CI177">
        <v>-1.371</v>
      </c>
      <c r="CJ177">
        <v>0.183</v>
      </c>
      <c r="CK177">
        <v>800</v>
      </c>
      <c r="CL177">
        <v>21</v>
      </c>
      <c r="CM177">
        <v>0.09</v>
      </c>
      <c r="CN177">
        <v>7.0000000000000007E-2</v>
      </c>
      <c r="CO177">
        <v>-417.68112499999989</v>
      </c>
      <c r="CP177">
        <v>-4.3595009380854606</v>
      </c>
      <c r="CQ177">
        <v>0.42347279649937458</v>
      </c>
      <c r="CR177">
        <v>-1</v>
      </c>
      <c r="CS177">
        <v>26.477842500000001</v>
      </c>
      <c r="CT177">
        <v>0.15219174484049319</v>
      </c>
      <c r="CU177">
        <v>1.468052940973163E-2</v>
      </c>
      <c r="CV177">
        <v>-1</v>
      </c>
      <c r="CW177">
        <v>0</v>
      </c>
      <c r="CX177">
        <v>0</v>
      </c>
      <c r="CY177" t="s">
        <v>333</v>
      </c>
      <c r="CZ177">
        <v>2.3654000000000002</v>
      </c>
      <c r="DA177">
        <v>2.7138300000000002</v>
      </c>
      <c r="DB177">
        <v>8.6360800000000001E-2</v>
      </c>
      <c r="DC177">
        <v>0.145736</v>
      </c>
      <c r="DD177">
        <v>0.122603</v>
      </c>
      <c r="DE177">
        <v>1.69316E-3</v>
      </c>
      <c r="DF177">
        <v>33378.5</v>
      </c>
      <c r="DG177">
        <v>27526.3</v>
      </c>
      <c r="DH177">
        <v>31185.4</v>
      </c>
      <c r="DI177">
        <v>28074.7</v>
      </c>
      <c r="DJ177">
        <v>37132.9</v>
      </c>
      <c r="DK177">
        <v>39841.1</v>
      </c>
      <c r="DL177">
        <v>44377.5</v>
      </c>
      <c r="DM177">
        <v>42528.3</v>
      </c>
      <c r="DN177">
        <v>1.48617</v>
      </c>
      <c r="DO177">
        <v>2.0625</v>
      </c>
      <c r="DP177">
        <v>0.111192</v>
      </c>
      <c r="DQ177">
        <v>0.16466500000000001</v>
      </c>
      <c r="DR177">
        <v>25.167300000000001</v>
      </c>
      <c r="DS177">
        <v>25.105799999999999</v>
      </c>
      <c r="DT177">
        <v>33.700000000000003</v>
      </c>
      <c r="DU177">
        <v>25.5</v>
      </c>
      <c r="DV177">
        <v>11.186299999999999</v>
      </c>
      <c r="DW177">
        <v>61.610100000000003</v>
      </c>
      <c r="DX177">
        <v>37.131399999999999</v>
      </c>
      <c r="DY177">
        <v>1</v>
      </c>
      <c r="DZ177">
        <v>-0.16875000000000001</v>
      </c>
      <c r="EA177">
        <v>-0.65402199999999999</v>
      </c>
      <c r="EB177">
        <v>20.1892</v>
      </c>
      <c r="EC177">
        <v>5.2400500000000001</v>
      </c>
      <c r="ED177">
        <v>12.039899999999999</v>
      </c>
      <c r="EE177">
        <v>5.0136500000000002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1.8687400000000001</v>
      </c>
      <c r="EL177">
        <v>1.86446</v>
      </c>
      <c r="EM177">
        <v>1.8691199999999999</v>
      </c>
      <c r="EN177">
        <v>1.86707</v>
      </c>
      <c r="EO177">
        <v>1.8632500000000001</v>
      </c>
      <c r="EP177">
        <v>1.8642700000000001</v>
      </c>
      <c r="EQ177">
        <v>1.87009</v>
      </c>
      <c r="ER177">
        <v>1.8692899999999999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-1.075</v>
      </c>
      <c r="FG177">
        <v>0.18290000000000001</v>
      </c>
      <c r="FH177">
        <v>-0.81947142863283695</v>
      </c>
      <c r="FI177">
        <v>-6.1462078757559423E-4</v>
      </c>
      <c r="FJ177">
        <v>-1.8861989874597051E-7</v>
      </c>
      <c r="FK177">
        <v>1.1980462299894961E-10</v>
      </c>
      <c r="FL177">
        <v>0.18283500000000069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34.5</v>
      </c>
      <c r="FU177">
        <v>34.5</v>
      </c>
      <c r="FV177">
        <v>1.7626999999999999</v>
      </c>
      <c r="FW177">
        <v>2.5622600000000002</v>
      </c>
      <c r="FX177">
        <v>1.5490699999999999</v>
      </c>
      <c r="FY177">
        <v>2.34375</v>
      </c>
      <c r="FZ177">
        <v>1.50146</v>
      </c>
      <c r="GA177">
        <v>2.3278799999999999</v>
      </c>
      <c r="GB177">
        <v>30.846900000000002</v>
      </c>
      <c r="GC177">
        <v>23.982399999999998</v>
      </c>
      <c r="GD177">
        <v>19</v>
      </c>
      <c r="GE177">
        <v>282.96199999999999</v>
      </c>
      <c r="GF177">
        <v>593.86900000000003</v>
      </c>
      <c r="GG177">
        <v>25.6877</v>
      </c>
      <c r="GH177">
        <v>25.3065</v>
      </c>
      <c r="GI177">
        <v>30.0001</v>
      </c>
      <c r="GJ177">
        <v>25.419499999999999</v>
      </c>
      <c r="GK177">
        <v>25.385400000000001</v>
      </c>
      <c r="GL177">
        <v>35.2301</v>
      </c>
      <c r="GM177">
        <v>100</v>
      </c>
      <c r="GN177">
        <v>8.0888500000000008</v>
      </c>
      <c r="GO177">
        <v>25.692599999999999</v>
      </c>
      <c r="GP177">
        <v>800</v>
      </c>
      <c r="GQ177">
        <v>0</v>
      </c>
      <c r="GR177">
        <v>99.776899999999998</v>
      </c>
      <c r="GS177">
        <v>99.51</v>
      </c>
    </row>
    <row r="178" spans="1:201" x14ac:dyDescent="0.25">
      <c r="A178">
        <v>162</v>
      </c>
      <c r="B178">
        <v>1690375496.0999999</v>
      </c>
      <c r="C178">
        <v>1676.599999904633</v>
      </c>
      <c r="D178" t="s">
        <v>657</v>
      </c>
      <c r="E178" t="s">
        <v>658</v>
      </c>
      <c r="F178" t="s">
        <v>330</v>
      </c>
      <c r="H178">
        <v>1690375496.0999999</v>
      </c>
      <c r="I178">
        <f t="shared" si="60"/>
        <v>2.7282184838237538E-3</v>
      </c>
      <c r="J178">
        <f t="shared" si="61"/>
        <v>2.728218483823754</v>
      </c>
      <c r="K178">
        <f t="shared" si="62"/>
        <v>40.900445026990248</v>
      </c>
      <c r="L178">
        <f t="shared" si="63"/>
        <v>380.82</v>
      </c>
      <c r="M178">
        <f t="shared" si="64"/>
        <v>101.54139074824529</v>
      </c>
      <c r="N178">
        <f t="shared" si="65"/>
        <v>10.032474414340578</v>
      </c>
      <c r="O178">
        <f t="shared" si="66"/>
        <v>37.625709854039997</v>
      </c>
      <c r="P178">
        <f t="shared" si="67"/>
        <v>0.25066708871075977</v>
      </c>
      <c r="Q178">
        <f t="shared" si="68"/>
        <v>2.2481358735403045</v>
      </c>
      <c r="R178">
        <f t="shared" si="69"/>
        <v>0.23611041993687637</v>
      </c>
      <c r="S178">
        <f t="shared" si="70"/>
        <v>0.1488063792977023</v>
      </c>
      <c r="T178">
        <f t="shared" si="71"/>
        <v>276.11429625</v>
      </c>
      <c r="U178">
        <f t="shared" si="72"/>
        <v>27.779574818056865</v>
      </c>
      <c r="V178">
        <f t="shared" si="73"/>
        <v>27.779574818056865</v>
      </c>
      <c r="W178">
        <f t="shared" si="74"/>
        <v>3.7463483574762115</v>
      </c>
      <c r="X178">
        <f t="shared" si="75"/>
        <v>75.534505128241321</v>
      </c>
      <c r="Y178">
        <f t="shared" si="76"/>
        <v>2.6416149139030001</v>
      </c>
      <c r="Z178">
        <f t="shared" si="77"/>
        <v>3.497229391280325</v>
      </c>
      <c r="AA178">
        <f t="shared" si="78"/>
        <v>1.1047334435732115</v>
      </c>
      <c r="AB178">
        <f t="shared" si="79"/>
        <v>-120.31443513662754</v>
      </c>
      <c r="AC178">
        <f t="shared" si="80"/>
        <v>-142.20266928543239</v>
      </c>
      <c r="AD178">
        <f t="shared" si="81"/>
        <v>-13.677271582920184</v>
      </c>
      <c r="AE178">
        <f t="shared" si="82"/>
        <v>-8.0079754980118878E-2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52218.596629307016</v>
      </c>
      <c r="AK178">
        <f t="shared" si="86"/>
        <v>1800</v>
      </c>
      <c r="AL178">
        <f t="shared" si="87"/>
        <v>1499.1143670000001</v>
      </c>
      <c r="AM178">
        <f t="shared" si="88"/>
        <v>0.83284131500000003</v>
      </c>
      <c r="AN178">
        <f t="shared" si="89"/>
        <v>0.15339683125</v>
      </c>
      <c r="AO178">
        <v>30</v>
      </c>
      <c r="AP178">
        <v>0.5</v>
      </c>
      <c r="AQ178" t="s">
        <v>331</v>
      </c>
      <c r="AR178">
        <v>2</v>
      </c>
      <c r="AS178">
        <v>1690375496.0999999</v>
      </c>
      <c r="AT178">
        <v>380.82</v>
      </c>
      <c r="AU178">
        <v>799.95</v>
      </c>
      <c r="AV178">
        <v>26.736499999999999</v>
      </c>
      <c r="AW178">
        <v>0.200463</v>
      </c>
      <c r="AX178">
        <v>381.89499999999998</v>
      </c>
      <c r="AY178">
        <v>26.553599999999999</v>
      </c>
      <c r="AZ178">
        <v>300.18900000000002</v>
      </c>
      <c r="BA178">
        <v>98.701800000000006</v>
      </c>
      <c r="BB178">
        <v>0.100022</v>
      </c>
      <c r="BC178">
        <v>26.606300000000001</v>
      </c>
      <c r="BD178">
        <v>27.023900000000001</v>
      </c>
      <c r="BE178">
        <v>27.8202</v>
      </c>
      <c r="BF178">
        <v>0</v>
      </c>
      <c r="BG178">
        <v>0</v>
      </c>
      <c r="BH178">
        <v>9991.8799999999992</v>
      </c>
      <c r="BI178">
        <v>1085.9100000000001</v>
      </c>
      <c r="BJ178">
        <v>1.4016500000000001</v>
      </c>
      <c r="BK178">
        <v>-419.13</v>
      </c>
      <c r="BL178">
        <v>391.28100000000001</v>
      </c>
      <c r="BM178">
        <v>800.11</v>
      </c>
      <c r="BN178">
        <v>26.536000000000001</v>
      </c>
      <c r="BO178">
        <v>799.95</v>
      </c>
      <c r="BP178">
        <v>0.200463</v>
      </c>
      <c r="BQ178">
        <v>2.6389399999999998</v>
      </c>
      <c r="BR178">
        <v>1.9786100000000001E-2</v>
      </c>
      <c r="BS178">
        <v>21.909800000000001</v>
      </c>
      <c r="BT178">
        <v>-39.5291</v>
      </c>
      <c r="BU178">
        <v>1800</v>
      </c>
      <c r="BV178">
        <v>0.91002000000000005</v>
      </c>
      <c r="BW178">
        <v>3.3997399999999997E-2</v>
      </c>
      <c r="BX178">
        <v>2.1992999999999999E-2</v>
      </c>
      <c r="BY178">
        <v>3.3989900000000003E-2</v>
      </c>
      <c r="BZ178">
        <v>25</v>
      </c>
      <c r="CA178">
        <v>33528.5</v>
      </c>
      <c r="CB178">
        <v>1690373417</v>
      </c>
      <c r="CC178" t="s">
        <v>332</v>
      </c>
      <c r="CD178">
        <v>1690373417</v>
      </c>
      <c r="CE178">
        <v>1690373415</v>
      </c>
      <c r="CF178">
        <v>1</v>
      </c>
      <c r="CG178">
        <v>-1.319</v>
      </c>
      <c r="CH178">
        <v>0.01</v>
      </c>
      <c r="CI178">
        <v>-1.371</v>
      </c>
      <c r="CJ178">
        <v>0.183</v>
      </c>
      <c r="CK178">
        <v>800</v>
      </c>
      <c r="CL178">
        <v>21</v>
      </c>
      <c r="CM178">
        <v>0.09</v>
      </c>
      <c r="CN178">
        <v>7.0000000000000007E-2</v>
      </c>
      <c r="CO178">
        <v>-418.35334146341472</v>
      </c>
      <c r="CP178">
        <v>-4.2975261324035738</v>
      </c>
      <c r="CQ178">
        <v>0.42523305574169129</v>
      </c>
      <c r="CR178">
        <v>-1</v>
      </c>
      <c r="CS178">
        <v>26.503965853658539</v>
      </c>
      <c r="CT178">
        <v>0.1776334494774221</v>
      </c>
      <c r="CU178">
        <v>1.7629335443337078E-2</v>
      </c>
      <c r="CV178">
        <v>-1</v>
      </c>
      <c r="CW178">
        <v>0</v>
      </c>
      <c r="CX178">
        <v>0</v>
      </c>
      <c r="CY178" t="s">
        <v>333</v>
      </c>
      <c r="CZ178">
        <v>2.3656899999999998</v>
      </c>
      <c r="DA178">
        <v>2.7138100000000001</v>
      </c>
      <c r="DB178">
        <v>8.6239399999999994E-2</v>
      </c>
      <c r="DC178">
        <v>0.145734</v>
      </c>
      <c r="DD178">
        <v>0.122695</v>
      </c>
      <c r="DE178">
        <v>1.6822E-3</v>
      </c>
      <c r="DF178">
        <v>33383.199999999997</v>
      </c>
      <c r="DG178">
        <v>27526.2</v>
      </c>
      <c r="DH178">
        <v>31185.599999999999</v>
      </c>
      <c r="DI178">
        <v>28074.5</v>
      </c>
      <c r="DJ178">
        <v>37128.9</v>
      </c>
      <c r="DK178">
        <v>39841.300000000003</v>
      </c>
      <c r="DL178">
        <v>44377.5</v>
      </c>
      <c r="DM178">
        <v>42528</v>
      </c>
      <c r="DN178">
        <v>1.4863999999999999</v>
      </c>
      <c r="DO178">
        <v>2.0623499999999999</v>
      </c>
      <c r="DP178">
        <v>0.113361</v>
      </c>
      <c r="DQ178">
        <v>0.16570099999999999</v>
      </c>
      <c r="DR178">
        <v>25.167300000000001</v>
      </c>
      <c r="DS178">
        <v>25.108000000000001</v>
      </c>
      <c r="DT178">
        <v>33.5</v>
      </c>
      <c r="DU178">
        <v>25.6</v>
      </c>
      <c r="DV178">
        <v>11.1853</v>
      </c>
      <c r="DW178">
        <v>61.390099999999997</v>
      </c>
      <c r="DX178">
        <v>37.103400000000001</v>
      </c>
      <c r="DY178">
        <v>1</v>
      </c>
      <c r="DZ178">
        <v>-0.168735</v>
      </c>
      <c r="EA178">
        <v>-0.69887500000000002</v>
      </c>
      <c r="EB178">
        <v>20.189299999999999</v>
      </c>
      <c r="EC178">
        <v>5.2394499999999997</v>
      </c>
      <c r="ED178">
        <v>12.039899999999999</v>
      </c>
      <c r="EE178">
        <v>5.0137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1.8687400000000001</v>
      </c>
      <c r="EL178">
        <v>1.86443</v>
      </c>
      <c r="EM178">
        <v>1.8691</v>
      </c>
      <c r="EN178">
        <v>1.8670800000000001</v>
      </c>
      <c r="EO178">
        <v>1.8632500000000001</v>
      </c>
      <c r="EP178">
        <v>1.8642700000000001</v>
      </c>
      <c r="EQ178">
        <v>1.8700399999999999</v>
      </c>
      <c r="ER178">
        <v>1.86924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-1.075</v>
      </c>
      <c r="FG178">
        <v>0.18290000000000001</v>
      </c>
      <c r="FH178">
        <v>-0.81947142863283695</v>
      </c>
      <c r="FI178">
        <v>-6.1462078757559423E-4</v>
      </c>
      <c r="FJ178">
        <v>-1.8861989874597051E-7</v>
      </c>
      <c r="FK178">
        <v>1.1980462299894961E-10</v>
      </c>
      <c r="FL178">
        <v>0.18283500000000069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34.700000000000003</v>
      </c>
      <c r="FU178">
        <v>34.700000000000003</v>
      </c>
      <c r="FV178">
        <v>1.7626999999999999</v>
      </c>
      <c r="FW178">
        <v>2.5622600000000002</v>
      </c>
      <c r="FX178">
        <v>1.5490699999999999</v>
      </c>
      <c r="FY178">
        <v>2.34375</v>
      </c>
      <c r="FZ178">
        <v>1.50146</v>
      </c>
      <c r="GA178">
        <v>2.2741699999999998</v>
      </c>
      <c r="GB178">
        <v>30.868600000000001</v>
      </c>
      <c r="GC178">
        <v>23.982399999999998</v>
      </c>
      <c r="GD178">
        <v>19</v>
      </c>
      <c r="GE178">
        <v>283.05700000000002</v>
      </c>
      <c r="GF178">
        <v>593.74400000000003</v>
      </c>
      <c r="GG178">
        <v>25.7013</v>
      </c>
      <c r="GH178">
        <v>25.3065</v>
      </c>
      <c r="GI178">
        <v>30.0001</v>
      </c>
      <c r="GJ178">
        <v>25.419499999999999</v>
      </c>
      <c r="GK178">
        <v>25.385400000000001</v>
      </c>
      <c r="GL178">
        <v>35.232399999999998</v>
      </c>
      <c r="GM178">
        <v>100</v>
      </c>
      <c r="GN178">
        <v>7.3414000000000001</v>
      </c>
      <c r="GO178">
        <v>25.695799999999998</v>
      </c>
      <c r="GP178">
        <v>800</v>
      </c>
      <c r="GQ178">
        <v>0</v>
      </c>
      <c r="GR178">
        <v>99.777199999999993</v>
      </c>
      <c r="GS178">
        <v>99.509399999999999</v>
      </c>
    </row>
    <row r="179" spans="1:201" x14ac:dyDescent="0.25">
      <c r="A179">
        <v>163</v>
      </c>
      <c r="B179">
        <v>1690375506.0999999</v>
      </c>
      <c r="C179">
        <v>1686.599999904633</v>
      </c>
      <c r="D179" t="s">
        <v>659</v>
      </c>
      <c r="E179" t="s">
        <v>660</v>
      </c>
      <c r="F179" t="s">
        <v>330</v>
      </c>
      <c r="H179">
        <v>1690375506.0999999</v>
      </c>
      <c r="I179">
        <f t="shared" si="60"/>
        <v>2.731624757002702E-3</v>
      </c>
      <c r="J179">
        <f t="shared" si="61"/>
        <v>2.7316247570027019</v>
      </c>
      <c r="K179">
        <f t="shared" si="62"/>
        <v>40.978256745609869</v>
      </c>
      <c r="L179">
        <f t="shared" si="63"/>
        <v>380.08600000000001</v>
      </c>
      <c r="M179">
        <f t="shared" si="64"/>
        <v>101.35642843168314</v>
      </c>
      <c r="N179">
        <f t="shared" si="65"/>
        <v>10.014232214248709</v>
      </c>
      <c r="O179">
        <f t="shared" si="66"/>
        <v>37.553310868194799</v>
      </c>
      <c r="P179">
        <f t="shared" si="67"/>
        <v>0.25167781163671171</v>
      </c>
      <c r="Q179">
        <f t="shared" si="68"/>
        <v>2.2483820841762023</v>
      </c>
      <c r="R179">
        <f t="shared" si="69"/>
        <v>0.23700871034858914</v>
      </c>
      <c r="S179">
        <f t="shared" si="70"/>
        <v>0.14937710605884758</v>
      </c>
      <c r="T179">
        <f t="shared" si="71"/>
        <v>276.11424529200002</v>
      </c>
      <c r="U179">
        <f t="shared" si="72"/>
        <v>27.77952482043786</v>
      </c>
      <c r="V179">
        <f t="shared" si="73"/>
        <v>27.77952482043786</v>
      </c>
      <c r="W179">
        <f t="shared" si="74"/>
        <v>3.746337420128647</v>
      </c>
      <c r="X179">
        <f t="shared" si="75"/>
        <v>75.609639264144008</v>
      </c>
      <c r="Y179">
        <f t="shared" si="76"/>
        <v>2.6444294450628201</v>
      </c>
      <c r="Z179">
        <f t="shared" si="77"/>
        <v>3.4974766058920674</v>
      </c>
      <c r="AA179">
        <f t="shared" si="78"/>
        <v>1.1019079750658269</v>
      </c>
      <c r="AB179">
        <f t="shared" si="79"/>
        <v>-120.46465178381916</v>
      </c>
      <c r="AC179">
        <f t="shared" si="80"/>
        <v>-142.06672481249839</v>
      </c>
      <c r="AD179">
        <f t="shared" si="81"/>
        <v>-13.662778326058296</v>
      </c>
      <c r="AE179">
        <f t="shared" si="82"/>
        <v>-7.9909630375823326E-2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52227.974129935705</v>
      </c>
      <c r="AK179">
        <f t="shared" si="86"/>
        <v>1800</v>
      </c>
      <c r="AL179">
        <f t="shared" si="87"/>
        <v>1499.1145001999998</v>
      </c>
      <c r="AM179">
        <f t="shared" si="88"/>
        <v>0.83284138899999993</v>
      </c>
      <c r="AN179">
        <f t="shared" si="89"/>
        <v>0.15339680294000002</v>
      </c>
      <c r="AO179">
        <v>30</v>
      </c>
      <c r="AP179">
        <v>0.5</v>
      </c>
      <c r="AQ179" t="s">
        <v>331</v>
      </c>
      <c r="AR179">
        <v>2</v>
      </c>
      <c r="AS179">
        <v>1690375506.0999999</v>
      </c>
      <c r="AT179">
        <v>380.08600000000001</v>
      </c>
      <c r="AU179">
        <v>799.93899999999996</v>
      </c>
      <c r="AV179">
        <v>26.764900000000001</v>
      </c>
      <c r="AW179">
        <v>0.199516</v>
      </c>
      <c r="AX179">
        <v>381.161</v>
      </c>
      <c r="AY179">
        <v>26.582000000000001</v>
      </c>
      <c r="AZ179">
        <v>300.22300000000001</v>
      </c>
      <c r="BA179">
        <v>98.702200000000005</v>
      </c>
      <c r="BB179">
        <v>9.9941799999999997E-2</v>
      </c>
      <c r="BC179">
        <v>26.607500000000002</v>
      </c>
      <c r="BD179">
        <v>26.998000000000001</v>
      </c>
      <c r="BE179">
        <v>27.8095</v>
      </c>
      <c r="BF179">
        <v>0</v>
      </c>
      <c r="BG179">
        <v>0</v>
      </c>
      <c r="BH179">
        <v>9993.75</v>
      </c>
      <c r="BI179">
        <v>1085.98</v>
      </c>
      <c r="BJ179">
        <v>1.4016500000000001</v>
      </c>
      <c r="BK179">
        <v>-419.85300000000001</v>
      </c>
      <c r="BL179">
        <v>390.53899999999999</v>
      </c>
      <c r="BM179">
        <v>800.09799999999996</v>
      </c>
      <c r="BN179">
        <v>26.565300000000001</v>
      </c>
      <c r="BO179">
        <v>799.93899999999996</v>
      </c>
      <c r="BP179">
        <v>0.199516</v>
      </c>
      <c r="BQ179">
        <v>2.64175</v>
      </c>
      <c r="BR179">
        <v>1.96927E-2</v>
      </c>
      <c r="BS179">
        <v>21.927199999999999</v>
      </c>
      <c r="BT179">
        <v>-39.574599999999997</v>
      </c>
      <c r="BU179">
        <v>1800</v>
      </c>
      <c r="BV179">
        <v>0.91002099999999997</v>
      </c>
      <c r="BW179">
        <v>3.3996999999999999E-2</v>
      </c>
      <c r="BX179">
        <v>2.19927E-2</v>
      </c>
      <c r="BY179">
        <v>3.3989600000000002E-2</v>
      </c>
      <c r="BZ179">
        <v>25</v>
      </c>
      <c r="CA179">
        <v>33528.5</v>
      </c>
      <c r="CB179">
        <v>1690373417</v>
      </c>
      <c r="CC179" t="s">
        <v>332</v>
      </c>
      <c r="CD179">
        <v>1690373417</v>
      </c>
      <c r="CE179">
        <v>1690373415</v>
      </c>
      <c r="CF179">
        <v>1</v>
      </c>
      <c r="CG179">
        <v>-1.319</v>
      </c>
      <c r="CH179">
        <v>0.01</v>
      </c>
      <c r="CI179">
        <v>-1.371</v>
      </c>
      <c r="CJ179">
        <v>0.183</v>
      </c>
      <c r="CK179">
        <v>800</v>
      </c>
      <c r="CL179">
        <v>21</v>
      </c>
      <c r="CM179">
        <v>0.09</v>
      </c>
      <c r="CN179">
        <v>7.0000000000000007E-2</v>
      </c>
      <c r="CO179">
        <v>-419.12855000000002</v>
      </c>
      <c r="CP179">
        <v>-4.3727279549713884</v>
      </c>
      <c r="CQ179">
        <v>0.4218689340304681</v>
      </c>
      <c r="CR179">
        <v>-1</v>
      </c>
      <c r="CS179">
        <v>26.534497500000001</v>
      </c>
      <c r="CT179">
        <v>0.16421425891185981</v>
      </c>
      <c r="CU179">
        <v>1.5890161854115781E-2</v>
      </c>
      <c r="CV179">
        <v>-1</v>
      </c>
      <c r="CW179">
        <v>0</v>
      </c>
      <c r="CX179">
        <v>0</v>
      </c>
      <c r="CY179" t="s">
        <v>333</v>
      </c>
      <c r="CZ179">
        <v>2.3657900000000001</v>
      </c>
      <c r="DA179">
        <v>2.71373</v>
      </c>
      <c r="DB179">
        <v>8.6111800000000002E-2</v>
      </c>
      <c r="DC179">
        <v>0.145733</v>
      </c>
      <c r="DD179">
        <v>0.12278600000000001</v>
      </c>
      <c r="DE179">
        <v>1.67436E-3</v>
      </c>
      <c r="DF179">
        <v>33388.199999999997</v>
      </c>
      <c r="DG179">
        <v>27526.400000000001</v>
      </c>
      <c r="DH179">
        <v>31185.9</v>
      </c>
      <c r="DI179">
        <v>28074.7</v>
      </c>
      <c r="DJ179">
        <v>37125.5</v>
      </c>
      <c r="DK179">
        <v>39841.699999999997</v>
      </c>
      <c r="DL179">
        <v>44378.1</v>
      </c>
      <c r="DM179">
        <v>42528.2</v>
      </c>
      <c r="DN179">
        <v>1.4863500000000001</v>
      </c>
      <c r="DO179">
        <v>2.0623999999999998</v>
      </c>
      <c r="DP179">
        <v>0.111818</v>
      </c>
      <c r="DQ179">
        <v>0.16505300000000001</v>
      </c>
      <c r="DR179">
        <v>25.166599999999999</v>
      </c>
      <c r="DS179">
        <v>25.107900000000001</v>
      </c>
      <c r="DT179">
        <v>33.299999999999997</v>
      </c>
      <c r="DU179">
        <v>25.5</v>
      </c>
      <c r="DV179">
        <v>11.050700000000001</v>
      </c>
      <c r="DW179">
        <v>61.920099999999998</v>
      </c>
      <c r="DX179">
        <v>37.255600000000001</v>
      </c>
      <c r="DY179">
        <v>1</v>
      </c>
      <c r="DZ179">
        <v>-0.16863300000000001</v>
      </c>
      <c r="EA179">
        <v>-0.61300399999999999</v>
      </c>
      <c r="EB179">
        <v>20.189499999999999</v>
      </c>
      <c r="EC179">
        <v>5.2401999999999997</v>
      </c>
      <c r="ED179">
        <v>12.039899999999999</v>
      </c>
      <c r="EE179">
        <v>5.0134499999999997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1.8687499999999999</v>
      </c>
      <c r="EL179">
        <v>1.86446</v>
      </c>
      <c r="EM179">
        <v>1.86911</v>
      </c>
      <c r="EN179">
        <v>1.86707</v>
      </c>
      <c r="EO179">
        <v>1.8632500000000001</v>
      </c>
      <c r="EP179">
        <v>1.86429</v>
      </c>
      <c r="EQ179">
        <v>1.87008</v>
      </c>
      <c r="ER179">
        <v>1.8692500000000001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-1.075</v>
      </c>
      <c r="FG179">
        <v>0.18290000000000001</v>
      </c>
      <c r="FH179">
        <v>-0.81947142863283695</v>
      </c>
      <c r="FI179">
        <v>-6.1462078757559423E-4</v>
      </c>
      <c r="FJ179">
        <v>-1.8861989874597051E-7</v>
      </c>
      <c r="FK179">
        <v>1.1980462299894961E-10</v>
      </c>
      <c r="FL179">
        <v>0.18283500000000069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34.799999999999997</v>
      </c>
      <c r="FU179">
        <v>34.9</v>
      </c>
      <c r="FV179">
        <v>1.7626999999999999</v>
      </c>
      <c r="FW179">
        <v>2.5610400000000002</v>
      </c>
      <c r="FX179">
        <v>1.5490699999999999</v>
      </c>
      <c r="FY179">
        <v>2.34375</v>
      </c>
      <c r="FZ179">
        <v>1.50146</v>
      </c>
      <c r="GA179">
        <v>2.2814899999999998</v>
      </c>
      <c r="GB179">
        <v>30.868600000000001</v>
      </c>
      <c r="GC179">
        <v>23.991199999999999</v>
      </c>
      <c r="GD179">
        <v>19</v>
      </c>
      <c r="GE179">
        <v>283.036</v>
      </c>
      <c r="GF179">
        <v>593.79200000000003</v>
      </c>
      <c r="GG179">
        <v>25.680700000000002</v>
      </c>
      <c r="GH179">
        <v>25.308599999999998</v>
      </c>
      <c r="GI179">
        <v>30.0001</v>
      </c>
      <c r="GJ179">
        <v>25.419499999999999</v>
      </c>
      <c r="GK179">
        <v>25.385999999999999</v>
      </c>
      <c r="GL179">
        <v>35.234200000000001</v>
      </c>
      <c r="GM179">
        <v>100</v>
      </c>
      <c r="GN179">
        <v>6.5870899999999999</v>
      </c>
      <c r="GO179">
        <v>25.671800000000001</v>
      </c>
      <c r="GP179">
        <v>800</v>
      </c>
      <c r="GQ179">
        <v>0</v>
      </c>
      <c r="GR179">
        <v>99.778400000000005</v>
      </c>
      <c r="GS179">
        <v>99.509799999999998</v>
      </c>
    </row>
    <row r="180" spans="1:201" x14ac:dyDescent="0.25">
      <c r="A180">
        <v>164</v>
      </c>
      <c r="B180">
        <v>1690375516.0999999</v>
      </c>
      <c r="C180">
        <v>1696.599999904633</v>
      </c>
      <c r="D180" t="s">
        <v>661</v>
      </c>
      <c r="E180" t="s">
        <v>662</v>
      </c>
      <c r="F180" t="s">
        <v>330</v>
      </c>
      <c r="H180">
        <v>1690375516.0999999</v>
      </c>
      <c r="I180">
        <f t="shared" si="60"/>
        <v>2.73452110863979E-3</v>
      </c>
      <c r="J180">
        <f t="shared" si="61"/>
        <v>2.73452110863979</v>
      </c>
      <c r="K180">
        <f t="shared" si="62"/>
        <v>41.052765818898763</v>
      </c>
      <c r="L180">
        <f t="shared" si="63"/>
        <v>379.41500000000002</v>
      </c>
      <c r="M180">
        <f t="shared" si="64"/>
        <v>101.27437722050227</v>
      </c>
      <c r="N180">
        <f t="shared" si="65"/>
        <v>10.006091472185263</v>
      </c>
      <c r="O180">
        <f t="shared" si="66"/>
        <v>37.486887602905007</v>
      </c>
      <c r="P180">
        <f t="shared" si="67"/>
        <v>0.2526839752091054</v>
      </c>
      <c r="Q180">
        <f t="shared" si="68"/>
        <v>2.2531182378298702</v>
      </c>
      <c r="R180">
        <f t="shared" si="69"/>
        <v>0.23793017458850754</v>
      </c>
      <c r="S180">
        <f t="shared" si="70"/>
        <v>0.14996009222399526</v>
      </c>
      <c r="T180">
        <f t="shared" si="71"/>
        <v>276.1126036665687</v>
      </c>
      <c r="U180">
        <f t="shared" si="72"/>
        <v>27.777102658129493</v>
      </c>
      <c r="V180">
        <f t="shared" si="73"/>
        <v>27.777102658129493</v>
      </c>
      <c r="W180">
        <f t="shared" si="74"/>
        <v>3.74580758764507</v>
      </c>
      <c r="X180">
        <f t="shared" si="75"/>
        <v>75.680112702582065</v>
      </c>
      <c r="Y180">
        <f t="shared" si="76"/>
        <v>2.6470189716984005</v>
      </c>
      <c r="Z180">
        <f t="shared" si="77"/>
        <v>3.4976414241096774</v>
      </c>
      <c r="AA180">
        <f t="shared" si="78"/>
        <v>1.0987886159466695</v>
      </c>
      <c r="AB180">
        <f t="shared" si="79"/>
        <v>-120.59238089101474</v>
      </c>
      <c r="AC180">
        <f t="shared" si="80"/>
        <v>-141.97458796308192</v>
      </c>
      <c r="AD180">
        <f t="shared" si="81"/>
        <v>-13.625105521828605</v>
      </c>
      <c r="AE180">
        <f t="shared" si="82"/>
        <v>-7.9470709356570524E-2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52412.260609857418</v>
      </c>
      <c r="AK180">
        <f t="shared" si="86"/>
        <v>1799.99</v>
      </c>
      <c r="AL180">
        <f t="shared" si="87"/>
        <v>1499.1060349868699</v>
      </c>
      <c r="AM180">
        <f t="shared" si="88"/>
        <v>0.83284131299999997</v>
      </c>
      <c r="AN180">
        <f t="shared" si="89"/>
        <v>0.15339674313000001</v>
      </c>
      <c r="AO180">
        <v>30</v>
      </c>
      <c r="AP180">
        <v>0.5</v>
      </c>
      <c r="AQ180" t="s">
        <v>331</v>
      </c>
      <c r="AR180">
        <v>2</v>
      </c>
      <c r="AS180">
        <v>1690375516.0999999</v>
      </c>
      <c r="AT180">
        <v>379.41500000000002</v>
      </c>
      <c r="AU180">
        <v>800.00099999999998</v>
      </c>
      <c r="AV180">
        <v>26.7912</v>
      </c>
      <c r="AW180">
        <v>0.198633</v>
      </c>
      <c r="AX180">
        <v>380.48899999999998</v>
      </c>
      <c r="AY180">
        <v>26.6084</v>
      </c>
      <c r="AZ180">
        <v>300.226</v>
      </c>
      <c r="BA180">
        <v>98.701800000000006</v>
      </c>
      <c r="BB180">
        <v>0.100007</v>
      </c>
      <c r="BC180">
        <v>26.6083</v>
      </c>
      <c r="BD180">
        <v>26.996200000000002</v>
      </c>
      <c r="BE180">
        <v>27.779299999999999</v>
      </c>
      <c r="BF180">
        <v>0</v>
      </c>
      <c r="BG180">
        <v>0</v>
      </c>
      <c r="BH180">
        <v>10030.6</v>
      </c>
      <c r="BI180">
        <v>1085.93</v>
      </c>
      <c r="BJ180">
        <v>1.4016500000000001</v>
      </c>
      <c r="BK180">
        <v>-420.58600000000001</v>
      </c>
      <c r="BL180">
        <v>389.86</v>
      </c>
      <c r="BM180">
        <v>800.16</v>
      </c>
      <c r="BN180">
        <v>26.592600000000001</v>
      </c>
      <c r="BO180">
        <v>800.00099999999998</v>
      </c>
      <c r="BP180">
        <v>0.198633</v>
      </c>
      <c r="BQ180">
        <v>2.6443400000000001</v>
      </c>
      <c r="BR180">
        <v>1.9605399999999999E-2</v>
      </c>
      <c r="BS180">
        <v>21.943300000000001</v>
      </c>
      <c r="BT180">
        <v>-39.6173</v>
      </c>
      <c r="BU180">
        <v>1799.99</v>
      </c>
      <c r="BV180">
        <v>0.910022</v>
      </c>
      <c r="BW180">
        <v>3.3996600000000002E-2</v>
      </c>
      <c r="BX180">
        <v>2.1992399999999999E-2</v>
      </c>
      <c r="BY180">
        <v>3.3989100000000001E-2</v>
      </c>
      <c r="BZ180">
        <v>25</v>
      </c>
      <c r="CA180">
        <v>33528.400000000001</v>
      </c>
      <c r="CB180">
        <v>1690373417</v>
      </c>
      <c r="CC180" t="s">
        <v>332</v>
      </c>
      <c r="CD180">
        <v>1690373417</v>
      </c>
      <c r="CE180">
        <v>1690373415</v>
      </c>
      <c r="CF180">
        <v>1</v>
      </c>
      <c r="CG180">
        <v>-1.319</v>
      </c>
      <c r="CH180">
        <v>0.01</v>
      </c>
      <c r="CI180">
        <v>-1.371</v>
      </c>
      <c r="CJ180">
        <v>0.183</v>
      </c>
      <c r="CK180">
        <v>800</v>
      </c>
      <c r="CL180">
        <v>21</v>
      </c>
      <c r="CM180">
        <v>0.09</v>
      </c>
      <c r="CN180">
        <v>7.0000000000000007E-2</v>
      </c>
      <c r="CO180">
        <v>-419.82502499999998</v>
      </c>
      <c r="CP180">
        <v>-4.190105065666331</v>
      </c>
      <c r="CQ180">
        <v>0.40545539135027081</v>
      </c>
      <c r="CR180">
        <v>-1</v>
      </c>
      <c r="CS180">
        <v>26.5624775</v>
      </c>
      <c r="CT180">
        <v>0.1760994371480735</v>
      </c>
      <c r="CU180">
        <v>1.6993241119633101E-2</v>
      </c>
      <c r="CV180">
        <v>-1</v>
      </c>
      <c r="CW180">
        <v>0</v>
      </c>
      <c r="CX180">
        <v>0</v>
      </c>
      <c r="CY180" t="s">
        <v>333</v>
      </c>
      <c r="CZ180">
        <v>2.3658100000000002</v>
      </c>
      <c r="DA180">
        <v>2.7138300000000002</v>
      </c>
      <c r="DB180">
        <v>8.5994399999999999E-2</v>
      </c>
      <c r="DC180">
        <v>0.14573900000000001</v>
      </c>
      <c r="DD180">
        <v>0.12286999999999999</v>
      </c>
      <c r="DE180">
        <v>1.66702E-3</v>
      </c>
      <c r="DF180">
        <v>33392.199999999997</v>
      </c>
      <c r="DG180">
        <v>27526.5</v>
      </c>
      <c r="DH180">
        <v>31185.7</v>
      </c>
      <c r="DI180">
        <v>28074.9</v>
      </c>
      <c r="DJ180">
        <v>37121.599999999999</v>
      </c>
      <c r="DK180">
        <v>39842.5</v>
      </c>
      <c r="DL180">
        <v>44377.7</v>
      </c>
      <c r="DM180">
        <v>42528.7</v>
      </c>
      <c r="DN180">
        <v>1.48715</v>
      </c>
      <c r="DO180">
        <v>2.06243</v>
      </c>
      <c r="DP180">
        <v>0.11179600000000001</v>
      </c>
      <c r="DQ180">
        <v>0.163324</v>
      </c>
      <c r="DR180">
        <v>25.165099999999999</v>
      </c>
      <c r="DS180">
        <v>25.105799999999999</v>
      </c>
      <c r="DT180">
        <v>33.1</v>
      </c>
      <c r="DU180">
        <v>25.6</v>
      </c>
      <c r="DV180">
        <v>11.051500000000001</v>
      </c>
      <c r="DW180">
        <v>61.7301</v>
      </c>
      <c r="DX180">
        <v>37.696300000000001</v>
      </c>
      <c r="DY180">
        <v>1</v>
      </c>
      <c r="DZ180">
        <v>-0.16852900000000001</v>
      </c>
      <c r="EA180">
        <v>-0.69850999999999996</v>
      </c>
      <c r="EB180">
        <v>20.189</v>
      </c>
      <c r="EC180">
        <v>5.2401999999999997</v>
      </c>
      <c r="ED180">
        <v>12.039899999999999</v>
      </c>
      <c r="EE180">
        <v>5.0133000000000001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1.8687400000000001</v>
      </c>
      <c r="EL180">
        <v>1.86446</v>
      </c>
      <c r="EM180">
        <v>1.8691</v>
      </c>
      <c r="EN180">
        <v>1.8670899999999999</v>
      </c>
      <c r="EO180">
        <v>1.8632500000000001</v>
      </c>
      <c r="EP180">
        <v>1.86426</v>
      </c>
      <c r="EQ180">
        <v>1.87008</v>
      </c>
      <c r="ER180">
        <v>1.86924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-1.0740000000000001</v>
      </c>
      <c r="FG180">
        <v>0.18279999999999999</v>
      </c>
      <c r="FH180">
        <v>-0.81947142863283695</v>
      </c>
      <c r="FI180">
        <v>-6.1462078757559423E-4</v>
      </c>
      <c r="FJ180">
        <v>-1.8861989874597051E-7</v>
      </c>
      <c r="FK180">
        <v>1.1980462299894961E-10</v>
      </c>
      <c r="FL180">
        <v>0.18283500000000069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35</v>
      </c>
      <c r="FU180">
        <v>35</v>
      </c>
      <c r="FV180">
        <v>1.7614700000000001</v>
      </c>
      <c r="FW180">
        <v>2.5549300000000001</v>
      </c>
      <c r="FX180">
        <v>1.5490699999999999</v>
      </c>
      <c r="FY180">
        <v>2.34375</v>
      </c>
      <c r="FZ180">
        <v>1.50146</v>
      </c>
      <c r="GA180">
        <v>2.2936999999999999</v>
      </c>
      <c r="GB180">
        <v>30.868600000000001</v>
      </c>
      <c r="GC180">
        <v>23.991199999999999</v>
      </c>
      <c r="GD180">
        <v>19</v>
      </c>
      <c r="GE180">
        <v>283.375</v>
      </c>
      <c r="GF180">
        <v>593.83100000000002</v>
      </c>
      <c r="GG180">
        <v>25.678899999999999</v>
      </c>
      <c r="GH180">
        <v>25.308599999999998</v>
      </c>
      <c r="GI180">
        <v>30.0002</v>
      </c>
      <c r="GJ180">
        <v>25.419499999999999</v>
      </c>
      <c r="GK180">
        <v>25.3874</v>
      </c>
      <c r="GL180">
        <v>35.230699999999999</v>
      </c>
      <c r="GM180">
        <v>100</v>
      </c>
      <c r="GN180">
        <v>6.2156599999999997</v>
      </c>
      <c r="GO180">
        <v>25.692399999999999</v>
      </c>
      <c r="GP180">
        <v>800</v>
      </c>
      <c r="GQ180">
        <v>0</v>
      </c>
      <c r="GR180">
        <v>99.777600000000007</v>
      </c>
      <c r="GS180">
        <v>99.510999999999996</v>
      </c>
    </row>
    <row r="181" spans="1:201" x14ac:dyDescent="0.25">
      <c r="A181">
        <v>165</v>
      </c>
      <c r="B181">
        <v>1690375526.0999999</v>
      </c>
      <c r="C181">
        <v>1706.599999904633</v>
      </c>
      <c r="D181" t="s">
        <v>663</v>
      </c>
      <c r="E181" t="s">
        <v>664</v>
      </c>
      <c r="F181" t="s">
        <v>330</v>
      </c>
      <c r="H181">
        <v>1690375526.0999999</v>
      </c>
      <c r="I181">
        <f t="shared" si="60"/>
        <v>2.7374418686908234E-3</v>
      </c>
      <c r="J181">
        <f t="shared" si="61"/>
        <v>2.7374418686908233</v>
      </c>
      <c r="K181">
        <f t="shared" si="62"/>
        <v>41.086458513186635</v>
      </c>
      <c r="L181">
        <f t="shared" si="63"/>
        <v>378.77499999999998</v>
      </c>
      <c r="M181">
        <f t="shared" si="64"/>
        <v>101.80733330463288</v>
      </c>
      <c r="N181">
        <f t="shared" si="65"/>
        <v>10.058612797354447</v>
      </c>
      <c r="O181">
        <f t="shared" si="66"/>
        <v>37.423149577227498</v>
      </c>
      <c r="P181">
        <f t="shared" si="67"/>
        <v>0.25402139516908534</v>
      </c>
      <c r="Q181">
        <f t="shared" si="68"/>
        <v>2.2546293151729526</v>
      </c>
      <c r="R181">
        <f t="shared" si="69"/>
        <v>0.23912530668210602</v>
      </c>
      <c r="S181">
        <f t="shared" si="70"/>
        <v>0.15071882617753779</v>
      </c>
      <c r="T181">
        <f t="shared" si="71"/>
        <v>276.11248576722369</v>
      </c>
      <c r="U181">
        <f t="shared" si="72"/>
        <v>27.776418159993423</v>
      </c>
      <c r="V181">
        <f t="shared" si="73"/>
        <v>27.776418159993423</v>
      </c>
      <c r="W181">
        <f t="shared" si="74"/>
        <v>3.7456578699139218</v>
      </c>
      <c r="X181">
        <f t="shared" si="75"/>
        <v>75.796092171759582</v>
      </c>
      <c r="Y181">
        <f t="shared" si="76"/>
        <v>2.6512316820942199</v>
      </c>
      <c r="Z181">
        <f t="shared" si="77"/>
        <v>3.4978474564181115</v>
      </c>
      <c r="AA181">
        <f t="shared" si="78"/>
        <v>1.0944261878197019</v>
      </c>
      <c r="AB181">
        <f t="shared" si="79"/>
        <v>-120.72118640926531</v>
      </c>
      <c r="AC181">
        <f t="shared" si="80"/>
        <v>-141.86505130479608</v>
      </c>
      <c r="AD181">
        <f t="shared" si="81"/>
        <v>-13.605490089989146</v>
      </c>
      <c r="AE181">
        <f t="shared" si="82"/>
        <v>-7.9242036826855156E-2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52470.977139197043</v>
      </c>
      <c r="AK181">
        <f t="shared" si="86"/>
        <v>1799.99</v>
      </c>
      <c r="AL181">
        <f t="shared" si="87"/>
        <v>1499.1061879860201</v>
      </c>
      <c r="AM181">
        <f t="shared" si="88"/>
        <v>0.83284139800000001</v>
      </c>
      <c r="AN181">
        <f t="shared" si="89"/>
        <v>0.15339667763000001</v>
      </c>
      <c r="AO181">
        <v>30</v>
      </c>
      <c r="AP181">
        <v>0.5</v>
      </c>
      <c r="AQ181" t="s">
        <v>331</v>
      </c>
      <c r="AR181">
        <v>2</v>
      </c>
      <c r="AS181">
        <v>1690375526.0999999</v>
      </c>
      <c r="AT181">
        <v>378.77499999999998</v>
      </c>
      <c r="AU181">
        <v>799.96199999999999</v>
      </c>
      <c r="AV181">
        <v>26.834199999999999</v>
      </c>
      <c r="AW181">
        <v>0.19728200000000001</v>
      </c>
      <c r="AX181">
        <v>379.84899999999999</v>
      </c>
      <c r="AY181">
        <v>26.651399999999999</v>
      </c>
      <c r="AZ181">
        <v>300.03300000000002</v>
      </c>
      <c r="BA181">
        <v>98.700500000000005</v>
      </c>
      <c r="BB181">
        <v>9.9974099999999996E-2</v>
      </c>
      <c r="BC181">
        <v>26.609300000000001</v>
      </c>
      <c r="BD181">
        <v>26.995200000000001</v>
      </c>
      <c r="BE181">
        <v>27.783100000000001</v>
      </c>
      <c r="BF181">
        <v>0</v>
      </c>
      <c r="BG181">
        <v>0</v>
      </c>
      <c r="BH181">
        <v>10042.5</v>
      </c>
      <c r="BI181">
        <v>1085.9000000000001</v>
      </c>
      <c r="BJ181">
        <v>1.4016500000000001</v>
      </c>
      <c r="BK181">
        <v>-421.18700000000001</v>
      </c>
      <c r="BL181">
        <v>389.21899999999999</v>
      </c>
      <c r="BM181">
        <v>800.12</v>
      </c>
      <c r="BN181">
        <v>26.636900000000001</v>
      </c>
      <c r="BO181">
        <v>799.96199999999999</v>
      </c>
      <c r="BP181">
        <v>0.19728200000000001</v>
      </c>
      <c r="BQ181">
        <v>2.6485500000000002</v>
      </c>
      <c r="BR181">
        <v>1.94719E-2</v>
      </c>
      <c r="BS181">
        <v>21.9693</v>
      </c>
      <c r="BT181">
        <v>-39.683</v>
      </c>
      <c r="BU181">
        <v>1799.99</v>
      </c>
      <c r="BV181">
        <v>0.91002400000000006</v>
      </c>
      <c r="BW181">
        <v>3.39958E-2</v>
      </c>
      <c r="BX181">
        <v>2.1991900000000002E-2</v>
      </c>
      <c r="BY181">
        <v>3.3988299999999999E-2</v>
      </c>
      <c r="BZ181">
        <v>25</v>
      </c>
      <c r="CA181">
        <v>33528.400000000001</v>
      </c>
      <c r="CB181">
        <v>1690373417</v>
      </c>
      <c r="CC181" t="s">
        <v>332</v>
      </c>
      <c r="CD181">
        <v>1690373417</v>
      </c>
      <c r="CE181">
        <v>1690373415</v>
      </c>
      <c r="CF181">
        <v>1</v>
      </c>
      <c r="CG181">
        <v>-1.319</v>
      </c>
      <c r="CH181">
        <v>0.01</v>
      </c>
      <c r="CI181">
        <v>-1.371</v>
      </c>
      <c r="CJ181">
        <v>0.183</v>
      </c>
      <c r="CK181">
        <v>800</v>
      </c>
      <c r="CL181">
        <v>21</v>
      </c>
      <c r="CM181">
        <v>0.09</v>
      </c>
      <c r="CN181">
        <v>7.0000000000000007E-2</v>
      </c>
      <c r="CO181">
        <v>-420.514725</v>
      </c>
      <c r="CP181">
        <v>-4.1588555347076399</v>
      </c>
      <c r="CQ181">
        <v>0.40295793747611169</v>
      </c>
      <c r="CR181">
        <v>-1</v>
      </c>
      <c r="CS181">
        <v>26.5950275</v>
      </c>
      <c r="CT181">
        <v>0.212912195121887</v>
      </c>
      <c r="CU181">
        <v>2.074528847112064E-2</v>
      </c>
      <c r="CV181">
        <v>-1</v>
      </c>
      <c r="CW181">
        <v>0</v>
      </c>
      <c r="CX181">
        <v>0</v>
      </c>
      <c r="CY181" t="s">
        <v>333</v>
      </c>
      <c r="CZ181">
        <v>2.36517</v>
      </c>
      <c r="DA181">
        <v>2.7138</v>
      </c>
      <c r="DB181">
        <v>8.5881200000000005E-2</v>
      </c>
      <c r="DC181">
        <v>0.145733</v>
      </c>
      <c r="DD181">
        <v>0.123005</v>
      </c>
      <c r="DE181">
        <v>1.6558E-3</v>
      </c>
      <c r="DF181">
        <v>33396.199999999997</v>
      </c>
      <c r="DG181">
        <v>27526.6</v>
      </c>
      <c r="DH181">
        <v>31185.599999999999</v>
      </c>
      <c r="DI181">
        <v>28074.9</v>
      </c>
      <c r="DJ181">
        <v>37115.699999999997</v>
      </c>
      <c r="DK181">
        <v>39842.9</v>
      </c>
      <c r="DL181">
        <v>44377.599999999999</v>
      </c>
      <c r="DM181">
        <v>42528.6</v>
      </c>
      <c r="DN181">
        <v>1.4863</v>
      </c>
      <c r="DO181">
        <v>2.0623999999999998</v>
      </c>
      <c r="DP181">
        <v>0.111736</v>
      </c>
      <c r="DQ181">
        <v>0.16355500000000001</v>
      </c>
      <c r="DR181">
        <v>25.165099999999999</v>
      </c>
      <c r="DS181">
        <v>25.105799999999999</v>
      </c>
      <c r="DT181">
        <v>32.9</v>
      </c>
      <c r="DU181">
        <v>25.6</v>
      </c>
      <c r="DV181">
        <v>10.9825</v>
      </c>
      <c r="DW181">
        <v>61.270099999999999</v>
      </c>
      <c r="DX181">
        <v>38.116999999999997</v>
      </c>
      <c r="DY181">
        <v>1</v>
      </c>
      <c r="DZ181">
        <v>-0.16868900000000001</v>
      </c>
      <c r="EA181">
        <v>-0.66908500000000004</v>
      </c>
      <c r="EB181">
        <v>20.189399999999999</v>
      </c>
      <c r="EC181">
        <v>5.2401999999999997</v>
      </c>
      <c r="ED181">
        <v>12.039899999999999</v>
      </c>
      <c r="EE181">
        <v>5.0132000000000003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1.8687499999999999</v>
      </c>
      <c r="EL181">
        <v>1.8644400000000001</v>
      </c>
      <c r="EM181">
        <v>1.8690800000000001</v>
      </c>
      <c r="EN181">
        <v>1.8670899999999999</v>
      </c>
      <c r="EO181">
        <v>1.86324</v>
      </c>
      <c r="EP181">
        <v>1.8642700000000001</v>
      </c>
      <c r="EQ181">
        <v>1.8700600000000001</v>
      </c>
      <c r="ER181">
        <v>1.8692800000000001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-1.0740000000000001</v>
      </c>
      <c r="FG181">
        <v>0.18279999999999999</v>
      </c>
      <c r="FH181">
        <v>-0.81947142863283695</v>
      </c>
      <c r="FI181">
        <v>-6.1462078757559423E-4</v>
      </c>
      <c r="FJ181">
        <v>-1.8861989874597051E-7</v>
      </c>
      <c r="FK181">
        <v>1.1980462299894961E-10</v>
      </c>
      <c r="FL181">
        <v>0.18283500000000069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35.200000000000003</v>
      </c>
      <c r="FU181">
        <v>35.200000000000003</v>
      </c>
      <c r="FV181">
        <v>1.7614700000000001</v>
      </c>
      <c r="FW181">
        <v>2.5561500000000001</v>
      </c>
      <c r="FX181">
        <v>1.5490699999999999</v>
      </c>
      <c r="FY181">
        <v>2.34375</v>
      </c>
      <c r="FZ181">
        <v>1.50146</v>
      </c>
      <c r="GA181">
        <v>2.34863</v>
      </c>
      <c r="GB181">
        <v>30.868600000000001</v>
      </c>
      <c r="GC181">
        <v>23.9999</v>
      </c>
      <c r="GD181">
        <v>19</v>
      </c>
      <c r="GE181">
        <v>283.02499999999998</v>
      </c>
      <c r="GF181">
        <v>593.80999999999995</v>
      </c>
      <c r="GG181">
        <v>25.688600000000001</v>
      </c>
      <c r="GH181">
        <v>25.310400000000001</v>
      </c>
      <c r="GI181">
        <v>30</v>
      </c>
      <c r="GJ181">
        <v>25.421700000000001</v>
      </c>
      <c r="GK181">
        <v>25.3874</v>
      </c>
      <c r="GL181">
        <v>35.232799999999997</v>
      </c>
      <c r="GM181">
        <v>100</v>
      </c>
      <c r="GN181">
        <v>5.4437100000000003</v>
      </c>
      <c r="GO181">
        <v>25.687799999999999</v>
      </c>
      <c r="GP181">
        <v>800</v>
      </c>
      <c r="GQ181">
        <v>0</v>
      </c>
      <c r="GR181">
        <v>99.777299999999997</v>
      </c>
      <c r="GS181">
        <v>99.510800000000003</v>
      </c>
    </row>
    <row r="182" spans="1:201" x14ac:dyDescent="0.25">
      <c r="A182">
        <v>166</v>
      </c>
      <c r="B182">
        <v>1690375536.0999999</v>
      </c>
      <c r="C182">
        <v>1716.599999904633</v>
      </c>
      <c r="D182" t="s">
        <v>665</v>
      </c>
      <c r="E182" t="s">
        <v>666</v>
      </c>
      <c r="F182" t="s">
        <v>330</v>
      </c>
      <c r="H182">
        <v>1690375536.0999999</v>
      </c>
      <c r="I182">
        <f t="shared" si="60"/>
        <v>2.7400754981045552E-3</v>
      </c>
      <c r="J182">
        <f t="shared" si="61"/>
        <v>2.7400754981045554</v>
      </c>
      <c r="K182">
        <f t="shared" si="62"/>
        <v>41.157505703292024</v>
      </c>
      <c r="L182">
        <f t="shared" si="63"/>
        <v>378.11599999999999</v>
      </c>
      <c r="M182">
        <f t="shared" si="64"/>
        <v>101.80919606224951</v>
      </c>
      <c r="N182">
        <f t="shared" si="65"/>
        <v>10.058827259277889</v>
      </c>
      <c r="O182">
        <f t="shared" si="66"/>
        <v>37.358153045856405</v>
      </c>
      <c r="P182">
        <f t="shared" si="67"/>
        <v>0.25514048898985803</v>
      </c>
      <c r="Q182">
        <f t="shared" si="68"/>
        <v>2.2506108480496634</v>
      </c>
      <c r="R182">
        <f t="shared" si="69"/>
        <v>0.2400919006984909</v>
      </c>
      <c r="S182">
        <f t="shared" si="70"/>
        <v>0.1513354747067292</v>
      </c>
      <c r="T182">
        <f t="shared" si="71"/>
        <v>276.11226982242346</v>
      </c>
      <c r="U182">
        <f t="shared" si="72"/>
        <v>27.772549979061804</v>
      </c>
      <c r="V182">
        <f t="shared" si="73"/>
        <v>27.772549979061804</v>
      </c>
      <c r="W182">
        <f t="shared" si="74"/>
        <v>3.744811895211456</v>
      </c>
      <c r="X182">
        <f t="shared" si="75"/>
        <v>75.889968030552808</v>
      </c>
      <c r="Y182">
        <f t="shared" si="76"/>
        <v>2.6537492397848399</v>
      </c>
      <c r="Z182">
        <f t="shared" si="77"/>
        <v>3.4968379993472358</v>
      </c>
      <c r="AA182">
        <f t="shared" si="78"/>
        <v>1.0910626554266161</v>
      </c>
      <c r="AB182">
        <f t="shared" si="79"/>
        <v>-120.83732946641089</v>
      </c>
      <c r="AC182">
        <f t="shared" si="80"/>
        <v>-141.73739832205405</v>
      </c>
      <c r="AD182">
        <f t="shared" si="81"/>
        <v>-13.616921833393834</v>
      </c>
      <c r="AE182">
        <f t="shared" si="82"/>
        <v>-7.9379799435344012E-2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52315.2322658743</v>
      </c>
      <c r="AK182">
        <f t="shared" si="86"/>
        <v>1799.99</v>
      </c>
      <c r="AL182">
        <f t="shared" si="87"/>
        <v>1499.1059233874898</v>
      </c>
      <c r="AM182">
        <f t="shared" si="88"/>
        <v>0.83284125099999995</v>
      </c>
      <c r="AN182">
        <f t="shared" si="89"/>
        <v>0.15339655766000002</v>
      </c>
      <c r="AO182">
        <v>30</v>
      </c>
      <c r="AP182">
        <v>0.5</v>
      </c>
      <c r="AQ182" t="s">
        <v>331</v>
      </c>
      <c r="AR182">
        <v>2</v>
      </c>
      <c r="AS182">
        <v>1690375536.0999999</v>
      </c>
      <c r="AT182">
        <v>378.11599999999999</v>
      </c>
      <c r="AU182">
        <v>800.02499999999998</v>
      </c>
      <c r="AV182">
        <v>26.8596</v>
      </c>
      <c r="AW182">
        <v>0.19650699999999999</v>
      </c>
      <c r="AX182">
        <v>379.18900000000002</v>
      </c>
      <c r="AY182">
        <v>26.6768</v>
      </c>
      <c r="AZ182">
        <v>300.01900000000001</v>
      </c>
      <c r="BA182">
        <v>98.700800000000001</v>
      </c>
      <c r="BB182">
        <v>9.9972900000000003E-2</v>
      </c>
      <c r="BC182">
        <v>26.604399999999998</v>
      </c>
      <c r="BD182">
        <v>26.997699999999998</v>
      </c>
      <c r="BE182">
        <v>27.8019</v>
      </c>
      <c r="BF182">
        <v>0</v>
      </c>
      <c r="BG182">
        <v>0</v>
      </c>
      <c r="BH182">
        <v>10011.200000000001</v>
      </c>
      <c r="BI182">
        <v>1085.8499999999999</v>
      </c>
      <c r="BJ182">
        <v>1.4016500000000001</v>
      </c>
      <c r="BK182">
        <v>-421.90899999999999</v>
      </c>
      <c r="BL182">
        <v>388.55200000000002</v>
      </c>
      <c r="BM182">
        <v>800.18200000000002</v>
      </c>
      <c r="BN182">
        <v>26.6631</v>
      </c>
      <c r="BO182">
        <v>800.02499999999998</v>
      </c>
      <c r="BP182">
        <v>0.19650699999999999</v>
      </c>
      <c r="BQ182">
        <v>2.6510600000000002</v>
      </c>
      <c r="BR182">
        <v>1.93954E-2</v>
      </c>
      <c r="BS182">
        <v>21.9849</v>
      </c>
      <c r="BT182">
        <v>-39.720799999999997</v>
      </c>
      <c r="BU182">
        <v>1799.99</v>
      </c>
      <c r="BV182">
        <v>0.910026</v>
      </c>
      <c r="BW182">
        <v>3.3994900000000002E-2</v>
      </c>
      <c r="BX182">
        <v>2.1991299999999998E-2</v>
      </c>
      <c r="BY182">
        <v>3.3987400000000001E-2</v>
      </c>
      <c r="BZ182">
        <v>25</v>
      </c>
      <c r="CA182">
        <v>33528.5</v>
      </c>
      <c r="CB182">
        <v>1690373417</v>
      </c>
      <c r="CC182" t="s">
        <v>332</v>
      </c>
      <c r="CD182">
        <v>1690373417</v>
      </c>
      <c r="CE182">
        <v>1690373415</v>
      </c>
      <c r="CF182">
        <v>1</v>
      </c>
      <c r="CG182">
        <v>-1.319</v>
      </c>
      <c r="CH182">
        <v>0.01</v>
      </c>
      <c r="CI182">
        <v>-1.371</v>
      </c>
      <c r="CJ182">
        <v>0.183</v>
      </c>
      <c r="CK182">
        <v>800</v>
      </c>
      <c r="CL182">
        <v>21</v>
      </c>
      <c r="CM182">
        <v>0.09</v>
      </c>
      <c r="CN182">
        <v>7.0000000000000007E-2</v>
      </c>
      <c r="CO182">
        <v>-421.20702499999999</v>
      </c>
      <c r="CP182">
        <v>-4.0162964352709283</v>
      </c>
      <c r="CQ182">
        <v>0.38877779563010051</v>
      </c>
      <c r="CR182">
        <v>-1</v>
      </c>
      <c r="CS182">
        <v>26.6312125</v>
      </c>
      <c r="CT182">
        <v>0.22361088180101929</v>
      </c>
      <c r="CU182">
        <v>2.1706959569456001E-2</v>
      </c>
      <c r="CV182">
        <v>-1</v>
      </c>
      <c r="CW182">
        <v>0</v>
      </c>
      <c r="CX182">
        <v>0</v>
      </c>
      <c r="CY182" t="s">
        <v>333</v>
      </c>
      <c r="CZ182">
        <v>2.3651499999999999</v>
      </c>
      <c r="DA182">
        <v>2.7137699999999998</v>
      </c>
      <c r="DB182">
        <v>8.5766200000000001E-2</v>
      </c>
      <c r="DC182">
        <v>0.14574100000000001</v>
      </c>
      <c r="DD182">
        <v>0.123086</v>
      </c>
      <c r="DE182">
        <v>1.64938E-3</v>
      </c>
      <c r="DF182">
        <v>33400.300000000003</v>
      </c>
      <c r="DG182">
        <v>27526.6</v>
      </c>
      <c r="DH182">
        <v>31185.4</v>
      </c>
      <c r="DI182">
        <v>28075.1</v>
      </c>
      <c r="DJ182">
        <v>37111.9</v>
      </c>
      <c r="DK182">
        <v>39843.699999999997</v>
      </c>
      <c r="DL182">
        <v>44377.2</v>
      </c>
      <c r="DM182">
        <v>42529.2</v>
      </c>
      <c r="DN182">
        <v>1.4864299999999999</v>
      </c>
      <c r="DO182">
        <v>2.0622199999999999</v>
      </c>
      <c r="DP182">
        <v>0.111856</v>
      </c>
      <c r="DQ182">
        <v>0.16471</v>
      </c>
      <c r="DR182">
        <v>25.165700000000001</v>
      </c>
      <c r="DS182">
        <v>25.105799999999999</v>
      </c>
      <c r="DT182">
        <v>32.799999999999997</v>
      </c>
      <c r="DU182">
        <v>25.6</v>
      </c>
      <c r="DV182">
        <v>10.9506</v>
      </c>
      <c r="DW182">
        <v>61.530099999999997</v>
      </c>
      <c r="DX182">
        <v>38.152999999999999</v>
      </c>
      <c r="DY182">
        <v>1</v>
      </c>
      <c r="DZ182">
        <v>-0.16827500000000001</v>
      </c>
      <c r="EA182">
        <v>-0.67002700000000004</v>
      </c>
      <c r="EB182">
        <v>20.189299999999999</v>
      </c>
      <c r="EC182">
        <v>5.2400500000000001</v>
      </c>
      <c r="ED182">
        <v>12.039899999999999</v>
      </c>
      <c r="EE182">
        <v>5.0133000000000001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1.86877</v>
      </c>
      <c r="EL182">
        <v>1.8644400000000001</v>
      </c>
      <c r="EM182">
        <v>1.8690899999999999</v>
      </c>
      <c r="EN182">
        <v>1.8670899999999999</v>
      </c>
      <c r="EO182">
        <v>1.8632500000000001</v>
      </c>
      <c r="EP182">
        <v>1.8643000000000001</v>
      </c>
      <c r="EQ182">
        <v>1.8700600000000001</v>
      </c>
      <c r="ER182">
        <v>1.8692800000000001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-1.073</v>
      </c>
      <c r="FG182">
        <v>0.18279999999999999</v>
      </c>
      <c r="FH182">
        <v>-0.81947142863283695</v>
      </c>
      <c r="FI182">
        <v>-6.1462078757559423E-4</v>
      </c>
      <c r="FJ182">
        <v>-1.8861989874597051E-7</v>
      </c>
      <c r="FK182">
        <v>1.1980462299894961E-10</v>
      </c>
      <c r="FL182">
        <v>0.18283500000000069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35.299999999999997</v>
      </c>
      <c r="FU182">
        <v>35.4</v>
      </c>
      <c r="FV182">
        <v>1.7614700000000001</v>
      </c>
      <c r="FW182">
        <v>2.5561500000000001</v>
      </c>
      <c r="FX182">
        <v>1.5490699999999999</v>
      </c>
      <c r="FY182">
        <v>2.34375</v>
      </c>
      <c r="FZ182">
        <v>1.50146</v>
      </c>
      <c r="GA182">
        <v>2.35229</v>
      </c>
      <c r="GB182">
        <v>30.8902</v>
      </c>
      <c r="GC182">
        <v>23.991199999999999</v>
      </c>
      <c r="GD182">
        <v>19</v>
      </c>
      <c r="GE182">
        <v>283.07799999999997</v>
      </c>
      <c r="GF182">
        <v>593.66399999999999</v>
      </c>
      <c r="GG182">
        <v>25.688500000000001</v>
      </c>
      <c r="GH182">
        <v>25.310700000000001</v>
      </c>
      <c r="GI182">
        <v>30.0001</v>
      </c>
      <c r="GJ182">
        <v>25.421700000000001</v>
      </c>
      <c r="GK182">
        <v>25.3874</v>
      </c>
      <c r="GL182">
        <v>35.231400000000001</v>
      </c>
      <c r="GM182">
        <v>100</v>
      </c>
      <c r="GN182">
        <v>4.6487299999999996</v>
      </c>
      <c r="GO182">
        <v>25.688300000000002</v>
      </c>
      <c r="GP182">
        <v>800</v>
      </c>
      <c r="GQ182">
        <v>0</v>
      </c>
      <c r="GR182">
        <v>99.776600000000002</v>
      </c>
      <c r="GS182">
        <v>99.511899999999997</v>
      </c>
    </row>
    <row r="183" spans="1:201" x14ac:dyDescent="0.25">
      <c r="A183">
        <v>167</v>
      </c>
      <c r="B183">
        <v>1690375546.0999999</v>
      </c>
      <c r="C183">
        <v>1726.599999904633</v>
      </c>
      <c r="D183" t="s">
        <v>667</v>
      </c>
      <c r="E183" t="s">
        <v>668</v>
      </c>
      <c r="F183" t="s">
        <v>330</v>
      </c>
      <c r="H183">
        <v>1690375546.0999999</v>
      </c>
      <c r="I183">
        <f t="shared" si="60"/>
        <v>2.7427986668832898E-3</v>
      </c>
      <c r="J183">
        <f t="shared" si="61"/>
        <v>2.7427986668832895</v>
      </c>
      <c r="K183">
        <f t="shared" si="62"/>
        <v>41.226488880808894</v>
      </c>
      <c r="L183">
        <f t="shared" si="63"/>
        <v>377.46800000000002</v>
      </c>
      <c r="M183">
        <f t="shared" si="64"/>
        <v>101.33416970797219</v>
      </c>
      <c r="N183">
        <f t="shared" si="65"/>
        <v>10.011712170557621</v>
      </c>
      <c r="O183">
        <f t="shared" si="66"/>
        <v>37.293451759527606</v>
      </c>
      <c r="P183">
        <f t="shared" si="67"/>
        <v>0.25574895253239333</v>
      </c>
      <c r="Q183">
        <f t="shared" si="68"/>
        <v>2.2502785005269184</v>
      </c>
      <c r="R183">
        <f t="shared" si="69"/>
        <v>0.24062869341110443</v>
      </c>
      <c r="S183">
        <f t="shared" si="70"/>
        <v>0.15167688005813326</v>
      </c>
      <c r="T183">
        <f t="shared" si="71"/>
        <v>276.11370462599996</v>
      </c>
      <c r="U183">
        <f t="shared" si="72"/>
        <v>27.774711716419898</v>
      </c>
      <c r="V183">
        <f t="shared" si="73"/>
        <v>27.774711716419898</v>
      </c>
      <c r="W183">
        <f t="shared" si="74"/>
        <v>3.7452846485926257</v>
      </c>
      <c r="X183">
        <f t="shared" si="75"/>
        <v>75.930145446646591</v>
      </c>
      <c r="Y183">
        <f t="shared" si="76"/>
        <v>2.6556077879427304</v>
      </c>
      <c r="Z183">
        <f t="shared" si="77"/>
        <v>3.4974354023972358</v>
      </c>
      <c r="AA183">
        <f t="shared" si="78"/>
        <v>1.0896768606498952</v>
      </c>
      <c r="AB183">
        <f t="shared" si="79"/>
        <v>-120.95742120955308</v>
      </c>
      <c r="AC183">
        <f t="shared" si="80"/>
        <v>-141.62690415220641</v>
      </c>
      <c r="AD183">
        <f t="shared" si="81"/>
        <v>-13.608660163044178</v>
      </c>
      <c r="AE183">
        <f t="shared" si="82"/>
        <v>-7.9280898803716582E-2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52301.746123763194</v>
      </c>
      <c r="AK183">
        <f t="shared" si="86"/>
        <v>1800</v>
      </c>
      <c r="AL183">
        <f t="shared" si="87"/>
        <v>1499.1148205999998</v>
      </c>
      <c r="AM183">
        <f t="shared" si="88"/>
        <v>0.83284156699999989</v>
      </c>
      <c r="AN183">
        <f t="shared" si="89"/>
        <v>0.15339650256999998</v>
      </c>
      <c r="AO183">
        <v>30</v>
      </c>
      <c r="AP183">
        <v>0.5</v>
      </c>
      <c r="AQ183" t="s">
        <v>331</v>
      </c>
      <c r="AR183">
        <v>2</v>
      </c>
      <c r="AS183">
        <v>1690375546.0999999</v>
      </c>
      <c r="AT183">
        <v>377.46800000000002</v>
      </c>
      <c r="AU183">
        <v>799.97199999999998</v>
      </c>
      <c r="AV183">
        <v>26.878900000000002</v>
      </c>
      <c r="AW183">
        <v>0.195352</v>
      </c>
      <c r="AX183">
        <v>378.541</v>
      </c>
      <c r="AY183">
        <v>26.696100000000001</v>
      </c>
      <c r="AZ183">
        <v>300.08100000000002</v>
      </c>
      <c r="BA183">
        <v>98.698999999999998</v>
      </c>
      <c r="BB183">
        <v>9.9975700000000001E-2</v>
      </c>
      <c r="BC183">
        <v>26.607299999999999</v>
      </c>
      <c r="BD183">
        <v>26.9971</v>
      </c>
      <c r="BE183">
        <v>27.798100000000002</v>
      </c>
      <c r="BF183">
        <v>0</v>
      </c>
      <c r="BG183">
        <v>0</v>
      </c>
      <c r="BH183">
        <v>10008.799999999999</v>
      </c>
      <c r="BI183">
        <v>1085.96</v>
      </c>
      <c r="BJ183">
        <v>1.4016500000000001</v>
      </c>
      <c r="BK183">
        <v>-422.50400000000002</v>
      </c>
      <c r="BL183">
        <v>387.89400000000001</v>
      </c>
      <c r="BM183">
        <v>800.12900000000002</v>
      </c>
      <c r="BN183">
        <v>26.683499999999999</v>
      </c>
      <c r="BO183">
        <v>799.97199999999998</v>
      </c>
      <c r="BP183">
        <v>0.195352</v>
      </c>
      <c r="BQ183">
        <v>2.6529199999999999</v>
      </c>
      <c r="BR183">
        <v>1.9281099999999999E-2</v>
      </c>
      <c r="BS183">
        <v>21.996400000000001</v>
      </c>
      <c r="BT183">
        <v>-39.777500000000003</v>
      </c>
      <c r="BU183">
        <v>1800</v>
      </c>
      <c r="BV183">
        <v>0.91002899999999998</v>
      </c>
      <c r="BW183">
        <v>3.3993799999999998E-2</v>
      </c>
      <c r="BX183">
        <v>2.1990599999999999E-2</v>
      </c>
      <c r="BY183">
        <v>3.3986299999999997E-2</v>
      </c>
      <c r="BZ183">
        <v>25</v>
      </c>
      <c r="CA183">
        <v>33528.6</v>
      </c>
      <c r="CB183">
        <v>1690373417</v>
      </c>
      <c r="CC183" t="s">
        <v>332</v>
      </c>
      <c r="CD183">
        <v>1690373417</v>
      </c>
      <c r="CE183">
        <v>1690373415</v>
      </c>
      <c r="CF183">
        <v>1</v>
      </c>
      <c r="CG183">
        <v>-1.319</v>
      </c>
      <c r="CH183">
        <v>0.01</v>
      </c>
      <c r="CI183">
        <v>-1.371</v>
      </c>
      <c r="CJ183">
        <v>0.183</v>
      </c>
      <c r="CK183">
        <v>800</v>
      </c>
      <c r="CL183">
        <v>21</v>
      </c>
      <c r="CM183">
        <v>0.09</v>
      </c>
      <c r="CN183">
        <v>7.0000000000000007E-2</v>
      </c>
      <c r="CO183">
        <v>-421.84854999999988</v>
      </c>
      <c r="CP183">
        <v>-3.7071219512183049</v>
      </c>
      <c r="CQ183">
        <v>0.35853779089518689</v>
      </c>
      <c r="CR183">
        <v>-1</v>
      </c>
      <c r="CS183">
        <v>26.660814999999999</v>
      </c>
      <c r="CT183">
        <v>0.13496960600367469</v>
      </c>
      <c r="CU183">
        <v>1.307139147145376E-2</v>
      </c>
      <c r="CV183">
        <v>-1</v>
      </c>
      <c r="CW183">
        <v>0</v>
      </c>
      <c r="CX183">
        <v>0</v>
      </c>
      <c r="CY183" t="s">
        <v>333</v>
      </c>
      <c r="CZ183">
        <v>2.3653300000000002</v>
      </c>
      <c r="DA183">
        <v>2.7137699999999998</v>
      </c>
      <c r="DB183">
        <v>8.56513E-2</v>
      </c>
      <c r="DC183">
        <v>0.145731</v>
      </c>
      <c r="DD183">
        <v>0.12314600000000001</v>
      </c>
      <c r="DE183">
        <v>1.6397600000000001E-3</v>
      </c>
      <c r="DF183">
        <v>33404.699999999997</v>
      </c>
      <c r="DG183">
        <v>27527</v>
      </c>
      <c r="DH183">
        <v>31185.7</v>
      </c>
      <c r="DI183">
        <v>28075.3</v>
      </c>
      <c r="DJ183">
        <v>37109.699999999997</v>
      </c>
      <c r="DK183">
        <v>39844.199999999997</v>
      </c>
      <c r="DL183">
        <v>44377.599999999999</v>
      </c>
      <c r="DM183">
        <v>42529.4</v>
      </c>
      <c r="DN183">
        <v>1.48655</v>
      </c>
      <c r="DO183">
        <v>2.0619499999999999</v>
      </c>
      <c r="DP183">
        <v>0.111721</v>
      </c>
      <c r="DQ183">
        <v>0.16447899999999999</v>
      </c>
      <c r="DR183">
        <v>25.167300000000001</v>
      </c>
      <c r="DS183">
        <v>25.105799999999999</v>
      </c>
      <c r="DT183">
        <v>32.6</v>
      </c>
      <c r="DU183">
        <v>25.6</v>
      </c>
      <c r="DV183">
        <v>10.8828</v>
      </c>
      <c r="DW183">
        <v>61.430100000000003</v>
      </c>
      <c r="DX183">
        <v>37.8125</v>
      </c>
      <c r="DY183">
        <v>1</v>
      </c>
      <c r="DZ183">
        <v>-0.168404</v>
      </c>
      <c r="EA183">
        <v>-0.67315599999999998</v>
      </c>
      <c r="EB183">
        <v>20.1891</v>
      </c>
      <c r="EC183">
        <v>5.2400500000000001</v>
      </c>
      <c r="ED183">
        <v>12.039899999999999</v>
      </c>
      <c r="EE183">
        <v>5.0133999999999999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1.8687400000000001</v>
      </c>
      <c r="EL183">
        <v>1.8644400000000001</v>
      </c>
      <c r="EM183">
        <v>1.8691</v>
      </c>
      <c r="EN183">
        <v>1.8671</v>
      </c>
      <c r="EO183">
        <v>1.8632500000000001</v>
      </c>
      <c r="EP183">
        <v>1.86426</v>
      </c>
      <c r="EQ183">
        <v>1.8700600000000001</v>
      </c>
      <c r="ER183">
        <v>1.8692599999999999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-1.073</v>
      </c>
      <c r="FG183">
        <v>0.18279999999999999</v>
      </c>
      <c r="FH183">
        <v>-0.81947142863283695</v>
      </c>
      <c r="FI183">
        <v>-6.1462078757559423E-4</v>
      </c>
      <c r="FJ183">
        <v>-1.8861989874597051E-7</v>
      </c>
      <c r="FK183">
        <v>1.1980462299894961E-10</v>
      </c>
      <c r="FL183">
        <v>0.18283500000000069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35.5</v>
      </c>
      <c r="FU183">
        <v>35.5</v>
      </c>
      <c r="FV183">
        <v>1.7626999999999999</v>
      </c>
      <c r="FW183">
        <v>2.5585900000000001</v>
      </c>
      <c r="FX183">
        <v>1.5490699999999999</v>
      </c>
      <c r="FY183">
        <v>2.34375</v>
      </c>
      <c r="FZ183">
        <v>1.50146</v>
      </c>
      <c r="GA183">
        <v>2.3913600000000002</v>
      </c>
      <c r="GB183">
        <v>30.8902</v>
      </c>
      <c r="GC183">
        <v>23.991199999999999</v>
      </c>
      <c r="GD183">
        <v>19</v>
      </c>
      <c r="GE183">
        <v>283.13099999999997</v>
      </c>
      <c r="GF183">
        <v>593.45399999999995</v>
      </c>
      <c r="GG183">
        <v>25.689699999999998</v>
      </c>
      <c r="GH183">
        <v>25.3125</v>
      </c>
      <c r="GI183">
        <v>30</v>
      </c>
      <c r="GJ183">
        <v>25.421700000000001</v>
      </c>
      <c r="GK183">
        <v>25.389099999999999</v>
      </c>
      <c r="GL183">
        <v>35.229799999999997</v>
      </c>
      <c r="GM183">
        <v>100</v>
      </c>
      <c r="GN183">
        <v>4.2539300000000004</v>
      </c>
      <c r="GO183">
        <v>25.688800000000001</v>
      </c>
      <c r="GP183">
        <v>800</v>
      </c>
      <c r="GQ183">
        <v>0</v>
      </c>
      <c r="GR183">
        <v>99.777500000000003</v>
      </c>
      <c r="GS183">
        <v>99.5124</v>
      </c>
    </row>
    <row r="184" spans="1:201" x14ac:dyDescent="0.25">
      <c r="A184">
        <v>168</v>
      </c>
      <c r="B184">
        <v>1690375556.0999999</v>
      </c>
      <c r="C184">
        <v>1736.599999904633</v>
      </c>
      <c r="D184" t="s">
        <v>669</v>
      </c>
      <c r="E184" t="s">
        <v>670</v>
      </c>
      <c r="F184" t="s">
        <v>330</v>
      </c>
      <c r="H184">
        <v>1690375556.0999999</v>
      </c>
      <c r="I184">
        <f t="shared" si="60"/>
        <v>2.7438032117537972E-3</v>
      </c>
      <c r="J184">
        <f t="shared" si="61"/>
        <v>2.7438032117537974</v>
      </c>
      <c r="K184">
        <f t="shared" si="62"/>
        <v>41.280688340176717</v>
      </c>
      <c r="L184">
        <f t="shared" si="63"/>
        <v>376.87299999999999</v>
      </c>
      <c r="M184">
        <f t="shared" si="64"/>
        <v>100.85721624030084</v>
      </c>
      <c r="N184">
        <f t="shared" si="65"/>
        <v>9.9644464493337885</v>
      </c>
      <c r="O184">
        <f t="shared" si="66"/>
        <v>37.234131247013401</v>
      </c>
      <c r="P184">
        <f t="shared" si="67"/>
        <v>0.25619890171588516</v>
      </c>
      <c r="Q184">
        <f t="shared" si="68"/>
        <v>2.2513036694423487</v>
      </c>
      <c r="R184">
        <f t="shared" si="69"/>
        <v>0.24103355591009937</v>
      </c>
      <c r="S184">
        <f t="shared" si="70"/>
        <v>0.1519336561836713</v>
      </c>
      <c r="T184">
        <f t="shared" si="71"/>
        <v>276.11497213199999</v>
      </c>
      <c r="U184">
        <f t="shared" si="72"/>
        <v>27.775101580022724</v>
      </c>
      <c r="V184">
        <f t="shared" si="73"/>
        <v>27.775101580022724</v>
      </c>
      <c r="W184">
        <f t="shared" si="74"/>
        <v>3.7453699139543626</v>
      </c>
      <c r="X184">
        <f t="shared" si="75"/>
        <v>75.968881822057838</v>
      </c>
      <c r="Y184">
        <f t="shared" si="76"/>
        <v>2.6571503834854195</v>
      </c>
      <c r="Z184">
        <f t="shared" si="77"/>
        <v>3.4976826297236698</v>
      </c>
      <c r="AA184">
        <f t="shared" si="78"/>
        <v>1.088219530468943</v>
      </c>
      <c r="AB184">
        <f t="shared" si="79"/>
        <v>-121.00172163834246</v>
      </c>
      <c r="AC184">
        <f t="shared" si="80"/>
        <v>-141.59309761687609</v>
      </c>
      <c r="AD184">
        <f t="shared" si="81"/>
        <v>-13.59932426905621</v>
      </c>
      <c r="AE184">
        <f t="shared" si="82"/>
        <v>-7.9171392274759E-2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52341.430443040997</v>
      </c>
      <c r="AK184">
        <f t="shared" si="86"/>
        <v>1800</v>
      </c>
      <c r="AL184">
        <f t="shared" si="87"/>
        <v>1499.1138522000001</v>
      </c>
      <c r="AM184">
        <f t="shared" si="88"/>
        <v>0.83284102900000001</v>
      </c>
      <c r="AN184">
        <f t="shared" si="89"/>
        <v>0.15339720673999999</v>
      </c>
      <c r="AO184">
        <v>30</v>
      </c>
      <c r="AP184">
        <v>0.5</v>
      </c>
      <c r="AQ184" t="s">
        <v>331</v>
      </c>
      <c r="AR184">
        <v>2</v>
      </c>
      <c r="AS184">
        <v>1690375556.0999999</v>
      </c>
      <c r="AT184">
        <v>376.87299999999999</v>
      </c>
      <c r="AU184">
        <v>800.029</v>
      </c>
      <c r="AV184">
        <v>26.8949</v>
      </c>
      <c r="AW184">
        <v>0.19427700000000001</v>
      </c>
      <c r="AX184">
        <v>377.94499999999999</v>
      </c>
      <c r="AY184">
        <v>26.7121</v>
      </c>
      <c r="AZ184">
        <v>299.99400000000003</v>
      </c>
      <c r="BA184">
        <v>98.697699999999998</v>
      </c>
      <c r="BB184">
        <v>9.9855799999999995E-2</v>
      </c>
      <c r="BC184">
        <v>26.608499999999999</v>
      </c>
      <c r="BD184">
        <v>27.007400000000001</v>
      </c>
      <c r="BE184">
        <v>27.796700000000001</v>
      </c>
      <c r="BF184">
        <v>0</v>
      </c>
      <c r="BG184">
        <v>0</v>
      </c>
      <c r="BH184">
        <v>10016.9</v>
      </c>
      <c r="BI184">
        <v>1086.02</v>
      </c>
      <c r="BJ184">
        <v>1.4016500000000001</v>
      </c>
      <c r="BK184">
        <v>-423.15600000000001</v>
      </c>
      <c r="BL184">
        <v>387.28899999999999</v>
      </c>
      <c r="BM184">
        <v>800.18499999999995</v>
      </c>
      <c r="BN184">
        <v>26.700600000000001</v>
      </c>
      <c r="BO184">
        <v>800.029</v>
      </c>
      <c r="BP184">
        <v>0.19427700000000001</v>
      </c>
      <c r="BQ184">
        <v>2.6544599999999998</v>
      </c>
      <c r="BR184">
        <v>1.9174699999999999E-2</v>
      </c>
      <c r="BS184">
        <v>22.0059</v>
      </c>
      <c r="BT184">
        <v>-39.830599999999997</v>
      </c>
      <c r="BU184">
        <v>1800</v>
      </c>
      <c r="BV184">
        <v>0.91000999999999999</v>
      </c>
      <c r="BW184">
        <v>3.3992799999999997E-2</v>
      </c>
      <c r="BX184">
        <v>2.19987E-2</v>
      </c>
      <c r="BY184">
        <v>3.3998399999999998E-2</v>
      </c>
      <c r="BZ184">
        <v>25</v>
      </c>
      <c r="CA184">
        <v>33528.400000000001</v>
      </c>
      <c r="CB184">
        <v>1690373417</v>
      </c>
      <c r="CC184" t="s">
        <v>332</v>
      </c>
      <c r="CD184">
        <v>1690373417</v>
      </c>
      <c r="CE184">
        <v>1690373415</v>
      </c>
      <c r="CF184">
        <v>1</v>
      </c>
      <c r="CG184">
        <v>-1.319</v>
      </c>
      <c r="CH184">
        <v>0.01</v>
      </c>
      <c r="CI184">
        <v>-1.371</v>
      </c>
      <c r="CJ184">
        <v>0.183</v>
      </c>
      <c r="CK184">
        <v>800</v>
      </c>
      <c r="CL184">
        <v>21</v>
      </c>
      <c r="CM184">
        <v>0.09</v>
      </c>
      <c r="CN184">
        <v>7.0000000000000007E-2</v>
      </c>
      <c r="CO184">
        <v>-422.46092499999997</v>
      </c>
      <c r="CP184">
        <v>-3.7231407129440601</v>
      </c>
      <c r="CQ184">
        <v>0.3592820888591593</v>
      </c>
      <c r="CR184">
        <v>-1</v>
      </c>
      <c r="CS184">
        <v>26.68143250000001</v>
      </c>
      <c r="CT184">
        <v>0.1134900562850962</v>
      </c>
      <c r="CU184">
        <v>1.0937330284397639E-2</v>
      </c>
      <c r="CV184">
        <v>-1</v>
      </c>
      <c r="CW184">
        <v>0</v>
      </c>
      <c r="CX184">
        <v>0</v>
      </c>
      <c r="CY184" t="s">
        <v>333</v>
      </c>
      <c r="CZ184">
        <v>2.3650500000000001</v>
      </c>
      <c r="DA184">
        <v>2.71366</v>
      </c>
      <c r="DB184">
        <v>8.55461E-2</v>
      </c>
      <c r="DC184">
        <v>0.145736</v>
      </c>
      <c r="DD184">
        <v>0.123195</v>
      </c>
      <c r="DE184">
        <v>1.6308200000000001E-3</v>
      </c>
      <c r="DF184">
        <v>33408.9</v>
      </c>
      <c r="DG184">
        <v>27527</v>
      </c>
      <c r="DH184">
        <v>31185.9</v>
      </c>
      <c r="DI184">
        <v>28075.4</v>
      </c>
      <c r="DJ184">
        <v>37107.699999999997</v>
      </c>
      <c r="DK184">
        <v>39844.9</v>
      </c>
      <c r="DL184">
        <v>44377.8</v>
      </c>
      <c r="DM184">
        <v>42529.7</v>
      </c>
      <c r="DN184">
        <v>1.4861500000000001</v>
      </c>
      <c r="DO184">
        <v>2.0623300000000002</v>
      </c>
      <c r="DP184">
        <v>0.112355</v>
      </c>
      <c r="DQ184">
        <v>0.164516</v>
      </c>
      <c r="DR184">
        <v>25.167300000000001</v>
      </c>
      <c r="DS184">
        <v>25.1038</v>
      </c>
      <c r="DT184">
        <v>32.5</v>
      </c>
      <c r="DU184">
        <v>25.6</v>
      </c>
      <c r="DV184">
        <v>10.850199999999999</v>
      </c>
      <c r="DW184">
        <v>61.420099999999998</v>
      </c>
      <c r="DX184">
        <v>37.7684</v>
      </c>
      <c r="DY184">
        <v>1</v>
      </c>
      <c r="DZ184">
        <v>-0.168181</v>
      </c>
      <c r="EA184">
        <v>-0.66294900000000001</v>
      </c>
      <c r="EB184">
        <v>20.1889</v>
      </c>
      <c r="EC184">
        <v>5.2403500000000003</v>
      </c>
      <c r="ED184">
        <v>12.039899999999999</v>
      </c>
      <c r="EE184">
        <v>5.0128000000000004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1.8687400000000001</v>
      </c>
      <c r="EL184">
        <v>1.8644499999999999</v>
      </c>
      <c r="EM184">
        <v>1.8690500000000001</v>
      </c>
      <c r="EN184">
        <v>1.86707</v>
      </c>
      <c r="EO184">
        <v>1.8632500000000001</v>
      </c>
      <c r="EP184">
        <v>1.8642300000000001</v>
      </c>
      <c r="EQ184">
        <v>1.8700600000000001</v>
      </c>
      <c r="ER184">
        <v>1.86927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-1.0720000000000001</v>
      </c>
      <c r="FG184">
        <v>0.18279999999999999</v>
      </c>
      <c r="FH184">
        <v>-0.81947142863283695</v>
      </c>
      <c r="FI184">
        <v>-6.1462078757559423E-4</v>
      </c>
      <c r="FJ184">
        <v>-1.8861989874597051E-7</v>
      </c>
      <c r="FK184">
        <v>1.1980462299894961E-10</v>
      </c>
      <c r="FL184">
        <v>0.18283500000000069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35.700000000000003</v>
      </c>
      <c r="FU184">
        <v>35.700000000000003</v>
      </c>
      <c r="FV184">
        <v>1.7626999999999999</v>
      </c>
      <c r="FW184">
        <v>2.5622600000000002</v>
      </c>
      <c r="FX184">
        <v>1.5490699999999999</v>
      </c>
      <c r="FY184">
        <v>2.34375</v>
      </c>
      <c r="FZ184">
        <v>1.50146</v>
      </c>
      <c r="GA184">
        <v>2.33765</v>
      </c>
      <c r="GB184">
        <v>30.8902</v>
      </c>
      <c r="GC184">
        <v>23.991199999999999</v>
      </c>
      <c r="GD184">
        <v>19</v>
      </c>
      <c r="GE184">
        <v>282.96100000000001</v>
      </c>
      <c r="GF184">
        <v>593.77300000000002</v>
      </c>
      <c r="GG184">
        <v>25.686</v>
      </c>
      <c r="GH184">
        <v>25.312799999999999</v>
      </c>
      <c r="GI184">
        <v>30.0001</v>
      </c>
      <c r="GJ184">
        <v>25.421700000000001</v>
      </c>
      <c r="GK184">
        <v>25.389600000000002</v>
      </c>
      <c r="GL184">
        <v>35.231000000000002</v>
      </c>
      <c r="GM184">
        <v>100</v>
      </c>
      <c r="GN184">
        <v>3.4694199999999999</v>
      </c>
      <c r="GO184">
        <v>25.687799999999999</v>
      </c>
      <c r="GP184">
        <v>800</v>
      </c>
      <c r="GQ184">
        <v>0</v>
      </c>
      <c r="GR184">
        <v>99.778099999999995</v>
      </c>
      <c r="GS184">
        <v>99.513099999999994</v>
      </c>
    </row>
    <row r="185" spans="1:201" x14ac:dyDescent="0.25">
      <c r="A185">
        <v>169</v>
      </c>
      <c r="B185">
        <v>1690375566.0999999</v>
      </c>
      <c r="C185">
        <v>1746.599999904633</v>
      </c>
      <c r="D185" t="s">
        <v>671</v>
      </c>
      <c r="E185" t="s">
        <v>672</v>
      </c>
      <c r="F185" t="s">
        <v>330</v>
      </c>
      <c r="H185">
        <v>1690375566.0999999</v>
      </c>
      <c r="I185">
        <f t="shared" si="60"/>
        <v>2.7480377025436409E-3</v>
      </c>
      <c r="J185">
        <f t="shared" si="61"/>
        <v>2.7480377025436411</v>
      </c>
      <c r="K185">
        <f t="shared" si="62"/>
        <v>41.351573143154042</v>
      </c>
      <c r="L185">
        <f t="shared" si="63"/>
        <v>376.25700000000001</v>
      </c>
      <c r="M185">
        <f t="shared" si="64"/>
        <v>101.19970095437345</v>
      </c>
      <c r="N185">
        <f t="shared" si="65"/>
        <v>9.9985595896860016</v>
      </c>
      <c r="O185">
        <f t="shared" si="66"/>
        <v>37.174299924390304</v>
      </c>
      <c r="P185">
        <f t="shared" si="67"/>
        <v>0.25758544698781805</v>
      </c>
      <c r="Q185">
        <f t="shared" si="68"/>
        <v>2.2539848490549703</v>
      </c>
      <c r="R185">
        <f t="shared" si="69"/>
        <v>0.24227784279360504</v>
      </c>
      <c r="S185">
        <f t="shared" si="70"/>
        <v>0.15272311549879347</v>
      </c>
      <c r="T185">
        <f t="shared" si="71"/>
        <v>276.11372153235828</v>
      </c>
      <c r="U185">
        <f t="shared" si="72"/>
        <v>27.770624182454924</v>
      </c>
      <c r="V185">
        <f t="shared" si="73"/>
        <v>27.770624182454924</v>
      </c>
      <c r="W185">
        <f t="shared" si="74"/>
        <v>3.7443907839001458</v>
      </c>
      <c r="X185">
        <f t="shared" si="75"/>
        <v>76.060399177170339</v>
      </c>
      <c r="Y185">
        <f t="shared" si="76"/>
        <v>2.6600693113332299</v>
      </c>
      <c r="Z185">
        <f t="shared" si="77"/>
        <v>3.4973117944556549</v>
      </c>
      <c r="AA185">
        <f t="shared" si="78"/>
        <v>1.0843214725669159</v>
      </c>
      <c r="AB185">
        <f t="shared" si="79"/>
        <v>-121.18846268217456</v>
      </c>
      <c r="AC185">
        <f t="shared" si="80"/>
        <v>-141.43637838831515</v>
      </c>
      <c r="AD185">
        <f t="shared" si="81"/>
        <v>-13.567687453191922</v>
      </c>
      <c r="AE185">
        <f t="shared" si="82"/>
        <v>-7.880699132334712E-2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52446.294150562426</v>
      </c>
      <c r="AK185">
        <f t="shared" si="86"/>
        <v>1799.99</v>
      </c>
      <c r="AL185">
        <f t="shared" si="87"/>
        <v>1499.1064111847802</v>
      </c>
      <c r="AM185">
        <f t="shared" si="88"/>
        <v>0.83284152200000006</v>
      </c>
      <c r="AN185">
        <f t="shared" si="89"/>
        <v>0.15339736416999999</v>
      </c>
      <c r="AO185">
        <v>30</v>
      </c>
      <c r="AP185">
        <v>0.5</v>
      </c>
      <c r="AQ185" t="s">
        <v>331</v>
      </c>
      <c r="AR185">
        <v>2</v>
      </c>
      <c r="AS185">
        <v>1690375566.0999999</v>
      </c>
      <c r="AT185">
        <v>376.25700000000001</v>
      </c>
      <c r="AU185">
        <v>799.95</v>
      </c>
      <c r="AV185">
        <v>26.9237</v>
      </c>
      <c r="AW185">
        <v>0.193443</v>
      </c>
      <c r="AX185">
        <v>377.32900000000001</v>
      </c>
      <c r="AY185">
        <v>26.7409</v>
      </c>
      <c r="AZ185">
        <v>300.11500000000001</v>
      </c>
      <c r="BA185">
        <v>98.700299999999999</v>
      </c>
      <c r="BB185">
        <v>9.9987900000000005E-2</v>
      </c>
      <c r="BC185">
        <v>26.6067</v>
      </c>
      <c r="BD185">
        <v>26.995100000000001</v>
      </c>
      <c r="BE185">
        <v>27.796299999999999</v>
      </c>
      <c r="BF185">
        <v>0</v>
      </c>
      <c r="BG185">
        <v>0</v>
      </c>
      <c r="BH185">
        <v>10037.5</v>
      </c>
      <c r="BI185">
        <v>1086.04</v>
      </c>
      <c r="BJ185">
        <v>1.4016500000000001</v>
      </c>
      <c r="BK185">
        <v>-423.69299999999998</v>
      </c>
      <c r="BL185">
        <v>386.66800000000001</v>
      </c>
      <c r="BM185">
        <v>800.10500000000002</v>
      </c>
      <c r="BN185">
        <v>26.7303</v>
      </c>
      <c r="BO185">
        <v>799.95</v>
      </c>
      <c r="BP185">
        <v>0.193443</v>
      </c>
      <c r="BQ185">
        <v>2.6573799999999999</v>
      </c>
      <c r="BR185">
        <v>1.9092899999999999E-2</v>
      </c>
      <c r="BS185">
        <v>22.023900000000001</v>
      </c>
      <c r="BT185">
        <v>-39.871600000000001</v>
      </c>
      <c r="BU185">
        <v>1799.99</v>
      </c>
      <c r="BV185">
        <v>0.91000999999999999</v>
      </c>
      <c r="BW185">
        <v>3.3992300000000003E-2</v>
      </c>
      <c r="BX185">
        <v>2.2000100000000002E-2</v>
      </c>
      <c r="BY185">
        <v>3.3997899999999998E-2</v>
      </c>
      <c r="BZ185">
        <v>25</v>
      </c>
      <c r="CA185">
        <v>33528.300000000003</v>
      </c>
      <c r="CB185">
        <v>1690373417</v>
      </c>
      <c r="CC185" t="s">
        <v>332</v>
      </c>
      <c r="CD185">
        <v>1690373417</v>
      </c>
      <c r="CE185">
        <v>1690373415</v>
      </c>
      <c r="CF185">
        <v>1</v>
      </c>
      <c r="CG185">
        <v>-1.319</v>
      </c>
      <c r="CH185">
        <v>0.01</v>
      </c>
      <c r="CI185">
        <v>-1.371</v>
      </c>
      <c r="CJ185">
        <v>0.183</v>
      </c>
      <c r="CK185">
        <v>800</v>
      </c>
      <c r="CL185">
        <v>21</v>
      </c>
      <c r="CM185">
        <v>0.09</v>
      </c>
      <c r="CN185">
        <v>7.0000000000000007E-2</v>
      </c>
      <c r="CO185">
        <v>-423.03456097560979</v>
      </c>
      <c r="CP185">
        <v>-3.634954703833428</v>
      </c>
      <c r="CQ185">
        <v>0.36034468923859592</v>
      </c>
      <c r="CR185">
        <v>-1</v>
      </c>
      <c r="CS185">
        <v>26.70073414634146</v>
      </c>
      <c r="CT185">
        <v>0.13590522648086881</v>
      </c>
      <c r="CU185">
        <v>1.3574592654466301E-2</v>
      </c>
      <c r="CV185">
        <v>-1</v>
      </c>
      <c r="CW185">
        <v>0</v>
      </c>
      <c r="CX185">
        <v>0</v>
      </c>
      <c r="CY185" t="s">
        <v>333</v>
      </c>
      <c r="CZ185">
        <v>2.3654600000000001</v>
      </c>
      <c r="DA185">
        <v>2.7138100000000001</v>
      </c>
      <c r="DB185">
        <v>8.5440000000000002E-2</v>
      </c>
      <c r="DC185">
        <v>0.14573</v>
      </c>
      <c r="DD185">
        <v>0.12329</v>
      </c>
      <c r="DE185">
        <v>1.6239500000000001E-3</v>
      </c>
      <c r="DF185">
        <v>33412.199999999997</v>
      </c>
      <c r="DG185">
        <v>27527.3</v>
      </c>
      <c r="DH185">
        <v>31185.4</v>
      </c>
      <c r="DI185">
        <v>28075.5</v>
      </c>
      <c r="DJ185">
        <v>37103.1</v>
      </c>
      <c r="DK185">
        <v>39845.4</v>
      </c>
      <c r="DL185">
        <v>44377.2</v>
      </c>
      <c r="DM185">
        <v>42529.9</v>
      </c>
      <c r="DN185">
        <v>1.4864299999999999</v>
      </c>
      <c r="DO185">
        <v>2.0619999999999998</v>
      </c>
      <c r="DP185">
        <v>0.11160200000000001</v>
      </c>
      <c r="DQ185">
        <v>0.164494</v>
      </c>
      <c r="DR185">
        <v>25.167300000000001</v>
      </c>
      <c r="DS185">
        <v>25.1038</v>
      </c>
      <c r="DT185">
        <v>32.299999999999997</v>
      </c>
      <c r="DU185">
        <v>25.6</v>
      </c>
      <c r="DV185">
        <v>10.7852</v>
      </c>
      <c r="DW185">
        <v>61.470100000000002</v>
      </c>
      <c r="DX185">
        <v>37.235599999999998</v>
      </c>
      <c r="DY185">
        <v>1</v>
      </c>
      <c r="DZ185">
        <v>-0.16853199999999999</v>
      </c>
      <c r="EA185">
        <v>-0.66882900000000001</v>
      </c>
      <c r="EB185">
        <v>20.189</v>
      </c>
      <c r="EC185">
        <v>5.2401999999999997</v>
      </c>
      <c r="ED185">
        <v>12.039899999999999</v>
      </c>
      <c r="EE185">
        <v>5.0133999999999999</v>
      </c>
      <c r="EF185">
        <v>3.2879700000000001</v>
      </c>
      <c r="EG185">
        <v>9999</v>
      </c>
      <c r="EH185">
        <v>9999</v>
      </c>
      <c r="EI185">
        <v>9999</v>
      </c>
      <c r="EJ185">
        <v>999.9</v>
      </c>
      <c r="EK185">
        <v>1.8687400000000001</v>
      </c>
      <c r="EL185">
        <v>1.8644400000000001</v>
      </c>
      <c r="EM185">
        <v>1.8690599999999999</v>
      </c>
      <c r="EN185">
        <v>1.86707</v>
      </c>
      <c r="EO185">
        <v>1.8632500000000001</v>
      </c>
      <c r="EP185">
        <v>1.8642799999999999</v>
      </c>
      <c r="EQ185">
        <v>1.87001</v>
      </c>
      <c r="ER185">
        <v>1.8692599999999999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-1.0720000000000001</v>
      </c>
      <c r="FG185">
        <v>0.18279999999999999</v>
      </c>
      <c r="FH185">
        <v>-0.81947142863283695</v>
      </c>
      <c r="FI185">
        <v>-6.1462078757559423E-4</v>
      </c>
      <c r="FJ185">
        <v>-1.8861989874597051E-7</v>
      </c>
      <c r="FK185">
        <v>1.1980462299894961E-10</v>
      </c>
      <c r="FL185">
        <v>0.18283500000000069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35.799999999999997</v>
      </c>
      <c r="FU185">
        <v>35.9</v>
      </c>
      <c r="FV185">
        <v>1.7626999999999999</v>
      </c>
      <c r="FW185">
        <v>2.5634800000000002</v>
      </c>
      <c r="FX185">
        <v>1.5490699999999999</v>
      </c>
      <c r="FY185">
        <v>2.34497</v>
      </c>
      <c r="FZ185">
        <v>1.50146</v>
      </c>
      <c r="GA185">
        <v>2.32422</v>
      </c>
      <c r="GB185">
        <v>30.911899999999999</v>
      </c>
      <c r="GC185">
        <v>23.982399999999998</v>
      </c>
      <c r="GD185">
        <v>19</v>
      </c>
      <c r="GE185">
        <v>283.08800000000002</v>
      </c>
      <c r="GF185">
        <v>593.50199999999995</v>
      </c>
      <c r="GG185">
        <v>25.687000000000001</v>
      </c>
      <c r="GH185">
        <v>25.312799999999999</v>
      </c>
      <c r="GI185">
        <v>30.0001</v>
      </c>
      <c r="GJ185">
        <v>25.4238</v>
      </c>
      <c r="GK185">
        <v>25.389600000000002</v>
      </c>
      <c r="GL185">
        <v>35.2331</v>
      </c>
      <c r="GM185">
        <v>100</v>
      </c>
      <c r="GN185">
        <v>3.0794199999999998</v>
      </c>
      <c r="GO185">
        <v>25.687100000000001</v>
      </c>
      <c r="GP185">
        <v>800</v>
      </c>
      <c r="GQ185">
        <v>0</v>
      </c>
      <c r="GR185">
        <v>99.776600000000002</v>
      </c>
      <c r="GS185">
        <v>99.513499999999993</v>
      </c>
    </row>
    <row r="186" spans="1:201" x14ac:dyDescent="0.25">
      <c r="A186">
        <v>170</v>
      </c>
      <c r="B186">
        <v>1690375576.0999999</v>
      </c>
      <c r="C186">
        <v>1756.599999904633</v>
      </c>
      <c r="D186" t="s">
        <v>673</v>
      </c>
      <c r="E186" t="s">
        <v>674</v>
      </c>
      <c r="F186" t="s">
        <v>330</v>
      </c>
      <c r="H186">
        <v>1690375576.0999999</v>
      </c>
      <c r="I186">
        <f t="shared" si="60"/>
        <v>2.7511623372850264E-3</v>
      </c>
      <c r="J186">
        <f t="shared" si="61"/>
        <v>2.7511623372850265</v>
      </c>
      <c r="K186">
        <f t="shared" si="62"/>
        <v>41.433446521356011</v>
      </c>
      <c r="L186">
        <f t="shared" si="63"/>
        <v>375.61700000000002</v>
      </c>
      <c r="M186">
        <f t="shared" si="64"/>
        <v>100.85020474042103</v>
      </c>
      <c r="N186">
        <f t="shared" si="65"/>
        <v>9.9637439982384155</v>
      </c>
      <c r="O186">
        <f t="shared" si="66"/>
        <v>37.110005269888106</v>
      </c>
      <c r="P186">
        <f t="shared" si="67"/>
        <v>0.25842750493377636</v>
      </c>
      <c r="Q186">
        <f t="shared" si="68"/>
        <v>2.2492804835883815</v>
      </c>
      <c r="R186">
        <f t="shared" si="69"/>
        <v>0.24299271253557675</v>
      </c>
      <c r="S186">
        <f t="shared" si="70"/>
        <v>0.15318032077314972</v>
      </c>
      <c r="T186">
        <f t="shared" si="71"/>
        <v>276.11672023799997</v>
      </c>
      <c r="U186">
        <f t="shared" si="72"/>
        <v>27.772430918200151</v>
      </c>
      <c r="V186">
        <f t="shared" si="73"/>
        <v>27.772430918200151</v>
      </c>
      <c r="W186">
        <f t="shared" si="74"/>
        <v>3.7447858591372061</v>
      </c>
      <c r="X186">
        <f t="shared" si="75"/>
        <v>76.126437370620465</v>
      </c>
      <c r="Y186">
        <f t="shared" si="76"/>
        <v>2.6624729711838397</v>
      </c>
      <c r="Z186">
        <f t="shared" si="77"/>
        <v>3.4974354023972358</v>
      </c>
      <c r="AA186">
        <f t="shared" si="78"/>
        <v>1.0823128879533663</v>
      </c>
      <c r="AB186">
        <f t="shared" si="79"/>
        <v>-121.32625907426967</v>
      </c>
      <c r="AC186">
        <f t="shared" si="80"/>
        <v>-141.287514548491</v>
      </c>
      <c r="AD186">
        <f t="shared" si="81"/>
        <v>-13.581917630426288</v>
      </c>
      <c r="AE186">
        <f t="shared" si="82"/>
        <v>-7.8971015186994009E-2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52262.86487746959</v>
      </c>
      <c r="AK186">
        <f t="shared" si="86"/>
        <v>1800</v>
      </c>
      <c r="AL186">
        <f t="shared" si="87"/>
        <v>1499.1141257999998</v>
      </c>
      <c r="AM186">
        <f t="shared" si="88"/>
        <v>0.83284118099999982</v>
      </c>
      <c r="AN186">
        <f t="shared" si="89"/>
        <v>0.15339817790999999</v>
      </c>
      <c r="AO186">
        <v>30</v>
      </c>
      <c r="AP186">
        <v>0.5</v>
      </c>
      <c r="AQ186" t="s">
        <v>331</v>
      </c>
      <c r="AR186">
        <v>2</v>
      </c>
      <c r="AS186">
        <v>1690375576.0999999</v>
      </c>
      <c r="AT186">
        <v>375.61700000000002</v>
      </c>
      <c r="AU186">
        <v>800.06600000000003</v>
      </c>
      <c r="AV186">
        <v>26.948799999999999</v>
      </c>
      <c r="AW186">
        <v>0.19240599999999999</v>
      </c>
      <c r="AX186">
        <v>376.68900000000002</v>
      </c>
      <c r="AY186">
        <v>26.765899999999998</v>
      </c>
      <c r="AZ186">
        <v>300.15499999999997</v>
      </c>
      <c r="BA186">
        <v>98.697500000000005</v>
      </c>
      <c r="BB186">
        <v>9.9959300000000001E-2</v>
      </c>
      <c r="BC186">
        <v>26.607299999999999</v>
      </c>
      <c r="BD186">
        <v>26.9955</v>
      </c>
      <c r="BE186">
        <v>27.797799999999999</v>
      </c>
      <c r="BF186">
        <v>0</v>
      </c>
      <c r="BG186">
        <v>0</v>
      </c>
      <c r="BH186">
        <v>10001.200000000001</v>
      </c>
      <c r="BI186">
        <v>1085.95</v>
      </c>
      <c r="BJ186">
        <v>1.4016500000000001</v>
      </c>
      <c r="BK186">
        <v>-424.44799999999998</v>
      </c>
      <c r="BL186">
        <v>386.02</v>
      </c>
      <c r="BM186">
        <v>800.22</v>
      </c>
      <c r="BN186">
        <v>26.756399999999999</v>
      </c>
      <c r="BO186">
        <v>800.06600000000003</v>
      </c>
      <c r="BP186">
        <v>0.19240599999999999</v>
      </c>
      <c r="BQ186">
        <v>2.65978</v>
      </c>
      <c r="BR186">
        <v>1.899E-2</v>
      </c>
      <c r="BS186">
        <v>22.038699999999999</v>
      </c>
      <c r="BT186">
        <v>-39.923400000000001</v>
      </c>
      <c r="BU186">
        <v>1800</v>
      </c>
      <c r="BV186">
        <v>0.90999099999999999</v>
      </c>
      <c r="BW186">
        <v>3.3991199999999999E-2</v>
      </c>
      <c r="BX186">
        <v>2.20098E-2</v>
      </c>
      <c r="BY186">
        <v>3.4008499999999997E-2</v>
      </c>
      <c r="BZ186">
        <v>25</v>
      </c>
      <c r="CA186">
        <v>33528.199999999997</v>
      </c>
      <c r="CB186">
        <v>1690373417</v>
      </c>
      <c r="CC186" t="s">
        <v>332</v>
      </c>
      <c r="CD186">
        <v>1690373417</v>
      </c>
      <c r="CE186">
        <v>1690373415</v>
      </c>
      <c r="CF186">
        <v>1</v>
      </c>
      <c r="CG186">
        <v>-1.319</v>
      </c>
      <c r="CH186">
        <v>0.01</v>
      </c>
      <c r="CI186">
        <v>-1.371</v>
      </c>
      <c r="CJ186">
        <v>0.183</v>
      </c>
      <c r="CK186">
        <v>800</v>
      </c>
      <c r="CL186">
        <v>21</v>
      </c>
      <c r="CM186">
        <v>0.09</v>
      </c>
      <c r="CN186">
        <v>7.0000000000000007E-2</v>
      </c>
      <c r="CO186">
        <v>-423.66578048780491</v>
      </c>
      <c r="CP186">
        <v>-3.889714285713691</v>
      </c>
      <c r="CQ186">
        <v>0.38626880013888998</v>
      </c>
      <c r="CR186">
        <v>-1</v>
      </c>
      <c r="CS186">
        <v>26.725641463414629</v>
      </c>
      <c r="CT186">
        <v>0.1672912891985972</v>
      </c>
      <c r="CU186">
        <v>1.6528482078207649E-2</v>
      </c>
      <c r="CV186">
        <v>-1</v>
      </c>
      <c r="CW186">
        <v>0</v>
      </c>
      <c r="CX186">
        <v>0</v>
      </c>
      <c r="CY186" t="s">
        <v>333</v>
      </c>
      <c r="CZ186">
        <v>2.36558</v>
      </c>
      <c r="DA186">
        <v>2.7137500000000001</v>
      </c>
      <c r="DB186">
        <v>8.5325499999999999E-2</v>
      </c>
      <c r="DC186">
        <v>0.14574000000000001</v>
      </c>
      <c r="DD186">
        <v>0.123366</v>
      </c>
      <c r="DE186">
        <v>1.6153000000000001E-3</v>
      </c>
      <c r="DF186">
        <v>33416.6</v>
      </c>
      <c r="DG186">
        <v>27526.9</v>
      </c>
      <c r="DH186">
        <v>31185.7</v>
      </c>
      <c r="DI186">
        <v>28075.4</v>
      </c>
      <c r="DJ186">
        <v>37100.300000000003</v>
      </c>
      <c r="DK186">
        <v>39845.599999999999</v>
      </c>
      <c r="DL186">
        <v>44377.7</v>
      </c>
      <c r="DM186">
        <v>42529.8</v>
      </c>
      <c r="DN186">
        <v>1.48668</v>
      </c>
      <c r="DO186">
        <v>2.0619999999999998</v>
      </c>
      <c r="DP186">
        <v>0.111625</v>
      </c>
      <c r="DQ186">
        <v>0.164717</v>
      </c>
      <c r="DR186">
        <v>25.167300000000001</v>
      </c>
      <c r="DS186">
        <v>25.101600000000001</v>
      </c>
      <c r="DT186">
        <v>32.200000000000003</v>
      </c>
      <c r="DU186">
        <v>25.6</v>
      </c>
      <c r="DV186">
        <v>10.7507</v>
      </c>
      <c r="DW186">
        <v>61.700099999999999</v>
      </c>
      <c r="DX186">
        <v>37.167499999999997</v>
      </c>
      <c r="DY186">
        <v>1</v>
      </c>
      <c r="DZ186">
        <v>-0.16820399999999999</v>
      </c>
      <c r="EA186">
        <v>-0.67039800000000005</v>
      </c>
      <c r="EB186">
        <v>20.1891</v>
      </c>
      <c r="EC186">
        <v>5.2403500000000003</v>
      </c>
      <c r="ED186">
        <v>12.039899999999999</v>
      </c>
      <c r="EE186">
        <v>5.0131500000000004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1.8687400000000001</v>
      </c>
      <c r="EL186">
        <v>1.8644499999999999</v>
      </c>
      <c r="EM186">
        <v>1.8690899999999999</v>
      </c>
      <c r="EN186">
        <v>1.8670800000000001</v>
      </c>
      <c r="EO186">
        <v>1.8632500000000001</v>
      </c>
      <c r="EP186">
        <v>1.8642700000000001</v>
      </c>
      <c r="EQ186">
        <v>1.87005</v>
      </c>
      <c r="ER186">
        <v>1.86931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-1.0720000000000001</v>
      </c>
      <c r="FG186">
        <v>0.18290000000000001</v>
      </c>
      <c r="FH186">
        <v>-0.81947142863283695</v>
      </c>
      <c r="FI186">
        <v>-6.1462078757559423E-4</v>
      </c>
      <c r="FJ186">
        <v>-1.8861989874597051E-7</v>
      </c>
      <c r="FK186">
        <v>1.1980462299894961E-10</v>
      </c>
      <c r="FL186">
        <v>0.18283500000000069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36</v>
      </c>
      <c r="FU186">
        <v>36</v>
      </c>
      <c r="FV186">
        <v>1.7626999999999999</v>
      </c>
      <c r="FW186">
        <v>2.5622600000000002</v>
      </c>
      <c r="FX186">
        <v>1.5490699999999999</v>
      </c>
      <c r="FY186">
        <v>2.34375</v>
      </c>
      <c r="FZ186">
        <v>1.50024</v>
      </c>
      <c r="GA186">
        <v>2.3010299999999999</v>
      </c>
      <c r="GB186">
        <v>30.911899999999999</v>
      </c>
      <c r="GC186">
        <v>23.982399999999998</v>
      </c>
      <c r="GD186">
        <v>19</v>
      </c>
      <c r="GE186">
        <v>283.19299999999998</v>
      </c>
      <c r="GF186">
        <v>593.50199999999995</v>
      </c>
      <c r="GG186">
        <v>25.686900000000001</v>
      </c>
      <c r="GH186">
        <v>25.313600000000001</v>
      </c>
      <c r="GI186">
        <v>30</v>
      </c>
      <c r="GJ186">
        <v>25.4238</v>
      </c>
      <c r="GK186">
        <v>25.389600000000002</v>
      </c>
      <c r="GL186">
        <v>35.231400000000001</v>
      </c>
      <c r="GM186">
        <v>100</v>
      </c>
      <c r="GN186">
        <v>2.3045800000000001</v>
      </c>
      <c r="GO186">
        <v>25.686900000000001</v>
      </c>
      <c r="GP186">
        <v>800</v>
      </c>
      <c r="GQ186">
        <v>0</v>
      </c>
      <c r="GR186">
        <v>99.777600000000007</v>
      </c>
      <c r="GS186">
        <v>99.513199999999998</v>
      </c>
    </row>
    <row r="187" spans="1:201" x14ac:dyDescent="0.25">
      <c r="A187">
        <v>171</v>
      </c>
      <c r="B187">
        <v>1690375586.0999999</v>
      </c>
      <c r="C187">
        <v>1766.599999904633</v>
      </c>
      <c r="D187" t="s">
        <v>675</v>
      </c>
      <c r="E187" t="s">
        <v>676</v>
      </c>
      <c r="F187" t="s">
        <v>330</v>
      </c>
      <c r="H187">
        <v>1690375586.0999999</v>
      </c>
      <c r="I187">
        <f t="shared" si="60"/>
        <v>2.7538586888627942E-3</v>
      </c>
      <c r="J187">
        <f t="shared" si="61"/>
        <v>2.7538586888627941</v>
      </c>
      <c r="K187">
        <f t="shared" si="62"/>
        <v>41.486188659875893</v>
      </c>
      <c r="L187">
        <f t="shared" si="63"/>
        <v>375.02499999999998</v>
      </c>
      <c r="M187">
        <f t="shared" si="64"/>
        <v>100.75868927188463</v>
      </c>
      <c r="N187">
        <f t="shared" si="65"/>
        <v>9.9551998070471388</v>
      </c>
      <c r="O187">
        <f t="shared" si="66"/>
        <v>37.053368147372495</v>
      </c>
      <c r="P187">
        <f t="shared" si="67"/>
        <v>0.25927047305871137</v>
      </c>
      <c r="Q187">
        <f t="shared" si="68"/>
        <v>2.2483846936829766</v>
      </c>
      <c r="R187">
        <f t="shared" si="69"/>
        <v>0.24373227943766804</v>
      </c>
      <c r="S187">
        <f t="shared" si="70"/>
        <v>0.15365105933485046</v>
      </c>
      <c r="T187">
        <f t="shared" si="71"/>
        <v>276.11665675200004</v>
      </c>
      <c r="U187">
        <f t="shared" si="72"/>
        <v>27.773257441498906</v>
      </c>
      <c r="V187">
        <f t="shared" si="73"/>
        <v>27.773257441498906</v>
      </c>
      <c r="W187">
        <f t="shared" si="74"/>
        <v>3.7449666054340214</v>
      </c>
      <c r="X187">
        <f t="shared" si="75"/>
        <v>76.188250875609427</v>
      </c>
      <c r="Y187">
        <f t="shared" si="76"/>
        <v>2.6648389138058595</v>
      </c>
      <c r="Z187">
        <f t="shared" si="77"/>
        <v>3.497703232689608</v>
      </c>
      <c r="AA187">
        <f t="shared" si="78"/>
        <v>1.0801276916281619</v>
      </c>
      <c r="AB187">
        <f t="shared" si="79"/>
        <v>-121.44516817884922</v>
      </c>
      <c r="AC187">
        <f t="shared" si="80"/>
        <v>-141.17385348099964</v>
      </c>
      <c r="AD187">
        <f t="shared" si="81"/>
        <v>-13.576542537936092</v>
      </c>
      <c r="AE187">
        <f t="shared" si="82"/>
        <v>-7.8907445784921038E-2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52227.888206204181</v>
      </c>
      <c r="AK187">
        <f t="shared" si="86"/>
        <v>1800</v>
      </c>
      <c r="AL187">
        <f t="shared" si="87"/>
        <v>1499.1133032</v>
      </c>
      <c r="AM187">
        <f t="shared" si="88"/>
        <v>0.83284072399999998</v>
      </c>
      <c r="AN187">
        <f t="shared" si="89"/>
        <v>0.15339814264000001</v>
      </c>
      <c r="AO187">
        <v>30</v>
      </c>
      <c r="AP187">
        <v>0.5</v>
      </c>
      <c r="AQ187" t="s">
        <v>331</v>
      </c>
      <c r="AR187">
        <v>2</v>
      </c>
      <c r="AS187">
        <v>1690375586.0999999</v>
      </c>
      <c r="AT187">
        <v>375.02499999999998</v>
      </c>
      <c r="AU187">
        <v>799.96100000000001</v>
      </c>
      <c r="AV187">
        <v>26.971399999999999</v>
      </c>
      <c r="AW187">
        <v>0.19154599999999999</v>
      </c>
      <c r="AX187">
        <v>376.096</v>
      </c>
      <c r="AY187">
        <v>26.788599999999999</v>
      </c>
      <c r="AZ187">
        <v>300.17899999999997</v>
      </c>
      <c r="BA187">
        <v>98.702399999999997</v>
      </c>
      <c r="BB187">
        <v>9.9994899999999998E-2</v>
      </c>
      <c r="BC187">
        <v>26.608599999999999</v>
      </c>
      <c r="BD187">
        <v>27.0078</v>
      </c>
      <c r="BE187">
        <v>27.809000000000001</v>
      </c>
      <c r="BF187">
        <v>0</v>
      </c>
      <c r="BG187">
        <v>0</v>
      </c>
      <c r="BH187">
        <v>9993.75</v>
      </c>
      <c r="BI187">
        <v>1085.97</v>
      </c>
      <c r="BJ187">
        <v>1.4016500000000001</v>
      </c>
      <c r="BK187">
        <v>-424.935</v>
      </c>
      <c r="BL187">
        <v>385.42099999999999</v>
      </c>
      <c r="BM187">
        <v>800.11400000000003</v>
      </c>
      <c r="BN187">
        <v>26.779900000000001</v>
      </c>
      <c r="BO187">
        <v>799.96100000000001</v>
      </c>
      <c r="BP187">
        <v>0.19154599999999999</v>
      </c>
      <c r="BQ187">
        <v>2.66214</v>
      </c>
      <c r="BR187">
        <v>1.8906099999999999E-2</v>
      </c>
      <c r="BS187">
        <v>22.0533</v>
      </c>
      <c r="BT187">
        <v>-39.965899999999998</v>
      </c>
      <c r="BU187">
        <v>1800</v>
      </c>
      <c r="BV187">
        <v>0.90998699999999999</v>
      </c>
      <c r="BW187">
        <v>3.3990199999999998E-2</v>
      </c>
      <c r="BX187">
        <v>2.20092E-2</v>
      </c>
      <c r="BY187">
        <v>3.4014000000000003E-2</v>
      </c>
      <c r="BZ187">
        <v>25</v>
      </c>
      <c r="CA187">
        <v>33528.199999999997</v>
      </c>
      <c r="CB187">
        <v>1690373417</v>
      </c>
      <c r="CC187" t="s">
        <v>332</v>
      </c>
      <c r="CD187">
        <v>1690373417</v>
      </c>
      <c r="CE187">
        <v>1690373415</v>
      </c>
      <c r="CF187">
        <v>1</v>
      </c>
      <c r="CG187">
        <v>-1.319</v>
      </c>
      <c r="CH187">
        <v>0.01</v>
      </c>
      <c r="CI187">
        <v>-1.371</v>
      </c>
      <c r="CJ187">
        <v>0.183</v>
      </c>
      <c r="CK187">
        <v>800</v>
      </c>
      <c r="CL187">
        <v>21</v>
      </c>
      <c r="CM187">
        <v>0.09</v>
      </c>
      <c r="CN187">
        <v>7.0000000000000007E-2</v>
      </c>
      <c r="CO187">
        <v>-424.33868292682922</v>
      </c>
      <c r="CP187">
        <v>-3.3751149825780922</v>
      </c>
      <c r="CQ187">
        <v>0.33680901724679357</v>
      </c>
      <c r="CR187">
        <v>-1</v>
      </c>
      <c r="CS187">
        <v>26.75423414634146</v>
      </c>
      <c r="CT187">
        <v>0.14608222996521469</v>
      </c>
      <c r="CU187">
        <v>1.441869737623242E-2</v>
      </c>
      <c r="CV187">
        <v>-1</v>
      </c>
      <c r="CW187">
        <v>0</v>
      </c>
      <c r="CX187">
        <v>0</v>
      </c>
      <c r="CY187" t="s">
        <v>333</v>
      </c>
      <c r="CZ187">
        <v>2.3656600000000001</v>
      </c>
      <c r="DA187">
        <v>2.7137799999999999</v>
      </c>
      <c r="DB187">
        <v>8.5225700000000001E-2</v>
      </c>
      <c r="DC187">
        <v>0.145734</v>
      </c>
      <c r="DD187">
        <v>0.123444</v>
      </c>
      <c r="DE187">
        <v>1.6082399999999999E-3</v>
      </c>
      <c r="DF187">
        <v>33419.9</v>
      </c>
      <c r="DG187">
        <v>27526.799999999999</v>
      </c>
      <c r="DH187">
        <v>31185.3</v>
      </c>
      <c r="DI187">
        <v>28075.200000000001</v>
      </c>
      <c r="DJ187">
        <v>37096.5</v>
      </c>
      <c r="DK187">
        <v>39845.699999999997</v>
      </c>
      <c r="DL187">
        <v>44377.2</v>
      </c>
      <c r="DM187">
        <v>42529.599999999999</v>
      </c>
      <c r="DN187">
        <v>1.48668</v>
      </c>
      <c r="DO187">
        <v>2.0618699999999999</v>
      </c>
      <c r="DP187">
        <v>0.11225</v>
      </c>
      <c r="DQ187">
        <v>0.165269</v>
      </c>
      <c r="DR187">
        <v>25.1693</v>
      </c>
      <c r="DS187">
        <v>25.1038</v>
      </c>
      <c r="DT187">
        <v>32</v>
      </c>
      <c r="DU187">
        <v>25.6</v>
      </c>
      <c r="DV187">
        <v>10.6845</v>
      </c>
      <c r="DW187">
        <v>61.4801</v>
      </c>
      <c r="DX187">
        <v>37.2196</v>
      </c>
      <c r="DY187">
        <v>1</v>
      </c>
      <c r="DZ187">
        <v>-0.16785600000000001</v>
      </c>
      <c r="EA187">
        <v>-0.66100999999999999</v>
      </c>
      <c r="EB187">
        <v>20.1892</v>
      </c>
      <c r="EC187">
        <v>5.2403500000000003</v>
      </c>
      <c r="ED187">
        <v>12.039899999999999</v>
      </c>
      <c r="EE187">
        <v>5.01335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1.8687400000000001</v>
      </c>
      <c r="EL187">
        <v>1.86446</v>
      </c>
      <c r="EM187">
        <v>1.8691199999999999</v>
      </c>
      <c r="EN187">
        <v>1.86707</v>
      </c>
      <c r="EO187">
        <v>1.8632500000000001</v>
      </c>
      <c r="EP187">
        <v>1.8643000000000001</v>
      </c>
      <c r="EQ187">
        <v>1.87005</v>
      </c>
      <c r="ER187">
        <v>1.8693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-1.071</v>
      </c>
      <c r="FG187">
        <v>0.18279999999999999</v>
      </c>
      <c r="FH187">
        <v>-0.81947142863283695</v>
      </c>
      <c r="FI187">
        <v>-6.1462078757559423E-4</v>
      </c>
      <c r="FJ187">
        <v>-1.8861989874597051E-7</v>
      </c>
      <c r="FK187">
        <v>1.1980462299894961E-10</v>
      </c>
      <c r="FL187">
        <v>0.18283500000000069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36.200000000000003</v>
      </c>
      <c r="FU187">
        <v>36.200000000000003</v>
      </c>
      <c r="FV187">
        <v>1.7626999999999999</v>
      </c>
      <c r="FW187">
        <v>2.5622600000000002</v>
      </c>
      <c r="FX187">
        <v>1.5490699999999999</v>
      </c>
      <c r="FY187">
        <v>2.34375</v>
      </c>
      <c r="FZ187">
        <v>1.50146</v>
      </c>
      <c r="GA187">
        <v>2.2753899999999998</v>
      </c>
      <c r="GB187">
        <v>30.911899999999999</v>
      </c>
      <c r="GC187">
        <v>23.982399999999998</v>
      </c>
      <c r="GD187">
        <v>19</v>
      </c>
      <c r="GE187">
        <v>283.19400000000002</v>
      </c>
      <c r="GF187">
        <v>593.404</v>
      </c>
      <c r="GG187">
        <v>25.686800000000002</v>
      </c>
      <c r="GH187">
        <v>25.315000000000001</v>
      </c>
      <c r="GI187">
        <v>30.000299999999999</v>
      </c>
      <c r="GJ187">
        <v>25.4238</v>
      </c>
      <c r="GK187">
        <v>25.3902</v>
      </c>
      <c r="GL187">
        <v>35.2331</v>
      </c>
      <c r="GM187">
        <v>100</v>
      </c>
      <c r="GN187">
        <v>1.91951</v>
      </c>
      <c r="GO187">
        <v>25.679200000000002</v>
      </c>
      <c r="GP187">
        <v>800</v>
      </c>
      <c r="GQ187">
        <v>0</v>
      </c>
      <c r="GR187">
        <v>99.776499999999999</v>
      </c>
      <c r="GS187">
        <v>99.512500000000003</v>
      </c>
    </row>
    <row r="188" spans="1:201" x14ac:dyDescent="0.25">
      <c r="A188">
        <v>172</v>
      </c>
      <c r="B188">
        <v>1690375596.0999999</v>
      </c>
      <c r="C188">
        <v>1776.599999904633</v>
      </c>
      <c r="D188" t="s">
        <v>677</v>
      </c>
      <c r="E188" t="s">
        <v>678</v>
      </c>
      <c r="F188" t="s">
        <v>330</v>
      </c>
      <c r="H188">
        <v>1690375596.0999999</v>
      </c>
      <c r="I188">
        <f t="shared" si="60"/>
        <v>2.7571272351812107E-3</v>
      </c>
      <c r="J188">
        <f t="shared" si="61"/>
        <v>2.7571272351812106</v>
      </c>
      <c r="K188">
        <f t="shared" si="62"/>
        <v>41.551688013696996</v>
      </c>
      <c r="L188">
        <f t="shared" si="63"/>
        <v>374.49</v>
      </c>
      <c r="M188">
        <f t="shared" si="64"/>
        <v>100.66467638717148</v>
      </c>
      <c r="N188">
        <f t="shared" si="65"/>
        <v>9.9454616511724208</v>
      </c>
      <c r="O188">
        <f t="shared" si="66"/>
        <v>36.998836805700002</v>
      </c>
      <c r="P188">
        <f t="shared" si="67"/>
        <v>0.26014286952464594</v>
      </c>
      <c r="Q188">
        <f t="shared" si="68"/>
        <v>2.2472779821109672</v>
      </c>
      <c r="R188">
        <f t="shared" si="69"/>
        <v>0.24449611320087242</v>
      </c>
      <c r="S188">
        <f t="shared" si="70"/>
        <v>0.15413738366642082</v>
      </c>
      <c r="T188">
        <f t="shared" si="71"/>
        <v>276.11646066000003</v>
      </c>
      <c r="U188">
        <f t="shared" si="72"/>
        <v>27.775191035239533</v>
      </c>
      <c r="V188">
        <f t="shared" si="73"/>
        <v>27.775191035239533</v>
      </c>
      <c r="W188">
        <f t="shared" si="74"/>
        <v>3.7453894785520974</v>
      </c>
      <c r="X188">
        <f t="shared" si="75"/>
        <v>76.25097384603319</v>
      </c>
      <c r="Y188">
        <f t="shared" si="76"/>
        <v>2.667425552484</v>
      </c>
      <c r="Z188">
        <f t="shared" si="77"/>
        <v>3.4982183412766577</v>
      </c>
      <c r="AA188">
        <f t="shared" si="78"/>
        <v>1.0779639260680973</v>
      </c>
      <c r="AB188">
        <f t="shared" si="79"/>
        <v>-121.58931107149139</v>
      </c>
      <c r="AC188">
        <f t="shared" si="80"/>
        <v>-141.03574106255985</v>
      </c>
      <c r="AD188">
        <f t="shared" si="81"/>
        <v>-13.570240455070866</v>
      </c>
      <c r="AE188">
        <f t="shared" si="82"/>
        <v>-7.8831929122088695E-2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52184.311005797019</v>
      </c>
      <c r="AK188">
        <f t="shared" si="86"/>
        <v>1800</v>
      </c>
      <c r="AL188">
        <f t="shared" si="87"/>
        <v>1499.1124679999998</v>
      </c>
      <c r="AM188">
        <f t="shared" si="88"/>
        <v>0.83284025999999989</v>
      </c>
      <c r="AN188">
        <f t="shared" si="89"/>
        <v>0.15339803370000002</v>
      </c>
      <c r="AO188">
        <v>30</v>
      </c>
      <c r="AP188">
        <v>0.5</v>
      </c>
      <c r="AQ188" t="s">
        <v>331</v>
      </c>
      <c r="AR188">
        <v>2</v>
      </c>
      <c r="AS188">
        <v>1690375596.0999999</v>
      </c>
      <c r="AT188">
        <v>374.49</v>
      </c>
      <c r="AU188">
        <v>800.03700000000003</v>
      </c>
      <c r="AV188">
        <v>26.998799999999999</v>
      </c>
      <c r="AW188">
        <v>0.19050600000000001</v>
      </c>
      <c r="AX188">
        <v>375.56099999999998</v>
      </c>
      <c r="AY188">
        <v>26.815899999999999</v>
      </c>
      <c r="AZ188">
        <v>300.20800000000003</v>
      </c>
      <c r="BA188">
        <v>98.697900000000004</v>
      </c>
      <c r="BB188">
        <v>0.10002999999999999</v>
      </c>
      <c r="BC188">
        <v>26.6111</v>
      </c>
      <c r="BD188">
        <v>26.996400000000001</v>
      </c>
      <c r="BE188">
        <v>27.796299999999999</v>
      </c>
      <c r="BF188">
        <v>0</v>
      </c>
      <c r="BG188">
        <v>0</v>
      </c>
      <c r="BH188">
        <v>9985.6200000000008</v>
      </c>
      <c r="BI188">
        <v>1085.95</v>
      </c>
      <c r="BJ188">
        <v>1.41567</v>
      </c>
      <c r="BK188">
        <v>-425.54700000000003</v>
      </c>
      <c r="BL188">
        <v>384.88200000000001</v>
      </c>
      <c r="BM188">
        <v>800.19</v>
      </c>
      <c r="BN188">
        <v>26.808299999999999</v>
      </c>
      <c r="BO188">
        <v>800.03700000000003</v>
      </c>
      <c r="BP188">
        <v>0.19050600000000001</v>
      </c>
      <c r="BQ188">
        <v>2.66472</v>
      </c>
      <c r="BR188">
        <v>1.88025E-2</v>
      </c>
      <c r="BS188">
        <v>22.069199999999999</v>
      </c>
      <c r="BT188">
        <v>-40.018500000000003</v>
      </c>
      <c r="BU188">
        <v>1800</v>
      </c>
      <c r="BV188">
        <v>0.90998699999999999</v>
      </c>
      <c r="BW188">
        <v>3.3989999999999999E-2</v>
      </c>
      <c r="BX188">
        <v>2.2009000000000001E-2</v>
      </c>
      <c r="BY188">
        <v>3.4013799999999997E-2</v>
      </c>
      <c r="BZ188">
        <v>25</v>
      </c>
      <c r="CA188">
        <v>33528.300000000003</v>
      </c>
      <c r="CB188">
        <v>1690373417</v>
      </c>
      <c r="CC188" t="s">
        <v>332</v>
      </c>
      <c r="CD188">
        <v>1690373417</v>
      </c>
      <c r="CE188">
        <v>1690373415</v>
      </c>
      <c r="CF188">
        <v>1</v>
      </c>
      <c r="CG188">
        <v>-1.319</v>
      </c>
      <c r="CH188">
        <v>0.01</v>
      </c>
      <c r="CI188">
        <v>-1.371</v>
      </c>
      <c r="CJ188">
        <v>0.183</v>
      </c>
      <c r="CK188">
        <v>800</v>
      </c>
      <c r="CL188">
        <v>21</v>
      </c>
      <c r="CM188">
        <v>0.09</v>
      </c>
      <c r="CN188">
        <v>7.0000000000000007E-2</v>
      </c>
      <c r="CO188">
        <v>-424.90980000000002</v>
      </c>
      <c r="CP188">
        <v>-3.4846378986857451</v>
      </c>
      <c r="CQ188">
        <v>0.33997611680822409</v>
      </c>
      <c r="CR188">
        <v>-1</v>
      </c>
      <c r="CS188">
        <v>26.7782725</v>
      </c>
      <c r="CT188">
        <v>0.15227054408998439</v>
      </c>
      <c r="CU188">
        <v>1.4679815862264819E-2</v>
      </c>
      <c r="CV188">
        <v>-1</v>
      </c>
      <c r="CW188">
        <v>0</v>
      </c>
      <c r="CX188">
        <v>0</v>
      </c>
      <c r="CY188" t="s">
        <v>333</v>
      </c>
      <c r="CZ188">
        <v>2.3657499999999998</v>
      </c>
      <c r="DA188">
        <v>2.7138100000000001</v>
      </c>
      <c r="DB188">
        <v>8.5127800000000003E-2</v>
      </c>
      <c r="DC188">
        <v>0.14573700000000001</v>
      </c>
      <c r="DD188">
        <v>0.123526</v>
      </c>
      <c r="DE188">
        <v>1.59953E-3</v>
      </c>
      <c r="DF188">
        <v>33423.800000000003</v>
      </c>
      <c r="DG188">
        <v>27527.1</v>
      </c>
      <c r="DH188">
        <v>31185.599999999999</v>
      </c>
      <c r="DI188">
        <v>28075.5</v>
      </c>
      <c r="DJ188">
        <v>37093.199999999997</v>
      </c>
      <c r="DK188">
        <v>39846.5</v>
      </c>
      <c r="DL188">
        <v>44377.4</v>
      </c>
      <c r="DM188">
        <v>42530.1</v>
      </c>
      <c r="DN188">
        <v>1.48668</v>
      </c>
      <c r="DO188">
        <v>2.0620799999999999</v>
      </c>
      <c r="DP188">
        <v>0.111416</v>
      </c>
      <c r="DQ188">
        <v>0.16439000000000001</v>
      </c>
      <c r="DR188">
        <v>25.171600000000002</v>
      </c>
      <c r="DS188">
        <v>25.105399999999999</v>
      </c>
      <c r="DT188">
        <v>31.9</v>
      </c>
      <c r="DU188">
        <v>25.7</v>
      </c>
      <c r="DV188">
        <v>10.7134</v>
      </c>
      <c r="DW188">
        <v>61.2301</v>
      </c>
      <c r="DX188">
        <v>37.3277</v>
      </c>
      <c r="DY188">
        <v>1</v>
      </c>
      <c r="DZ188">
        <v>-0.168044</v>
      </c>
      <c r="EA188">
        <v>-0.68502399999999997</v>
      </c>
      <c r="EB188">
        <v>20.189</v>
      </c>
      <c r="EC188">
        <v>5.2403500000000003</v>
      </c>
      <c r="ED188">
        <v>12.039899999999999</v>
      </c>
      <c r="EE188">
        <v>5.0134499999999997</v>
      </c>
      <c r="EF188">
        <v>3.2879700000000001</v>
      </c>
      <c r="EG188">
        <v>9999</v>
      </c>
      <c r="EH188">
        <v>9999</v>
      </c>
      <c r="EI188">
        <v>9999</v>
      </c>
      <c r="EJ188">
        <v>999.9</v>
      </c>
      <c r="EK188">
        <v>1.8687400000000001</v>
      </c>
      <c r="EL188">
        <v>1.86446</v>
      </c>
      <c r="EM188">
        <v>1.8691</v>
      </c>
      <c r="EN188">
        <v>1.86707</v>
      </c>
      <c r="EO188">
        <v>1.8632500000000001</v>
      </c>
      <c r="EP188">
        <v>1.86429</v>
      </c>
      <c r="EQ188">
        <v>1.87002</v>
      </c>
      <c r="ER188">
        <v>1.8693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-1.071</v>
      </c>
      <c r="FG188">
        <v>0.18290000000000001</v>
      </c>
      <c r="FH188">
        <v>-0.81947142863283695</v>
      </c>
      <c r="FI188">
        <v>-6.1462078757559423E-4</v>
      </c>
      <c r="FJ188">
        <v>-1.8861989874597051E-7</v>
      </c>
      <c r="FK188">
        <v>1.1980462299894961E-10</v>
      </c>
      <c r="FL188">
        <v>0.18283500000000069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36.299999999999997</v>
      </c>
      <c r="FU188">
        <v>36.4</v>
      </c>
      <c r="FV188">
        <v>1.7614700000000001</v>
      </c>
      <c r="FW188">
        <v>2.5610400000000002</v>
      </c>
      <c r="FX188">
        <v>1.5490699999999999</v>
      </c>
      <c r="FY188">
        <v>2.34375</v>
      </c>
      <c r="FZ188">
        <v>1.50146</v>
      </c>
      <c r="GA188">
        <v>2.3144499999999999</v>
      </c>
      <c r="GB188">
        <v>30.933499999999999</v>
      </c>
      <c r="GC188">
        <v>23.991199999999999</v>
      </c>
      <c r="GD188">
        <v>19</v>
      </c>
      <c r="GE188">
        <v>283.19799999999998</v>
      </c>
      <c r="GF188">
        <v>593.58900000000006</v>
      </c>
      <c r="GG188">
        <v>25.682700000000001</v>
      </c>
      <c r="GH188">
        <v>25.315000000000001</v>
      </c>
      <c r="GI188">
        <v>30.0001</v>
      </c>
      <c r="GJ188">
        <v>25.4251</v>
      </c>
      <c r="GK188">
        <v>25.3917</v>
      </c>
      <c r="GL188">
        <v>35.233800000000002</v>
      </c>
      <c r="GM188">
        <v>100</v>
      </c>
      <c r="GN188">
        <v>1.13818</v>
      </c>
      <c r="GO188">
        <v>25.692900000000002</v>
      </c>
      <c r="GP188">
        <v>800</v>
      </c>
      <c r="GQ188">
        <v>0</v>
      </c>
      <c r="GR188">
        <v>99.777199999999993</v>
      </c>
      <c r="GS188">
        <v>99.5137</v>
      </c>
    </row>
    <row r="189" spans="1:201" x14ac:dyDescent="0.25">
      <c r="A189">
        <v>173</v>
      </c>
      <c r="B189">
        <v>1690375606.0999999</v>
      </c>
      <c r="C189">
        <v>1786.599999904633</v>
      </c>
      <c r="D189" t="s">
        <v>679</v>
      </c>
      <c r="E189" t="s">
        <v>680</v>
      </c>
      <c r="F189" t="s">
        <v>330</v>
      </c>
      <c r="H189">
        <v>1690375606.0999999</v>
      </c>
      <c r="I189">
        <f t="shared" si="60"/>
        <v>2.759308756410235E-3</v>
      </c>
      <c r="J189">
        <f t="shared" si="61"/>
        <v>2.7593087564102352</v>
      </c>
      <c r="K189">
        <f t="shared" si="62"/>
        <v>41.597915334342304</v>
      </c>
      <c r="L189">
        <f t="shared" si="63"/>
        <v>373.84699999999998</v>
      </c>
      <c r="M189">
        <f t="shared" si="64"/>
        <v>100.52365851039842</v>
      </c>
      <c r="N189">
        <f t="shared" si="65"/>
        <v>9.9316566398059223</v>
      </c>
      <c r="O189">
        <f t="shared" si="66"/>
        <v>36.935783027012</v>
      </c>
      <c r="P189">
        <f t="shared" si="67"/>
        <v>0.26094667274399064</v>
      </c>
      <c r="Q189">
        <f t="shared" si="68"/>
        <v>2.2468925714092647</v>
      </c>
      <c r="R189">
        <f t="shared" si="69"/>
        <v>0.2452036885244557</v>
      </c>
      <c r="S189">
        <f t="shared" si="70"/>
        <v>0.15458753965166083</v>
      </c>
      <c r="T189">
        <f t="shared" si="71"/>
        <v>276.11664161399995</v>
      </c>
      <c r="U189">
        <f t="shared" si="72"/>
        <v>27.776747653228703</v>
      </c>
      <c r="V189">
        <f t="shared" si="73"/>
        <v>27.776747653228703</v>
      </c>
      <c r="W189">
        <f t="shared" si="74"/>
        <v>3.7457299380918552</v>
      </c>
      <c r="X189">
        <f t="shared" si="75"/>
        <v>76.315941435825934</v>
      </c>
      <c r="Y189">
        <f t="shared" si="76"/>
        <v>2.6700285120607998</v>
      </c>
      <c r="Z189">
        <f t="shared" si="77"/>
        <v>3.4986510836743414</v>
      </c>
      <c r="AA189">
        <f t="shared" si="78"/>
        <v>1.0757014260310553</v>
      </c>
      <c r="AB189">
        <f t="shared" si="79"/>
        <v>-121.68551615769137</v>
      </c>
      <c r="AC189">
        <f t="shared" si="80"/>
        <v>-140.9457309811842</v>
      </c>
      <c r="AD189">
        <f t="shared" si="81"/>
        <v>-13.564153833517826</v>
      </c>
      <c r="AE189">
        <f t="shared" si="82"/>
        <v>-7.8759358393455159E-2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52168.987601957167</v>
      </c>
      <c r="AK189">
        <f t="shared" si="86"/>
        <v>1800</v>
      </c>
      <c r="AL189">
        <f t="shared" si="87"/>
        <v>1499.1103133999998</v>
      </c>
      <c r="AM189">
        <f t="shared" si="88"/>
        <v>0.83283906299999988</v>
      </c>
      <c r="AN189">
        <f t="shared" si="89"/>
        <v>0.15339813422999998</v>
      </c>
      <c r="AO189">
        <v>30</v>
      </c>
      <c r="AP189">
        <v>0.5</v>
      </c>
      <c r="AQ189" t="s">
        <v>331</v>
      </c>
      <c r="AR189">
        <v>2</v>
      </c>
      <c r="AS189">
        <v>1690375606.0999999</v>
      </c>
      <c r="AT189">
        <v>373.84699999999998</v>
      </c>
      <c r="AU189">
        <v>799.95</v>
      </c>
      <c r="AV189">
        <v>27.024799999999999</v>
      </c>
      <c r="AW189">
        <v>0.18948599999999999</v>
      </c>
      <c r="AX189">
        <v>374.91699999999997</v>
      </c>
      <c r="AY189">
        <v>26.841999999999999</v>
      </c>
      <c r="AZ189">
        <v>300.13499999999999</v>
      </c>
      <c r="BA189">
        <v>98.699200000000005</v>
      </c>
      <c r="BB189">
        <v>9.9996000000000002E-2</v>
      </c>
      <c r="BC189">
        <v>26.613199999999999</v>
      </c>
      <c r="BD189">
        <v>27.001000000000001</v>
      </c>
      <c r="BE189">
        <v>27.816299999999998</v>
      </c>
      <c r="BF189">
        <v>0</v>
      </c>
      <c r="BG189">
        <v>0</v>
      </c>
      <c r="BH189">
        <v>9982.5</v>
      </c>
      <c r="BI189">
        <v>1085.8499999999999</v>
      </c>
      <c r="BJ189">
        <v>1.40446</v>
      </c>
      <c r="BK189">
        <v>-426.10300000000001</v>
      </c>
      <c r="BL189">
        <v>384.23099999999999</v>
      </c>
      <c r="BM189">
        <v>800.10199999999998</v>
      </c>
      <c r="BN189">
        <v>26.8353</v>
      </c>
      <c r="BO189">
        <v>799.95</v>
      </c>
      <c r="BP189">
        <v>0.18948599999999999</v>
      </c>
      <c r="BQ189">
        <v>2.6673300000000002</v>
      </c>
      <c r="BR189">
        <v>1.8702099999999999E-2</v>
      </c>
      <c r="BS189">
        <v>22.0852</v>
      </c>
      <c r="BT189">
        <v>-40.069699999999997</v>
      </c>
      <c r="BU189">
        <v>1800</v>
      </c>
      <c r="BV189">
        <v>0.90997799999999995</v>
      </c>
      <c r="BW189">
        <v>3.4000799999999998E-2</v>
      </c>
      <c r="BX189">
        <v>2.2008400000000001E-2</v>
      </c>
      <c r="BY189">
        <v>3.4012899999999999E-2</v>
      </c>
      <c r="BZ189">
        <v>25</v>
      </c>
      <c r="CA189">
        <v>33528.199999999997</v>
      </c>
      <c r="CB189">
        <v>1690373417</v>
      </c>
      <c r="CC189" t="s">
        <v>332</v>
      </c>
      <c r="CD189">
        <v>1690373417</v>
      </c>
      <c r="CE189">
        <v>1690373415</v>
      </c>
      <c r="CF189">
        <v>1</v>
      </c>
      <c r="CG189">
        <v>-1.319</v>
      </c>
      <c r="CH189">
        <v>0.01</v>
      </c>
      <c r="CI189">
        <v>-1.371</v>
      </c>
      <c r="CJ189">
        <v>0.183</v>
      </c>
      <c r="CK189">
        <v>800</v>
      </c>
      <c r="CL189">
        <v>21</v>
      </c>
      <c r="CM189">
        <v>0.09</v>
      </c>
      <c r="CN189">
        <v>7.0000000000000007E-2</v>
      </c>
      <c r="CO189">
        <v>-425.51007499999997</v>
      </c>
      <c r="CP189">
        <v>-3.4719287054393861</v>
      </c>
      <c r="CQ189">
        <v>0.33757150261093111</v>
      </c>
      <c r="CR189">
        <v>-1</v>
      </c>
      <c r="CS189">
        <v>26.804870000000001</v>
      </c>
      <c r="CT189">
        <v>0.16818011257039031</v>
      </c>
      <c r="CU189">
        <v>1.6194292204353769E-2</v>
      </c>
      <c r="CV189">
        <v>-1</v>
      </c>
      <c r="CW189">
        <v>0</v>
      </c>
      <c r="CX189">
        <v>0</v>
      </c>
      <c r="CY189" t="s">
        <v>333</v>
      </c>
      <c r="CZ189">
        <v>2.3654899999999999</v>
      </c>
      <c r="DA189">
        <v>2.7137699999999998</v>
      </c>
      <c r="DB189">
        <v>8.5015800000000002E-2</v>
      </c>
      <c r="DC189">
        <v>0.145728</v>
      </c>
      <c r="DD189">
        <v>0.12361</v>
      </c>
      <c r="DE189">
        <v>1.5910900000000001E-3</v>
      </c>
      <c r="DF189">
        <v>33427.599999999999</v>
      </c>
      <c r="DG189">
        <v>27527.599999999999</v>
      </c>
      <c r="DH189">
        <v>31185.3</v>
      </c>
      <c r="DI189">
        <v>28075.7</v>
      </c>
      <c r="DJ189">
        <v>37089.300000000003</v>
      </c>
      <c r="DK189">
        <v>39847.199999999997</v>
      </c>
      <c r="DL189">
        <v>44377.1</v>
      </c>
      <c r="DM189">
        <v>42530.5</v>
      </c>
      <c r="DN189">
        <v>1.48658</v>
      </c>
      <c r="DO189">
        <v>2.0616300000000001</v>
      </c>
      <c r="DP189">
        <v>0.111446</v>
      </c>
      <c r="DQ189">
        <v>0.165358</v>
      </c>
      <c r="DR189">
        <v>25.175799999999999</v>
      </c>
      <c r="DS189">
        <v>25.1097</v>
      </c>
      <c r="DT189">
        <v>31.8</v>
      </c>
      <c r="DU189">
        <v>25.7</v>
      </c>
      <c r="DV189">
        <v>10.680099999999999</v>
      </c>
      <c r="DW189">
        <v>61.7301</v>
      </c>
      <c r="DX189">
        <v>37.748399999999997</v>
      </c>
      <c r="DY189">
        <v>1</v>
      </c>
      <c r="DZ189">
        <v>-0.16802600000000001</v>
      </c>
      <c r="EA189">
        <v>-0.66662299999999997</v>
      </c>
      <c r="EB189">
        <v>20.1892</v>
      </c>
      <c r="EC189">
        <v>5.2401999999999997</v>
      </c>
      <c r="ED189">
        <v>12.039899999999999</v>
      </c>
      <c r="EE189">
        <v>5.0133999999999999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1.8687400000000001</v>
      </c>
      <c r="EL189">
        <v>1.86446</v>
      </c>
      <c r="EM189">
        <v>1.86907</v>
      </c>
      <c r="EN189">
        <v>1.8670800000000001</v>
      </c>
      <c r="EO189">
        <v>1.8632500000000001</v>
      </c>
      <c r="EP189">
        <v>1.8642799999999999</v>
      </c>
      <c r="EQ189">
        <v>1.8700300000000001</v>
      </c>
      <c r="ER189">
        <v>1.8693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-1.07</v>
      </c>
      <c r="FG189">
        <v>0.18279999999999999</v>
      </c>
      <c r="FH189">
        <v>-0.81947142863283695</v>
      </c>
      <c r="FI189">
        <v>-6.1462078757559423E-4</v>
      </c>
      <c r="FJ189">
        <v>-1.8861989874597051E-7</v>
      </c>
      <c r="FK189">
        <v>1.1980462299894961E-10</v>
      </c>
      <c r="FL189">
        <v>0.18283500000000069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36.5</v>
      </c>
      <c r="FU189">
        <v>36.5</v>
      </c>
      <c r="FV189">
        <v>1.7614700000000001</v>
      </c>
      <c r="FW189">
        <v>2.5585900000000001</v>
      </c>
      <c r="FX189">
        <v>1.5490699999999999</v>
      </c>
      <c r="FY189">
        <v>2.34497</v>
      </c>
      <c r="FZ189">
        <v>1.50146</v>
      </c>
      <c r="GA189">
        <v>2.2668499999999998</v>
      </c>
      <c r="GB189">
        <v>30.933499999999999</v>
      </c>
      <c r="GC189">
        <v>23.991199999999999</v>
      </c>
      <c r="GD189">
        <v>19</v>
      </c>
      <c r="GE189">
        <v>283.161</v>
      </c>
      <c r="GF189">
        <v>593.21299999999997</v>
      </c>
      <c r="GG189">
        <v>25.689</v>
      </c>
      <c r="GH189">
        <v>25.3171</v>
      </c>
      <c r="GI189">
        <v>30.0001</v>
      </c>
      <c r="GJ189">
        <v>25.425899999999999</v>
      </c>
      <c r="GK189">
        <v>25.3917</v>
      </c>
      <c r="GL189">
        <v>35.233899999999998</v>
      </c>
      <c r="GM189">
        <v>100</v>
      </c>
      <c r="GN189">
        <v>0.74886399999999997</v>
      </c>
      <c r="GO189">
        <v>25.688400000000001</v>
      </c>
      <c r="GP189">
        <v>800</v>
      </c>
      <c r="GQ189">
        <v>0</v>
      </c>
      <c r="GR189">
        <v>99.776399999999995</v>
      </c>
      <c r="GS189">
        <v>99.514499999999998</v>
      </c>
    </row>
    <row r="190" spans="1:201" x14ac:dyDescent="0.25">
      <c r="A190">
        <v>174</v>
      </c>
      <c r="B190">
        <v>1690375616.0999999</v>
      </c>
      <c r="C190">
        <v>1796.599999904633</v>
      </c>
      <c r="D190" t="s">
        <v>681</v>
      </c>
      <c r="E190" t="s">
        <v>682</v>
      </c>
      <c r="F190" t="s">
        <v>330</v>
      </c>
      <c r="H190">
        <v>1690375616.0999999</v>
      </c>
      <c r="I190">
        <f t="shared" si="60"/>
        <v>2.7619836375284788E-3</v>
      </c>
      <c r="J190">
        <f t="shared" si="61"/>
        <v>2.7619836375284788</v>
      </c>
      <c r="K190">
        <f t="shared" si="62"/>
        <v>41.66015068547248</v>
      </c>
      <c r="L190">
        <f t="shared" si="63"/>
        <v>373.26100000000002</v>
      </c>
      <c r="M190">
        <f t="shared" si="64"/>
        <v>100.82467328174643</v>
      </c>
      <c r="N190">
        <f t="shared" si="65"/>
        <v>9.9611526009950833</v>
      </c>
      <c r="O190">
        <f t="shared" si="66"/>
        <v>36.876983182579401</v>
      </c>
      <c r="P190">
        <f t="shared" si="67"/>
        <v>0.26221560709736996</v>
      </c>
      <c r="Q190">
        <f t="shared" si="68"/>
        <v>2.2524875862190221</v>
      </c>
      <c r="R190">
        <f t="shared" si="69"/>
        <v>0.24636105519514204</v>
      </c>
      <c r="S190">
        <f t="shared" si="70"/>
        <v>0.15532017932920089</v>
      </c>
      <c r="T190">
        <f t="shared" si="71"/>
        <v>276.116604516</v>
      </c>
      <c r="U190">
        <f t="shared" si="72"/>
        <v>27.769326198584888</v>
      </c>
      <c r="V190">
        <f t="shared" si="73"/>
        <v>27.769326198584888</v>
      </c>
      <c r="W190">
        <f t="shared" si="74"/>
        <v>3.7441069788522614</v>
      </c>
      <c r="X190">
        <f t="shared" si="75"/>
        <v>76.402782221574157</v>
      </c>
      <c r="Y190">
        <f t="shared" si="76"/>
        <v>2.6724527745700004</v>
      </c>
      <c r="Z190">
        <f t="shared" si="77"/>
        <v>3.4978474564181115</v>
      </c>
      <c r="AA190">
        <f t="shared" si="78"/>
        <v>1.071654204282261</v>
      </c>
      <c r="AB190">
        <f t="shared" si="79"/>
        <v>-121.80347841500591</v>
      </c>
      <c r="AC190">
        <f t="shared" si="80"/>
        <v>-140.86906992221412</v>
      </c>
      <c r="AD190">
        <f t="shared" si="81"/>
        <v>-13.522336882871176</v>
      </c>
      <c r="AE190">
        <f t="shared" si="82"/>
        <v>-7.8280704091213238E-2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52387.395949645361</v>
      </c>
      <c r="AK190">
        <f t="shared" si="86"/>
        <v>1800</v>
      </c>
      <c r="AL190">
        <f t="shared" si="87"/>
        <v>1499.1091685999997</v>
      </c>
      <c r="AM190">
        <f t="shared" si="88"/>
        <v>0.83283842699999988</v>
      </c>
      <c r="AN190">
        <f t="shared" si="89"/>
        <v>0.15339811362</v>
      </c>
      <c r="AO190">
        <v>30</v>
      </c>
      <c r="AP190">
        <v>0.5</v>
      </c>
      <c r="AQ190" t="s">
        <v>331</v>
      </c>
      <c r="AR190">
        <v>2</v>
      </c>
      <c r="AS190">
        <v>1690375616.0999999</v>
      </c>
      <c r="AT190">
        <v>373.26100000000002</v>
      </c>
      <c r="AU190">
        <v>799.98699999999997</v>
      </c>
      <c r="AV190">
        <v>27.05</v>
      </c>
      <c r="AW190">
        <v>0.18892</v>
      </c>
      <c r="AX190">
        <v>374.33100000000002</v>
      </c>
      <c r="AY190">
        <v>26.8672</v>
      </c>
      <c r="AZ190">
        <v>300.13</v>
      </c>
      <c r="BA190">
        <v>98.696799999999996</v>
      </c>
      <c r="BB190">
        <v>9.9975400000000006E-2</v>
      </c>
      <c r="BC190">
        <v>26.609300000000001</v>
      </c>
      <c r="BD190">
        <v>26.996600000000001</v>
      </c>
      <c r="BE190">
        <v>27.789200000000001</v>
      </c>
      <c r="BF190">
        <v>0</v>
      </c>
      <c r="BG190">
        <v>0</v>
      </c>
      <c r="BH190">
        <v>10026.200000000001</v>
      </c>
      <c r="BI190">
        <v>1085.93</v>
      </c>
      <c r="BJ190">
        <v>1.4016500000000001</v>
      </c>
      <c r="BK190">
        <v>-426.726</v>
      </c>
      <c r="BL190">
        <v>383.63900000000001</v>
      </c>
      <c r="BM190">
        <v>800.13900000000001</v>
      </c>
      <c r="BN190">
        <v>26.8611</v>
      </c>
      <c r="BO190">
        <v>799.98699999999997</v>
      </c>
      <c r="BP190">
        <v>0.18892</v>
      </c>
      <c r="BQ190">
        <v>2.6697500000000001</v>
      </c>
      <c r="BR190">
        <v>1.8645800000000001E-2</v>
      </c>
      <c r="BS190">
        <v>22.100100000000001</v>
      </c>
      <c r="BT190">
        <v>-40.098599999999998</v>
      </c>
      <c r="BU190">
        <v>1800</v>
      </c>
      <c r="BV190">
        <v>0.90997499999999998</v>
      </c>
      <c r="BW190">
        <v>3.4004399999999997E-2</v>
      </c>
      <c r="BX190">
        <v>2.2008099999999999E-2</v>
      </c>
      <c r="BY190">
        <v>3.4012399999999998E-2</v>
      </c>
      <c r="BZ190">
        <v>25</v>
      </c>
      <c r="CA190">
        <v>33528.199999999997</v>
      </c>
      <c r="CB190">
        <v>1690373417</v>
      </c>
      <c r="CC190" t="s">
        <v>332</v>
      </c>
      <c r="CD190">
        <v>1690373417</v>
      </c>
      <c r="CE190">
        <v>1690373415</v>
      </c>
      <c r="CF190">
        <v>1</v>
      </c>
      <c r="CG190">
        <v>-1.319</v>
      </c>
      <c r="CH190">
        <v>0.01</v>
      </c>
      <c r="CI190">
        <v>-1.371</v>
      </c>
      <c r="CJ190">
        <v>0.183</v>
      </c>
      <c r="CK190">
        <v>800</v>
      </c>
      <c r="CL190">
        <v>21</v>
      </c>
      <c r="CM190">
        <v>0.09</v>
      </c>
      <c r="CN190">
        <v>7.0000000000000007E-2</v>
      </c>
      <c r="CO190">
        <v>-426.11857500000008</v>
      </c>
      <c r="CP190">
        <v>-3.7617748592857159</v>
      </c>
      <c r="CQ190">
        <v>0.3644116413823783</v>
      </c>
      <c r="CR190">
        <v>-1</v>
      </c>
      <c r="CS190">
        <v>26.832952500000001</v>
      </c>
      <c r="CT190">
        <v>0.166024390243833</v>
      </c>
      <c r="CU190">
        <v>1.5995139691481398E-2</v>
      </c>
      <c r="CV190">
        <v>-1</v>
      </c>
      <c r="CW190">
        <v>0</v>
      </c>
      <c r="CX190">
        <v>0</v>
      </c>
      <c r="CY190" t="s">
        <v>333</v>
      </c>
      <c r="CZ190">
        <v>2.3654999999999999</v>
      </c>
      <c r="DA190">
        <v>2.7137899999999999</v>
      </c>
      <c r="DB190">
        <v>8.4910799999999995E-2</v>
      </c>
      <c r="DC190">
        <v>0.145729</v>
      </c>
      <c r="DD190">
        <v>0.12368700000000001</v>
      </c>
      <c r="DE190">
        <v>1.58635E-3</v>
      </c>
      <c r="DF190">
        <v>33431.5</v>
      </c>
      <c r="DG190">
        <v>27527.8</v>
      </c>
      <c r="DH190">
        <v>31185.4</v>
      </c>
      <c r="DI190">
        <v>28076</v>
      </c>
      <c r="DJ190">
        <v>37086.199999999997</v>
      </c>
      <c r="DK190">
        <v>39848</v>
      </c>
      <c r="DL190">
        <v>44377.4</v>
      </c>
      <c r="DM190">
        <v>42531.1</v>
      </c>
      <c r="DN190">
        <v>1.4866999999999999</v>
      </c>
      <c r="DO190">
        <v>2.0618500000000002</v>
      </c>
      <c r="DP190">
        <v>0.111043</v>
      </c>
      <c r="DQ190">
        <v>0.16353999999999999</v>
      </c>
      <c r="DR190">
        <v>25.177900000000001</v>
      </c>
      <c r="DS190">
        <v>25.112200000000001</v>
      </c>
      <c r="DT190">
        <v>31.7</v>
      </c>
      <c r="DU190">
        <v>25.7</v>
      </c>
      <c r="DV190">
        <v>10.646699999999999</v>
      </c>
      <c r="DW190">
        <v>61.900100000000002</v>
      </c>
      <c r="DX190">
        <v>37.948700000000002</v>
      </c>
      <c r="DY190">
        <v>1</v>
      </c>
      <c r="DZ190">
        <v>-0.16791900000000001</v>
      </c>
      <c r="EA190">
        <v>-0.67256300000000002</v>
      </c>
      <c r="EB190">
        <v>20.189</v>
      </c>
      <c r="EC190">
        <v>5.2406499999999996</v>
      </c>
      <c r="ED190">
        <v>12.039899999999999</v>
      </c>
      <c r="EE190">
        <v>5.0136500000000002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1.8687400000000001</v>
      </c>
      <c r="EL190">
        <v>1.8644700000000001</v>
      </c>
      <c r="EM190">
        <v>1.8690800000000001</v>
      </c>
      <c r="EN190">
        <v>1.8670899999999999</v>
      </c>
      <c r="EO190">
        <v>1.8632599999999999</v>
      </c>
      <c r="EP190">
        <v>1.8643099999999999</v>
      </c>
      <c r="EQ190">
        <v>1.8700600000000001</v>
      </c>
      <c r="ER190">
        <v>1.8693299999999999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-1.07</v>
      </c>
      <c r="FG190">
        <v>0.18279999999999999</v>
      </c>
      <c r="FH190">
        <v>-0.81947142863283695</v>
      </c>
      <c r="FI190">
        <v>-6.1462078757559423E-4</v>
      </c>
      <c r="FJ190">
        <v>-1.8861989874597051E-7</v>
      </c>
      <c r="FK190">
        <v>1.1980462299894961E-10</v>
      </c>
      <c r="FL190">
        <v>0.18283500000000069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36.700000000000003</v>
      </c>
      <c r="FU190">
        <v>36.700000000000003</v>
      </c>
      <c r="FV190">
        <v>1.7614700000000001</v>
      </c>
      <c r="FW190">
        <v>2.5573700000000001</v>
      </c>
      <c r="FX190">
        <v>1.5490699999999999</v>
      </c>
      <c r="FY190">
        <v>2.34375</v>
      </c>
      <c r="FZ190">
        <v>1.50146</v>
      </c>
      <c r="GA190">
        <v>2.34985</v>
      </c>
      <c r="GB190">
        <v>30.933499999999999</v>
      </c>
      <c r="GC190">
        <v>23.982399999999998</v>
      </c>
      <c r="GD190">
        <v>19</v>
      </c>
      <c r="GE190">
        <v>283.214</v>
      </c>
      <c r="GF190">
        <v>593.40200000000004</v>
      </c>
      <c r="GG190">
        <v>25.689499999999999</v>
      </c>
      <c r="GH190">
        <v>25.3171</v>
      </c>
      <c r="GI190">
        <v>30.0002</v>
      </c>
      <c r="GJ190">
        <v>25.425899999999999</v>
      </c>
      <c r="GK190">
        <v>25.3918</v>
      </c>
      <c r="GL190">
        <v>35.232999999999997</v>
      </c>
      <c r="GM190">
        <v>100</v>
      </c>
      <c r="GN190">
        <v>0</v>
      </c>
      <c r="GO190">
        <v>25.690899999999999</v>
      </c>
      <c r="GP190">
        <v>800</v>
      </c>
      <c r="GQ190">
        <v>0</v>
      </c>
      <c r="GR190">
        <v>99.776799999999994</v>
      </c>
      <c r="GS190">
        <v>99.515799999999999</v>
      </c>
    </row>
    <row r="191" spans="1:201" x14ac:dyDescent="0.25">
      <c r="A191">
        <v>175</v>
      </c>
      <c r="B191">
        <v>1690375626.0999999</v>
      </c>
      <c r="C191">
        <v>1806.599999904633</v>
      </c>
      <c r="D191" t="s">
        <v>683</v>
      </c>
      <c r="E191" t="s">
        <v>684</v>
      </c>
      <c r="F191" t="s">
        <v>330</v>
      </c>
      <c r="H191">
        <v>1690375626.0999999</v>
      </c>
      <c r="I191">
        <f t="shared" si="60"/>
        <v>2.7636931912932076E-3</v>
      </c>
      <c r="J191">
        <f t="shared" si="61"/>
        <v>2.7636931912932075</v>
      </c>
      <c r="K191">
        <f t="shared" si="62"/>
        <v>41.706170154225738</v>
      </c>
      <c r="L191">
        <f t="shared" si="63"/>
        <v>372.75200000000001</v>
      </c>
      <c r="M191">
        <f t="shared" si="64"/>
        <v>100.7335879528593</v>
      </c>
      <c r="N191">
        <f t="shared" si="65"/>
        <v>9.952091410857431</v>
      </c>
      <c r="O191">
        <f t="shared" si="66"/>
        <v>36.826465263164799</v>
      </c>
      <c r="P191">
        <f t="shared" si="67"/>
        <v>0.26291093556305933</v>
      </c>
      <c r="Q191">
        <f t="shared" si="68"/>
        <v>2.2568944375319817</v>
      </c>
      <c r="R191">
        <f t="shared" si="69"/>
        <v>0.24700402623112028</v>
      </c>
      <c r="S191">
        <f t="shared" si="70"/>
        <v>0.15572642411678028</v>
      </c>
      <c r="T191">
        <f t="shared" si="71"/>
        <v>276.11655568200001</v>
      </c>
      <c r="U191">
        <f t="shared" si="72"/>
        <v>27.76878988248993</v>
      </c>
      <c r="V191">
        <f t="shared" si="73"/>
        <v>27.76878988248993</v>
      </c>
      <c r="W191">
        <f t="shared" si="74"/>
        <v>3.7439897184567377</v>
      </c>
      <c r="X191">
        <f t="shared" si="75"/>
        <v>76.451313695751665</v>
      </c>
      <c r="Y191">
        <f t="shared" si="76"/>
        <v>2.6744811381281797</v>
      </c>
      <c r="Z191">
        <f t="shared" si="77"/>
        <v>3.4982801587578192</v>
      </c>
      <c r="AA191">
        <f t="shared" si="78"/>
        <v>1.069508580328558</v>
      </c>
      <c r="AB191">
        <f t="shared" si="79"/>
        <v>-121.87886973603045</v>
      </c>
      <c r="AC191">
        <f t="shared" si="80"/>
        <v>-140.82390114642459</v>
      </c>
      <c r="AD191">
        <f t="shared" si="81"/>
        <v>-13.491710735162096</v>
      </c>
      <c r="AE191">
        <f t="shared" si="82"/>
        <v>-7.7925935617116693E-2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52558.90358958974</v>
      </c>
      <c r="AK191">
        <f t="shared" si="86"/>
        <v>1800</v>
      </c>
      <c r="AL191">
        <f t="shared" si="87"/>
        <v>1499.1079932</v>
      </c>
      <c r="AM191">
        <f t="shared" si="88"/>
        <v>0.83283777400000003</v>
      </c>
      <c r="AN191">
        <f t="shared" si="89"/>
        <v>0.15339808649</v>
      </c>
      <c r="AO191">
        <v>30</v>
      </c>
      <c r="AP191">
        <v>0.5</v>
      </c>
      <c r="AQ191" t="s">
        <v>331</v>
      </c>
      <c r="AR191">
        <v>2</v>
      </c>
      <c r="AS191">
        <v>1690375626.0999999</v>
      </c>
      <c r="AT191">
        <v>372.75200000000001</v>
      </c>
      <c r="AU191">
        <v>800.02</v>
      </c>
      <c r="AV191">
        <v>27.070699999999999</v>
      </c>
      <c r="AW191">
        <v>0.18792300000000001</v>
      </c>
      <c r="AX191">
        <v>373.82100000000003</v>
      </c>
      <c r="AY191">
        <v>26.887899999999998</v>
      </c>
      <c r="AZ191">
        <v>300.06700000000001</v>
      </c>
      <c r="BA191">
        <v>98.696200000000005</v>
      </c>
      <c r="BB191">
        <v>9.9957400000000002E-2</v>
      </c>
      <c r="BC191">
        <v>26.6114</v>
      </c>
      <c r="BD191">
        <v>26.998699999999999</v>
      </c>
      <c r="BE191">
        <v>27.796800000000001</v>
      </c>
      <c r="BF191">
        <v>0</v>
      </c>
      <c r="BG191">
        <v>0</v>
      </c>
      <c r="BH191">
        <v>10060.6</v>
      </c>
      <c r="BI191">
        <v>1085.96</v>
      </c>
      <c r="BJ191">
        <v>1.41567</v>
      </c>
      <c r="BK191">
        <v>-427.26900000000001</v>
      </c>
      <c r="BL191">
        <v>383.12299999999999</v>
      </c>
      <c r="BM191">
        <v>800.17100000000005</v>
      </c>
      <c r="BN191">
        <v>26.8828</v>
      </c>
      <c r="BO191">
        <v>800.02</v>
      </c>
      <c r="BP191">
        <v>0.18792300000000001</v>
      </c>
      <c r="BQ191">
        <v>2.67178</v>
      </c>
      <c r="BR191">
        <v>1.8547299999999999E-2</v>
      </c>
      <c r="BS191">
        <v>22.112500000000001</v>
      </c>
      <c r="BT191">
        <v>-40.149299999999997</v>
      </c>
      <c r="BU191">
        <v>1800</v>
      </c>
      <c r="BV191">
        <v>0.909972</v>
      </c>
      <c r="BW191">
        <v>3.4008099999999999E-2</v>
      </c>
      <c r="BX191">
        <v>2.2007700000000002E-2</v>
      </c>
      <c r="BY191">
        <v>3.4011899999999998E-2</v>
      </c>
      <c r="BZ191">
        <v>25</v>
      </c>
      <c r="CA191">
        <v>33528.1</v>
      </c>
      <c r="CB191">
        <v>1690373417</v>
      </c>
      <c r="CC191" t="s">
        <v>332</v>
      </c>
      <c r="CD191">
        <v>1690373417</v>
      </c>
      <c r="CE191">
        <v>1690373415</v>
      </c>
      <c r="CF191">
        <v>1</v>
      </c>
      <c r="CG191">
        <v>-1.319</v>
      </c>
      <c r="CH191">
        <v>0.01</v>
      </c>
      <c r="CI191">
        <v>-1.371</v>
      </c>
      <c r="CJ191">
        <v>0.183</v>
      </c>
      <c r="CK191">
        <v>800</v>
      </c>
      <c r="CL191">
        <v>21</v>
      </c>
      <c r="CM191">
        <v>0.09</v>
      </c>
      <c r="CN191">
        <v>7.0000000000000007E-2</v>
      </c>
      <c r="CO191">
        <v>-426.71235000000001</v>
      </c>
      <c r="CP191">
        <v>-3.368082551593345</v>
      </c>
      <c r="CQ191">
        <v>0.32671383120400999</v>
      </c>
      <c r="CR191">
        <v>-1</v>
      </c>
      <c r="CS191">
        <v>26.858202500000001</v>
      </c>
      <c r="CT191">
        <v>0.13556960600374779</v>
      </c>
      <c r="CU191">
        <v>1.307840753876412E-2</v>
      </c>
      <c r="CV191">
        <v>-1</v>
      </c>
      <c r="CW191">
        <v>0</v>
      </c>
      <c r="CX191">
        <v>0</v>
      </c>
      <c r="CY191" t="s">
        <v>333</v>
      </c>
      <c r="CZ191">
        <v>2.3652700000000002</v>
      </c>
      <c r="DA191">
        <v>2.7138</v>
      </c>
      <c r="DB191">
        <v>8.4820499999999993E-2</v>
      </c>
      <c r="DC191">
        <v>0.145731</v>
      </c>
      <c r="DD191">
        <v>0.123752</v>
      </c>
      <c r="DE191">
        <v>1.5780499999999999E-3</v>
      </c>
      <c r="DF191">
        <v>33434.400000000001</v>
      </c>
      <c r="DG191">
        <v>27527.599999999999</v>
      </c>
      <c r="DH191">
        <v>31185.1</v>
      </c>
      <c r="DI191">
        <v>28075.8</v>
      </c>
      <c r="DJ191">
        <v>37083</v>
      </c>
      <c r="DK191">
        <v>39848</v>
      </c>
      <c r="DL191">
        <v>44376.9</v>
      </c>
      <c r="DM191">
        <v>42530.7</v>
      </c>
      <c r="DN191">
        <v>1.48668</v>
      </c>
      <c r="DO191">
        <v>2.0615000000000001</v>
      </c>
      <c r="DP191">
        <v>0.11117</v>
      </c>
      <c r="DQ191">
        <v>0.16400999999999999</v>
      </c>
      <c r="DR191">
        <v>25.177900000000001</v>
      </c>
      <c r="DS191">
        <v>25.112200000000001</v>
      </c>
      <c r="DT191">
        <v>31.6</v>
      </c>
      <c r="DU191">
        <v>25.7</v>
      </c>
      <c r="DV191">
        <v>10.612500000000001</v>
      </c>
      <c r="DW191">
        <v>61.260100000000001</v>
      </c>
      <c r="DX191">
        <v>38.032899999999998</v>
      </c>
      <c r="DY191">
        <v>1</v>
      </c>
      <c r="DZ191">
        <v>-0.16781299999999999</v>
      </c>
      <c r="EA191">
        <v>-0.67947999999999997</v>
      </c>
      <c r="EB191">
        <v>20.1889</v>
      </c>
      <c r="EC191">
        <v>5.2403500000000003</v>
      </c>
      <c r="ED191">
        <v>12.039899999999999</v>
      </c>
      <c r="EE191">
        <v>5.0136500000000002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1.86876</v>
      </c>
      <c r="EL191">
        <v>1.8644700000000001</v>
      </c>
      <c r="EM191">
        <v>1.8690899999999999</v>
      </c>
      <c r="EN191">
        <v>1.8670800000000001</v>
      </c>
      <c r="EO191">
        <v>1.8632500000000001</v>
      </c>
      <c r="EP191">
        <v>1.8642799999999999</v>
      </c>
      <c r="EQ191">
        <v>1.8700600000000001</v>
      </c>
      <c r="ER191">
        <v>1.86931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-1.069</v>
      </c>
      <c r="FG191">
        <v>0.18279999999999999</v>
      </c>
      <c r="FH191">
        <v>-0.81947142863283695</v>
      </c>
      <c r="FI191">
        <v>-6.1462078757559423E-4</v>
      </c>
      <c r="FJ191">
        <v>-1.8861989874597051E-7</v>
      </c>
      <c r="FK191">
        <v>1.1980462299894961E-10</v>
      </c>
      <c r="FL191">
        <v>0.18283500000000069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36.799999999999997</v>
      </c>
      <c r="FU191">
        <v>36.9</v>
      </c>
      <c r="FV191">
        <v>1.7614700000000001</v>
      </c>
      <c r="FW191">
        <v>2.5573700000000001</v>
      </c>
      <c r="FX191">
        <v>1.5490699999999999</v>
      </c>
      <c r="FY191">
        <v>2.34375</v>
      </c>
      <c r="FZ191">
        <v>1.50146</v>
      </c>
      <c r="GA191">
        <v>2.3645</v>
      </c>
      <c r="GB191">
        <v>30.955200000000001</v>
      </c>
      <c r="GC191">
        <v>23.991199999999999</v>
      </c>
      <c r="GD191">
        <v>19</v>
      </c>
      <c r="GE191">
        <v>283.20699999999999</v>
      </c>
      <c r="GF191">
        <v>593.13400000000001</v>
      </c>
      <c r="GG191">
        <v>25.694800000000001</v>
      </c>
      <c r="GH191">
        <v>25.318899999999999</v>
      </c>
      <c r="GI191">
        <v>30.0001</v>
      </c>
      <c r="GJ191">
        <v>25.4267</v>
      </c>
      <c r="GK191">
        <v>25.393799999999999</v>
      </c>
      <c r="GL191">
        <v>35.231099999999998</v>
      </c>
      <c r="GM191">
        <v>100</v>
      </c>
      <c r="GN191">
        <v>0</v>
      </c>
      <c r="GO191">
        <v>25.691199999999998</v>
      </c>
      <c r="GP191">
        <v>800</v>
      </c>
      <c r="GQ191">
        <v>0</v>
      </c>
      <c r="GR191">
        <v>99.775800000000004</v>
      </c>
      <c r="GS191">
        <v>99.515100000000004</v>
      </c>
    </row>
    <row r="192" spans="1:201" x14ac:dyDescent="0.25">
      <c r="A192">
        <v>176</v>
      </c>
      <c r="B192">
        <v>1690375636.0999999</v>
      </c>
      <c r="C192">
        <v>1816.599999904633</v>
      </c>
      <c r="D192" t="s">
        <v>685</v>
      </c>
      <c r="E192" t="s">
        <v>686</v>
      </c>
      <c r="F192" t="s">
        <v>330</v>
      </c>
      <c r="H192">
        <v>1690375636.0999999</v>
      </c>
      <c r="I192">
        <f t="shared" si="60"/>
        <v>2.765697453260552E-3</v>
      </c>
      <c r="J192">
        <f t="shared" si="61"/>
        <v>2.7656974532605521</v>
      </c>
      <c r="K192">
        <f t="shared" si="62"/>
        <v>41.754290809374176</v>
      </c>
      <c r="L192">
        <f t="shared" si="63"/>
        <v>372.15199999999999</v>
      </c>
      <c r="M192">
        <f t="shared" si="64"/>
        <v>100.36432103674329</v>
      </c>
      <c r="N192">
        <f t="shared" si="65"/>
        <v>9.9157210743802899</v>
      </c>
      <c r="O192">
        <f t="shared" si="66"/>
        <v>36.767602183267996</v>
      </c>
      <c r="P192">
        <f t="shared" si="67"/>
        <v>0.26351615155369373</v>
      </c>
      <c r="Q192">
        <f t="shared" si="68"/>
        <v>2.2475937956850438</v>
      </c>
      <c r="R192">
        <f t="shared" si="69"/>
        <v>0.24747651217152425</v>
      </c>
      <c r="S192">
        <f t="shared" si="70"/>
        <v>0.15603249405564484</v>
      </c>
      <c r="T192">
        <f t="shared" si="71"/>
        <v>276.11497349740284</v>
      </c>
      <c r="U192">
        <f t="shared" si="72"/>
        <v>27.775280597955195</v>
      </c>
      <c r="V192">
        <f t="shared" si="73"/>
        <v>27.775280597955195</v>
      </c>
      <c r="W192">
        <f t="shared" si="74"/>
        <v>3.7454090667500579</v>
      </c>
      <c r="X192">
        <f t="shared" si="75"/>
        <v>76.515807746587683</v>
      </c>
      <c r="Y192">
        <f t="shared" si="76"/>
        <v>2.6771788239255501</v>
      </c>
      <c r="Z192">
        <f t="shared" si="77"/>
        <v>3.4988571679097804</v>
      </c>
      <c r="AA192">
        <f t="shared" si="78"/>
        <v>1.0682302428245078</v>
      </c>
      <c r="AB192">
        <f t="shared" si="79"/>
        <v>-121.96725768879034</v>
      </c>
      <c r="AC192">
        <f t="shared" si="80"/>
        <v>-140.69077950148997</v>
      </c>
      <c r="AD192">
        <f t="shared" si="81"/>
        <v>-13.535362127262047</v>
      </c>
      <c r="AE192">
        <f t="shared" si="82"/>
        <v>-7.8425820139500502E-2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52196.041457801453</v>
      </c>
      <c r="AK192">
        <f t="shared" si="86"/>
        <v>1799.99</v>
      </c>
      <c r="AL192">
        <f t="shared" si="87"/>
        <v>1499.1001004198397</v>
      </c>
      <c r="AM192">
        <f t="shared" si="88"/>
        <v>0.83283801599999985</v>
      </c>
      <c r="AN192">
        <f t="shared" si="89"/>
        <v>0.15339805970999998</v>
      </c>
      <c r="AO192">
        <v>30</v>
      </c>
      <c r="AP192">
        <v>0.5</v>
      </c>
      <c r="AQ192" t="s">
        <v>331</v>
      </c>
      <c r="AR192">
        <v>2</v>
      </c>
      <c r="AS192">
        <v>1690375636.0999999</v>
      </c>
      <c r="AT192">
        <v>372.15199999999999</v>
      </c>
      <c r="AU192">
        <v>800.03599999999994</v>
      </c>
      <c r="AV192">
        <v>27.0977</v>
      </c>
      <c r="AW192">
        <v>0.187116</v>
      </c>
      <c r="AX192">
        <v>373.221</v>
      </c>
      <c r="AY192">
        <v>26.9148</v>
      </c>
      <c r="AZ192">
        <v>299.96600000000001</v>
      </c>
      <c r="BA192">
        <v>98.697400000000002</v>
      </c>
      <c r="BB192">
        <v>9.9871500000000002E-2</v>
      </c>
      <c r="BC192">
        <v>26.6142</v>
      </c>
      <c r="BD192">
        <v>27.002099999999999</v>
      </c>
      <c r="BE192">
        <v>27.803599999999999</v>
      </c>
      <c r="BF192">
        <v>0</v>
      </c>
      <c r="BG192">
        <v>0</v>
      </c>
      <c r="BH192">
        <v>9988.1200000000008</v>
      </c>
      <c r="BI192">
        <v>1085.9100000000001</v>
      </c>
      <c r="BJ192">
        <v>1.40446</v>
      </c>
      <c r="BK192">
        <v>-427.88400000000001</v>
      </c>
      <c r="BL192">
        <v>382.517</v>
      </c>
      <c r="BM192">
        <v>800.18499999999995</v>
      </c>
      <c r="BN192">
        <v>26.910599999999999</v>
      </c>
      <c r="BO192">
        <v>800.03599999999994</v>
      </c>
      <c r="BP192">
        <v>0.187116</v>
      </c>
      <c r="BQ192">
        <v>2.6744699999999999</v>
      </c>
      <c r="BR192">
        <v>1.8467899999999999E-2</v>
      </c>
      <c r="BS192">
        <v>22.129100000000001</v>
      </c>
      <c r="BT192">
        <v>-40.190300000000001</v>
      </c>
      <c r="BU192">
        <v>1799.99</v>
      </c>
      <c r="BV192">
        <v>0.90997399999999995</v>
      </c>
      <c r="BW192">
        <v>3.40074E-2</v>
      </c>
      <c r="BX192">
        <v>2.20073E-2</v>
      </c>
      <c r="BY192">
        <v>3.4011100000000002E-2</v>
      </c>
      <c r="BZ192">
        <v>25</v>
      </c>
      <c r="CA192">
        <v>33528</v>
      </c>
      <c r="CB192">
        <v>1690373417</v>
      </c>
      <c r="CC192" t="s">
        <v>332</v>
      </c>
      <c r="CD192">
        <v>1690373417</v>
      </c>
      <c r="CE192">
        <v>1690373415</v>
      </c>
      <c r="CF192">
        <v>1</v>
      </c>
      <c r="CG192">
        <v>-1.319</v>
      </c>
      <c r="CH192">
        <v>0.01</v>
      </c>
      <c r="CI192">
        <v>-1.371</v>
      </c>
      <c r="CJ192">
        <v>0.183</v>
      </c>
      <c r="CK192">
        <v>800</v>
      </c>
      <c r="CL192">
        <v>21</v>
      </c>
      <c r="CM192">
        <v>0.09</v>
      </c>
      <c r="CN192">
        <v>7.0000000000000007E-2</v>
      </c>
      <c r="CO192">
        <v>-427.24257499999999</v>
      </c>
      <c r="CP192">
        <v>-3.1130769230759112</v>
      </c>
      <c r="CQ192">
        <v>0.3008248566441899</v>
      </c>
      <c r="CR192">
        <v>-1</v>
      </c>
      <c r="CS192">
        <v>26.881015000000001</v>
      </c>
      <c r="CT192">
        <v>0.1405170731706798</v>
      </c>
      <c r="CU192">
        <v>1.3589491344417681E-2</v>
      </c>
      <c r="CV192">
        <v>-1</v>
      </c>
      <c r="CW192">
        <v>0</v>
      </c>
      <c r="CX192">
        <v>0</v>
      </c>
      <c r="CY192" t="s">
        <v>333</v>
      </c>
      <c r="CZ192">
        <v>2.3649499999999999</v>
      </c>
      <c r="DA192">
        <v>2.7136499999999999</v>
      </c>
      <c r="DB192">
        <v>8.4715700000000005E-2</v>
      </c>
      <c r="DC192">
        <v>0.145735</v>
      </c>
      <c r="DD192">
        <v>0.123839</v>
      </c>
      <c r="DE192">
        <v>1.57138E-3</v>
      </c>
      <c r="DF192">
        <v>33438.1</v>
      </c>
      <c r="DG192">
        <v>27527.599999999999</v>
      </c>
      <c r="DH192">
        <v>31184.9</v>
      </c>
      <c r="DI192">
        <v>28075.9</v>
      </c>
      <c r="DJ192">
        <v>37079.1</v>
      </c>
      <c r="DK192">
        <v>39848.6</v>
      </c>
      <c r="DL192">
        <v>44376.7</v>
      </c>
      <c r="DM192">
        <v>42531.1</v>
      </c>
      <c r="DN192">
        <v>1.4862500000000001</v>
      </c>
      <c r="DO192">
        <v>2.0615800000000002</v>
      </c>
      <c r="DP192">
        <v>0.111252</v>
      </c>
      <c r="DQ192">
        <v>0.16455400000000001</v>
      </c>
      <c r="DR192">
        <v>25.18</v>
      </c>
      <c r="DS192">
        <v>25.110099999999999</v>
      </c>
      <c r="DT192">
        <v>31.5</v>
      </c>
      <c r="DU192">
        <v>25.7</v>
      </c>
      <c r="DV192">
        <v>10.58</v>
      </c>
      <c r="DW192">
        <v>61.850099999999998</v>
      </c>
      <c r="DX192">
        <v>38.128999999999998</v>
      </c>
      <c r="DY192">
        <v>1</v>
      </c>
      <c r="DZ192">
        <v>-0.16787299999999999</v>
      </c>
      <c r="EA192">
        <v>-0.670408</v>
      </c>
      <c r="EB192">
        <v>20.189</v>
      </c>
      <c r="EC192">
        <v>5.2404999999999999</v>
      </c>
      <c r="ED192">
        <v>12.039899999999999</v>
      </c>
      <c r="EE192">
        <v>5.01335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1.8687400000000001</v>
      </c>
      <c r="EL192">
        <v>1.86446</v>
      </c>
      <c r="EM192">
        <v>1.86911</v>
      </c>
      <c r="EN192">
        <v>1.8670800000000001</v>
      </c>
      <c r="EO192">
        <v>1.8632500000000001</v>
      </c>
      <c r="EP192">
        <v>1.8643000000000001</v>
      </c>
      <c r="EQ192">
        <v>1.8700699999999999</v>
      </c>
      <c r="ER192">
        <v>1.8693200000000001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-1.069</v>
      </c>
      <c r="FG192">
        <v>0.18290000000000001</v>
      </c>
      <c r="FH192">
        <v>-0.81947142863283695</v>
      </c>
      <c r="FI192">
        <v>-6.1462078757559423E-4</v>
      </c>
      <c r="FJ192">
        <v>-1.8861989874597051E-7</v>
      </c>
      <c r="FK192">
        <v>1.1980462299894961E-10</v>
      </c>
      <c r="FL192">
        <v>0.18283500000000069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37</v>
      </c>
      <c r="FU192">
        <v>37</v>
      </c>
      <c r="FV192">
        <v>1.7626999999999999</v>
      </c>
      <c r="FW192">
        <v>2.5585900000000001</v>
      </c>
      <c r="FX192">
        <v>1.5490699999999999</v>
      </c>
      <c r="FY192">
        <v>2.34375</v>
      </c>
      <c r="FZ192">
        <v>1.50146</v>
      </c>
      <c r="GA192">
        <v>2.36938</v>
      </c>
      <c r="GB192">
        <v>30.955200000000001</v>
      </c>
      <c r="GC192">
        <v>23.991199999999999</v>
      </c>
      <c r="GD192">
        <v>19</v>
      </c>
      <c r="GE192">
        <v>283.03300000000002</v>
      </c>
      <c r="GF192">
        <v>593.197</v>
      </c>
      <c r="GG192">
        <v>25.692399999999999</v>
      </c>
      <c r="GH192">
        <v>25.319199999999999</v>
      </c>
      <c r="GI192">
        <v>30</v>
      </c>
      <c r="GJ192">
        <v>25.428100000000001</v>
      </c>
      <c r="GK192">
        <v>25.393799999999999</v>
      </c>
      <c r="GL192">
        <v>35.231999999999999</v>
      </c>
      <c r="GM192">
        <v>100</v>
      </c>
      <c r="GN192">
        <v>0</v>
      </c>
      <c r="GO192">
        <v>25.692299999999999</v>
      </c>
      <c r="GP192">
        <v>800</v>
      </c>
      <c r="GQ192">
        <v>0</v>
      </c>
      <c r="GR192">
        <v>99.775400000000005</v>
      </c>
      <c r="GS192">
        <v>99.515799999999999</v>
      </c>
    </row>
    <row r="193" spans="1:201" x14ac:dyDescent="0.25">
      <c r="A193">
        <v>177</v>
      </c>
      <c r="B193">
        <v>1690375646.0999999</v>
      </c>
      <c r="C193">
        <v>1826.599999904633</v>
      </c>
      <c r="D193" t="s">
        <v>687</v>
      </c>
      <c r="E193" t="s">
        <v>688</v>
      </c>
      <c r="F193" t="s">
        <v>330</v>
      </c>
      <c r="H193">
        <v>1690375646.0999999</v>
      </c>
      <c r="I193">
        <f t="shared" si="60"/>
        <v>2.7692098227226495E-3</v>
      </c>
      <c r="J193">
        <f t="shared" si="61"/>
        <v>2.7692098227226496</v>
      </c>
      <c r="K193">
        <f t="shared" si="62"/>
        <v>41.809886622397038</v>
      </c>
      <c r="L193">
        <f t="shared" si="63"/>
        <v>371.642</v>
      </c>
      <c r="M193">
        <f t="shared" si="64"/>
        <v>100.9289209761337</v>
      </c>
      <c r="N193">
        <f t="shared" si="65"/>
        <v>9.9715920364786363</v>
      </c>
      <c r="O193">
        <f t="shared" si="66"/>
        <v>36.717547079467003</v>
      </c>
      <c r="P193">
        <f t="shared" si="67"/>
        <v>0.26495921196535466</v>
      </c>
      <c r="Q193">
        <f t="shared" si="68"/>
        <v>2.2526729269345718</v>
      </c>
      <c r="R193">
        <f t="shared" si="69"/>
        <v>0.24878337206445805</v>
      </c>
      <c r="S193">
        <f t="shared" si="70"/>
        <v>0.15686058018941693</v>
      </c>
      <c r="T193">
        <f t="shared" si="71"/>
        <v>276.11633861999996</v>
      </c>
      <c r="U193">
        <f t="shared" si="72"/>
        <v>27.768340146902009</v>
      </c>
      <c r="V193">
        <f t="shared" si="73"/>
        <v>27.768340146902009</v>
      </c>
      <c r="W193">
        <f t="shared" si="74"/>
        <v>3.7438913905329736</v>
      </c>
      <c r="X193">
        <f t="shared" si="75"/>
        <v>76.609492045593882</v>
      </c>
      <c r="Y193">
        <f t="shared" si="76"/>
        <v>2.6799199445702002</v>
      </c>
      <c r="Z193">
        <f t="shared" si="77"/>
        <v>3.4981565247492501</v>
      </c>
      <c r="AA193">
        <f t="shared" si="78"/>
        <v>1.0639714459627734</v>
      </c>
      <c r="AB193">
        <f t="shared" si="79"/>
        <v>-122.12215318206884</v>
      </c>
      <c r="AC193">
        <f t="shared" si="80"/>
        <v>-140.57873971849767</v>
      </c>
      <c r="AD193">
        <f t="shared" si="81"/>
        <v>-13.493391604935303</v>
      </c>
      <c r="AE193">
        <f t="shared" si="82"/>
        <v>-7.7945885501861767E-2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52394.3873688241</v>
      </c>
      <c r="AK193">
        <f t="shared" si="86"/>
        <v>1800</v>
      </c>
      <c r="AL193">
        <f t="shared" si="87"/>
        <v>1499.1087150000001</v>
      </c>
      <c r="AM193">
        <f t="shared" si="88"/>
        <v>0.83283817500000001</v>
      </c>
      <c r="AN193">
        <f t="shared" si="89"/>
        <v>0.15339796589999999</v>
      </c>
      <c r="AO193">
        <v>30</v>
      </c>
      <c r="AP193">
        <v>0.5</v>
      </c>
      <c r="AQ193" t="s">
        <v>331</v>
      </c>
      <c r="AR193">
        <v>2</v>
      </c>
      <c r="AS193">
        <v>1690375646.0999999</v>
      </c>
      <c r="AT193">
        <v>371.642</v>
      </c>
      <c r="AU193">
        <v>800.00099999999998</v>
      </c>
      <c r="AV193">
        <v>27.1252</v>
      </c>
      <c r="AW193">
        <v>0.18623100000000001</v>
      </c>
      <c r="AX193">
        <v>372.71100000000001</v>
      </c>
      <c r="AY193">
        <v>26.942299999999999</v>
      </c>
      <c r="AZ193">
        <v>300.02199999999999</v>
      </c>
      <c r="BA193">
        <v>98.6982</v>
      </c>
      <c r="BB193">
        <v>9.9963499999999997E-2</v>
      </c>
      <c r="BC193">
        <v>26.610800000000001</v>
      </c>
      <c r="BD193">
        <v>27.003699999999998</v>
      </c>
      <c r="BE193">
        <v>27.7773</v>
      </c>
      <c r="BF193">
        <v>0</v>
      </c>
      <c r="BG193">
        <v>0</v>
      </c>
      <c r="BH193">
        <v>10027.5</v>
      </c>
      <c r="BI193">
        <v>1085.96</v>
      </c>
      <c r="BJ193">
        <v>1.4128700000000001</v>
      </c>
      <c r="BK193">
        <v>-428.35899999999998</v>
      </c>
      <c r="BL193">
        <v>382.00400000000002</v>
      </c>
      <c r="BM193">
        <v>800.15</v>
      </c>
      <c r="BN193">
        <v>26.9389</v>
      </c>
      <c r="BO193">
        <v>800.00099999999998</v>
      </c>
      <c r="BP193">
        <v>0.18623100000000001</v>
      </c>
      <c r="BQ193">
        <v>2.6772</v>
      </c>
      <c r="BR193">
        <v>1.83806E-2</v>
      </c>
      <c r="BS193">
        <v>22.145900000000001</v>
      </c>
      <c r="BT193">
        <v>-40.235500000000002</v>
      </c>
      <c r="BU193">
        <v>1800</v>
      </c>
      <c r="BV193">
        <v>0.90997700000000004</v>
      </c>
      <c r="BW193">
        <v>3.40062E-2</v>
      </c>
      <c r="BX193">
        <v>2.2006499999999998E-2</v>
      </c>
      <c r="BY193">
        <v>3.4009999999999999E-2</v>
      </c>
      <c r="BZ193">
        <v>25</v>
      </c>
      <c r="CA193">
        <v>33528.199999999997</v>
      </c>
      <c r="CB193">
        <v>1690373417</v>
      </c>
      <c r="CC193" t="s">
        <v>332</v>
      </c>
      <c r="CD193">
        <v>1690373417</v>
      </c>
      <c r="CE193">
        <v>1690373415</v>
      </c>
      <c r="CF193">
        <v>1</v>
      </c>
      <c r="CG193">
        <v>-1.319</v>
      </c>
      <c r="CH193">
        <v>0.01</v>
      </c>
      <c r="CI193">
        <v>-1.371</v>
      </c>
      <c r="CJ193">
        <v>0.183</v>
      </c>
      <c r="CK193">
        <v>800</v>
      </c>
      <c r="CL193">
        <v>21</v>
      </c>
      <c r="CM193">
        <v>0.09</v>
      </c>
      <c r="CN193">
        <v>7.0000000000000007E-2</v>
      </c>
      <c r="CO193">
        <v>-427.73899999999998</v>
      </c>
      <c r="CP193">
        <v>-3.2998327526134359</v>
      </c>
      <c r="CQ193">
        <v>0.32710354890663529</v>
      </c>
      <c r="CR193">
        <v>-1</v>
      </c>
      <c r="CS193">
        <v>26.905582926829268</v>
      </c>
      <c r="CT193">
        <v>0.17593379790941319</v>
      </c>
      <c r="CU193">
        <v>1.7380685978758349E-2</v>
      </c>
      <c r="CV193">
        <v>-1</v>
      </c>
      <c r="CW193">
        <v>0</v>
      </c>
      <c r="CX193">
        <v>0</v>
      </c>
      <c r="CY193" t="s">
        <v>333</v>
      </c>
      <c r="CZ193">
        <v>2.3651499999999999</v>
      </c>
      <c r="DA193">
        <v>2.7137799999999999</v>
      </c>
      <c r="DB193">
        <v>8.4626599999999996E-2</v>
      </c>
      <c r="DC193">
        <v>0.145732</v>
      </c>
      <c r="DD193">
        <v>0.123927</v>
      </c>
      <c r="DE193">
        <v>1.56404E-3</v>
      </c>
      <c r="DF193">
        <v>33441.9</v>
      </c>
      <c r="DG193">
        <v>27527.8</v>
      </c>
      <c r="DH193">
        <v>31185.4</v>
      </c>
      <c r="DI193">
        <v>28076.1</v>
      </c>
      <c r="DJ193">
        <v>37075.9</v>
      </c>
      <c r="DK193">
        <v>39849.1</v>
      </c>
      <c r="DL193">
        <v>44377.4</v>
      </c>
      <c r="DM193">
        <v>42531.3</v>
      </c>
      <c r="DN193">
        <v>1.48658</v>
      </c>
      <c r="DO193">
        <v>2.06135</v>
      </c>
      <c r="DP193">
        <v>0.111349</v>
      </c>
      <c r="DQ193">
        <v>0.16294400000000001</v>
      </c>
      <c r="DR193">
        <v>25.18</v>
      </c>
      <c r="DS193">
        <v>25.110099999999999</v>
      </c>
      <c r="DT193">
        <v>31.4</v>
      </c>
      <c r="DU193">
        <v>25.7</v>
      </c>
      <c r="DV193">
        <v>10.545500000000001</v>
      </c>
      <c r="DW193">
        <v>61.390099999999997</v>
      </c>
      <c r="DX193">
        <v>38.052900000000001</v>
      </c>
      <c r="DY193">
        <v>1</v>
      </c>
      <c r="DZ193">
        <v>-0.167602</v>
      </c>
      <c r="EA193">
        <v>-0.67014700000000005</v>
      </c>
      <c r="EB193">
        <v>20.1891</v>
      </c>
      <c r="EC193">
        <v>5.2404999999999999</v>
      </c>
      <c r="ED193">
        <v>12.039899999999999</v>
      </c>
      <c r="EE193">
        <v>5.0137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1.8687400000000001</v>
      </c>
      <c r="EL193">
        <v>1.86446</v>
      </c>
      <c r="EM193">
        <v>1.8691</v>
      </c>
      <c r="EN193">
        <v>1.8670800000000001</v>
      </c>
      <c r="EO193">
        <v>1.8632500000000001</v>
      </c>
      <c r="EP193">
        <v>1.86426</v>
      </c>
      <c r="EQ193">
        <v>1.8700600000000001</v>
      </c>
      <c r="ER193">
        <v>1.86931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-1.069</v>
      </c>
      <c r="FG193">
        <v>0.18290000000000001</v>
      </c>
      <c r="FH193">
        <v>-0.81947142863283695</v>
      </c>
      <c r="FI193">
        <v>-6.1462078757559423E-4</v>
      </c>
      <c r="FJ193">
        <v>-1.8861989874597051E-7</v>
      </c>
      <c r="FK193">
        <v>1.1980462299894961E-10</v>
      </c>
      <c r="FL193">
        <v>0.18283500000000069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37.200000000000003</v>
      </c>
      <c r="FU193">
        <v>37.200000000000003</v>
      </c>
      <c r="FV193">
        <v>1.7626999999999999</v>
      </c>
      <c r="FW193">
        <v>2.5573700000000001</v>
      </c>
      <c r="FX193">
        <v>1.5490699999999999</v>
      </c>
      <c r="FY193">
        <v>2.34375</v>
      </c>
      <c r="FZ193">
        <v>1.50146</v>
      </c>
      <c r="GA193">
        <v>2.4096700000000002</v>
      </c>
      <c r="GB193">
        <v>30.976900000000001</v>
      </c>
      <c r="GC193">
        <v>23.982399999999998</v>
      </c>
      <c r="GD193">
        <v>19</v>
      </c>
      <c r="GE193">
        <v>283.17</v>
      </c>
      <c r="GF193">
        <v>593.00900000000001</v>
      </c>
      <c r="GG193">
        <v>25.692399999999999</v>
      </c>
      <c r="GH193">
        <v>25.32</v>
      </c>
      <c r="GI193">
        <v>30</v>
      </c>
      <c r="GJ193">
        <v>25.428100000000001</v>
      </c>
      <c r="GK193">
        <v>25.393799999999999</v>
      </c>
      <c r="GL193">
        <v>35.231299999999997</v>
      </c>
      <c r="GM193">
        <v>100</v>
      </c>
      <c r="GN193">
        <v>0</v>
      </c>
      <c r="GO193">
        <v>25.692599999999999</v>
      </c>
      <c r="GP193">
        <v>800</v>
      </c>
      <c r="GQ193">
        <v>0</v>
      </c>
      <c r="GR193">
        <v>99.776899999999998</v>
      </c>
      <c r="GS193">
        <v>99.516300000000001</v>
      </c>
    </row>
    <row r="194" spans="1:201" x14ac:dyDescent="0.25">
      <c r="A194">
        <v>178</v>
      </c>
      <c r="B194">
        <v>1690375656.0999999</v>
      </c>
      <c r="C194">
        <v>1836.599999904633</v>
      </c>
      <c r="D194" t="s">
        <v>689</v>
      </c>
      <c r="E194" t="s">
        <v>690</v>
      </c>
      <c r="F194" t="s">
        <v>330</v>
      </c>
      <c r="H194">
        <v>1690375656.0999999</v>
      </c>
      <c r="I194">
        <f t="shared" si="60"/>
        <v>2.771132569485032E-3</v>
      </c>
      <c r="J194">
        <f t="shared" si="61"/>
        <v>2.7711325694850322</v>
      </c>
      <c r="K194">
        <f t="shared" si="62"/>
        <v>41.864959608013478</v>
      </c>
      <c r="L194">
        <f t="shared" si="63"/>
        <v>371.12099999999998</v>
      </c>
      <c r="M194">
        <f t="shared" si="64"/>
        <v>100.43532732024983</v>
      </c>
      <c r="N194">
        <f t="shared" si="65"/>
        <v>9.9227764354068881</v>
      </c>
      <c r="O194">
        <f t="shared" si="66"/>
        <v>36.665890496303099</v>
      </c>
      <c r="P194">
        <f t="shared" si="67"/>
        <v>0.26538684402848695</v>
      </c>
      <c r="Q194">
        <f t="shared" si="68"/>
        <v>2.2461479615104638</v>
      </c>
      <c r="R194">
        <f t="shared" si="69"/>
        <v>0.2491164270997733</v>
      </c>
      <c r="S194">
        <f t="shared" si="70"/>
        <v>0.15707640428686123</v>
      </c>
      <c r="T194">
        <f t="shared" si="71"/>
        <v>276.11635735799996</v>
      </c>
      <c r="U194">
        <f t="shared" si="72"/>
        <v>27.774166667905916</v>
      </c>
      <c r="V194">
        <f t="shared" si="73"/>
        <v>27.774166667905916</v>
      </c>
      <c r="W194">
        <f t="shared" si="74"/>
        <v>3.7451654462575661</v>
      </c>
      <c r="X194">
        <f t="shared" si="75"/>
        <v>76.650808317508719</v>
      </c>
      <c r="Y194">
        <f t="shared" si="76"/>
        <v>2.6819023010779399</v>
      </c>
      <c r="Z194">
        <f t="shared" si="77"/>
        <v>3.4988571679097804</v>
      </c>
      <c r="AA194">
        <f t="shared" si="78"/>
        <v>1.0632631451796262</v>
      </c>
      <c r="AB194">
        <f t="shared" si="79"/>
        <v>-122.20694631428991</v>
      </c>
      <c r="AC194">
        <f t="shared" si="80"/>
        <v>-140.46538519754054</v>
      </c>
      <c r="AD194">
        <f t="shared" si="81"/>
        <v>-13.52230106258556</v>
      </c>
      <c r="AE194">
        <f t="shared" si="82"/>
        <v>-7.8275216416017201E-2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52139.836534653958</v>
      </c>
      <c r="AK194">
        <f t="shared" si="86"/>
        <v>1800</v>
      </c>
      <c r="AL194">
        <f t="shared" si="87"/>
        <v>1499.1091308</v>
      </c>
      <c r="AM194">
        <f t="shared" si="88"/>
        <v>0.83283840600000003</v>
      </c>
      <c r="AN194">
        <f t="shared" si="89"/>
        <v>0.15339797630999999</v>
      </c>
      <c r="AO194">
        <v>30</v>
      </c>
      <c r="AP194">
        <v>0.5</v>
      </c>
      <c r="AQ194" t="s">
        <v>331</v>
      </c>
      <c r="AR194">
        <v>2</v>
      </c>
      <c r="AS194">
        <v>1690375656.0999999</v>
      </c>
      <c r="AT194">
        <v>371.12099999999998</v>
      </c>
      <c r="AU194">
        <v>800.06200000000001</v>
      </c>
      <c r="AV194">
        <v>27.145399999999999</v>
      </c>
      <c r="AW194">
        <v>0.18586</v>
      </c>
      <c r="AX194">
        <v>372.18900000000002</v>
      </c>
      <c r="AY194">
        <v>26.962499999999999</v>
      </c>
      <c r="AZ194">
        <v>299.995</v>
      </c>
      <c r="BA194">
        <v>98.697699999999998</v>
      </c>
      <c r="BB194">
        <v>9.9971099999999993E-2</v>
      </c>
      <c r="BC194">
        <v>26.6142</v>
      </c>
      <c r="BD194">
        <v>26.997599999999998</v>
      </c>
      <c r="BE194">
        <v>27.793900000000001</v>
      </c>
      <c r="BF194">
        <v>0</v>
      </c>
      <c r="BG194">
        <v>0</v>
      </c>
      <c r="BH194">
        <v>9976.8799999999992</v>
      </c>
      <c r="BI194">
        <v>1085.9100000000001</v>
      </c>
      <c r="BJ194">
        <v>1.4296899999999999</v>
      </c>
      <c r="BK194">
        <v>-428.94099999999997</v>
      </c>
      <c r="BL194">
        <v>381.476</v>
      </c>
      <c r="BM194">
        <v>800.21100000000001</v>
      </c>
      <c r="BN194">
        <v>26.959499999999998</v>
      </c>
      <c r="BO194">
        <v>800.06200000000001</v>
      </c>
      <c r="BP194">
        <v>0.18586</v>
      </c>
      <c r="BQ194">
        <v>2.6791900000000002</v>
      </c>
      <c r="BR194">
        <v>1.8343999999999999E-2</v>
      </c>
      <c r="BS194">
        <v>22.158000000000001</v>
      </c>
      <c r="BT194">
        <v>-40.254600000000003</v>
      </c>
      <c r="BU194">
        <v>1800</v>
      </c>
      <c r="BV194">
        <v>0.90997799999999995</v>
      </c>
      <c r="BW194">
        <v>3.4005899999999999E-2</v>
      </c>
      <c r="BX194">
        <v>2.2006299999999999E-2</v>
      </c>
      <c r="BY194">
        <v>3.4009699999999997E-2</v>
      </c>
      <c r="BZ194">
        <v>25</v>
      </c>
      <c r="CA194">
        <v>33528.199999999997</v>
      </c>
      <c r="CB194">
        <v>1690373417</v>
      </c>
      <c r="CC194" t="s">
        <v>332</v>
      </c>
      <c r="CD194">
        <v>1690373417</v>
      </c>
      <c r="CE194">
        <v>1690373415</v>
      </c>
      <c r="CF194">
        <v>1</v>
      </c>
      <c r="CG194">
        <v>-1.319</v>
      </c>
      <c r="CH194">
        <v>0.01</v>
      </c>
      <c r="CI194">
        <v>-1.371</v>
      </c>
      <c r="CJ194">
        <v>0.183</v>
      </c>
      <c r="CK194">
        <v>800</v>
      </c>
      <c r="CL194">
        <v>21</v>
      </c>
      <c r="CM194">
        <v>0.09</v>
      </c>
      <c r="CN194">
        <v>7.0000000000000007E-2</v>
      </c>
      <c r="CO194">
        <v>-428.33589999999998</v>
      </c>
      <c r="CP194">
        <v>-3.2282476547832899</v>
      </c>
      <c r="CQ194">
        <v>0.31251062381941802</v>
      </c>
      <c r="CR194">
        <v>-1</v>
      </c>
      <c r="CS194">
        <v>26.935964999999999</v>
      </c>
      <c r="CT194">
        <v>0.1566056285177751</v>
      </c>
      <c r="CU194">
        <v>1.5111081198908249E-2</v>
      </c>
      <c r="CV194">
        <v>-1</v>
      </c>
      <c r="CW194">
        <v>0</v>
      </c>
      <c r="CX194">
        <v>0</v>
      </c>
      <c r="CY194" t="s">
        <v>333</v>
      </c>
      <c r="CZ194">
        <v>2.36504</v>
      </c>
      <c r="DA194">
        <v>2.71374</v>
      </c>
      <c r="DB194">
        <v>8.4533899999999995E-2</v>
      </c>
      <c r="DC194">
        <v>0.14573800000000001</v>
      </c>
      <c r="DD194">
        <v>0.12399</v>
      </c>
      <c r="DE194">
        <v>1.56095E-3</v>
      </c>
      <c r="DF194">
        <v>33445.4</v>
      </c>
      <c r="DG194">
        <v>27528</v>
      </c>
      <c r="DH194">
        <v>31185.5</v>
      </c>
      <c r="DI194">
        <v>28076.400000000001</v>
      </c>
      <c r="DJ194">
        <v>37073.1</v>
      </c>
      <c r="DK194">
        <v>39849.699999999997</v>
      </c>
      <c r="DL194">
        <v>44377.3</v>
      </c>
      <c r="DM194">
        <v>42531.9</v>
      </c>
      <c r="DN194">
        <v>1.4865200000000001</v>
      </c>
      <c r="DO194">
        <v>2.0613800000000002</v>
      </c>
      <c r="DP194">
        <v>0.11097600000000001</v>
      </c>
      <c r="DQ194">
        <v>0.163831</v>
      </c>
      <c r="DR194">
        <v>25.18</v>
      </c>
      <c r="DS194">
        <v>25.112200000000001</v>
      </c>
      <c r="DT194">
        <v>31.3</v>
      </c>
      <c r="DU194">
        <v>25.7</v>
      </c>
      <c r="DV194">
        <v>10.513</v>
      </c>
      <c r="DW194">
        <v>61.4101</v>
      </c>
      <c r="DX194">
        <v>37.736400000000003</v>
      </c>
      <c r="DY194">
        <v>1</v>
      </c>
      <c r="DZ194">
        <v>-0.167495</v>
      </c>
      <c r="EA194">
        <v>-0.668682</v>
      </c>
      <c r="EB194">
        <v>20.189</v>
      </c>
      <c r="EC194">
        <v>5.2406499999999996</v>
      </c>
      <c r="ED194">
        <v>12.039899999999999</v>
      </c>
      <c r="EE194">
        <v>5.0134999999999996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1.8687400000000001</v>
      </c>
      <c r="EL194">
        <v>1.86446</v>
      </c>
      <c r="EM194">
        <v>1.8691</v>
      </c>
      <c r="EN194">
        <v>1.86707</v>
      </c>
      <c r="EO194">
        <v>1.8632500000000001</v>
      </c>
      <c r="EP194">
        <v>1.86429</v>
      </c>
      <c r="EQ194">
        <v>1.87008</v>
      </c>
      <c r="ER194">
        <v>1.86931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-1.0680000000000001</v>
      </c>
      <c r="FG194">
        <v>0.18290000000000001</v>
      </c>
      <c r="FH194">
        <v>-0.81947142863283695</v>
      </c>
      <c r="FI194">
        <v>-6.1462078757559423E-4</v>
      </c>
      <c r="FJ194">
        <v>-1.8861989874597051E-7</v>
      </c>
      <c r="FK194">
        <v>1.1980462299894961E-10</v>
      </c>
      <c r="FL194">
        <v>0.18283500000000069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37.299999999999997</v>
      </c>
      <c r="FU194">
        <v>37.4</v>
      </c>
      <c r="FV194">
        <v>1.7626999999999999</v>
      </c>
      <c r="FW194">
        <v>2.5598100000000001</v>
      </c>
      <c r="FX194">
        <v>1.5490699999999999</v>
      </c>
      <c r="FY194">
        <v>2.34375</v>
      </c>
      <c r="FZ194">
        <v>1.50146</v>
      </c>
      <c r="GA194">
        <v>2.3889200000000002</v>
      </c>
      <c r="GB194">
        <v>30.976900000000001</v>
      </c>
      <c r="GC194">
        <v>23.991199999999999</v>
      </c>
      <c r="GD194">
        <v>19</v>
      </c>
      <c r="GE194">
        <v>283.15899999999999</v>
      </c>
      <c r="GF194">
        <v>593.05499999999995</v>
      </c>
      <c r="GG194">
        <v>25.692599999999999</v>
      </c>
      <c r="GH194">
        <v>25.321400000000001</v>
      </c>
      <c r="GI194">
        <v>30.0002</v>
      </c>
      <c r="GJ194">
        <v>25.430199999999999</v>
      </c>
      <c r="GK194">
        <v>25.395900000000001</v>
      </c>
      <c r="GL194">
        <v>35.231200000000001</v>
      </c>
      <c r="GM194">
        <v>100</v>
      </c>
      <c r="GN194">
        <v>0</v>
      </c>
      <c r="GO194">
        <v>25.692599999999999</v>
      </c>
      <c r="GP194">
        <v>800</v>
      </c>
      <c r="GQ194">
        <v>0</v>
      </c>
      <c r="GR194">
        <v>99.776899999999998</v>
      </c>
      <c r="GS194">
        <v>99.517600000000002</v>
      </c>
    </row>
    <row r="195" spans="1:201" x14ac:dyDescent="0.25">
      <c r="A195">
        <v>179</v>
      </c>
      <c r="B195">
        <v>1690375666.0999999</v>
      </c>
      <c r="C195">
        <v>1846.599999904633</v>
      </c>
      <c r="D195" t="s">
        <v>691</v>
      </c>
      <c r="E195" t="s">
        <v>692</v>
      </c>
      <c r="F195" t="s">
        <v>330</v>
      </c>
      <c r="H195">
        <v>1690375666.0999999</v>
      </c>
      <c r="I195">
        <f t="shared" si="60"/>
        <v>2.7737285401540513E-3</v>
      </c>
      <c r="J195">
        <f t="shared" si="61"/>
        <v>2.7737285401540515</v>
      </c>
      <c r="K195">
        <f t="shared" si="62"/>
        <v>41.905488766244623</v>
      </c>
      <c r="L195">
        <f t="shared" si="63"/>
        <v>370.661</v>
      </c>
      <c r="M195">
        <f t="shared" si="64"/>
        <v>100.6347538578276</v>
      </c>
      <c r="N195">
        <f t="shared" si="65"/>
        <v>9.9422204802881868</v>
      </c>
      <c r="O195">
        <f t="shared" si="66"/>
        <v>36.619490227505096</v>
      </c>
      <c r="P195">
        <f t="shared" si="67"/>
        <v>0.26634243089743115</v>
      </c>
      <c r="Q195">
        <f t="shared" si="68"/>
        <v>2.245872736364066</v>
      </c>
      <c r="R195">
        <f t="shared" si="69"/>
        <v>0.24995663753466743</v>
      </c>
      <c r="S195">
        <f t="shared" si="70"/>
        <v>0.15761101972843458</v>
      </c>
      <c r="T195">
        <f t="shared" si="71"/>
        <v>276.11634774600003</v>
      </c>
      <c r="U195">
        <f t="shared" si="72"/>
        <v>27.772034833800149</v>
      </c>
      <c r="V195">
        <f t="shared" si="73"/>
        <v>27.772034833800149</v>
      </c>
      <c r="W195">
        <f t="shared" si="74"/>
        <v>3.7446992450529306</v>
      </c>
      <c r="X195">
        <f t="shared" si="75"/>
        <v>76.718670950688789</v>
      </c>
      <c r="Y195">
        <f t="shared" si="76"/>
        <v>2.6840553728388898</v>
      </c>
      <c r="Z195">
        <f t="shared" si="77"/>
        <v>3.4985686529476978</v>
      </c>
      <c r="AA195">
        <f t="shared" si="78"/>
        <v>1.0606438722140408</v>
      </c>
      <c r="AB195">
        <f t="shared" si="79"/>
        <v>-122.32142862079367</v>
      </c>
      <c r="AC195">
        <f t="shared" si="80"/>
        <v>-140.35956358293708</v>
      </c>
      <c r="AD195">
        <f t="shared" si="81"/>
        <v>-13.513531163809922</v>
      </c>
      <c r="AE195">
        <f t="shared" si="82"/>
        <v>-7.8175621540651719E-2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52129.330495670394</v>
      </c>
      <c r="AK195">
        <f t="shared" si="86"/>
        <v>1800</v>
      </c>
      <c r="AL195">
        <f t="shared" si="87"/>
        <v>1499.1094115999999</v>
      </c>
      <c r="AM195">
        <f t="shared" si="88"/>
        <v>0.83283856199999995</v>
      </c>
      <c r="AN195">
        <f t="shared" si="89"/>
        <v>0.15339797097000002</v>
      </c>
      <c r="AO195">
        <v>30</v>
      </c>
      <c r="AP195">
        <v>0.5</v>
      </c>
      <c r="AQ195" t="s">
        <v>331</v>
      </c>
      <c r="AR195">
        <v>2</v>
      </c>
      <c r="AS195">
        <v>1690375666.0999999</v>
      </c>
      <c r="AT195">
        <v>370.661</v>
      </c>
      <c r="AU195">
        <v>799.98699999999997</v>
      </c>
      <c r="AV195">
        <v>27.167899999999999</v>
      </c>
      <c r="AW195">
        <v>0.184808</v>
      </c>
      <c r="AX195">
        <v>371.72899999999998</v>
      </c>
      <c r="AY195">
        <v>26.985099999999999</v>
      </c>
      <c r="AZ195">
        <v>300.00700000000001</v>
      </c>
      <c r="BA195">
        <v>98.6952</v>
      </c>
      <c r="BB195">
        <v>9.9899100000000005E-2</v>
      </c>
      <c r="BC195">
        <v>26.6128</v>
      </c>
      <c r="BD195">
        <v>27.001799999999999</v>
      </c>
      <c r="BE195">
        <v>27.7941</v>
      </c>
      <c r="BF195">
        <v>0</v>
      </c>
      <c r="BG195">
        <v>0</v>
      </c>
      <c r="BH195">
        <v>9975</v>
      </c>
      <c r="BI195">
        <v>1086.05</v>
      </c>
      <c r="BJ195">
        <v>1.4577199999999999</v>
      </c>
      <c r="BK195">
        <v>-429.32600000000002</v>
      </c>
      <c r="BL195">
        <v>381.012</v>
      </c>
      <c r="BM195">
        <v>800.13499999999999</v>
      </c>
      <c r="BN195">
        <v>26.9831</v>
      </c>
      <c r="BO195">
        <v>799.98699999999997</v>
      </c>
      <c r="BP195">
        <v>0.184808</v>
      </c>
      <c r="BQ195">
        <v>2.6813500000000001</v>
      </c>
      <c r="BR195">
        <v>1.8239700000000001E-2</v>
      </c>
      <c r="BS195">
        <v>22.171199999999999</v>
      </c>
      <c r="BT195">
        <v>-40.309100000000001</v>
      </c>
      <c r="BU195">
        <v>1800</v>
      </c>
      <c r="BV195">
        <v>0.90997899999999998</v>
      </c>
      <c r="BW195">
        <v>3.4005599999999997E-2</v>
      </c>
      <c r="BX195">
        <v>2.2006100000000001E-2</v>
      </c>
      <c r="BY195">
        <v>3.4009299999999999E-2</v>
      </c>
      <c r="BZ195">
        <v>25</v>
      </c>
      <c r="CA195">
        <v>33528.199999999997</v>
      </c>
      <c r="CB195">
        <v>1690373417</v>
      </c>
      <c r="CC195" t="s">
        <v>332</v>
      </c>
      <c r="CD195">
        <v>1690373417</v>
      </c>
      <c r="CE195">
        <v>1690373415</v>
      </c>
      <c r="CF195">
        <v>1</v>
      </c>
      <c r="CG195">
        <v>-1.319</v>
      </c>
      <c r="CH195">
        <v>0.01</v>
      </c>
      <c r="CI195">
        <v>-1.371</v>
      </c>
      <c r="CJ195">
        <v>0.183</v>
      </c>
      <c r="CK195">
        <v>800</v>
      </c>
      <c r="CL195">
        <v>21</v>
      </c>
      <c r="CM195">
        <v>0.09</v>
      </c>
      <c r="CN195">
        <v>7.0000000000000007E-2</v>
      </c>
      <c r="CO195">
        <v>-428.83870000000007</v>
      </c>
      <c r="CP195">
        <v>-2.8685628517819</v>
      </c>
      <c r="CQ195">
        <v>0.27907662030345443</v>
      </c>
      <c r="CR195">
        <v>-1</v>
      </c>
      <c r="CS195">
        <v>26.95919</v>
      </c>
      <c r="CT195">
        <v>0.1245388367729295</v>
      </c>
      <c r="CU195">
        <v>1.202983374781218E-2</v>
      </c>
      <c r="CV195">
        <v>-1</v>
      </c>
      <c r="CW195">
        <v>0</v>
      </c>
      <c r="CX195">
        <v>0</v>
      </c>
      <c r="CY195" t="s">
        <v>333</v>
      </c>
      <c r="CZ195">
        <v>2.3650699999999998</v>
      </c>
      <c r="DA195">
        <v>2.71367</v>
      </c>
      <c r="DB195">
        <v>8.4450800000000006E-2</v>
      </c>
      <c r="DC195">
        <v>0.14572499999999999</v>
      </c>
      <c r="DD195">
        <v>0.124059</v>
      </c>
      <c r="DE195">
        <v>1.5521700000000001E-3</v>
      </c>
      <c r="DF195">
        <v>33448.5</v>
      </c>
      <c r="DG195">
        <v>27528.400000000001</v>
      </c>
      <c r="DH195">
        <v>31185.599999999999</v>
      </c>
      <c r="DI195">
        <v>28076.5</v>
      </c>
      <c r="DJ195">
        <v>37070.300000000003</v>
      </c>
      <c r="DK195">
        <v>39850.199999999997</v>
      </c>
      <c r="DL195">
        <v>44377.5</v>
      </c>
      <c r="DM195">
        <v>42532.1</v>
      </c>
      <c r="DN195">
        <v>1.4862</v>
      </c>
      <c r="DO195">
        <v>2.06142</v>
      </c>
      <c r="DP195">
        <v>0.111111</v>
      </c>
      <c r="DQ195">
        <v>0.16383800000000001</v>
      </c>
      <c r="DR195">
        <v>25.181999999999999</v>
      </c>
      <c r="DS195">
        <v>25.112300000000001</v>
      </c>
      <c r="DT195">
        <v>31.2</v>
      </c>
      <c r="DU195">
        <v>25.8</v>
      </c>
      <c r="DV195">
        <v>10.5402</v>
      </c>
      <c r="DW195">
        <v>61.700099999999999</v>
      </c>
      <c r="DX195">
        <v>37.588099999999997</v>
      </c>
      <c r="DY195">
        <v>1</v>
      </c>
      <c r="DZ195">
        <v>-0.16762199999999999</v>
      </c>
      <c r="EA195">
        <v>-0.67475499999999999</v>
      </c>
      <c r="EB195">
        <v>20.189399999999999</v>
      </c>
      <c r="EC195">
        <v>5.2404999999999999</v>
      </c>
      <c r="ED195">
        <v>12.039899999999999</v>
      </c>
      <c r="EE195">
        <v>5.0133999999999999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1.8687400000000001</v>
      </c>
      <c r="EL195">
        <v>1.86446</v>
      </c>
      <c r="EM195">
        <v>1.8690899999999999</v>
      </c>
      <c r="EN195">
        <v>1.86707</v>
      </c>
      <c r="EO195">
        <v>1.8632500000000001</v>
      </c>
      <c r="EP195">
        <v>1.86425</v>
      </c>
      <c r="EQ195">
        <v>1.87008</v>
      </c>
      <c r="ER195">
        <v>1.8692800000000001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-1.0680000000000001</v>
      </c>
      <c r="FG195">
        <v>0.18279999999999999</v>
      </c>
      <c r="FH195">
        <v>-0.81947142863283695</v>
      </c>
      <c r="FI195">
        <v>-6.1462078757559423E-4</v>
      </c>
      <c r="FJ195">
        <v>-1.8861989874597051E-7</v>
      </c>
      <c r="FK195">
        <v>1.1980462299894961E-10</v>
      </c>
      <c r="FL195">
        <v>0.18283500000000069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37.5</v>
      </c>
      <c r="FU195">
        <v>37.5</v>
      </c>
      <c r="FV195">
        <v>1.7626999999999999</v>
      </c>
      <c r="FW195">
        <v>2.5622600000000002</v>
      </c>
      <c r="FX195">
        <v>1.5490699999999999</v>
      </c>
      <c r="FY195">
        <v>2.34497</v>
      </c>
      <c r="FZ195">
        <v>1.50146</v>
      </c>
      <c r="GA195">
        <v>2.35229</v>
      </c>
      <c r="GB195">
        <v>30.976900000000001</v>
      </c>
      <c r="GC195">
        <v>23.982399999999998</v>
      </c>
      <c r="GD195">
        <v>19</v>
      </c>
      <c r="GE195">
        <v>283.02100000000002</v>
      </c>
      <c r="GF195">
        <v>593.09699999999998</v>
      </c>
      <c r="GG195">
        <v>25.6953</v>
      </c>
      <c r="GH195">
        <v>25.3216</v>
      </c>
      <c r="GI195">
        <v>30.0002</v>
      </c>
      <c r="GJ195">
        <v>25.430199999999999</v>
      </c>
      <c r="GK195">
        <v>25.395900000000001</v>
      </c>
      <c r="GL195">
        <v>35.233699999999999</v>
      </c>
      <c r="GM195">
        <v>100</v>
      </c>
      <c r="GN195">
        <v>0</v>
      </c>
      <c r="GO195">
        <v>25.6937</v>
      </c>
      <c r="GP195">
        <v>800</v>
      </c>
      <c r="GQ195">
        <v>0</v>
      </c>
      <c r="GR195">
        <v>99.777299999999997</v>
      </c>
      <c r="GS195">
        <v>99.517899999999997</v>
      </c>
    </row>
    <row r="196" spans="1:201" x14ac:dyDescent="0.25">
      <c r="A196">
        <v>180</v>
      </c>
      <c r="B196">
        <v>1690375676.0999999</v>
      </c>
      <c r="C196">
        <v>1856.599999904633</v>
      </c>
      <c r="D196" t="s">
        <v>693</v>
      </c>
      <c r="E196" t="s">
        <v>694</v>
      </c>
      <c r="F196" t="s">
        <v>330</v>
      </c>
      <c r="H196">
        <v>1690375676.0999999</v>
      </c>
      <c r="I196">
        <f t="shared" si="60"/>
        <v>2.7767787693649877E-3</v>
      </c>
      <c r="J196">
        <f t="shared" si="61"/>
        <v>2.7767787693649875</v>
      </c>
      <c r="K196">
        <f t="shared" si="62"/>
        <v>41.984151879378636</v>
      </c>
      <c r="L196">
        <f t="shared" si="63"/>
        <v>370.06799999999998</v>
      </c>
      <c r="M196">
        <f t="shared" si="64"/>
        <v>100.32411448730903</v>
      </c>
      <c r="N196">
        <f t="shared" si="65"/>
        <v>9.9126822427229992</v>
      </c>
      <c r="O196">
        <f t="shared" si="66"/>
        <v>36.565151967167992</v>
      </c>
      <c r="P196">
        <f t="shared" si="67"/>
        <v>0.26711318454238125</v>
      </c>
      <c r="Q196">
        <f t="shared" si="68"/>
        <v>2.2519727973925674</v>
      </c>
      <c r="R196">
        <f t="shared" si="69"/>
        <v>0.25067725285877557</v>
      </c>
      <c r="S196">
        <f t="shared" si="70"/>
        <v>0.15806563776870178</v>
      </c>
      <c r="T196">
        <f t="shared" si="71"/>
        <v>276.11613180000001</v>
      </c>
      <c r="U196">
        <f t="shared" si="72"/>
        <v>27.774249199213557</v>
      </c>
      <c r="V196">
        <f t="shared" si="73"/>
        <v>27.774249199213557</v>
      </c>
      <c r="W196">
        <f t="shared" si="74"/>
        <v>3.7451834956759433</v>
      </c>
      <c r="X196">
        <f t="shared" si="75"/>
        <v>76.755636936416778</v>
      </c>
      <c r="Y196">
        <f t="shared" si="76"/>
        <v>2.6863136656575999</v>
      </c>
      <c r="Z196">
        <f t="shared" si="77"/>
        <v>3.4998259057936059</v>
      </c>
      <c r="AA196">
        <f t="shared" si="78"/>
        <v>1.0588698300183434</v>
      </c>
      <c r="AB196">
        <f t="shared" si="79"/>
        <v>-122.45594372899596</v>
      </c>
      <c r="AC196">
        <f t="shared" si="80"/>
        <v>-140.26904856118929</v>
      </c>
      <c r="AD196">
        <f t="shared" si="81"/>
        <v>-13.468794423520571</v>
      </c>
      <c r="AE196">
        <f t="shared" si="82"/>
        <v>-7.7654913705856643E-2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52365.874511889248</v>
      </c>
      <c r="AK196">
        <f t="shared" si="86"/>
        <v>1800</v>
      </c>
      <c r="AL196">
        <f t="shared" si="87"/>
        <v>1499.1091470000001</v>
      </c>
      <c r="AM196">
        <f t="shared" si="88"/>
        <v>0.83283841500000011</v>
      </c>
      <c r="AN196">
        <f t="shared" si="89"/>
        <v>0.153397851</v>
      </c>
      <c r="AO196">
        <v>30</v>
      </c>
      <c r="AP196">
        <v>0.5</v>
      </c>
      <c r="AQ196" t="s">
        <v>331</v>
      </c>
      <c r="AR196">
        <v>2</v>
      </c>
      <c r="AS196">
        <v>1690375676.0999999</v>
      </c>
      <c r="AT196">
        <v>370.06799999999998</v>
      </c>
      <c r="AU196">
        <v>800.03499999999997</v>
      </c>
      <c r="AV196">
        <v>27.1876</v>
      </c>
      <c r="AW196">
        <v>0.18420300000000001</v>
      </c>
      <c r="AX196">
        <v>371.13499999999999</v>
      </c>
      <c r="AY196">
        <v>27.004799999999999</v>
      </c>
      <c r="AZ196">
        <v>300.10500000000002</v>
      </c>
      <c r="BA196">
        <v>98.706599999999995</v>
      </c>
      <c r="BB196">
        <v>9.9975999999999995E-2</v>
      </c>
      <c r="BC196">
        <v>26.6189</v>
      </c>
      <c r="BD196">
        <v>26.995000000000001</v>
      </c>
      <c r="BE196">
        <v>27.805499999999999</v>
      </c>
      <c r="BF196">
        <v>0</v>
      </c>
      <c r="BG196">
        <v>0</v>
      </c>
      <c r="BH196">
        <v>10021.200000000001</v>
      </c>
      <c r="BI196">
        <v>1086</v>
      </c>
      <c r="BJ196">
        <v>1.4296899999999999</v>
      </c>
      <c r="BK196">
        <v>-429.96800000000002</v>
      </c>
      <c r="BL196">
        <v>380.41</v>
      </c>
      <c r="BM196">
        <v>800.18299999999999</v>
      </c>
      <c r="BN196">
        <v>27.003399999999999</v>
      </c>
      <c r="BO196">
        <v>800.03499999999997</v>
      </c>
      <c r="BP196">
        <v>0.18420300000000001</v>
      </c>
      <c r="BQ196">
        <v>2.6836000000000002</v>
      </c>
      <c r="BR196">
        <v>1.8182E-2</v>
      </c>
      <c r="BS196">
        <v>22.184999999999999</v>
      </c>
      <c r="BT196">
        <v>-40.339300000000001</v>
      </c>
      <c r="BU196">
        <v>1800</v>
      </c>
      <c r="BV196">
        <v>0.90998100000000004</v>
      </c>
      <c r="BW196">
        <v>3.4004699999999999E-2</v>
      </c>
      <c r="BX196">
        <v>2.2005500000000001E-2</v>
      </c>
      <c r="BY196">
        <v>3.4008400000000001E-2</v>
      </c>
      <c r="BZ196">
        <v>25</v>
      </c>
      <c r="CA196">
        <v>33528.199999999997</v>
      </c>
      <c r="CB196">
        <v>1690373417</v>
      </c>
      <c r="CC196" t="s">
        <v>332</v>
      </c>
      <c r="CD196">
        <v>1690373417</v>
      </c>
      <c r="CE196">
        <v>1690373415</v>
      </c>
      <c r="CF196">
        <v>1</v>
      </c>
      <c r="CG196">
        <v>-1.319</v>
      </c>
      <c r="CH196">
        <v>0.01</v>
      </c>
      <c r="CI196">
        <v>-1.371</v>
      </c>
      <c r="CJ196">
        <v>0.183</v>
      </c>
      <c r="CK196">
        <v>800</v>
      </c>
      <c r="CL196">
        <v>21</v>
      </c>
      <c r="CM196">
        <v>0.09</v>
      </c>
      <c r="CN196">
        <v>7.0000000000000007E-2</v>
      </c>
      <c r="CO196">
        <v>-429.3149268292683</v>
      </c>
      <c r="CP196">
        <v>-3.294710801394158</v>
      </c>
      <c r="CQ196">
        <v>0.33081314379791382</v>
      </c>
      <c r="CR196">
        <v>-1</v>
      </c>
      <c r="CS196">
        <v>26.97816097560975</v>
      </c>
      <c r="CT196">
        <v>0.1281491289198915</v>
      </c>
      <c r="CU196">
        <v>1.269683805556179E-2</v>
      </c>
      <c r="CV196">
        <v>-1</v>
      </c>
      <c r="CW196">
        <v>0</v>
      </c>
      <c r="CX196">
        <v>0</v>
      </c>
      <c r="CY196" t="s">
        <v>333</v>
      </c>
      <c r="CZ196">
        <v>2.3653900000000001</v>
      </c>
      <c r="DA196">
        <v>2.7137799999999999</v>
      </c>
      <c r="DB196">
        <v>8.4355600000000003E-2</v>
      </c>
      <c r="DC196">
        <v>0.14574699999999999</v>
      </c>
      <c r="DD196">
        <v>0.124136</v>
      </c>
      <c r="DE196">
        <v>1.5473100000000001E-3</v>
      </c>
      <c r="DF196">
        <v>33451.9</v>
      </c>
      <c r="DG196">
        <v>27527.4</v>
      </c>
      <c r="DH196">
        <v>31185.5</v>
      </c>
      <c r="DI196">
        <v>28076.2</v>
      </c>
      <c r="DJ196">
        <v>37067.300000000003</v>
      </c>
      <c r="DK196">
        <v>39849.9</v>
      </c>
      <c r="DL196">
        <v>44377.9</v>
      </c>
      <c r="DM196">
        <v>42531.5</v>
      </c>
      <c r="DN196">
        <v>1.4862500000000001</v>
      </c>
      <c r="DO196">
        <v>2.0611000000000002</v>
      </c>
      <c r="DP196">
        <v>0.11082</v>
      </c>
      <c r="DQ196">
        <v>0.164412</v>
      </c>
      <c r="DR196">
        <v>25.18</v>
      </c>
      <c r="DS196">
        <v>25.1143</v>
      </c>
      <c r="DT196">
        <v>31.2</v>
      </c>
      <c r="DU196">
        <v>25.8</v>
      </c>
      <c r="DV196">
        <v>10.5398</v>
      </c>
      <c r="DW196">
        <v>61.270099999999999</v>
      </c>
      <c r="DX196">
        <v>37.263599999999997</v>
      </c>
      <c r="DY196">
        <v>1</v>
      </c>
      <c r="DZ196">
        <v>-0.16747200000000001</v>
      </c>
      <c r="EA196">
        <v>-0.66169100000000003</v>
      </c>
      <c r="EB196">
        <v>20.1891</v>
      </c>
      <c r="EC196">
        <v>5.2404999999999999</v>
      </c>
      <c r="ED196">
        <v>12.039899999999999</v>
      </c>
      <c r="EE196">
        <v>5.0134499999999997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1.8687499999999999</v>
      </c>
      <c r="EL196">
        <v>1.86446</v>
      </c>
      <c r="EM196">
        <v>1.8691</v>
      </c>
      <c r="EN196">
        <v>1.8670899999999999</v>
      </c>
      <c r="EO196">
        <v>1.8632500000000001</v>
      </c>
      <c r="EP196">
        <v>1.8642300000000001</v>
      </c>
      <c r="EQ196">
        <v>1.8700699999999999</v>
      </c>
      <c r="ER196">
        <v>1.8693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-1.0669999999999999</v>
      </c>
      <c r="FG196">
        <v>0.18279999999999999</v>
      </c>
      <c r="FH196">
        <v>-0.81947142863283695</v>
      </c>
      <c r="FI196">
        <v>-6.1462078757559423E-4</v>
      </c>
      <c r="FJ196">
        <v>-1.8861989874597051E-7</v>
      </c>
      <c r="FK196">
        <v>1.1980462299894961E-10</v>
      </c>
      <c r="FL196">
        <v>0.18283500000000069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37.700000000000003</v>
      </c>
      <c r="FU196">
        <v>37.700000000000003</v>
      </c>
      <c r="FV196">
        <v>1.7626999999999999</v>
      </c>
      <c r="FW196">
        <v>2.5622600000000002</v>
      </c>
      <c r="FX196">
        <v>1.5490699999999999</v>
      </c>
      <c r="FY196">
        <v>2.34375</v>
      </c>
      <c r="FZ196">
        <v>1.50146</v>
      </c>
      <c r="GA196">
        <v>2.3339799999999999</v>
      </c>
      <c r="GB196">
        <v>30.976900000000001</v>
      </c>
      <c r="GC196">
        <v>23.982399999999998</v>
      </c>
      <c r="GD196">
        <v>19</v>
      </c>
      <c r="GE196">
        <v>283.04199999999997</v>
      </c>
      <c r="GF196">
        <v>592.83199999999999</v>
      </c>
      <c r="GG196">
        <v>25.692799999999998</v>
      </c>
      <c r="GH196">
        <v>25.323499999999999</v>
      </c>
      <c r="GI196">
        <v>30.0002</v>
      </c>
      <c r="GJ196">
        <v>25.430199999999999</v>
      </c>
      <c r="GK196">
        <v>25.396599999999999</v>
      </c>
      <c r="GL196">
        <v>35.2346</v>
      </c>
      <c r="GM196">
        <v>100</v>
      </c>
      <c r="GN196">
        <v>0</v>
      </c>
      <c r="GO196">
        <v>25.6934</v>
      </c>
      <c r="GP196">
        <v>800</v>
      </c>
      <c r="GQ196">
        <v>0</v>
      </c>
      <c r="GR196">
        <v>99.777600000000007</v>
      </c>
      <c r="GS196">
        <v>99.5167</v>
      </c>
    </row>
    <row r="197" spans="1:201" x14ac:dyDescent="0.25">
      <c r="A197">
        <v>181</v>
      </c>
      <c r="B197">
        <v>1690375686.0999999</v>
      </c>
      <c r="C197">
        <v>1866.599999904633</v>
      </c>
      <c r="D197" t="s">
        <v>695</v>
      </c>
      <c r="E197" t="s">
        <v>696</v>
      </c>
      <c r="F197" t="s">
        <v>330</v>
      </c>
      <c r="H197">
        <v>1690375686.0999999</v>
      </c>
      <c r="I197">
        <f t="shared" si="60"/>
        <v>2.7776178295256557E-3</v>
      </c>
      <c r="J197">
        <f t="shared" si="61"/>
        <v>2.7776178295256555</v>
      </c>
      <c r="K197">
        <f t="shared" si="62"/>
        <v>42.038132588415074</v>
      </c>
      <c r="L197">
        <f t="shared" si="63"/>
        <v>369.536</v>
      </c>
      <c r="M197">
        <f t="shared" si="64"/>
        <v>99.653547977507145</v>
      </c>
      <c r="N197">
        <f t="shared" si="65"/>
        <v>9.8466717072120655</v>
      </c>
      <c r="O197">
        <f t="shared" si="66"/>
        <v>36.513498514047996</v>
      </c>
      <c r="P197">
        <f t="shared" si="67"/>
        <v>0.26738529117505677</v>
      </c>
      <c r="Q197">
        <f t="shared" si="68"/>
        <v>2.241527699190804</v>
      </c>
      <c r="R197">
        <f t="shared" si="69"/>
        <v>0.25084531726423842</v>
      </c>
      <c r="S197">
        <f t="shared" si="70"/>
        <v>0.15817904015412565</v>
      </c>
      <c r="T197">
        <f t="shared" si="71"/>
        <v>276.11612155799997</v>
      </c>
      <c r="U197">
        <f t="shared" si="72"/>
        <v>27.775585613482804</v>
      </c>
      <c r="V197">
        <f t="shared" si="73"/>
        <v>27.775585613482804</v>
      </c>
      <c r="W197">
        <f t="shared" si="74"/>
        <v>3.7454757771501561</v>
      </c>
      <c r="X197">
        <f t="shared" si="75"/>
        <v>76.789417169041485</v>
      </c>
      <c r="Y197">
        <f t="shared" si="76"/>
        <v>2.6869735917247999</v>
      </c>
      <c r="Z197">
        <f t="shared" si="77"/>
        <v>3.4991457036453242</v>
      </c>
      <c r="AA197">
        <f t="shared" si="78"/>
        <v>1.0585021854253562</v>
      </c>
      <c r="AB197">
        <f t="shared" si="79"/>
        <v>-122.49294628208142</v>
      </c>
      <c r="AC197">
        <f t="shared" si="80"/>
        <v>-140.17874138763617</v>
      </c>
      <c r="AD197">
        <f t="shared" si="81"/>
        <v>-13.522712395526101</v>
      </c>
      <c r="AE197">
        <f t="shared" si="82"/>
        <v>-7.8278507243737749E-2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51960.42273028339</v>
      </c>
      <c r="AK197">
        <f t="shared" si="86"/>
        <v>1800</v>
      </c>
      <c r="AL197">
        <f t="shared" si="87"/>
        <v>1499.1094367999997</v>
      </c>
      <c r="AM197">
        <f t="shared" si="88"/>
        <v>0.83283857599999989</v>
      </c>
      <c r="AN197">
        <f t="shared" si="89"/>
        <v>0.15339784530999998</v>
      </c>
      <c r="AO197">
        <v>30</v>
      </c>
      <c r="AP197">
        <v>0.5</v>
      </c>
      <c r="AQ197" t="s">
        <v>331</v>
      </c>
      <c r="AR197">
        <v>2</v>
      </c>
      <c r="AS197">
        <v>1690375686.0999999</v>
      </c>
      <c r="AT197">
        <v>369.536</v>
      </c>
      <c r="AU197">
        <v>800.00800000000004</v>
      </c>
      <c r="AV197">
        <v>27.1936</v>
      </c>
      <c r="AW197">
        <v>0.18365000000000001</v>
      </c>
      <c r="AX197">
        <v>370.60300000000001</v>
      </c>
      <c r="AY197">
        <v>27.0108</v>
      </c>
      <c r="AZ197">
        <v>300.12099999999998</v>
      </c>
      <c r="BA197">
        <v>98.7089</v>
      </c>
      <c r="BB197">
        <v>0.100143</v>
      </c>
      <c r="BC197">
        <v>26.615600000000001</v>
      </c>
      <c r="BD197">
        <v>27.012899999999998</v>
      </c>
      <c r="BE197">
        <v>27.793900000000001</v>
      </c>
      <c r="BF197">
        <v>0</v>
      </c>
      <c r="BG197">
        <v>0</v>
      </c>
      <c r="BH197">
        <v>9940</v>
      </c>
      <c r="BI197">
        <v>1086.1400000000001</v>
      </c>
      <c r="BJ197">
        <v>1.4296899999999999</v>
      </c>
      <c r="BK197">
        <v>-430.47199999999998</v>
      </c>
      <c r="BL197">
        <v>379.86599999999999</v>
      </c>
      <c r="BM197">
        <v>800.15499999999997</v>
      </c>
      <c r="BN197">
        <v>27.01</v>
      </c>
      <c r="BO197">
        <v>800.00800000000004</v>
      </c>
      <c r="BP197">
        <v>0.18365000000000001</v>
      </c>
      <c r="BQ197">
        <v>2.68425</v>
      </c>
      <c r="BR197">
        <v>1.8127899999999999E-2</v>
      </c>
      <c r="BS197">
        <v>22.189</v>
      </c>
      <c r="BT197">
        <v>-40.367699999999999</v>
      </c>
      <c r="BU197">
        <v>1800</v>
      </c>
      <c r="BV197">
        <v>0.90998199999999996</v>
      </c>
      <c r="BW197">
        <v>3.4004300000000001E-2</v>
      </c>
      <c r="BX197">
        <v>2.2005299999999998E-2</v>
      </c>
      <c r="BY197">
        <v>3.4008099999999999E-2</v>
      </c>
      <c r="BZ197">
        <v>25</v>
      </c>
      <c r="CA197">
        <v>33528.300000000003</v>
      </c>
      <c r="CB197">
        <v>1690373417</v>
      </c>
      <c r="CC197" t="s">
        <v>332</v>
      </c>
      <c r="CD197">
        <v>1690373417</v>
      </c>
      <c r="CE197">
        <v>1690373415</v>
      </c>
      <c r="CF197">
        <v>1</v>
      </c>
      <c r="CG197">
        <v>-1.319</v>
      </c>
      <c r="CH197">
        <v>0.01</v>
      </c>
      <c r="CI197">
        <v>-1.371</v>
      </c>
      <c r="CJ197">
        <v>0.183</v>
      </c>
      <c r="CK197">
        <v>800</v>
      </c>
      <c r="CL197">
        <v>21</v>
      </c>
      <c r="CM197">
        <v>0.09</v>
      </c>
      <c r="CN197">
        <v>7.0000000000000007E-2</v>
      </c>
      <c r="CO197">
        <v>-429.90992499999987</v>
      </c>
      <c r="CP197">
        <v>-3.487283302063767</v>
      </c>
      <c r="CQ197">
        <v>0.33824372776889439</v>
      </c>
      <c r="CR197">
        <v>-1</v>
      </c>
      <c r="CS197">
        <v>26.997910000000001</v>
      </c>
      <c r="CT197">
        <v>8.8122326453970001E-2</v>
      </c>
      <c r="CU197">
        <v>8.8111236513850454E-3</v>
      </c>
      <c r="CV197">
        <v>-1</v>
      </c>
      <c r="CW197">
        <v>0</v>
      </c>
      <c r="CX197">
        <v>0</v>
      </c>
      <c r="CY197" t="s">
        <v>333</v>
      </c>
      <c r="CZ197">
        <v>2.3654600000000001</v>
      </c>
      <c r="DA197">
        <v>2.7138800000000001</v>
      </c>
      <c r="DB197">
        <v>8.4263500000000005E-2</v>
      </c>
      <c r="DC197">
        <v>0.14574699999999999</v>
      </c>
      <c r="DD197">
        <v>0.124157</v>
      </c>
      <c r="DE197">
        <v>1.54276E-3</v>
      </c>
      <c r="DF197">
        <v>33455.4</v>
      </c>
      <c r="DG197">
        <v>27527.599999999999</v>
      </c>
      <c r="DH197">
        <v>31185.599999999999</v>
      </c>
      <c r="DI197">
        <v>28076.400000000001</v>
      </c>
      <c r="DJ197">
        <v>37066.300000000003</v>
      </c>
      <c r="DK197">
        <v>39850.6</v>
      </c>
      <c r="DL197">
        <v>44377.8</v>
      </c>
      <c r="DM197">
        <v>42532</v>
      </c>
      <c r="DN197">
        <v>1.48732</v>
      </c>
      <c r="DO197">
        <v>2.0613299999999999</v>
      </c>
      <c r="DP197">
        <v>0.112079</v>
      </c>
      <c r="DQ197">
        <v>0.16370399999999999</v>
      </c>
      <c r="DR197">
        <v>25.177199999999999</v>
      </c>
      <c r="DS197">
        <v>25.1143</v>
      </c>
      <c r="DT197">
        <v>31.1</v>
      </c>
      <c r="DU197">
        <v>25.8</v>
      </c>
      <c r="DV197">
        <v>10.5062</v>
      </c>
      <c r="DW197">
        <v>61.620100000000001</v>
      </c>
      <c r="DX197">
        <v>37.247599999999998</v>
      </c>
      <c r="DY197">
        <v>1</v>
      </c>
      <c r="DZ197">
        <v>-0.16725100000000001</v>
      </c>
      <c r="EA197">
        <v>-0.65253000000000005</v>
      </c>
      <c r="EB197">
        <v>20.1892</v>
      </c>
      <c r="EC197">
        <v>5.2403500000000003</v>
      </c>
      <c r="ED197">
        <v>12.039899999999999</v>
      </c>
      <c r="EE197">
        <v>5.0137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1.8687400000000001</v>
      </c>
      <c r="EL197">
        <v>1.8644400000000001</v>
      </c>
      <c r="EM197">
        <v>1.86907</v>
      </c>
      <c r="EN197">
        <v>1.8670800000000001</v>
      </c>
      <c r="EO197">
        <v>1.8632500000000001</v>
      </c>
      <c r="EP197">
        <v>1.86426</v>
      </c>
      <c r="EQ197">
        <v>1.87008</v>
      </c>
      <c r="ER197">
        <v>1.8693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-1.0669999999999999</v>
      </c>
      <c r="FG197">
        <v>0.18279999999999999</v>
      </c>
      <c r="FH197">
        <v>-0.81947142863283695</v>
      </c>
      <c r="FI197">
        <v>-6.1462078757559423E-4</v>
      </c>
      <c r="FJ197">
        <v>-1.8861989874597051E-7</v>
      </c>
      <c r="FK197">
        <v>1.1980462299894961E-10</v>
      </c>
      <c r="FL197">
        <v>0.18283500000000069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37.799999999999997</v>
      </c>
      <c r="FU197">
        <v>37.9</v>
      </c>
      <c r="FV197">
        <v>1.7626999999999999</v>
      </c>
      <c r="FW197">
        <v>2.5610400000000002</v>
      </c>
      <c r="FX197">
        <v>1.5490699999999999</v>
      </c>
      <c r="FY197">
        <v>2.34375</v>
      </c>
      <c r="FZ197">
        <v>1.50146</v>
      </c>
      <c r="GA197">
        <v>2.33887</v>
      </c>
      <c r="GB197">
        <v>30.9985</v>
      </c>
      <c r="GC197">
        <v>23.982399999999998</v>
      </c>
      <c r="GD197">
        <v>19</v>
      </c>
      <c r="GE197">
        <v>283.49900000000002</v>
      </c>
      <c r="GF197">
        <v>593.03800000000001</v>
      </c>
      <c r="GG197">
        <v>25.692900000000002</v>
      </c>
      <c r="GH197">
        <v>25.323499999999999</v>
      </c>
      <c r="GI197">
        <v>30.0002</v>
      </c>
      <c r="GJ197">
        <v>25.430399999999999</v>
      </c>
      <c r="GK197">
        <v>25.398</v>
      </c>
      <c r="GL197">
        <v>35.2333</v>
      </c>
      <c r="GM197">
        <v>100</v>
      </c>
      <c r="GN197">
        <v>0</v>
      </c>
      <c r="GO197">
        <v>25.681899999999999</v>
      </c>
      <c r="GP197">
        <v>800</v>
      </c>
      <c r="GQ197">
        <v>0</v>
      </c>
      <c r="GR197">
        <v>99.777699999999996</v>
      </c>
      <c r="GS197">
        <v>99.517700000000005</v>
      </c>
    </row>
    <row r="198" spans="1:201" x14ac:dyDescent="0.25">
      <c r="A198">
        <v>182</v>
      </c>
      <c r="B198">
        <v>1690375696.0999999</v>
      </c>
      <c r="C198">
        <v>1876.599999904633</v>
      </c>
      <c r="D198" t="s">
        <v>697</v>
      </c>
      <c r="E198" t="s">
        <v>698</v>
      </c>
      <c r="F198" t="s">
        <v>330</v>
      </c>
      <c r="H198">
        <v>1690375696.0999999</v>
      </c>
      <c r="I198">
        <f t="shared" si="60"/>
        <v>2.7798976567578329E-3</v>
      </c>
      <c r="J198">
        <f t="shared" si="61"/>
        <v>2.7798976567578331</v>
      </c>
      <c r="K198">
        <f t="shared" si="62"/>
        <v>42.099780130694604</v>
      </c>
      <c r="L198">
        <f t="shared" si="63"/>
        <v>369.05900000000003</v>
      </c>
      <c r="M198">
        <f t="shared" si="64"/>
        <v>99.653013283539707</v>
      </c>
      <c r="N198">
        <f t="shared" si="65"/>
        <v>9.8451814795492449</v>
      </c>
      <c r="O198">
        <f t="shared" si="66"/>
        <v>36.461043293521001</v>
      </c>
      <c r="P198">
        <f t="shared" si="67"/>
        <v>0.26824176699636648</v>
      </c>
      <c r="Q198">
        <f t="shared" si="68"/>
        <v>2.249088093019922</v>
      </c>
      <c r="R198">
        <f t="shared" si="69"/>
        <v>0.25165143352699221</v>
      </c>
      <c r="S198">
        <f t="shared" si="70"/>
        <v>0.15868714116364194</v>
      </c>
      <c r="T198">
        <f t="shared" si="71"/>
        <v>276.11757622801252</v>
      </c>
      <c r="U198">
        <f t="shared" si="72"/>
        <v>27.768083829152836</v>
      </c>
      <c r="V198">
        <f t="shared" si="73"/>
        <v>27.768083829152836</v>
      </c>
      <c r="W198">
        <f t="shared" si="74"/>
        <v>3.7438353515193521</v>
      </c>
      <c r="X198">
        <f t="shared" si="75"/>
        <v>76.833627494022878</v>
      </c>
      <c r="Y198">
        <f t="shared" si="76"/>
        <v>2.6880138732139005</v>
      </c>
      <c r="Z198">
        <f t="shared" si="77"/>
        <v>3.4984862239167471</v>
      </c>
      <c r="AA198">
        <f t="shared" si="78"/>
        <v>1.0558214783054516</v>
      </c>
      <c r="AB198">
        <f t="shared" si="79"/>
        <v>-122.59348666302043</v>
      </c>
      <c r="AC198">
        <f t="shared" si="80"/>
        <v>-140.12994327286782</v>
      </c>
      <c r="AD198">
        <f t="shared" si="81"/>
        <v>-13.471842886459509</v>
      </c>
      <c r="AE198">
        <f t="shared" si="82"/>
        <v>-7.7696594335236568E-2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52254.425528851672</v>
      </c>
      <c r="AK198">
        <f t="shared" si="86"/>
        <v>1800.01</v>
      </c>
      <c r="AL198">
        <f t="shared" si="87"/>
        <v>1499.1177633857499</v>
      </c>
      <c r="AM198">
        <f t="shared" si="88"/>
        <v>0.83283857499999991</v>
      </c>
      <c r="AN198">
        <f t="shared" si="89"/>
        <v>0.15339780125000002</v>
      </c>
      <c r="AO198">
        <v>30</v>
      </c>
      <c r="AP198">
        <v>0.5</v>
      </c>
      <c r="AQ198" t="s">
        <v>331</v>
      </c>
      <c r="AR198">
        <v>2</v>
      </c>
      <c r="AS198">
        <v>1690375696.0999999</v>
      </c>
      <c r="AT198">
        <v>369.05900000000003</v>
      </c>
      <c r="AU198">
        <v>800.03899999999999</v>
      </c>
      <c r="AV198">
        <v>27.208100000000002</v>
      </c>
      <c r="AW198">
        <v>0.182867</v>
      </c>
      <c r="AX198">
        <v>370.12599999999998</v>
      </c>
      <c r="AY198">
        <v>27.025300000000001</v>
      </c>
      <c r="AZ198">
        <v>300.19299999999998</v>
      </c>
      <c r="BA198">
        <v>98.694599999999994</v>
      </c>
      <c r="BB198">
        <v>0.100019</v>
      </c>
      <c r="BC198">
        <v>26.612400000000001</v>
      </c>
      <c r="BD198">
        <v>27.0063</v>
      </c>
      <c r="BE198">
        <v>27.79</v>
      </c>
      <c r="BF198">
        <v>0</v>
      </c>
      <c r="BG198">
        <v>0</v>
      </c>
      <c r="BH198">
        <v>10000</v>
      </c>
      <c r="BI198">
        <v>1086.21</v>
      </c>
      <c r="BJ198">
        <v>1.4409000000000001</v>
      </c>
      <c r="BK198">
        <v>-430.98</v>
      </c>
      <c r="BL198">
        <v>379.38099999999997</v>
      </c>
      <c r="BM198">
        <v>800.18499999999995</v>
      </c>
      <c r="BN198">
        <v>27.025300000000001</v>
      </c>
      <c r="BO198">
        <v>800.03899999999999</v>
      </c>
      <c r="BP198">
        <v>0.182867</v>
      </c>
      <c r="BQ198">
        <v>2.6852900000000002</v>
      </c>
      <c r="BR198">
        <v>1.8048000000000002E-2</v>
      </c>
      <c r="BS198">
        <v>22.195399999999999</v>
      </c>
      <c r="BT198">
        <v>-40.409799999999997</v>
      </c>
      <c r="BU198">
        <v>1800.01</v>
      </c>
      <c r="BV198">
        <v>0.90998299999999999</v>
      </c>
      <c r="BW198">
        <v>3.4003899999999997E-2</v>
      </c>
      <c r="BX198">
        <v>2.2005E-2</v>
      </c>
      <c r="BY198">
        <v>3.4007700000000002E-2</v>
      </c>
      <c r="BZ198">
        <v>25</v>
      </c>
      <c r="CA198">
        <v>33528.400000000001</v>
      </c>
      <c r="CB198">
        <v>1690373417</v>
      </c>
      <c r="CC198" t="s">
        <v>332</v>
      </c>
      <c r="CD198">
        <v>1690373417</v>
      </c>
      <c r="CE198">
        <v>1690373415</v>
      </c>
      <c r="CF198">
        <v>1</v>
      </c>
      <c r="CG198">
        <v>-1.319</v>
      </c>
      <c r="CH198">
        <v>0.01</v>
      </c>
      <c r="CI198">
        <v>-1.371</v>
      </c>
      <c r="CJ198">
        <v>0.183</v>
      </c>
      <c r="CK198">
        <v>800</v>
      </c>
      <c r="CL198">
        <v>21</v>
      </c>
      <c r="CM198">
        <v>0.09</v>
      </c>
      <c r="CN198">
        <v>7.0000000000000007E-2</v>
      </c>
      <c r="CO198">
        <v>-430.39420000000001</v>
      </c>
      <c r="CP198">
        <v>-2.6135909943691469</v>
      </c>
      <c r="CQ198">
        <v>0.25502403808269009</v>
      </c>
      <c r="CR198">
        <v>-1</v>
      </c>
      <c r="CS198">
        <v>27.011307500000001</v>
      </c>
      <c r="CT198">
        <v>6.8907692307654367E-2</v>
      </c>
      <c r="CU198">
        <v>6.7914426854683773E-3</v>
      </c>
      <c r="CV198">
        <v>-1</v>
      </c>
      <c r="CW198">
        <v>0</v>
      </c>
      <c r="CX198">
        <v>0</v>
      </c>
      <c r="CY198" t="s">
        <v>333</v>
      </c>
      <c r="CZ198">
        <v>2.3656999999999999</v>
      </c>
      <c r="DA198">
        <v>2.7138100000000001</v>
      </c>
      <c r="DB198">
        <v>8.41668E-2</v>
      </c>
      <c r="DC198">
        <v>0.14573</v>
      </c>
      <c r="DD198">
        <v>0.124185</v>
      </c>
      <c r="DE198">
        <v>1.53604E-3</v>
      </c>
      <c r="DF198">
        <v>33459.1</v>
      </c>
      <c r="DG198">
        <v>27528.400000000001</v>
      </c>
      <c r="DH198">
        <v>31185.8</v>
      </c>
      <c r="DI198">
        <v>28076.7</v>
      </c>
      <c r="DJ198">
        <v>37065.300000000003</v>
      </c>
      <c r="DK198">
        <v>39851.300000000003</v>
      </c>
      <c r="DL198">
        <v>44378</v>
      </c>
      <c r="DM198">
        <v>42532.5</v>
      </c>
      <c r="DN198">
        <v>1.4867300000000001</v>
      </c>
      <c r="DO198">
        <v>2.0610499999999998</v>
      </c>
      <c r="DP198">
        <v>0.111938</v>
      </c>
      <c r="DQ198">
        <v>0.163466</v>
      </c>
      <c r="DR198">
        <v>25.172999999999998</v>
      </c>
      <c r="DS198">
        <v>25.1143</v>
      </c>
      <c r="DT198">
        <v>31</v>
      </c>
      <c r="DU198">
        <v>25.8</v>
      </c>
      <c r="DV198">
        <v>10.472899999999999</v>
      </c>
      <c r="DW198">
        <v>61.640099999999997</v>
      </c>
      <c r="DX198">
        <v>37.091299999999997</v>
      </c>
      <c r="DY198">
        <v>1</v>
      </c>
      <c r="DZ198">
        <v>-0.167238</v>
      </c>
      <c r="EA198">
        <v>-0.59863299999999997</v>
      </c>
      <c r="EB198">
        <v>20.189399999999999</v>
      </c>
      <c r="EC198">
        <v>5.2404999999999999</v>
      </c>
      <c r="ED198">
        <v>12.039899999999999</v>
      </c>
      <c r="EE198">
        <v>5.0135500000000004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1.86876</v>
      </c>
      <c r="EL198">
        <v>1.8644400000000001</v>
      </c>
      <c r="EM198">
        <v>1.8690899999999999</v>
      </c>
      <c r="EN198">
        <v>1.8670899999999999</v>
      </c>
      <c r="EO198">
        <v>1.8632500000000001</v>
      </c>
      <c r="EP198">
        <v>1.86426</v>
      </c>
      <c r="EQ198">
        <v>1.8700699999999999</v>
      </c>
      <c r="ER198">
        <v>1.86931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-1.0669999999999999</v>
      </c>
      <c r="FG198">
        <v>0.18279999999999999</v>
      </c>
      <c r="FH198">
        <v>-0.81947142863283695</v>
      </c>
      <c r="FI198">
        <v>-6.1462078757559423E-4</v>
      </c>
      <c r="FJ198">
        <v>-1.8861989874597051E-7</v>
      </c>
      <c r="FK198">
        <v>1.1980462299894961E-10</v>
      </c>
      <c r="FL198">
        <v>0.18283500000000069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38</v>
      </c>
      <c r="FU198">
        <v>38</v>
      </c>
      <c r="FV198">
        <v>1.7626999999999999</v>
      </c>
      <c r="FW198">
        <v>2.5659200000000002</v>
      </c>
      <c r="FX198">
        <v>1.5490699999999999</v>
      </c>
      <c r="FY198">
        <v>2.34375</v>
      </c>
      <c r="FZ198">
        <v>1.50146</v>
      </c>
      <c r="GA198">
        <v>2.32178</v>
      </c>
      <c r="GB198">
        <v>30.9985</v>
      </c>
      <c r="GC198">
        <v>23.982399999999998</v>
      </c>
      <c r="GD198">
        <v>19</v>
      </c>
      <c r="GE198">
        <v>283.25299999999999</v>
      </c>
      <c r="GF198">
        <v>592.80899999999997</v>
      </c>
      <c r="GG198">
        <v>25.667000000000002</v>
      </c>
      <c r="GH198">
        <v>25.325600000000001</v>
      </c>
      <c r="GI198">
        <v>30.0002</v>
      </c>
      <c r="GJ198">
        <v>25.432300000000001</v>
      </c>
      <c r="GK198">
        <v>25.398</v>
      </c>
      <c r="GL198">
        <v>35.234499999999997</v>
      </c>
      <c r="GM198">
        <v>100</v>
      </c>
      <c r="GN198">
        <v>0</v>
      </c>
      <c r="GO198">
        <v>25.661200000000001</v>
      </c>
      <c r="GP198">
        <v>800</v>
      </c>
      <c r="GQ198">
        <v>0</v>
      </c>
      <c r="GR198">
        <v>99.778199999999998</v>
      </c>
      <c r="GS198">
        <v>99.518799999999999</v>
      </c>
    </row>
    <row r="199" spans="1:201" x14ac:dyDescent="0.25">
      <c r="A199">
        <v>183</v>
      </c>
      <c r="B199">
        <v>1690375706.0999999</v>
      </c>
      <c r="C199">
        <v>1886.599999904633</v>
      </c>
      <c r="D199" t="s">
        <v>699</v>
      </c>
      <c r="E199" t="s">
        <v>700</v>
      </c>
      <c r="F199" t="s">
        <v>330</v>
      </c>
      <c r="H199">
        <v>1690375706.0999999</v>
      </c>
      <c r="I199">
        <f t="shared" si="60"/>
        <v>2.7810785152691821E-3</v>
      </c>
      <c r="J199">
        <f t="shared" si="61"/>
        <v>2.7810785152691819</v>
      </c>
      <c r="K199">
        <f t="shared" si="62"/>
        <v>42.14895286052802</v>
      </c>
      <c r="L199">
        <f t="shared" si="63"/>
        <v>368.584</v>
      </c>
      <c r="M199">
        <f t="shared" si="64"/>
        <v>99.569297623878455</v>
      </c>
      <c r="N199">
        <f t="shared" si="65"/>
        <v>9.837622046341604</v>
      </c>
      <c r="O199">
        <f t="shared" si="66"/>
        <v>36.416748645007999</v>
      </c>
      <c r="P199">
        <f t="shared" si="67"/>
        <v>0.26897257071851888</v>
      </c>
      <c r="Q199">
        <f t="shared" si="68"/>
        <v>2.2497473441484517</v>
      </c>
      <c r="R199">
        <f t="shared" si="69"/>
        <v>0.25229929313802968</v>
      </c>
      <c r="S199">
        <f t="shared" si="70"/>
        <v>0.15909888203665762</v>
      </c>
      <c r="T199">
        <f t="shared" si="71"/>
        <v>276.11627581800008</v>
      </c>
      <c r="U199">
        <f t="shared" si="72"/>
        <v>27.764475944906799</v>
      </c>
      <c r="V199">
        <f t="shared" si="73"/>
        <v>27.764475944906799</v>
      </c>
      <c r="W199">
        <f t="shared" si="74"/>
        <v>3.7430466337218329</v>
      </c>
      <c r="X199">
        <f t="shared" si="75"/>
        <v>76.886769717157193</v>
      </c>
      <c r="Y199">
        <f t="shared" si="76"/>
        <v>2.6894136021685999</v>
      </c>
      <c r="Z199">
        <f t="shared" si="77"/>
        <v>3.4978886641513576</v>
      </c>
      <c r="AA199">
        <f t="shared" si="78"/>
        <v>1.053633031553233</v>
      </c>
      <c r="AB199">
        <f t="shared" si="79"/>
        <v>-122.64556252337093</v>
      </c>
      <c r="AC199">
        <f t="shared" si="80"/>
        <v>-140.08515993122296</v>
      </c>
      <c r="AD199">
        <f t="shared" si="81"/>
        <v>-13.463153182362985</v>
      </c>
      <c r="AE199">
        <f t="shared" si="82"/>
        <v>-7.7599818956798572E-2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52280.743073178761</v>
      </c>
      <c r="AK199">
        <f t="shared" si="86"/>
        <v>1800</v>
      </c>
      <c r="AL199">
        <f t="shared" si="87"/>
        <v>1499.1111018000001</v>
      </c>
      <c r="AM199">
        <f t="shared" si="88"/>
        <v>0.83283950100000004</v>
      </c>
      <c r="AN199">
        <f t="shared" si="89"/>
        <v>0.15339793101000004</v>
      </c>
      <c r="AO199">
        <v>30</v>
      </c>
      <c r="AP199">
        <v>0.5</v>
      </c>
      <c r="AQ199" t="s">
        <v>331</v>
      </c>
      <c r="AR199">
        <v>2</v>
      </c>
      <c r="AS199">
        <v>1690375706.0999999</v>
      </c>
      <c r="AT199">
        <v>368.584</v>
      </c>
      <c r="AU199">
        <v>800.07100000000003</v>
      </c>
      <c r="AV199">
        <v>27.220300000000002</v>
      </c>
      <c r="AW199">
        <v>0.182395</v>
      </c>
      <c r="AX199">
        <v>369.65</v>
      </c>
      <c r="AY199">
        <v>27.037400000000002</v>
      </c>
      <c r="AZ199">
        <v>300.17599999999999</v>
      </c>
      <c r="BA199">
        <v>98.701700000000002</v>
      </c>
      <c r="BB199">
        <v>0.100062</v>
      </c>
      <c r="BC199">
        <v>26.609500000000001</v>
      </c>
      <c r="BD199">
        <v>26.977599999999999</v>
      </c>
      <c r="BE199">
        <v>27.777999999999999</v>
      </c>
      <c r="BF199">
        <v>0</v>
      </c>
      <c r="BG199">
        <v>0</v>
      </c>
      <c r="BH199">
        <v>10004.4</v>
      </c>
      <c r="BI199">
        <v>1086.24</v>
      </c>
      <c r="BJ199">
        <v>1.4296899999999999</v>
      </c>
      <c r="BK199">
        <v>-431.488</v>
      </c>
      <c r="BL199">
        <v>378.89699999999999</v>
      </c>
      <c r="BM199">
        <v>800.21699999999998</v>
      </c>
      <c r="BN199">
        <v>27.0379</v>
      </c>
      <c r="BO199">
        <v>800.07100000000003</v>
      </c>
      <c r="BP199">
        <v>0.182395</v>
      </c>
      <c r="BQ199">
        <v>2.68669</v>
      </c>
      <c r="BR199">
        <v>1.80027E-2</v>
      </c>
      <c r="BS199">
        <v>22.203900000000001</v>
      </c>
      <c r="BT199">
        <v>-40.433799999999998</v>
      </c>
      <c r="BU199">
        <v>1800</v>
      </c>
      <c r="BV199">
        <v>0.90998500000000004</v>
      </c>
      <c r="BW199">
        <v>3.4003499999999999E-2</v>
      </c>
      <c r="BX199">
        <v>2.2004800000000001E-2</v>
      </c>
      <c r="BY199">
        <v>3.4007299999999997E-2</v>
      </c>
      <c r="BZ199">
        <v>25</v>
      </c>
      <c r="CA199">
        <v>33528.199999999997</v>
      </c>
      <c r="CB199">
        <v>1690373417</v>
      </c>
      <c r="CC199" t="s">
        <v>332</v>
      </c>
      <c r="CD199">
        <v>1690373417</v>
      </c>
      <c r="CE199">
        <v>1690373415</v>
      </c>
      <c r="CF199">
        <v>1</v>
      </c>
      <c r="CG199">
        <v>-1.319</v>
      </c>
      <c r="CH199">
        <v>0.01</v>
      </c>
      <c r="CI199">
        <v>-1.371</v>
      </c>
      <c r="CJ199">
        <v>0.183</v>
      </c>
      <c r="CK199">
        <v>800</v>
      </c>
      <c r="CL199">
        <v>21</v>
      </c>
      <c r="CM199">
        <v>0.09</v>
      </c>
      <c r="CN199">
        <v>7.0000000000000007E-2</v>
      </c>
      <c r="CO199">
        <v>-430.88069999999999</v>
      </c>
      <c r="CP199">
        <v>-3.181125703564267</v>
      </c>
      <c r="CQ199">
        <v>0.30958707983377087</v>
      </c>
      <c r="CR199">
        <v>-1</v>
      </c>
      <c r="CS199">
        <v>27.0238725</v>
      </c>
      <c r="CT199">
        <v>8.220225140702489E-2</v>
      </c>
      <c r="CU199">
        <v>7.9304787844115508E-3</v>
      </c>
      <c r="CV199">
        <v>-1</v>
      </c>
      <c r="CW199">
        <v>0</v>
      </c>
      <c r="CX199">
        <v>0</v>
      </c>
      <c r="CY199" t="s">
        <v>333</v>
      </c>
      <c r="CZ199">
        <v>2.3656299999999999</v>
      </c>
      <c r="DA199">
        <v>2.7138599999999999</v>
      </c>
      <c r="DB199">
        <v>8.4088700000000002E-2</v>
      </c>
      <c r="DC199">
        <v>0.14574400000000001</v>
      </c>
      <c r="DD199">
        <v>0.124233</v>
      </c>
      <c r="DE199">
        <v>1.5322199999999999E-3</v>
      </c>
      <c r="DF199">
        <v>33461.599999999999</v>
      </c>
      <c r="DG199">
        <v>27528</v>
      </c>
      <c r="DH199">
        <v>31185.5</v>
      </c>
      <c r="DI199">
        <v>28076.7</v>
      </c>
      <c r="DJ199">
        <v>37062.800000000003</v>
      </c>
      <c r="DK199">
        <v>39851.4</v>
      </c>
      <c r="DL199">
        <v>44377.4</v>
      </c>
      <c r="DM199">
        <v>42532.5</v>
      </c>
      <c r="DN199">
        <v>1.48627</v>
      </c>
      <c r="DO199">
        <v>2.0606</v>
      </c>
      <c r="DP199">
        <v>0.110276</v>
      </c>
      <c r="DQ199">
        <v>0.162855</v>
      </c>
      <c r="DR199">
        <v>25.171500000000002</v>
      </c>
      <c r="DS199">
        <v>25.112200000000001</v>
      </c>
      <c r="DT199">
        <v>30.9</v>
      </c>
      <c r="DU199">
        <v>25.8</v>
      </c>
      <c r="DV199">
        <v>10.4391</v>
      </c>
      <c r="DW199">
        <v>61.750100000000003</v>
      </c>
      <c r="DX199">
        <v>37.119399999999999</v>
      </c>
      <c r="DY199">
        <v>1</v>
      </c>
      <c r="DZ199">
        <v>-0.16698199999999999</v>
      </c>
      <c r="EA199">
        <v>-0.65725999999999996</v>
      </c>
      <c r="EB199">
        <v>20.1891</v>
      </c>
      <c r="EC199">
        <v>5.2400500000000001</v>
      </c>
      <c r="ED199">
        <v>12.039899999999999</v>
      </c>
      <c r="EE199">
        <v>5.0133999999999999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1.8687800000000001</v>
      </c>
      <c r="EL199">
        <v>1.8644400000000001</v>
      </c>
      <c r="EM199">
        <v>1.86911</v>
      </c>
      <c r="EN199">
        <v>1.8671</v>
      </c>
      <c r="EO199">
        <v>1.8632500000000001</v>
      </c>
      <c r="EP199">
        <v>1.86426</v>
      </c>
      <c r="EQ199">
        <v>1.8700600000000001</v>
      </c>
      <c r="ER199">
        <v>1.86931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-1.0660000000000001</v>
      </c>
      <c r="FG199">
        <v>0.18290000000000001</v>
      </c>
      <c r="FH199">
        <v>-0.81947142863283695</v>
      </c>
      <c r="FI199">
        <v>-6.1462078757559423E-4</v>
      </c>
      <c r="FJ199">
        <v>-1.8861989874597051E-7</v>
      </c>
      <c r="FK199">
        <v>1.1980462299894961E-10</v>
      </c>
      <c r="FL199">
        <v>0.18283500000000069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38.200000000000003</v>
      </c>
      <c r="FU199">
        <v>38.200000000000003</v>
      </c>
      <c r="FV199">
        <v>1.7626999999999999</v>
      </c>
      <c r="FW199">
        <v>2.5622600000000002</v>
      </c>
      <c r="FX199">
        <v>1.5490699999999999</v>
      </c>
      <c r="FY199">
        <v>2.34375</v>
      </c>
      <c r="FZ199">
        <v>1.50146</v>
      </c>
      <c r="GA199">
        <v>2.32422</v>
      </c>
      <c r="GB199">
        <v>31.020199999999999</v>
      </c>
      <c r="GC199">
        <v>23.982399999999998</v>
      </c>
      <c r="GD199">
        <v>19</v>
      </c>
      <c r="GE199">
        <v>283.06200000000001</v>
      </c>
      <c r="GF199">
        <v>592.44100000000003</v>
      </c>
      <c r="GG199">
        <v>25.657</v>
      </c>
      <c r="GH199">
        <v>25.325600000000001</v>
      </c>
      <c r="GI199">
        <v>30.0002</v>
      </c>
      <c r="GJ199">
        <v>25.432300000000001</v>
      </c>
      <c r="GK199">
        <v>25.398700000000002</v>
      </c>
      <c r="GL199">
        <v>35.2333</v>
      </c>
      <c r="GM199">
        <v>100</v>
      </c>
      <c r="GN199">
        <v>0</v>
      </c>
      <c r="GO199">
        <v>25.675000000000001</v>
      </c>
      <c r="GP199">
        <v>800</v>
      </c>
      <c r="GQ199">
        <v>0</v>
      </c>
      <c r="GR199">
        <v>99.777100000000004</v>
      </c>
      <c r="GS199">
        <v>99.518699999999995</v>
      </c>
    </row>
    <row r="200" spans="1:201" x14ac:dyDescent="0.25">
      <c r="A200">
        <v>184</v>
      </c>
      <c r="B200">
        <v>1690375716.0999999</v>
      </c>
      <c r="C200">
        <v>1896.599999904633</v>
      </c>
      <c r="D200" t="s">
        <v>701</v>
      </c>
      <c r="E200" t="s">
        <v>702</v>
      </c>
      <c r="F200" t="s">
        <v>330</v>
      </c>
      <c r="H200">
        <v>1690375716.0999999</v>
      </c>
      <c r="I200">
        <f t="shared" si="60"/>
        <v>2.7828036261816126E-3</v>
      </c>
      <c r="J200">
        <f t="shared" si="61"/>
        <v>2.7828036261816127</v>
      </c>
      <c r="K200">
        <f t="shared" si="62"/>
        <v>42.185838139750388</v>
      </c>
      <c r="L200">
        <f t="shared" si="63"/>
        <v>368.096</v>
      </c>
      <c r="M200">
        <f t="shared" si="64"/>
        <v>99.403558628446518</v>
      </c>
      <c r="N200">
        <f t="shared" si="65"/>
        <v>9.8221423676240605</v>
      </c>
      <c r="O200">
        <f t="shared" si="66"/>
        <v>36.371849930112006</v>
      </c>
      <c r="P200">
        <f t="shared" si="67"/>
        <v>0.26960044109259135</v>
      </c>
      <c r="Q200">
        <f t="shared" si="68"/>
        <v>2.2430881078638891</v>
      </c>
      <c r="R200">
        <f t="shared" si="69"/>
        <v>0.25280543118182913</v>
      </c>
      <c r="S200">
        <f t="shared" si="70"/>
        <v>0.15942509456010417</v>
      </c>
      <c r="T200">
        <f t="shared" si="71"/>
        <v>276.11594308799999</v>
      </c>
      <c r="U200">
        <f t="shared" si="72"/>
        <v>27.766828546882653</v>
      </c>
      <c r="V200">
        <f t="shared" si="73"/>
        <v>27.766828546882653</v>
      </c>
      <c r="W200">
        <f t="shared" si="74"/>
        <v>3.7435609184322356</v>
      </c>
      <c r="X200">
        <f t="shared" si="75"/>
        <v>76.941580483980331</v>
      </c>
      <c r="Y200">
        <f t="shared" si="76"/>
        <v>2.6912991158868</v>
      </c>
      <c r="Z200">
        <f t="shared" si="77"/>
        <v>3.4978474564181115</v>
      </c>
      <c r="AA200">
        <f t="shared" si="78"/>
        <v>1.0522618025454356</v>
      </c>
      <c r="AB200">
        <f t="shared" si="79"/>
        <v>-122.72163991460911</v>
      </c>
      <c r="AC200">
        <f t="shared" si="80"/>
        <v>-139.97919338378782</v>
      </c>
      <c r="AD200">
        <f t="shared" si="81"/>
        <v>-13.493053331419109</v>
      </c>
      <c r="AE200">
        <f t="shared" si="82"/>
        <v>-7.7943541816040351E-2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52022.108230799146</v>
      </c>
      <c r="AK200">
        <f t="shared" si="86"/>
        <v>1800</v>
      </c>
      <c r="AL200">
        <f t="shared" si="87"/>
        <v>1499.1100038</v>
      </c>
      <c r="AM200">
        <f t="shared" si="88"/>
        <v>0.83283889099999997</v>
      </c>
      <c r="AN200">
        <f t="shared" si="89"/>
        <v>0.15339774615999999</v>
      </c>
      <c r="AO200">
        <v>30</v>
      </c>
      <c r="AP200">
        <v>0.5</v>
      </c>
      <c r="AQ200" t="s">
        <v>331</v>
      </c>
      <c r="AR200">
        <v>2</v>
      </c>
      <c r="AS200">
        <v>1690375716.0999999</v>
      </c>
      <c r="AT200">
        <v>368.096</v>
      </c>
      <c r="AU200">
        <v>799.96600000000001</v>
      </c>
      <c r="AV200">
        <v>27.236899999999999</v>
      </c>
      <c r="AW200">
        <v>0.18133299999999999</v>
      </c>
      <c r="AX200">
        <v>369.16199999999998</v>
      </c>
      <c r="AY200">
        <v>27.053999999999998</v>
      </c>
      <c r="AZ200">
        <v>300.161</v>
      </c>
      <c r="BA200">
        <v>98.710700000000003</v>
      </c>
      <c r="BB200">
        <v>0.10007199999999999</v>
      </c>
      <c r="BC200">
        <v>26.609300000000001</v>
      </c>
      <c r="BD200">
        <v>26.992999999999999</v>
      </c>
      <c r="BE200">
        <v>27.777100000000001</v>
      </c>
      <c r="BF200">
        <v>0</v>
      </c>
      <c r="BG200">
        <v>0</v>
      </c>
      <c r="BH200">
        <v>9951.8799999999992</v>
      </c>
      <c r="BI200">
        <v>1086.05</v>
      </c>
      <c r="BJ200">
        <v>1.4577199999999999</v>
      </c>
      <c r="BK200">
        <v>-431.87</v>
      </c>
      <c r="BL200">
        <v>378.40199999999999</v>
      </c>
      <c r="BM200">
        <v>800.11099999999999</v>
      </c>
      <c r="BN200">
        <v>27.055499999999999</v>
      </c>
      <c r="BO200">
        <v>799.96600000000001</v>
      </c>
      <c r="BP200">
        <v>0.18133299999999999</v>
      </c>
      <c r="BQ200">
        <v>2.6885699999999999</v>
      </c>
      <c r="BR200">
        <v>1.7899499999999999E-2</v>
      </c>
      <c r="BS200">
        <v>22.215399999999999</v>
      </c>
      <c r="BT200">
        <v>-40.488599999999998</v>
      </c>
      <c r="BU200">
        <v>1800</v>
      </c>
      <c r="BV200">
        <v>0.90998599999999996</v>
      </c>
      <c r="BW200">
        <v>3.40028E-2</v>
      </c>
      <c r="BX200">
        <v>2.2004300000000001E-2</v>
      </c>
      <c r="BY200">
        <v>3.4006599999999998E-2</v>
      </c>
      <c r="BZ200">
        <v>25</v>
      </c>
      <c r="CA200">
        <v>33528.400000000001</v>
      </c>
      <c r="CB200">
        <v>1690373417</v>
      </c>
      <c r="CC200" t="s">
        <v>332</v>
      </c>
      <c r="CD200">
        <v>1690373417</v>
      </c>
      <c r="CE200">
        <v>1690373415</v>
      </c>
      <c r="CF200">
        <v>1</v>
      </c>
      <c r="CG200">
        <v>-1.319</v>
      </c>
      <c r="CH200">
        <v>0.01</v>
      </c>
      <c r="CI200">
        <v>-1.371</v>
      </c>
      <c r="CJ200">
        <v>0.183</v>
      </c>
      <c r="CK200">
        <v>800</v>
      </c>
      <c r="CL200">
        <v>21</v>
      </c>
      <c r="CM200">
        <v>0.09</v>
      </c>
      <c r="CN200">
        <v>7.0000000000000007E-2</v>
      </c>
      <c r="CO200">
        <v>-431.41809756097558</v>
      </c>
      <c r="CP200">
        <v>-2.8063902439027659</v>
      </c>
      <c r="CQ200">
        <v>0.27982292352599492</v>
      </c>
      <c r="CR200">
        <v>-1</v>
      </c>
      <c r="CS200">
        <v>27.038070731707311</v>
      </c>
      <c r="CT200">
        <v>8.8791637630726561E-2</v>
      </c>
      <c r="CU200">
        <v>8.8260767712455453E-3</v>
      </c>
      <c r="CV200">
        <v>-1</v>
      </c>
      <c r="CW200">
        <v>0</v>
      </c>
      <c r="CX200">
        <v>0</v>
      </c>
      <c r="CY200" t="s">
        <v>333</v>
      </c>
      <c r="CZ200">
        <v>2.3655900000000001</v>
      </c>
      <c r="DA200">
        <v>2.7138200000000001</v>
      </c>
      <c r="DB200">
        <v>8.4009500000000001E-2</v>
      </c>
      <c r="DC200">
        <v>0.14574300000000001</v>
      </c>
      <c r="DD200">
        <v>0.124296</v>
      </c>
      <c r="DE200">
        <v>1.52352E-3</v>
      </c>
      <c r="DF200">
        <v>33464.9</v>
      </c>
      <c r="DG200">
        <v>27528.1</v>
      </c>
      <c r="DH200">
        <v>31185.9</v>
      </c>
      <c r="DI200">
        <v>28076.799999999999</v>
      </c>
      <c r="DJ200">
        <v>37060.800000000003</v>
      </c>
      <c r="DK200">
        <v>39851.800000000003</v>
      </c>
      <c r="DL200">
        <v>44378.3</v>
      </c>
      <c r="DM200">
        <v>42532.5</v>
      </c>
      <c r="DN200">
        <v>1.48678</v>
      </c>
      <c r="DO200">
        <v>2.0609500000000001</v>
      </c>
      <c r="DP200">
        <v>0.111014</v>
      </c>
      <c r="DQ200">
        <v>0.162803</v>
      </c>
      <c r="DR200">
        <v>25.174800000000001</v>
      </c>
      <c r="DS200">
        <v>25.112200000000001</v>
      </c>
      <c r="DT200">
        <v>30.9</v>
      </c>
      <c r="DU200">
        <v>25.8</v>
      </c>
      <c r="DV200">
        <v>10.438000000000001</v>
      </c>
      <c r="DW200">
        <v>61.920099999999998</v>
      </c>
      <c r="DX200">
        <v>37.119399999999999</v>
      </c>
      <c r="DY200">
        <v>1</v>
      </c>
      <c r="DZ200">
        <v>-0.16717699999999999</v>
      </c>
      <c r="EA200">
        <v>-0.70523999999999998</v>
      </c>
      <c r="EB200">
        <v>20.188800000000001</v>
      </c>
      <c r="EC200">
        <v>5.2394499999999997</v>
      </c>
      <c r="ED200">
        <v>12.039899999999999</v>
      </c>
      <c r="EE200">
        <v>5.01335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1.86876</v>
      </c>
      <c r="EL200">
        <v>1.8644400000000001</v>
      </c>
      <c r="EM200">
        <v>1.86911</v>
      </c>
      <c r="EN200">
        <v>1.8670899999999999</v>
      </c>
      <c r="EO200">
        <v>1.8632500000000001</v>
      </c>
      <c r="EP200">
        <v>1.8642700000000001</v>
      </c>
      <c r="EQ200">
        <v>1.87008</v>
      </c>
      <c r="ER200">
        <v>1.86927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-1.0660000000000001</v>
      </c>
      <c r="FG200">
        <v>0.18290000000000001</v>
      </c>
      <c r="FH200">
        <v>-0.81947142863283695</v>
      </c>
      <c r="FI200">
        <v>-6.1462078757559423E-4</v>
      </c>
      <c r="FJ200">
        <v>-1.8861989874597051E-7</v>
      </c>
      <c r="FK200">
        <v>1.1980462299894961E-10</v>
      </c>
      <c r="FL200">
        <v>0.18283500000000069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38.299999999999997</v>
      </c>
      <c r="FU200">
        <v>38.4</v>
      </c>
      <c r="FV200">
        <v>1.7626999999999999</v>
      </c>
      <c r="FW200">
        <v>2.5659200000000002</v>
      </c>
      <c r="FX200">
        <v>1.5490699999999999</v>
      </c>
      <c r="FY200">
        <v>2.34375</v>
      </c>
      <c r="FZ200">
        <v>1.50146</v>
      </c>
      <c r="GA200">
        <v>2.2534200000000002</v>
      </c>
      <c r="GB200">
        <v>31.020199999999999</v>
      </c>
      <c r="GC200">
        <v>23.982399999999998</v>
      </c>
      <c r="GD200">
        <v>19</v>
      </c>
      <c r="GE200">
        <v>283.27999999999997</v>
      </c>
      <c r="GF200">
        <v>592.75</v>
      </c>
      <c r="GG200">
        <v>25.6843</v>
      </c>
      <c r="GH200">
        <v>25.3264</v>
      </c>
      <c r="GI200">
        <v>30</v>
      </c>
      <c r="GJ200">
        <v>25.433599999999998</v>
      </c>
      <c r="GK200">
        <v>25.400200000000002</v>
      </c>
      <c r="GL200">
        <v>35.236199999999997</v>
      </c>
      <c r="GM200">
        <v>100</v>
      </c>
      <c r="GN200">
        <v>0</v>
      </c>
      <c r="GO200">
        <v>25.686900000000001</v>
      </c>
      <c r="GP200">
        <v>800</v>
      </c>
      <c r="GQ200">
        <v>0</v>
      </c>
      <c r="GR200">
        <v>99.778800000000004</v>
      </c>
      <c r="GS200">
        <v>99.519000000000005</v>
      </c>
    </row>
    <row r="201" spans="1:201" x14ac:dyDescent="0.25">
      <c r="A201">
        <v>185</v>
      </c>
      <c r="B201">
        <v>1690375726.0999999</v>
      </c>
      <c r="C201">
        <v>1906.599999904633</v>
      </c>
      <c r="D201" t="s">
        <v>703</v>
      </c>
      <c r="E201" t="s">
        <v>704</v>
      </c>
      <c r="F201" t="s">
        <v>330</v>
      </c>
      <c r="H201">
        <v>1690375726.0999999</v>
      </c>
      <c r="I201">
        <f t="shared" si="60"/>
        <v>2.7858031236049153E-3</v>
      </c>
      <c r="J201">
        <f t="shared" si="61"/>
        <v>2.7858031236049152</v>
      </c>
      <c r="K201">
        <f t="shared" si="62"/>
        <v>42.255677981628423</v>
      </c>
      <c r="L201">
        <f t="shared" si="63"/>
        <v>367.57900000000001</v>
      </c>
      <c r="M201">
        <f t="shared" si="64"/>
        <v>99.216942168711469</v>
      </c>
      <c r="N201">
        <f t="shared" si="65"/>
        <v>9.802599160338934</v>
      </c>
      <c r="O201">
        <f t="shared" si="66"/>
        <v>36.316676547349999</v>
      </c>
      <c r="P201">
        <f t="shared" si="67"/>
        <v>0.27037135740770762</v>
      </c>
      <c r="Q201">
        <f t="shared" si="68"/>
        <v>2.2493980333000811</v>
      </c>
      <c r="R201">
        <f t="shared" si="69"/>
        <v>0.25352759492979965</v>
      </c>
      <c r="S201">
        <f t="shared" si="70"/>
        <v>0.15988057002265185</v>
      </c>
      <c r="T201">
        <f t="shared" si="71"/>
        <v>276.11598056399998</v>
      </c>
      <c r="U201">
        <f t="shared" si="72"/>
        <v>27.764367881233134</v>
      </c>
      <c r="V201">
        <f t="shared" si="73"/>
        <v>27.764367881233134</v>
      </c>
      <c r="W201">
        <f t="shared" si="74"/>
        <v>3.7430230122118786</v>
      </c>
      <c r="X201">
        <f t="shared" si="75"/>
        <v>76.976396047573047</v>
      </c>
      <c r="Y201">
        <f t="shared" si="76"/>
        <v>2.6927548208550003</v>
      </c>
      <c r="Z201">
        <f t="shared" si="77"/>
        <v>3.4981565247492501</v>
      </c>
      <c r="AA201">
        <f t="shared" si="78"/>
        <v>1.0502681913568783</v>
      </c>
      <c r="AB201">
        <f t="shared" si="79"/>
        <v>-122.85391775097676</v>
      </c>
      <c r="AC201">
        <f t="shared" si="80"/>
        <v>-139.89265412704088</v>
      </c>
      <c r="AD201">
        <f t="shared" si="81"/>
        <v>-13.446819840553985</v>
      </c>
      <c r="AE201">
        <f t="shared" si="82"/>
        <v>-7.7411154571649377E-2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52266.874685902498</v>
      </c>
      <c r="AK201">
        <f t="shared" si="86"/>
        <v>1800</v>
      </c>
      <c r="AL201">
        <f t="shared" si="87"/>
        <v>1499.1108354</v>
      </c>
      <c r="AM201">
        <f t="shared" si="88"/>
        <v>0.832839353</v>
      </c>
      <c r="AN201">
        <f t="shared" si="89"/>
        <v>0.15339776697999999</v>
      </c>
      <c r="AO201">
        <v>30</v>
      </c>
      <c r="AP201">
        <v>0.5</v>
      </c>
      <c r="AQ201" t="s">
        <v>331</v>
      </c>
      <c r="AR201">
        <v>2</v>
      </c>
      <c r="AS201">
        <v>1690375726.0999999</v>
      </c>
      <c r="AT201">
        <v>367.57900000000001</v>
      </c>
      <c r="AU201">
        <v>799.97799999999995</v>
      </c>
      <c r="AV201">
        <v>27.2547</v>
      </c>
      <c r="AW201">
        <v>0.180839</v>
      </c>
      <c r="AX201">
        <v>368.64499999999998</v>
      </c>
      <c r="AY201">
        <v>27.071899999999999</v>
      </c>
      <c r="AZ201">
        <v>300.27600000000001</v>
      </c>
      <c r="BA201">
        <v>98.699600000000004</v>
      </c>
      <c r="BB201">
        <v>0.10005</v>
      </c>
      <c r="BC201">
        <v>26.610800000000001</v>
      </c>
      <c r="BD201">
        <v>26.9939</v>
      </c>
      <c r="BE201">
        <v>27.778400000000001</v>
      </c>
      <c r="BF201">
        <v>0</v>
      </c>
      <c r="BG201">
        <v>0</v>
      </c>
      <c r="BH201">
        <v>10001.9</v>
      </c>
      <c r="BI201">
        <v>1086.05</v>
      </c>
      <c r="BJ201">
        <v>1.4268799999999999</v>
      </c>
      <c r="BK201">
        <v>-432.399</v>
      </c>
      <c r="BL201">
        <v>377.87799999999999</v>
      </c>
      <c r="BM201">
        <v>800.12300000000005</v>
      </c>
      <c r="BN201">
        <v>27.073899999999998</v>
      </c>
      <c r="BO201">
        <v>799.97799999999995</v>
      </c>
      <c r="BP201">
        <v>0.180839</v>
      </c>
      <c r="BQ201">
        <v>2.6900300000000001</v>
      </c>
      <c r="BR201">
        <v>1.7848699999999999E-2</v>
      </c>
      <c r="BS201">
        <v>22.224299999999999</v>
      </c>
      <c r="BT201">
        <v>-40.515700000000002</v>
      </c>
      <c r="BU201">
        <v>1800</v>
      </c>
      <c r="BV201">
        <v>0.90998800000000002</v>
      </c>
      <c r="BW201">
        <v>3.4002200000000003E-2</v>
      </c>
      <c r="BX201">
        <v>2.20039E-2</v>
      </c>
      <c r="BY201">
        <v>3.4006000000000002E-2</v>
      </c>
      <c r="BZ201">
        <v>25</v>
      </c>
      <c r="CA201">
        <v>33528.199999999997</v>
      </c>
      <c r="CB201">
        <v>1690373417</v>
      </c>
      <c r="CC201" t="s">
        <v>332</v>
      </c>
      <c r="CD201">
        <v>1690373417</v>
      </c>
      <c r="CE201">
        <v>1690373415</v>
      </c>
      <c r="CF201">
        <v>1</v>
      </c>
      <c r="CG201">
        <v>-1.319</v>
      </c>
      <c r="CH201">
        <v>0.01</v>
      </c>
      <c r="CI201">
        <v>-1.371</v>
      </c>
      <c r="CJ201">
        <v>0.183</v>
      </c>
      <c r="CK201">
        <v>800</v>
      </c>
      <c r="CL201">
        <v>21</v>
      </c>
      <c r="CM201">
        <v>0.09</v>
      </c>
      <c r="CN201">
        <v>7.0000000000000007E-2</v>
      </c>
      <c r="CO201">
        <v>-431.88884999999999</v>
      </c>
      <c r="CP201">
        <v>-2.8093733583494371</v>
      </c>
      <c r="CQ201">
        <v>0.27401683798627807</v>
      </c>
      <c r="CR201">
        <v>-1</v>
      </c>
      <c r="CS201">
        <v>27.054165000000001</v>
      </c>
      <c r="CT201">
        <v>0.1145200750468699</v>
      </c>
      <c r="CU201">
        <v>1.103960030979366E-2</v>
      </c>
      <c r="CV201">
        <v>-1</v>
      </c>
      <c r="CW201">
        <v>0</v>
      </c>
      <c r="CX201">
        <v>0</v>
      </c>
      <c r="CY201" t="s">
        <v>333</v>
      </c>
      <c r="CZ201">
        <v>2.3659699999999999</v>
      </c>
      <c r="DA201">
        <v>2.7138399999999998</v>
      </c>
      <c r="DB201">
        <v>8.39086E-2</v>
      </c>
      <c r="DC201">
        <v>0.145729</v>
      </c>
      <c r="DD201">
        <v>0.12433900000000001</v>
      </c>
      <c r="DE201">
        <v>1.51925E-3</v>
      </c>
      <c r="DF201">
        <v>33468.300000000003</v>
      </c>
      <c r="DG201">
        <v>27528.9</v>
      </c>
      <c r="DH201">
        <v>31185.7</v>
      </c>
      <c r="DI201">
        <v>28077.1</v>
      </c>
      <c r="DJ201">
        <v>37058.5</v>
      </c>
      <c r="DK201">
        <v>39852.5</v>
      </c>
      <c r="DL201">
        <v>44377.8</v>
      </c>
      <c r="DM201">
        <v>42533.1</v>
      </c>
      <c r="DN201">
        <v>1.4876499999999999</v>
      </c>
      <c r="DO201">
        <v>2.06142</v>
      </c>
      <c r="DP201">
        <v>0.110842</v>
      </c>
      <c r="DQ201">
        <v>0.16275000000000001</v>
      </c>
      <c r="DR201">
        <v>25.1785</v>
      </c>
      <c r="DS201">
        <v>25.1144</v>
      </c>
      <c r="DT201">
        <v>30.8</v>
      </c>
      <c r="DU201">
        <v>25.8</v>
      </c>
      <c r="DV201">
        <v>10.404400000000001</v>
      </c>
      <c r="DW201">
        <v>61.820099999999996</v>
      </c>
      <c r="DX201">
        <v>37.007199999999997</v>
      </c>
      <c r="DY201">
        <v>1</v>
      </c>
      <c r="DZ201">
        <v>-0.16702</v>
      </c>
      <c r="EA201">
        <v>-0.68890300000000004</v>
      </c>
      <c r="EB201">
        <v>20.1889</v>
      </c>
      <c r="EC201">
        <v>5.2396000000000003</v>
      </c>
      <c r="ED201">
        <v>12.039899999999999</v>
      </c>
      <c r="EE201">
        <v>5.0133999999999999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1.8687499999999999</v>
      </c>
      <c r="EL201">
        <v>1.8644499999999999</v>
      </c>
      <c r="EM201">
        <v>1.8691</v>
      </c>
      <c r="EN201">
        <v>1.8670800000000001</v>
      </c>
      <c r="EO201">
        <v>1.8632500000000001</v>
      </c>
      <c r="EP201">
        <v>1.86429</v>
      </c>
      <c r="EQ201">
        <v>1.87008</v>
      </c>
      <c r="ER201">
        <v>1.86931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-1.0660000000000001</v>
      </c>
      <c r="FG201">
        <v>0.18279999999999999</v>
      </c>
      <c r="FH201">
        <v>-0.81947142863283695</v>
      </c>
      <c r="FI201">
        <v>-6.1462078757559423E-4</v>
      </c>
      <c r="FJ201">
        <v>-1.8861989874597051E-7</v>
      </c>
      <c r="FK201">
        <v>1.1980462299894961E-10</v>
      </c>
      <c r="FL201">
        <v>0.18283500000000069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38.5</v>
      </c>
      <c r="FU201">
        <v>38.5</v>
      </c>
      <c r="FV201">
        <v>1.7626999999999999</v>
      </c>
      <c r="FW201">
        <v>2.5671400000000002</v>
      </c>
      <c r="FX201">
        <v>1.5490699999999999</v>
      </c>
      <c r="FY201">
        <v>2.34375</v>
      </c>
      <c r="FZ201">
        <v>1.50146</v>
      </c>
      <c r="GA201">
        <v>2.2888199999999999</v>
      </c>
      <c r="GB201">
        <v>31.020199999999999</v>
      </c>
      <c r="GC201">
        <v>23.982399999999998</v>
      </c>
      <c r="GD201">
        <v>19</v>
      </c>
      <c r="GE201">
        <v>283.654</v>
      </c>
      <c r="GF201">
        <v>593.14599999999996</v>
      </c>
      <c r="GG201">
        <v>25.6938</v>
      </c>
      <c r="GH201">
        <v>25.3278</v>
      </c>
      <c r="GI201">
        <v>30</v>
      </c>
      <c r="GJ201">
        <v>25.4345</v>
      </c>
      <c r="GK201">
        <v>25.400200000000002</v>
      </c>
      <c r="GL201">
        <v>35.235300000000002</v>
      </c>
      <c r="GM201">
        <v>100</v>
      </c>
      <c r="GN201">
        <v>0</v>
      </c>
      <c r="GO201">
        <v>25.6951</v>
      </c>
      <c r="GP201">
        <v>800</v>
      </c>
      <c r="GQ201">
        <v>0</v>
      </c>
      <c r="GR201">
        <v>99.777699999999996</v>
      </c>
      <c r="GS201">
        <v>99.520300000000006</v>
      </c>
    </row>
    <row r="202" spans="1:201" x14ac:dyDescent="0.25">
      <c r="A202">
        <v>186</v>
      </c>
      <c r="B202">
        <v>1690375736.0999999</v>
      </c>
      <c r="C202">
        <v>1916.599999904633</v>
      </c>
      <c r="D202" t="s">
        <v>705</v>
      </c>
      <c r="E202" t="s">
        <v>706</v>
      </c>
      <c r="F202" t="s">
        <v>330</v>
      </c>
      <c r="H202">
        <v>1690375736.0999999</v>
      </c>
      <c r="I202">
        <f t="shared" si="60"/>
        <v>2.7859264961429529E-3</v>
      </c>
      <c r="J202">
        <f t="shared" si="61"/>
        <v>2.7859264961429528</v>
      </c>
      <c r="K202">
        <f t="shared" si="62"/>
        <v>42.290116514594118</v>
      </c>
      <c r="L202">
        <f t="shared" si="63"/>
        <v>367.10899999999998</v>
      </c>
      <c r="M202">
        <f t="shared" si="64"/>
        <v>98.523770110362292</v>
      </c>
      <c r="N202">
        <f t="shared" si="65"/>
        <v>9.7336918095245775</v>
      </c>
      <c r="O202">
        <f t="shared" si="66"/>
        <v>36.2686675763632</v>
      </c>
      <c r="P202">
        <f t="shared" si="67"/>
        <v>0.27035349127143082</v>
      </c>
      <c r="Q202">
        <f t="shared" si="68"/>
        <v>2.2492530788441414</v>
      </c>
      <c r="R202">
        <f t="shared" si="69"/>
        <v>0.25351086758377284</v>
      </c>
      <c r="S202">
        <f t="shared" si="70"/>
        <v>0.15987001916709714</v>
      </c>
      <c r="T202">
        <f t="shared" si="71"/>
        <v>276.11596070999997</v>
      </c>
      <c r="U202">
        <f t="shared" si="72"/>
        <v>27.76889010062423</v>
      </c>
      <c r="V202">
        <f t="shared" si="73"/>
        <v>27.76889010062423</v>
      </c>
      <c r="W202">
        <f t="shared" si="74"/>
        <v>3.7440116299518604</v>
      </c>
      <c r="X202">
        <f t="shared" si="75"/>
        <v>76.982586236722838</v>
      </c>
      <c r="Y202">
        <f t="shared" si="76"/>
        <v>2.6936852598814398</v>
      </c>
      <c r="Z202">
        <f t="shared" si="77"/>
        <v>3.499083872810286</v>
      </c>
      <c r="AA202">
        <f t="shared" si="78"/>
        <v>1.0503263700704206</v>
      </c>
      <c r="AB202">
        <f t="shared" si="79"/>
        <v>-122.85935847990422</v>
      </c>
      <c r="AC202">
        <f t="shared" si="80"/>
        <v>-139.88633360434244</v>
      </c>
      <c r="AD202">
        <f t="shared" si="81"/>
        <v>-13.447685088756634</v>
      </c>
      <c r="AE202">
        <f t="shared" si="82"/>
        <v>-7.741646300334537E-2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52260.35743729728</v>
      </c>
      <c r="AK202">
        <f t="shared" si="86"/>
        <v>1800</v>
      </c>
      <c r="AL202">
        <f t="shared" si="87"/>
        <v>1499.1114059999998</v>
      </c>
      <c r="AM202">
        <f t="shared" si="88"/>
        <v>0.83283966999999992</v>
      </c>
      <c r="AN202">
        <f t="shared" si="89"/>
        <v>0.15339775594999999</v>
      </c>
      <c r="AO202">
        <v>30</v>
      </c>
      <c r="AP202">
        <v>0.5</v>
      </c>
      <c r="AQ202" t="s">
        <v>331</v>
      </c>
      <c r="AR202">
        <v>2</v>
      </c>
      <c r="AS202">
        <v>1690375736.0999999</v>
      </c>
      <c r="AT202">
        <v>367.10899999999998</v>
      </c>
      <c r="AU202">
        <v>800.01099999999997</v>
      </c>
      <c r="AV202">
        <v>27.2653</v>
      </c>
      <c r="AW202">
        <v>0.17980099999999999</v>
      </c>
      <c r="AX202">
        <v>368.17500000000001</v>
      </c>
      <c r="AY202">
        <v>27.0825</v>
      </c>
      <c r="AZ202">
        <v>300.15699999999998</v>
      </c>
      <c r="BA202">
        <v>98.695400000000006</v>
      </c>
      <c r="BB202">
        <v>9.9964800000000006E-2</v>
      </c>
      <c r="BC202">
        <v>26.615300000000001</v>
      </c>
      <c r="BD202">
        <v>26.997599999999998</v>
      </c>
      <c r="BE202">
        <v>27.788799999999998</v>
      </c>
      <c r="BF202">
        <v>0</v>
      </c>
      <c r="BG202">
        <v>0</v>
      </c>
      <c r="BH202">
        <v>10001.200000000001</v>
      </c>
      <c r="BI202">
        <v>1085.98</v>
      </c>
      <c r="BJ202">
        <v>1.4577199999999999</v>
      </c>
      <c r="BK202">
        <v>-432.90199999999999</v>
      </c>
      <c r="BL202">
        <v>377.399</v>
      </c>
      <c r="BM202">
        <v>800.15499999999997</v>
      </c>
      <c r="BN202">
        <v>27.0855</v>
      </c>
      <c r="BO202">
        <v>800.01099999999997</v>
      </c>
      <c r="BP202">
        <v>0.17980099999999999</v>
      </c>
      <c r="BQ202">
        <v>2.69096</v>
      </c>
      <c r="BR202">
        <v>1.77456E-2</v>
      </c>
      <c r="BS202">
        <v>22.23</v>
      </c>
      <c r="BT202">
        <v>-40.570900000000002</v>
      </c>
      <c r="BU202">
        <v>1800</v>
      </c>
      <c r="BV202">
        <v>0.90998999999999997</v>
      </c>
      <c r="BW202">
        <v>3.4001499999999997E-2</v>
      </c>
      <c r="BX202">
        <v>2.2003499999999999E-2</v>
      </c>
      <c r="BY202">
        <v>3.4005300000000002E-2</v>
      </c>
      <c r="BZ202">
        <v>25</v>
      </c>
      <c r="CA202">
        <v>33528.300000000003</v>
      </c>
      <c r="CB202">
        <v>1690373417</v>
      </c>
      <c r="CC202" t="s">
        <v>332</v>
      </c>
      <c r="CD202">
        <v>1690373417</v>
      </c>
      <c r="CE202">
        <v>1690373415</v>
      </c>
      <c r="CF202">
        <v>1</v>
      </c>
      <c r="CG202">
        <v>-1.319</v>
      </c>
      <c r="CH202">
        <v>0.01</v>
      </c>
      <c r="CI202">
        <v>-1.371</v>
      </c>
      <c r="CJ202">
        <v>0.183</v>
      </c>
      <c r="CK202">
        <v>800</v>
      </c>
      <c r="CL202">
        <v>21</v>
      </c>
      <c r="CM202">
        <v>0.09</v>
      </c>
      <c r="CN202">
        <v>7.0000000000000007E-2</v>
      </c>
      <c r="CO202">
        <v>-432.33817499999998</v>
      </c>
      <c r="CP202">
        <v>-2.7286266416492349</v>
      </c>
      <c r="CQ202">
        <v>0.26578665198801982</v>
      </c>
      <c r="CR202">
        <v>-1</v>
      </c>
      <c r="CS202">
        <v>27.071950000000001</v>
      </c>
      <c r="CT202">
        <v>9.9962476547800758E-2</v>
      </c>
      <c r="CU202">
        <v>9.6943282387178045E-3</v>
      </c>
      <c r="CV202">
        <v>-1</v>
      </c>
      <c r="CW202">
        <v>0</v>
      </c>
      <c r="CX202">
        <v>0</v>
      </c>
      <c r="CY202" t="s">
        <v>333</v>
      </c>
      <c r="CZ202">
        <v>2.3655599999999999</v>
      </c>
      <c r="DA202">
        <v>2.7137600000000002</v>
      </c>
      <c r="DB202">
        <v>8.3821999999999994E-2</v>
      </c>
      <c r="DC202">
        <v>0.145727</v>
      </c>
      <c r="DD202">
        <v>0.12436700000000001</v>
      </c>
      <c r="DE202">
        <v>1.51056E-3</v>
      </c>
      <c r="DF202">
        <v>33471.4</v>
      </c>
      <c r="DG202">
        <v>27529.4</v>
      </c>
      <c r="DH202">
        <v>31185.599999999999</v>
      </c>
      <c r="DI202">
        <v>28077.599999999999</v>
      </c>
      <c r="DJ202">
        <v>37057.300000000003</v>
      </c>
      <c r="DK202">
        <v>39853.4</v>
      </c>
      <c r="DL202">
        <v>44377.8</v>
      </c>
      <c r="DM202">
        <v>42533.7</v>
      </c>
      <c r="DN202">
        <v>1.4865200000000001</v>
      </c>
      <c r="DO202">
        <v>2.06107</v>
      </c>
      <c r="DP202">
        <v>0.11085</v>
      </c>
      <c r="DQ202">
        <v>0.16322</v>
      </c>
      <c r="DR202">
        <v>25.182099999999998</v>
      </c>
      <c r="DS202">
        <v>25.117100000000001</v>
      </c>
      <c r="DT202">
        <v>30.7</v>
      </c>
      <c r="DU202">
        <v>25.8</v>
      </c>
      <c r="DV202">
        <v>10.3725</v>
      </c>
      <c r="DW202">
        <v>61.420099999999998</v>
      </c>
      <c r="DX202">
        <v>37.2196</v>
      </c>
      <c r="DY202">
        <v>1</v>
      </c>
      <c r="DZ202">
        <v>-0.16716</v>
      </c>
      <c r="EA202">
        <v>-0.66369299999999998</v>
      </c>
      <c r="EB202">
        <v>20.1891</v>
      </c>
      <c r="EC202">
        <v>5.2396000000000003</v>
      </c>
      <c r="ED202">
        <v>12.039899999999999</v>
      </c>
      <c r="EE202">
        <v>5.0133999999999999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1.8687499999999999</v>
      </c>
      <c r="EL202">
        <v>1.86443</v>
      </c>
      <c r="EM202">
        <v>1.8690599999999999</v>
      </c>
      <c r="EN202">
        <v>1.86707</v>
      </c>
      <c r="EO202">
        <v>1.8632500000000001</v>
      </c>
      <c r="EP202">
        <v>1.86426</v>
      </c>
      <c r="EQ202">
        <v>1.87008</v>
      </c>
      <c r="ER202">
        <v>1.8693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-1.0660000000000001</v>
      </c>
      <c r="FG202">
        <v>0.18279999999999999</v>
      </c>
      <c r="FH202">
        <v>-0.81947142863283695</v>
      </c>
      <c r="FI202">
        <v>-6.1462078757559423E-4</v>
      </c>
      <c r="FJ202">
        <v>-1.8861989874597051E-7</v>
      </c>
      <c r="FK202">
        <v>1.1980462299894961E-10</v>
      </c>
      <c r="FL202">
        <v>0.18283500000000069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38.700000000000003</v>
      </c>
      <c r="FU202">
        <v>38.700000000000003</v>
      </c>
      <c r="FV202">
        <v>1.7626999999999999</v>
      </c>
      <c r="FW202">
        <v>2.5610400000000002</v>
      </c>
      <c r="FX202">
        <v>1.5490699999999999</v>
      </c>
      <c r="FY202">
        <v>2.34375</v>
      </c>
      <c r="FZ202">
        <v>1.50146</v>
      </c>
      <c r="GA202">
        <v>2.2875999999999999</v>
      </c>
      <c r="GB202">
        <v>31.020199999999999</v>
      </c>
      <c r="GC202">
        <v>23.991199999999999</v>
      </c>
      <c r="GD202">
        <v>19</v>
      </c>
      <c r="GE202">
        <v>283.178</v>
      </c>
      <c r="GF202">
        <v>592.86099999999999</v>
      </c>
      <c r="GG202">
        <v>25.697399999999998</v>
      </c>
      <c r="GH202">
        <v>25.3278</v>
      </c>
      <c r="GI202">
        <v>30.0002</v>
      </c>
      <c r="GJ202">
        <v>25.4345</v>
      </c>
      <c r="GK202">
        <v>25.4008</v>
      </c>
      <c r="GL202">
        <v>35.238500000000002</v>
      </c>
      <c r="GM202">
        <v>100</v>
      </c>
      <c r="GN202">
        <v>0</v>
      </c>
      <c r="GO202">
        <v>25.686199999999999</v>
      </c>
      <c r="GP202">
        <v>800</v>
      </c>
      <c r="GQ202">
        <v>0</v>
      </c>
      <c r="GR202">
        <v>99.777600000000007</v>
      </c>
      <c r="GS202">
        <v>99.521699999999996</v>
      </c>
    </row>
    <row r="203" spans="1:201" x14ac:dyDescent="0.25">
      <c r="A203">
        <v>187</v>
      </c>
      <c r="B203">
        <v>1690375746.0999999</v>
      </c>
      <c r="C203">
        <v>1926.599999904633</v>
      </c>
      <c r="D203" t="s">
        <v>707</v>
      </c>
      <c r="E203" t="s">
        <v>708</v>
      </c>
      <c r="F203" t="s">
        <v>330</v>
      </c>
      <c r="H203">
        <v>1690375746.0999999</v>
      </c>
      <c r="I203">
        <f t="shared" si="60"/>
        <v>2.7876771234760988E-3</v>
      </c>
      <c r="J203">
        <f t="shared" si="61"/>
        <v>2.7876771234760986</v>
      </c>
      <c r="K203">
        <f t="shared" si="62"/>
        <v>42.344661641332415</v>
      </c>
      <c r="L203">
        <f t="shared" si="63"/>
        <v>366.68299999999999</v>
      </c>
      <c r="M203">
        <f t="shared" si="64"/>
        <v>98.091158617943094</v>
      </c>
      <c r="N203">
        <f t="shared" si="65"/>
        <v>9.6916819114261763</v>
      </c>
      <c r="O203">
        <f t="shared" si="66"/>
        <v>36.229310045863997</v>
      </c>
      <c r="P203">
        <f t="shared" si="67"/>
        <v>0.27071111694120403</v>
      </c>
      <c r="Q203">
        <f t="shared" si="68"/>
        <v>2.2482288258650511</v>
      </c>
      <c r="R203">
        <f t="shared" si="69"/>
        <v>0.25381821972183993</v>
      </c>
      <c r="S203">
        <f t="shared" si="70"/>
        <v>0.16006622377244534</v>
      </c>
      <c r="T203">
        <f t="shared" si="71"/>
        <v>276.115744764</v>
      </c>
      <c r="U203">
        <f t="shared" si="72"/>
        <v>27.77168387719377</v>
      </c>
      <c r="V203">
        <f t="shared" si="73"/>
        <v>27.77168387719377</v>
      </c>
      <c r="W203">
        <f t="shared" si="74"/>
        <v>3.7446225007869303</v>
      </c>
      <c r="X203">
        <f t="shared" si="75"/>
        <v>77.002339286227837</v>
      </c>
      <c r="Y203">
        <f t="shared" si="76"/>
        <v>2.6948367079191997</v>
      </c>
      <c r="Z203">
        <f t="shared" si="77"/>
        <v>3.4996816108431936</v>
      </c>
      <c r="AA203">
        <f t="shared" si="78"/>
        <v>1.0497857928677305</v>
      </c>
      <c r="AB203">
        <f t="shared" si="79"/>
        <v>-122.93656114529595</v>
      </c>
      <c r="AC203">
        <f t="shared" si="80"/>
        <v>-139.80975793353778</v>
      </c>
      <c r="AD203">
        <f t="shared" si="81"/>
        <v>-13.446829369862392</v>
      </c>
      <c r="AE203">
        <f t="shared" si="82"/>
        <v>-7.7403684696122355E-2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52220.159947898319</v>
      </c>
      <c r="AK203">
        <f t="shared" si="86"/>
        <v>1800</v>
      </c>
      <c r="AL203">
        <f t="shared" si="87"/>
        <v>1499.1111414</v>
      </c>
      <c r="AM203">
        <f t="shared" si="88"/>
        <v>0.83283952299999997</v>
      </c>
      <c r="AN203">
        <f t="shared" si="89"/>
        <v>0.15339763598</v>
      </c>
      <c r="AO203">
        <v>30</v>
      </c>
      <c r="AP203">
        <v>0.5</v>
      </c>
      <c r="AQ203" t="s">
        <v>331</v>
      </c>
      <c r="AR203">
        <v>2</v>
      </c>
      <c r="AS203">
        <v>1690375746.0999999</v>
      </c>
      <c r="AT203">
        <v>366.68299999999999</v>
      </c>
      <c r="AU203">
        <v>800.01499999999999</v>
      </c>
      <c r="AV203">
        <v>27.274899999999999</v>
      </c>
      <c r="AW203">
        <v>0.179509</v>
      </c>
      <c r="AX203">
        <v>367.74799999999999</v>
      </c>
      <c r="AY203">
        <v>27.091999999999999</v>
      </c>
      <c r="AZ203">
        <v>300.233</v>
      </c>
      <c r="BA203">
        <v>98.702799999999996</v>
      </c>
      <c r="BB203">
        <v>0.100008</v>
      </c>
      <c r="BC203">
        <v>26.618200000000002</v>
      </c>
      <c r="BD203">
        <v>27.008099999999999</v>
      </c>
      <c r="BE203">
        <v>27.7989</v>
      </c>
      <c r="BF203">
        <v>0</v>
      </c>
      <c r="BG203">
        <v>0</v>
      </c>
      <c r="BH203">
        <v>9992.5</v>
      </c>
      <c r="BI203">
        <v>1085.99</v>
      </c>
      <c r="BJ203">
        <v>1.4296899999999999</v>
      </c>
      <c r="BK203">
        <v>-433.33199999999999</v>
      </c>
      <c r="BL203">
        <v>376.96499999999997</v>
      </c>
      <c r="BM203">
        <v>800.15899999999999</v>
      </c>
      <c r="BN203">
        <v>27.095400000000001</v>
      </c>
      <c r="BO203">
        <v>800.01499999999999</v>
      </c>
      <c r="BP203">
        <v>0.179509</v>
      </c>
      <c r="BQ203">
        <v>2.69211</v>
      </c>
      <c r="BR203">
        <v>1.7718000000000001E-2</v>
      </c>
      <c r="BS203">
        <v>22.236999999999998</v>
      </c>
      <c r="BT203">
        <v>-40.585700000000003</v>
      </c>
      <c r="BU203">
        <v>1800</v>
      </c>
      <c r="BV203">
        <v>0.90999200000000002</v>
      </c>
      <c r="BW203">
        <v>3.4000599999999999E-2</v>
      </c>
      <c r="BX203">
        <v>2.2002899999999999E-2</v>
      </c>
      <c r="BY203">
        <v>3.4004399999999997E-2</v>
      </c>
      <c r="BZ203">
        <v>25</v>
      </c>
      <c r="CA203">
        <v>33528.300000000003</v>
      </c>
      <c r="CB203">
        <v>1690373417</v>
      </c>
      <c r="CC203" t="s">
        <v>332</v>
      </c>
      <c r="CD203">
        <v>1690373417</v>
      </c>
      <c r="CE203">
        <v>1690373415</v>
      </c>
      <c r="CF203">
        <v>1</v>
      </c>
      <c r="CG203">
        <v>-1.319</v>
      </c>
      <c r="CH203">
        <v>0.01</v>
      </c>
      <c r="CI203">
        <v>-1.371</v>
      </c>
      <c r="CJ203">
        <v>0.183</v>
      </c>
      <c r="CK203">
        <v>800</v>
      </c>
      <c r="CL203">
        <v>21</v>
      </c>
      <c r="CM203">
        <v>0.09</v>
      </c>
      <c r="CN203">
        <v>7.0000000000000007E-2</v>
      </c>
      <c r="CO203">
        <v>-432.7660243902439</v>
      </c>
      <c r="CP203">
        <v>-2.7651846689902739</v>
      </c>
      <c r="CQ203">
        <v>0.27708266687608968</v>
      </c>
      <c r="CR203">
        <v>-1</v>
      </c>
      <c r="CS203">
        <v>27.084560975609751</v>
      </c>
      <c r="CT203">
        <v>6.4354703832837187E-2</v>
      </c>
      <c r="CU203">
        <v>6.4138903398865514E-3</v>
      </c>
      <c r="CV203">
        <v>-1</v>
      </c>
      <c r="CW203">
        <v>0</v>
      </c>
      <c r="CX203">
        <v>0</v>
      </c>
      <c r="CY203" t="s">
        <v>333</v>
      </c>
      <c r="CZ203">
        <v>2.3658199999999998</v>
      </c>
      <c r="DA203">
        <v>2.7137899999999999</v>
      </c>
      <c r="DB203">
        <v>8.3752599999999996E-2</v>
      </c>
      <c r="DC203">
        <v>0.14573700000000001</v>
      </c>
      <c r="DD203">
        <v>0.124407</v>
      </c>
      <c r="DE203">
        <v>1.5082400000000001E-3</v>
      </c>
      <c r="DF203">
        <v>33474.199999999997</v>
      </c>
      <c r="DG203">
        <v>27528.7</v>
      </c>
      <c r="DH203">
        <v>31185.8</v>
      </c>
      <c r="DI203">
        <v>28077.200000000001</v>
      </c>
      <c r="DJ203">
        <v>37056</v>
      </c>
      <c r="DK203">
        <v>39853.300000000003</v>
      </c>
      <c r="DL203">
        <v>44378.3</v>
      </c>
      <c r="DM203">
        <v>42533.4</v>
      </c>
      <c r="DN203">
        <v>1.4867999999999999</v>
      </c>
      <c r="DO203">
        <v>2.0609799999999998</v>
      </c>
      <c r="DP203">
        <v>0.11149000000000001</v>
      </c>
      <c r="DQ203">
        <v>0.16374900000000001</v>
      </c>
      <c r="DR203">
        <v>25.182099999999998</v>
      </c>
      <c r="DS203">
        <v>25.118600000000001</v>
      </c>
      <c r="DT203">
        <v>30.6</v>
      </c>
      <c r="DU203">
        <v>25.8</v>
      </c>
      <c r="DV203">
        <v>10.3371</v>
      </c>
      <c r="DW203">
        <v>61.320099999999996</v>
      </c>
      <c r="DX203">
        <v>37.239600000000003</v>
      </c>
      <c r="DY203">
        <v>1</v>
      </c>
      <c r="DZ203">
        <v>-0.16738800000000001</v>
      </c>
      <c r="EA203">
        <v>-0.66416699999999995</v>
      </c>
      <c r="EB203">
        <v>20.189399999999999</v>
      </c>
      <c r="EC203">
        <v>5.2401999999999997</v>
      </c>
      <c r="ED203">
        <v>12.039899999999999</v>
      </c>
      <c r="EE203">
        <v>5.0138499999999997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1.8687499999999999</v>
      </c>
      <c r="EL203">
        <v>1.8644400000000001</v>
      </c>
      <c r="EM203">
        <v>1.86907</v>
      </c>
      <c r="EN203">
        <v>1.8670800000000001</v>
      </c>
      <c r="EO203">
        <v>1.8632500000000001</v>
      </c>
      <c r="EP203">
        <v>1.86425</v>
      </c>
      <c r="EQ203">
        <v>1.8700600000000001</v>
      </c>
      <c r="ER203">
        <v>1.8692800000000001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-1.0649999999999999</v>
      </c>
      <c r="FG203">
        <v>0.18290000000000001</v>
      </c>
      <c r="FH203">
        <v>-0.81947142863283695</v>
      </c>
      <c r="FI203">
        <v>-6.1462078757559423E-4</v>
      </c>
      <c r="FJ203">
        <v>-1.8861989874597051E-7</v>
      </c>
      <c r="FK203">
        <v>1.1980462299894961E-10</v>
      </c>
      <c r="FL203">
        <v>0.18283500000000069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38.799999999999997</v>
      </c>
      <c r="FU203">
        <v>38.9</v>
      </c>
      <c r="FV203">
        <v>1.7626999999999999</v>
      </c>
      <c r="FW203">
        <v>2.5585900000000001</v>
      </c>
      <c r="FX203">
        <v>1.5490699999999999</v>
      </c>
      <c r="FY203">
        <v>2.34375</v>
      </c>
      <c r="FZ203">
        <v>1.50024</v>
      </c>
      <c r="GA203">
        <v>2.3034699999999999</v>
      </c>
      <c r="GB203">
        <v>31.041899999999998</v>
      </c>
      <c r="GC203">
        <v>23.991199999999999</v>
      </c>
      <c r="GD203">
        <v>19</v>
      </c>
      <c r="GE203">
        <v>283.29399999999998</v>
      </c>
      <c r="GF203">
        <v>592.79600000000005</v>
      </c>
      <c r="GG203">
        <v>25.687200000000001</v>
      </c>
      <c r="GH203">
        <v>25.3278</v>
      </c>
      <c r="GI203">
        <v>30.0001</v>
      </c>
      <c r="GJ203">
        <v>25.4345</v>
      </c>
      <c r="GK203">
        <v>25.4023</v>
      </c>
      <c r="GL203">
        <v>35.238799999999998</v>
      </c>
      <c r="GM203">
        <v>100</v>
      </c>
      <c r="GN203">
        <v>0</v>
      </c>
      <c r="GO203">
        <v>25.687799999999999</v>
      </c>
      <c r="GP203">
        <v>800</v>
      </c>
      <c r="GQ203">
        <v>0</v>
      </c>
      <c r="GR203">
        <v>99.778499999999994</v>
      </c>
      <c r="GS203">
        <v>99.520899999999997</v>
      </c>
    </row>
    <row r="204" spans="1:201" x14ac:dyDescent="0.25">
      <c r="A204">
        <v>188</v>
      </c>
      <c r="B204">
        <v>1690375756.0999999</v>
      </c>
      <c r="C204">
        <v>1936.599999904633</v>
      </c>
      <c r="D204" t="s">
        <v>709</v>
      </c>
      <c r="E204" t="s">
        <v>710</v>
      </c>
      <c r="F204" t="s">
        <v>330</v>
      </c>
      <c r="H204">
        <v>1690375756.0999999</v>
      </c>
      <c r="I204">
        <f t="shared" si="60"/>
        <v>2.7894124282273466E-3</v>
      </c>
      <c r="J204">
        <f t="shared" si="61"/>
        <v>2.7894124282273465</v>
      </c>
      <c r="K204">
        <f t="shared" si="62"/>
        <v>42.383005047359433</v>
      </c>
      <c r="L204">
        <f t="shared" si="63"/>
        <v>366.21800000000002</v>
      </c>
      <c r="M204">
        <f t="shared" si="64"/>
        <v>98.446838210446273</v>
      </c>
      <c r="N204">
        <f t="shared" si="65"/>
        <v>9.7260373652296455</v>
      </c>
      <c r="O204">
        <f t="shared" si="66"/>
        <v>36.180440292106006</v>
      </c>
      <c r="P204">
        <f t="shared" si="67"/>
        <v>0.27181602964828705</v>
      </c>
      <c r="Q204">
        <f t="shared" si="68"/>
        <v>2.252551433818204</v>
      </c>
      <c r="R204">
        <f t="shared" si="69"/>
        <v>0.25482008760207692</v>
      </c>
      <c r="S204">
        <f t="shared" si="70"/>
        <v>0.16070093469777966</v>
      </c>
      <c r="T204">
        <f t="shared" si="71"/>
        <v>276.11561725200005</v>
      </c>
      <c r="U204">
        <f t="shared" si="72"/>
        <v>27.763692420091367</v>
      </c>
      <c r="V204">
        <f t="shared" si="73"/>
        <v>27.763692420091367</v>
      </c>
      <c r="W204">
        <f t="shared" si="74"/>
        <v>3.7428753669113721</v>
      </c>
      <c r="X204">
        <f t="shared" si="75"/>
        <v>77.078776920711576</v>
      </c>
      <c r="Y204">
        <f t="shared" si="76"/>
        <v>2.6966539274235002</v>
      </c>
      <c r="Z204">
        <f t="shared" si="77"/>
        <v>3.4985686529476978</v>
      </c>
      <c r="AA204">
        <f t="shared" si="78"/>
        <v>1.0462214394878719</v>
      </c>
      <c r="AB204">
        <f t="shared" si="79"/>
        <v>-123.01308808482598</v>
      </c>
      <c r="AC204">
        <f t="shared" si="80"/>
        <v>-139.76386093190266</v>
      </c>
      <c r="AD204">
        <f t="shared" si="81"/>
        <v>-13.415721297021856</v>
      </c>
      <c r="AE204">
        <f t="shared" si="82"/>
        <v>-7.7053061750433471E-2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52389.227993571178</v>
      </c>
      <c r="AK204">
        <f t="shared" si="86"/>
        <v>1800</v>
      </c>
      <c r="AL204">
        <f t="shared" si="87"/>
        <v>1499.1115751999998</v>
      </c>
      <c r="AM204">
        <f t="shared" si="88"/>
        <v>0.83283976399999993</v>
      </c>
      <c r="AN204">
        <f t="shared" si="89"/>
        <v>0.15339756514000003</v>
      </c>
      <c r="AO204">
        <v>30</v>
      </c>
      <c r="AP204">
        <v>0.5</v>
      </c>
      <c r="AQ204" t="s">
        <v>331</v>
      </c>
      <c r="AR204">
        <v>2</v>
      </c>
      <c r="AS204">
        <v>1690375756.0999999</v>
      </c>
      <c r="AT204">
        <v>366.21800000000002</v>
      </c>
      <c r="AU204">
        <v>800.00599999999997</v>
      </c>
      <c r="AV204">
        <v>27.295500000000001</v>
      </c>
      <c r="AW204">
        <v>0.17884900000000001</v>
      </c>
      <c r="AX204">
        <v>367.28199999999998</v>
      </c>
      <c r="AY204">
        <v>27.1126</v>
      </c>
      <c r="AZ204">
        <v>300.178</v>
      </c>
      <c r="BA204">
        <v>98.694800000000001</v>
      </c>
      <c r="BB204">
        <v>0.10001699999999999</v>
      </c>
      <c r="BC204">
        <v>26.6128</v>
      </c>
      <c r="BD204">
        <v>27.014600000000002</v>
      </c>
      <c r="BE204">
        <v>27.805199999999999</v>
      </c>
      <c r="BF204">
        <v>0</v>
      </c>
      <c r="BG204">
        <v>0</v>
      </c>
      <c r="BH204">
        <v>10026.9</v>
      </c>
      <c r="BI204">
        <v>1085.99</v>
      </c>
      <c r="BJ204">
        <v>1.4184699999999999</v>
      </c>
      <c r="BK204">
        <v>-433.78800000000001</v>
      </c>
      <c r="BL204">
        <v>376.49400000000003</v>
      </c>
      <c r="BM204">
        <v>800.149</v>
      </c>
      <c r="BN204">
        <v>27.116599999999998</v>
      </c>
      <c r="BO204">
        <v>800.00599999999997</v>
      </c>
      <c r="BP204">
        <v>0.17884900000000001</v>
      </c>
      <c r="BQ204">
        <v>2.6939199999999999</v>
      </c>
      <c r="BR204">
        <v>1.7651400000000001E-2</v>
      </c>
      <c r="BS204">
        <v>22.248100000000001</v>
      </c>
      <c r="BT204">
        <v>-40.621499999999997</v>
      </c>
      <c r="BU204">
        <v>1800</v>
      </c>
      <c r="BV204">
        <v>0.909995</v>
      </c>
      <c r="BW204">
        <v>3.3999500000000002E-2</v>
      </c>
      <c r="BX204">
        <v>2.20022E-2</v>
      </c>
      <c r="BY204">
        <v>3.4003199999999997E-2</v>
      </c>
      <c r="BZ204">
        <v>25</v>
      </c>
      <c r="CA204">
        <v>33528.300000000003</v>
      </c>
      <c r="CB204">
        <v>1690373417</v>
      </c>
      <c r="CC204" t="s">
        <v>332</v>
      </c>
      <c r="CD204">
        <v>1690373417</v>
      </c>
      <c r="CE204">
        <v>1690373415</v>
      </c>
      <c r="CF204">
        <v>1</v>
      </c>
      <c r="CG204">
        <v>-1.319</v>
      </c>
      <c r="CH204">
        <v>0.01</v>
      </c>
      <c r="CI204">
        <v>-1.371</v>
      </c>
      <c r="CJ204">
        <v>0.183</v>
      </c>
      <c r="CK204">
        <v>800</v>
      </c>
      <c r="CL204">
        <v>21</v>
      </c>
      <c r="CM204">
        <v>0.09</v>
      </c>
      <c r="CN204">
        <v>7.0000000000000007E-2</v>
      </c>
      <c r="CO204">
        <v>-433.29604999999998</v>
      </c>
      <c r="CP204">
        <v>-2.9430619136961238</v>
      </c>
      <c r="CQ204">
        <v>0.28730645224220008</v>
      </c>
      <c r="CR204">
        <v>-1</v>
      </c>
      <c r="CS204">
        <v>27.097572499999998</v>
      </c>
      <c r="CT204">
        <v>8.6052157598466114E-2</v>
      </c>
      <c r="CU204">
        <v>8.5010289818350845E-3</v>
      </c>
      <c r="CV204">
        <v>-1</v>
      </c>
      <c r="CW204">
        <v>0</v>
      </c>
      <c r="CX204">
        <v>0</v>
      </c>
      <c r="CY204" t="s">
        <v>333</v>
      </c>
      <c r="CZ204">
        <v>2.36564</v>
      </c>
      <c r="DA204">
        <v>2.7138300000000002</v>
      </c>
      <c r="DB204">
        <v>8.3663000000000001E-2</v>
      </c>
      <c r="DC204">
        <v>0.14572499999999999</v>
      </c>
      <c r="DD204">
        <v>0.124461</v>
      </c>
      <c r="DE204">
        <v>1.50263E-3</v>
      </c>
      <c r="DF204">
        <v>33477.699999999997</v>
      </c>
      <c r="DG204">
        <v>27529.5</v>
      </c>
      <c r="DH204">
        <v>31186</v>
      </c>
      <c r="DI204">
        <v>28077.599999999999</v>
      </c>
      <c r="DJ204">
        <v>37053.699999999997</v>
      </c>
      <c r="DK204">
        <v>39853.9</v>
      </c>
      <c r="DL204">
        <v>44378.400000000001</v>
      </c>
      <c r="DM204">
        <v>42533.9</v>
      </c>
      <c r="DN204">
        <v>1.48672</v>
      </c>
      <c r="DO204">
        <v>2.0609299999999999</v>
      </c>
      <c r="DP204">
        <v>0.11201899999999999</v>
      </c>
      <c r="DQ204">
        <v>0.16426299999999999</v>
      </c>
      <c r="DR204">
        <v>25.18</v>
      </c>
      <c r="DS204">
        <v>25.116399999999999</v>
      </c>
      <c r="DT204">
        <v>30.5</v>
      </c>
      <c r="DU204">
        <v>25.9</v>
      </c>
      <c r="DV204">
        <v>10.3653</v>
      </c>
      <c r="DW204">
        <v>61.490099999999998</v>
      </c>
      <c r="DX204">
        <v>37.5441</v>
      </c>
      <c r="DY204">
        <v>1</v>
      </c>
      <c r="DZ204">
        <v>-0.167076</v>
      </c>
      <c r="EA204">
        <v>-0.65083599999999997</v>
      </c>
      <c r="EB204">
        <v>20.1891</v>
      </c>
      <c r="EC204">
        <v>5.2400500000000001</v>
      </c>
      <c r="ED204">
        <v>12.039899999999999</v>
      </c>
      <c r="EE204">
        <v>5.0137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1.86876</v>
      </c>
      <c r="EL204">
        <v>1.86443</v>
      </c>
      <c r="EM204">
        <v>1.86907</v>
      </c>
      <c r="EN204">
        <v>1.8670800000000001</v>
      </c>
      <c r="EO204">
        <v>1.86324</v>
      </c>
      <c r="EP204">
        <v>1.8642399999999999</v>
      </c>
      <c r="EQ204">
        <v>1.8700600000000001</v>
      </c>
      <c r="ER204">
        <v>1.8693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-1.0640000000000001</v>
      </c>
      <c r="FG204">
        <v>0.18290000000000001</v>
      </c>
      <c r="FH204">
        <v>-0.81947142863283695</v>
      </c>
      <c r="FI204">
        <v>-6.1462078757559423E-4</v>
      </c>
      <c r="FJ204">
        <v>-1.8861989874597051E-7</v>
      </c>
      <c r="FK204">
        <v>1.1980462299894961E-10</v>
      </c>
      <c r="FL204">
        <v>0.18283500000000069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39</v>
      </c>
      <c r="FU204">
        <v>39</v>
      </c>
      <c r="FV204">
        <v>1.7626999999999999</v>
      </c>
      <c r="FW204">
        <v>2.5610400000000002</v>
      </c>
      <c r="FX204">
        <v>1.5490699999999999</v>
      </c>
      <c r="FY204">
        <v>2.34375</v>
      </c>
      <c r="FZ204">
        <v>1.50146</v>
      </c>
      <c r="GA204">
        <v>2.323</v>
      </c>
      <c r="GB204">
        <v>31.041899999999998</v>
      </c>
      <c r="GC204">
        <v>23.991199999999999</v>
      </c>
      <c r="GD204">
        <v>19</v>
      </c>
      <c r="GE204">
        <v>283.27199999999999</v>
      </c>
      <c r="GF204">
        <v>592.755</v>
      </c>
      <c r="GG204">
        <v>25.683199999999999</v>
      </c>
      <c r="GH204">
        <v>25.329899999999999</v>
      </c>
      <c r="GI204">
        <v>30.0001</v>
      </c>
      <c r="GJ204">
        <v>25.436599999999999</v>
      </c>
      <c r="GK204">
        <v>25.4023</v>
      </c>
      <c r="GL204">
        <v>35.238399999999999</v>
      </c>
      <c r="GM204">
        <v>100</v>
      </c>
      <c r="GN204">
        <v>0</v>
      </c>
      <c r="GO204">
        <v>25.679300000000001</v>
      </c>
      <c r="GP204">
        <v>800</v>
      </c>
      <c r="GQ204">
        <v>0</v>
      </c>
      <c r="GR204">
        <v>99.778999999999996</v>
      </c>
      <c r="GS204">
        <v>99.522099999999995</v>
      </c>
    </row>
    <row r="205" spans="1:201" x14ac:dyDescent="0.25">
      <c r="A205">
        <v>189</v>
      </c>
      <c r="B205">
        <v>1690375766.0999999</v>
      </c>
      <c r="C205">
        <v>1946.599999904633</v>
      </c>
      <c r="D205" t="s">
        <v>711</v>
      </c>
      <c r="E205" t="s">
        <v>712</v>
      </c>
      <c r="F205" t="s">
        <v>330</v>
      </c>
      <c r="H205">
        <v>1690375766.0999999</v>
      </c>
      <c r="I205">
        <f t="shared" si="60"/>
        <v>2.7918518206096429E-3</v>
      </c>
      <c r="J205">
        <f t="shared" si="61"/>
        <v>2.7918518206096428</v>
      </c>
      <c r="K205">
        <f t="shared" si="62"/>
        <v>42.423573010611456</v>
      </c>
      <c r="L205">
        <f t="shared" si="63"/>
        <v>365.73200000000003</v>
      </c>
      <c r="M205">
        <f t="shared" si="64"/>
        <v>98.56777125494969</v>
      </c>
      <c r="N205">
        <f t="shared" si="65"/>
        <v>9.7377373209892237</v>
      </c>
      <c r="O205">
        <f t="shared" si="66"/>
        <v>36.131507292260004</v>
      </c>
      <c r="P205">
        <f t="shared" si="67"/>
        <v>0.27277211139646007</v>
      </c>
      <c r="Q205">
        <f t="shared" si="68"/>
        <v>2.248011920624498</v>
      </c>
      <c r="R205">
        <f t="shared" si="69"/>
        <v>0.2556282092966084</v>
      </c>
      <c r="S205">
        <f t="shared" si="70"/>
        <v>0.16121806910219758</v>
      </c>
      <c r="T205">
        <f t="shared" si="71"/>
        <v>276.11542965599995</v>
      </c>
      <c r="U205">
        <f t="shared" si="72"/>
        <v>27.765501540526888</v>
      </c>
      <c r="V205">
        <f t="shared" si="73"/>
        <v>27.765501540526888</v>
      </c>
      <c r="W205">
        <f t="shared" si="74"/>
        <v>3.7432708239244965</v>
      </c>
      <c r="X205">
        <f t="shared" si="75"/>
        <v>77.157564150976683</v>
      </c>
      <c r="Y205">
        <f t="shared" si="76"/>
        <v>2.6994898548944999</v>
      </c>
      <c r="Z205">
        <f t="shared" si="77"/>
        <v>3.4986716916209555</v>
      </c>
      <c r="AA205">
        <f t="shared" si="78"/>
        <v>1.0437809690299966</v>
      </c>
      <c r="AB205">
        <f t="shared" si="79"/>
        <v>-123.12066528888525</v>
      </c>
      <c r="AC205">
        <f t="shared" si="80"/>
        <v>-139.64085676935343</v>
      </c>
      <c r="AD205">
        <f t="shared" si="81"/>
        <v>-13.431136534534325</v>
      </c>
      <c r="AE205">
        <f t="shared" si="82"/>
        <v>-7.7228936773082069E-2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52212.350725823591</v>
      </c>
      <c r="AK205">
        <f t="shared" si="86"/>
        <v>1800</v>
      </c>
      <c r="AL205">
        <f t="shared" si="87"/>
        <v>1499.1114456</v>
      </c>
      <c r="AM205">
        <f t="shared" si="88"/>
        <v>0.83283969199999996</v>
      </c>
      <c r="AN205">
        <f t="shared" si="89"/>
        <v>0.15339746091999998</v>
      </c>
      <c r="AO205">
        <v>30</v>
      </c>
      <c r="AP205">
        <v>0.5</v>
      </c>
      <c r="AQ205" t="s">
        <v>331</v>
      </c>
      <c r="AR205">
        <v>2</v>
      </c>
      <c r="AS205">
        <v>1690375766.0999999</v>
      </c>
      <c r="AT205">
        <v>365.73200000000003</v>
      </c>
      <c r="AU205">
        <v>800.03800000000001</v>
      </c>
      <c r="AV205">
        <v>27.3249</v>
      </c>
      <c r="AW205">
        <v>0.17802999999999999</v>
      </c>
      <c r="AX205">
        <v>366.79599999999999</v>
      </c>
      <c r="AY205">
        <v>27.142099999999999</v>
      </c>
      <c r="AZ205">
        <v>300.09699999999998</v>
      </c>
      <c r="BA205">
        <v>98.692300000000003</v>
      </c>
      <c r="BB205">
        <v>0.100005</v>
      </c>
      <c r="BC205">
        <v>26.613299999999999</v>
      </c>
      <c r="BD205">
        <v>27.013500000000001</v>
      </c>
      <c r="BE205">
        <v>27.802399999999999</v>
      </c>
      <c r="BF205">
        <v>0</v>
      </c>
      <c r="BG205">
        <v>0</v>
      </c>
      <c r="BH205">
        <v>9991.8799999999992</v>
      </c>
      <c r="BI205">
        <v>1085.8399999999999</v>
      </c>
      <c r="BJ205">
        <v>1.4268799999999999</v>
      </c>
      <c r="BK205">
        <v>-434.30599999999998</v>
      </c>
      <c r="BL205">
        <v>376.00599999999997</v>
      </c>
      <c r="BM205">
        <v>800.18</v>
      </c>
      <c r="BN205">
        <v>27.146899999999999</v>
      </c>
      <c r="BO205">
        <v>800.03800000000001</v>
      </c>
      <c r="BP205">
        <v>0.17802999999999999</v>
      </c>
      <c r="BQ205">
        <v>2.6967599999999998</v>
      </c>
      <c r="BR205">
        <v>1.7570200000000001E-2</v>
      </c>
      <c r="BS205">
        <v>22.2654</v>
      </c>
      <c r="BT205">
        <v>-40.665399999999998</v>
      </c>
      <c r="BU205">
        <v>1800</v>
      </c>
      <c r="BV205">
        <v>0.90999699999999994</v>
      </c>
      <c r="BW205">
        <v>3.3998599999999997E-2</v>
      </c>
      <c r="BX205">
        <v>2.20016E-2</v>
      </c>
      <c r="BY205">
        <v>3.4002400000000002E-2</v>
      </c>
      <c r="BZ205">
        <v>25</v>
      </c>
      <c r="CA205">
        <v>33528.400000000001</v>
      </c>
      <c r="CB205">
        <v>1690373417</v>
      </c>
      <c r="CC205" t="s">
        <v>332</v>
      </c>
      <c r="CD205">
        <v>1690373417</v>
      </c>
      <c r="CE205">
        <v>1690373415</v>
      </c>
      <c r="CF205">
        <v>1</v>
      </c>
      <c r="CG205">
        <v>-1.319</v>
      </c>
      <c r="CH205">
        <v>0.01</v>
      </c>
      <c r="CI205">
        <v>-1.371</v>
      </c>
      <c r="CJ205">
        <v>0.183</v>
      </c>
      <c r="CK205">
        <v>800</v>
      </c>
      <c r="CL205">
        <v>21</v>
      </c>
      <c r="CM205">
        <v>0.09</v>
      </c>
      <c r="CN205">
        <v>7.0000000000000007E-2</v>
      </c>
      <c r="CO205">
        <v>-433.71558536585371</v>
      </c>
      <c r="CP205">
        <v>-2.6374494773531261</v>
      </c>
      <c r="CQ205">
        <v>0.26675429231555148</v>
      </c>
      <c r="CR205">
        <v>-1</v>
      </c>
      <c r="CS205">
        <v>27.115463414634149</v>
      </c>
      <c r="CT205">
        <v>0.15031567944253671</v>
      </c>
      <c r="CU205">
        <v>1.492610670975523E-2</v>
      </c>
      <c r="CV205">
        <v>-1</v>
      </c>
      <c r="CW205">
        <v>0</v>
      </c>
      <c r="CX205">
        <v>0</v>
      </c>
      <c r="CY205" t="s">
        <v>333</v>
      </c>
      <c r="CZ205">
        <v>2.3653599999999999</v>
      </c>
      <c r="DA205">
        <v>2.7137899999999999</v>
      </c>
      <c r="DB205">
        <v>8.3574899999999994E-2</v>
      </c>
      <c r="DC205">
        <v>0.14572499999999999</v>
      </c>
      <c r="DD205">
        <v>0.124552</v>
      </c>
      <c r="DE205">
        <v>1.4958E-3</v>
      </c>
      <c r="DF205">
        <v>33480.699999999997</v>
      </c>
      <c r="DG205">
        <v>27529.5</v>
      </c>
      <c r="DH205">
        <v>31185.8</v>
      </c>
      <c r="DI205">
        <v>28077.599999999999</v>
      </c>
      <c r="DJ205">
        <v>37049.699999999997</v>
      </c>
      <c r="DK205">
        <v>39854.199999999997</v>
      </c>
      <c r="DL205">
        <v>44378.2</v>
      </c>
      <c r="DM205">
        <v>42533.9</v>
      </c>
      <c r="DN205">
        <v>1.4867999999999999</v>
      </c>
      <c r="DO205">
        <v>2.0609000000000002</v>
      </c>
      <c r="DP205">
        <v>0.111818</v>
      </c>
      <c r="DQ205">
        <v>0.16422600000000001</v>
      </c>
      <c r="DR205">
        <v>25.182099999999998</v>
      </c>
      <c r="DS205">
        <v>25.1143</v>
      </c>
      <c r="DT205">
        <v>30.4</v>
      </c>
      <c r="DU205">
        <v>25.9</v>
      </c>
      <c r="DV205">
        <v>10.3322</v>
      </c>
      <c r="DW205">
        <v>61.450099999999999</v>
      </c>
      <c r="DX205">
        <v>37.536099999999998</v>
      </c>
      <c r="DY205">
        <v>1</v>
      </c>
      <c r="DZ205">
        <v>-0.16717000000000001</v>
      </c>
      <c r="EA205">
        <v>-0.61269099999999999</v>
      </c>
      <c r="EB205">
        <v>20.1891</v>
      </c>
      <c r="EC205">
        <v>5.2401999999999997</v>
      </c>
      <c r="ED205">
        <v>12.039899999999999</v>
      </c>
      <c r="EE205">
        <v>5.0137999999999998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1.8687499999999999</v>
      </c>
      <c r="EL205">
        <v>1.8644400000000001</v>
      </c>
      <c r="EM205">
        <v>1.86907</v>
      </c>
      <c r="EN205">
        <v>1.8670899999999999</v>
      </c>
      <c r="EO205">
        <v>1.8632500000000001</v>
      </c>
      <c r="EP205">
        <v>1.86429</v>
      </c>
      <c r="EQ205">
        <v>1.8701000000000001</v>
      </c>
      <c r="ER205">
        <v>1.86927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-1.0640000000000001</v>
      </c>
      <c r="FG205">
        <v>0.18279999999999999</v>
      </c>
      <c r="FH205">
        <v>-0.81947142863283695</v>
      </c>
      <c r="FI205">
        <v>-6.1462078757559423E-4</v>
      </c>
      <c r="FJ205">
        <v>-1.8861989874597051E-7</v>
      </c>
      <c r="FK205">
        <v>1.1980462299894961E-10</v>
      </c>
      <c r="FL205">
        <v>0.18283500000000069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39.200000000000003</v>
      </c>
      <c r="FU205">
        <v>39.200000000000003</v>
      </c>
      <c r="FV205">
        <v>1.7626999999999999</v>
      </c>
      <c r="FW205">
        <v>2.5598100000000001</v>
      </c>
      <c r="FX205">
        <v>1.5490699999999999</v>
      </c>
      <c r="FY205">
        <v>2.34375</v>
      </c>
      <c r="FZ205">
        <v>1.50146</v>
      </c>
      <c r="GA205">
        <v>2.31934</v>
      </c>
      <c r="GB205">
        <v>31.041899999999998</v>
      </c>
      <c r="GC205">
        <v>23.991199999999999</v>
      </c>
      <c r="GD205">
        <v>19</v>
      </c>
      <c r="GE205">
        <v>283.30399999999997</v>
      </c>
      <c r="GF205">
        <v>592.73400000000004</v>
      </c>
      <c r="GG205">
        <v>25.670999999999999</v>
      </c>
      <c r="GH205">
        <v>25.329899999999999</v>
      </c>
      <c r="GI205">
        <v>30.0001</v>
      </c>
      <c r="GJ205">
        <v>25.436599999999999</v>
      </c>
      <c r="GK205">
        <v>25.4023</v>
      </c>
      <c r="GL205">
        <v>35.2395</v>
      </c>
      <c r="GM205">
        <v>100</v>
      </c>
      <c r="GN205">
        <v>0</v>
      </c>
      <c r="GO205">
        <v>25.653600000000001</v>
      </c>
      <c r="GP205">
        <v>800</v>
      </c>
      <c r="GQ205">
        <v>0</v>
      </c>
      <c r="GR205">
        <v>99.778499999999994</v>
      </c>
      <c r="GS205">
        <v>99.522099999999995</v>
      </c>
    </row>
    <row r="206" spans="1:201" x14ac:dyDescent="0.25">
      <c r="A206">
        <v>190</v>
      </c>
      <c r="B206">
        <v>1690375776.0999999</v>
      </c>
      <c r="C206">
        <v>1956.599999904633</v>
      </c>
      <c r="D206" t="s">
        <v>713</v>
      </c>
      <c r="E206" t="s">
        <v>714</v>
      </c>
      <c r="F206" t="s">
        <v>330</v>
      </c>
      <c r="H206">
        <v>1690375776.0999999</v>
      </c>
      <c r="I206">
        <f t="shared" si="60"/>
        <v>2.7940469920343996E-3</v>
      </c>
      <c r="J206">
        <f t="shared" si="61"/>
        <v>2.7940469920343998</v>
      </c>
      <c r="K206">
        <f t="shared" si="62"/>
        <v>42.469008683818608</v>
      </c>
      <c r="L206">
        <f t="shared" si="63"/>
        <v>365.31400000000002</v>
      </c>
      <c r="M206">
        <f t="shared" si="64"/>
        <v>98.403083521978004</v>
      </c>
      <c r="N206">
        <f t="shared" si="65"/>
        <v>9.7213927424630224</v>
      </c>
      <c r="O206">
        <f t="shared" si="66"/>
        <v>36.089934798912594</v>
      </c>
      <c r="P206">
        <f t="shared" si="67"/>
        <v>0.2733383095249215</v>
      </c>
      <c r="Q206">
        <f t="shared" si="68"/>
        <v>2.2494481530079202</v>
      </c>
      <c r="R206">
        <f t="shared" si="69"/>
        <v>0.25613581874054364</v>
      </c>
      <c r="S206">
        <f t="shared" si="70"/>
        <v>0.16154016071708219</v>
      </c>
      <c r="T206">
        <f t="shared" si="71"/>
        <v>276.115359474</v>
      </c>
      <c r="U206">
        <f t="shared" si="72"/>
        <v>27.76759737982302</v>
      </c>
      <c r="V206">
        <f t="shared" si="73"/>
        <v>27.76759737982302</v>
      </c>
      <c r="W206">
        <f t="shared" si="74"/>
        <v>3.7437290006137074</v>
      </c>
      <c r="X206">
        <f t="shared" si="75"/>
        <v>77.191035551917238</v>
      </c>
      <c r="Y206">
        <f t="shared" si="76"/>
        <v>2.7012177229253398</v>
      </c>
      <c r="Z206">
        <f t="shared" si="77"/>
        <v>3.4993930365250137</v>
      </c>
      <c r="AA206">
        <f t="shared" si="78"/>
        <v>1.0425112776883676</v>
      </c>
      <c r="AB206">
        <f t="shared" si="79"/>
        <v>-123.21747234871702</v>
      </c>
      <c r="AC206">
        <f t="shared" si="80"/>
        <v>-139.55978619301254</v>
      </c>
      <c r="AD206">
        <f t="shared" si="81"/>
        <v>-13.415143306683641</v>
      </c>
      <c r="AE206">
        <f t="shared" si="82"/>
        <v>-7.7042374413224479E-2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52267.605183061103</v>
      </c>
      <c r="AK206">
        <f t="shared" si="86"/>
        <v>1800</v>
      </c>
      <c r="AL206">
        <f t="shared" si="87"/>
        <v>1499.1121404</v>
      </c>
      <c r="AM206">
        <f t="shared" si="88"/>
        <v>0.83284007800000004</v>
      </c>
      <c r="AN206">
        <f t="shared" si="89"/>
        <v>0.15339742193</v>
      </c>
      <c r="AO206">
        <v>30</v>
      </c>
      <c r="AP206">
        <v>0.5</v>
      </c>
      <c r="AQ206" t="s">
        <v>331</v>
      </c>
      <c r="AR206">
        <v>2</v>
      </c>
      <c r="AS206">
        <v>1690375776.0999999</v>
      </c>
      <c r="AT206">
        <v>365.31400000000002</v>
      </c>
      <c r="AU206">
        <v>800.03</v>
      </c>
      <c r="AV206">
        <v>27.342600000000001</v>
      </c>
      <c r="AW206">
        <v>0.17741399999999999</v>
      </c>
      <c r="AX206">
        <v>366.37799999999999</v>
      </c>
      <c r="AY206">
        <v>27.159800000000001</v>
      </c>
      <c r="AZ206">
        <v>300.125</v>
      </c>
      <c r="BA206">
        <v>98.691599999999994</v>
      </c>
      <c r="BB206">
        <v>9.9945900000000004E-2</v>
      </c>
      <c r="BC206">
        <v>26.616800000000001</v>
      </c>
      <c r="BD206">
        <v>26.995899999999999</v>
      </c>
      <c r="BE206">
        <v>27.7804</v>
      </c>
      <c r="BF206">
        <v>0</v>
      </c>
      <c r="BG206">
        <v>0</v>
      </c>
      <c r="BH206">
        <v>10003.1</v>
      </c>
      <c r="BI206">
        <v>1085.8399999999999</v>
      </c>
      <c r="BJ206">
        <v>1.4128700000000001</v>
      </c>
      <c r="BK206">
        <v>-434.71699999999998</v>
      </c>
      <c r="BL206">
        <v>375.58300000000003</v>
      </c>
      <c r="BM206">
        <v>800.17200000000003</v>
      </c>
      <c r="BN206">
        <v>27.165199999999999</v>
      </c>
      <c r="BO206">
        <v>800.03</v>
      </c>
      <c r="BP206">
        <v>0.17741399999999999</v>
      </c>
      <c r="BQ206">
        <v>2.6984900000000001</v>
      </c>
      <c r="BR206">
        <v>1.7509299999999998E-2</v>
      </c>
      <c r="BS206">
        <v>22.2759</v>
      </c>
      <c r="BT206">
        <v>-40.698500000000003</v>
      </c>
      <c r="BU206">
        <v>1800</v>
      </c>
      <c r="BV206">
        <v>0.91</v>
      </c>
      <c r="BW206">
        <v>3.3997600000000003E-2</v>
      </c>
      <c r="BX206">
        <v>2.20009E-2</v>
      </c>
      <c r="BY206">
        <v>3.4001299999999998E-2</v>
      </c>
      <c r="BZ206">
        <v>25</v>
      </c>
      <c r="CA206">
        <v>33528.400000000001</v>
      </c>
      <c r="CB206">
        <v>1690373417</v>
      </c>
      <c r="CC206" t="s">
        <v>332</v>
      </c>
      <c r="CD206">
        <v>1690373417</v>
      </c>
      <c r="CE206">
        <v>1690373415</v>
      </c>
      <c r="CF206">
        <v>1</v>
      </c>
      <c r="CG206">
        <v>-1.319</v>
      </c>
      <c r="CH206">
        <v>0.01</v>
      </c>
      <c r="CI206">
        <v>-1.371</v>
      </c>
      <c r="CJ206">
        <v>0.183</v>
      </c>
      <c r="CK206">
        <v>800</v>
      </c>
      <c r="CL206">
        <v>21</v>
      </c>
      <c r="CM206">
        <v>0.09</v>
      </c>
      <c r="CN206">
        <v>7.0000000000000007E-2</v>
      </c>
      <c r="CO206">
        <v>-434.18372499999998</v>
      </c>
      <c r="CP206">
        <v>-2.6893846153835299</v>
      </c>
      <c r="CQ206">
        <v>0.26790828537953287</v>
      </c>
      <c r="CR206">
        <v>-1</v>
      </c>
      <c r="CS206">
        <v>27.1422375</v>
      </c>
      <c r="CT206">
        <v>0.14823377110694991</v>
      </c>
      <c r="CU206">
        <v>1.442883722792662E-2</v>
      </c>
      <c r="CV206">
        <v>-1</v>
      </c>
      <c r="CW206">
        <v>0</v>
      </c>
      <c r="CX206">
        <v>0</v>
      </c>
      <c r="CY206" t="s">
        <v>333</v>
      </c>
      <c r="CZ206">
        <v>2.3654600000000001</v>
      </c>
      <c r="DA206">
        <v>2.71374</v>
      </c>
      <c r="DB206">
        <v>8.3500000000000005E-2</v>
      </c>
      <c r="DC206">
        <v>0.14572199999999999</v>
      </c>
      <c r="DD206">
        <v>0.124607</v>
      </c>
      <c r="DE206">
        <v>1.49066E-3</v>
      </c>
      <c r="DF206">
        <v>33483.4</v>
      </c>
      <c r="DG206">
        <v>27529.599999999999</v>
      </c>
      <c r="DH206">
        <v>31185.8</v>
      </c>
      <c r="DI206">
        <v>28077.599999999999</v>
      </c>
      <c r="DJ206">
        <v>37047.4</v>
      </c>
      <c r="DK206">
        <v>39854.6</v>
      </c>
      <c r="DL206">
        <v>44378.3</v>
      </c>
      <c r="DM206">
        <v>42534.1</v>
      </c>
      <c r="DN206">
        <v>1.4866999999999999</v>
      </c>
      <c r="DO206">
        <v>2.0607500000000001</v>
      </c>
      <c r="DP206">
        <v>0.110745</v>
      </c>
      <c r="DQ206">
        <v>0.16300400000000001</v>
      </c>
      <c r="DR206">
        <v>25.182099999999998</v>
      </c>
      <c r="DS206">
        <v>25.112200000000001</v>
      </c>
      <c r="DT206">
        <v>30.4</v>
      </c>
      <c r="DU206">
        <v>25.9</v>
      </c>
      <c r="DV206">
        <v>10.332100000000001</v>
      </c>
      <c r="DW206">
        <v>61.350099999999998</v>
      </c>
      <c r="DX206">
        <v>37.560099999999998</v>
      </c>
      <c r="DY206">
        <v>1</v>
      </c>
      <c r="DZ206">
        <v>-0.16691300000000001</v>
      </c>
      <c r="EA206">
        <v>-0.640158</v>
      </c>
      <c r="EB206">
        <v>20.1892</v>
      </c>
      <c r="EC206">
        <v>5.2388500000000002</v>
      </c>
      <c r="ED206">
        <v>12.039899999999999</v>
      </c>
      <c r="EE206">
        <v>5.0136500000000002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1.86876</v>
      </c>
      <c r="EL206">
        <v>1.8644700000000001</v>
      </c>
      <c r="EM206">
        <v>1.86907</v>
      </c>
      <c r="EN206">
        <v>1.8670800000000001</v>
      </c>
      <c r="EO206">
        <v>1.8632500000000001</v>
      </c>
      <c r="EP206">
        <v>1.8642300000000001</v>
      </c>
      <c r="EQ206">
        <v>1.87009</v>
      </c>
      <c r="ER206">
        <v>1.8693200000000001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-1.0640000000000001</v>
      </c>
      <c r="FG206">
        <v>0.18279999999999999</v>
      </c>
      <c r="FH206">
        <v>-0.81947142863283695</v>
      </c>
      <c r="FI206">
        <v>-6.1462078757559423E-4</v>
      </c>
      <c r="FJ206">
        <v>-1.8861989874597051E-7</v>
      </c>
      <c r="FK206">
        <v>1.1980462299894961E-10</v>
      </c>
      <c r="FL206">
        <v>0.18283500000000069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39.299999999999997</v>
      </c>
      <c r="FU206">
        <v>39.4</v>
      </c>
      <c r="FV206">
        <v>1.7626999999999999</v>
      </c>
      <c r="FW206">
        <v>2.5610400000000002</v>
      </c>
      <c r="FX206">
        <v>1.5490699999999999</v>
      </c>
      <c r="FY206">
        <v>2.34375</v>
      </c>
      <c r="FZ206">
        <v>1.50146</v>
      </c>
      <c r="GA206">
        <v>2.3315399999999999</v>
      </c>
      <c r="GB206">
        <v>31.041899999999998</v>
      </c>
      <c r="GC206">
        <v>23.991199999999999</v>
      </c>
      <c r="GD206">
        <v>19</v>
      </c>
      <c r="GE206">
        <v>283.26400000000001</v>
      </c>
      <c r="GF206">
        <v>592.63400000000001</v>
      </c>
      <c r="GG206">
        <v>25.647300000000001</v>
      </c>
      <c r="GH206">
        <v>25.329899999999999</v>
      </c>
      <c r="GI206">
        <v>30.0001</v>
      </c>
      <c r="GJ206">
        <v>25.437100000000001</v>
      </c>
      <c r="GK206">
        <v>25.404399999999999</v>
      </c>
      <c r="GL206">
        <v>35.239400000000003</v>
      </c>
      <c r="GM206">
        <v>100</v>
      </c>
      <c r="GN206">
        <v>0</v>
      </c>
      <c r="GO206">
        <v>25.667999999999999</v>
      </c>
      <c r="GP206">
        <v>800</v>
      </c>
      <c r="GQ206">
        <v>0</v>
      </c>
      <c r="GR206">
        <v>99.778599999999997</v>
      </c>
      <c r="GS206">
        <v>99.522400000000005</v>
      </c>
    </row>
    <row r="207" spans="1:201" x14ac:dyDescent="0.25">
      <c r="A207">
        <v>191</v>
      </c>
      <c r="B207">
        <v>1690375786.0999999</v>
      </c>
      <c r="C207">
        <v>1966.599999904633</v>
      </c>
      <c r="D207" t="s">
        <v>715</v>
      </c>
      <c r="E207" t="s">
        <v>716</v>
      </c>
      <c r="F207" t="s">
        <v>330</v>
      </c>
      <c r="H207">
        <v>1690375786.0999999</v>
      </c>
      <c r="I207">
        <f t="shared" si="60"/>
        <v>2.7953279760775172E-3</v>
      </c>
      <c r="J207">
        <f t="shared" si="61"/>
        <v>2.7953279760775174</v>
      </c>
      <c r="K207">
        <f t="shared" si="62"/>
        <v>42.514951126540033</v>
      </c>
      <c r="L207">
        <f t="shared" si="63"/>
        <v>364.90199999999999</v>
      </c>
      <c r="M207">
        <f t="shared" si="64"/>
        <v>98.445354108110365</v>
      </c>
      <c r="N207">
        <f t="shared" si="65"/>
        <v>9.725582078047692</v>
      </c>
      <c r="O207">
        <f t="shared" si="66"/>
        <v>36.049282199203198</v>
      </c>
      <c r="P207">
        <f t="shared" si="67"/>
        <v>0.27412631785757519</v>
      </c>
      <c r="Q207">
        <f t="shared" si="68"/>
        <v>2.2511353150204485</v>
      </c>
      <c r="R207">
        <f t="shared" si="69"/>
        <v>0.25683995235454493</v>
      </c>
      <c r="S207">
        <f t="shared" si="70"/>
        <v>0.1619871588972957</v>
      </c>
      <c r="T207">
        <f t="shared" si="71"/>
        <v>276.11534073600006</v>
      </c>
      <c r="U207">
        <f t="shared" si="72"/>
        <v>27.761390058367439</v>
      </c>
      <c r="V207">
        <f t="shared" si="73"/>
        <v>27.761390058367439</v>
      </c>
      <c r="W207">
        <f t="shared" si="74"/>
        <v>3.7423721446268363</v>
      </c>
      <c r="X207">
        <f t="shared" si="75"/>
        <v>77.242965047229788</v>
      </c>
      <c r="Y207">
        <f t="shared" si="76"/>
        <v>2.7022389876366399</v>
      </c>
      <c r="Z207">
        <f t="shared" si="77"/>
        <v>3.4983625835496741</v>
      </c>
      <c r="AA207">
        <f t="shared" si="78"/>
        <v>1.0401331569901964</v>
      </c>
      <c r="AB207">
        <f t="shared" si="79"/>
        <v>-123.27396374501851</v>
      </c>
      <c r="AC207">
        <f t="shared" si="80"/>
        <v>-139.5179363376372</v>
      </c>
      <c r="AD207">
        <f t="shared" si="81"/>
        <v>-13.400318690515212</v>
      </c>
      <c r="AE207">
        <f t="shared" si="82"/>
        <v>-7.6878037170871494E-2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52334.165537493718</v>
      </c>
      <c r="AK207">
        <f t="shared" si="86"/>
        <v>1800</v>
      </c>
      <c r="AL207">
        <f t="shared" si="87"/>
        <v>1499.1117245999999</v>
      </c>
      <c r="AM207">
        <f t="shared" si="88"/>
        <v>0.83283984699999991</v>
      </c>
      <c r="AN207">
        <f t="shared" si="89"/>
        <v>0.15339741152000003</v>
      </c>
      <c r="AO207">
        <v>30</v>
      </c>
      <c r="AP207">
        <v>0.5</v>
      </c>
      <c r="AQ207" t="s">
        <v>331</v>
      </c>
      <c r="AR207">
        <v>2</v>
      </c>
      <c r="AS207">
        <v>1690375786.0999999</v>
      </c>
      <c r="AT207">
        <v>364.90199999999999</v>
      </c>
      <c r="AU207">
        <v>800.053</v>
      </c>
      <c r="AV207">
        <v>27.352900000000002</v>
      </c>
      <c r="AW207">
        <v>0.17663400000000001</v>
      </c>
      <c r="AX207">
        <v>365.96499999999997</v>
      </c>
      <c r="AY207">
        <v>27.17</v>
      </c>
      <c r="AZ207">
        <v>300.137</v>
      </c>
      <c r="BA207">
        <v>98.691699999999997</v>
      </c>
      <c r="BB207">
        <v>9.9981600000000004E-2</v>
      </c>
      <c r="BC207">
        <v>26.611799999999999</v>
      </c>
      <c r="BD207">
        <v>26.985700000000001</v>
      </c>
      <c r="BE207">
        <v>27.791799999999999</v>
      </c>
      <c r="BF207">
        <v>0</v>
      </c>
      <c r="BG207">
        <v>0</v>
      </c>
      <c r="BH207">
        <v>10016.200000000001</v>
      </c>
      <c r="BI207">
        <v>1085.76</v>
      </c>
      <c r="BJ207">
        <v>1.4016500000000001</v>
      </c>
      <c r="BK207">
        <v>-435.15100000000001</v>
      </c>
      <c r="BL207">
        <v>375.16300000000001</v>
      </c>
      <c r="BM207">
        <v>800.19399999999996</v>
      </c>
      <c r="BN207">
        <v>27.176200000000001</v>
      </c>
      <c r="BO207">
        <v>800.053</v>
      </c>
      <c r="BP207">
        <v>0.17663400000000001</v>
      </c>
      <c r="BQ207">
        <v>2.6995</v>
      </c>
      <c r="BR207">
        <v>1.7432300000000001E-2</v>
      </c>
      <c r="BS207">
        <v>22.2821</v>
      </c>
      <c r="BT207">
        <v>-40.740299999999998</v>
      </c>
      <c r="BU207">
        <v>1800</v>
      </c>
      <c r="BV207">
        <v>0.909999</v>
      </c>
      <c r="BW207">
        <v>3.3997899999999998E-2</v>
      </c>
      <c r="BX207">
        <v>2.2001099999999999E-2</v>
      </c>
      <c r="BY207">
        <v>3.40016E-2</v>
      </c>
      <c r="BZ207">
        <v>25</v>
      </c>
      <c r="CA207">
        <v>33528.400000000001</v>
      </c>
      <c r="CB207">
        <v>1690373417</v>
      </c>
      <c r="CC207" t="s">
        <v>332</v>
      </c>
      <c r="CD207">
        <v>1690373417</v>
      </c>
      <c r="CE207">
        <v>1690373415</v>
      </c>
      <c r="CF207">
        <v>1</v>
      </c>
      <c r="CG207">
        <v>-1.319</v>
      </c>
      <c r="CH207">
        <v>0.01</v>
      </c>
      <c r="CI207">
        <v>-1.371</v>
      </c>
      <c r="CJ207">
        <v>0.183</v>
      </c>
      <c r="CK207">
        <v>800</v>
      </c>
      <c r="CL207">
        <v>21</v>
      </c>
      <c r="CM207">
        <v>0.09</v>
      </c>
      <c r="CN207">
        <v>7.0000000000000007E-2</v>
      </c>
      <c r="CO207">
        <v>-434.62967500000002</v>
      </c>
      <c r="CP207">
        <v>-2.4788330206361668</v>
      </c>
      <c r="CQ207">
        <v>0.24484407155371371</v>
      </c>
      <c r="CR207">
        <v>-1</v>
      </c>
      <c r="CS207">
        <v>27.1621725</v>
      </c>
      <c r="CT207">
        <v>8.9580112570249171E-2</v>
      </c>
      <c r="CU207">
        <v>8.6953144710240991E-3</v>
      </c>
      <c r="CV207">
        <v>-1</v>
      </c>
      <c r="CW207">
        <v>0</v>
      </c>
      <c r="CX207">
        <v>0</v>
      </c>
      <c r="CY207" t="s">
        <v>333</v>
      </c>
      <c r="CZ207">
        <v>2.36551</v>
      </c>
      <c r="DA207">
        <v>2.7137899999999999</v>
      </c>
      <c r="DB207">
        <v>8.3426600000000004E-2</v>
      </c>
      <c r="DC207">
        <v>0.14572499999999999</v>
      </c>
      <c r="DD207">
        <v>0.124639</v>
      </c>
      <c r="DE207">
        <v>1.4841800000000001E-3</v>
      </c>
      <c r="DF207">
        <v>33486</v>
      </c>
      <c r="DG207">
        <v>27529.5</v>
      </c>
      <c r="DH207">
        <v>31185.7</v>
      </c>
      <c r="DI207">
        <v>28077.599999999999</v>
      </c>
      <c r="DJ207">
        <v>37045.800000000003</v>
      </c>
      <c r="DK207">
        <v>39854.9</v>
      </c>
      <c r="DL207">
        <v>44378.1</v>
      </c>
      <c r="DM207">
        <v>42534.2</v>
      </c>
      <c r="DN207">
        <v>1.48682</v>
      </c>
      <c r="DO207">
        <v>2.0605799999999999</v>
      </c>
      <c r="DP207">
        <v>0.110112</v>
      </c>
      <c r="DQ207">
        <v>0.16370399999999999</v>
      </c>
      <c r="DR207">
        <v>25.182200000000002</v>
      </c>
      <c r="DS207">
        <v>25.112200000000001</v>
      </c>
      <c r="DT207">
        <v>30.3</v>
      </c>
      <c r="DU207">
        <v>25.9</v>
      </c>
      <c r="DV207">
        <v>10.3</v>
      </c>
      <c r="DW207">
        <v>61.460099999999997</v>
      </c>
      <c r="DX207">
        <v>37.688299999999998</v>
      </c>
      <c r="DY207">
        <v>1</v>
      </c>
      <c r="DZ207">
        <v>-0.166903</v>
      </c>
      <c r="EA207">
        <v>-0.69694699999999998</v>
      </c>
      <c r="EB207">
        <v>20.188800000000001</v>
      </c>
      <c r="EC207">
        <v>5.2391500000000004</v>
      </c>
      <c r="ED207">
        <v>12.0398</v>
      </c>
      <c r="EE207">
        <v>5.0141499999999999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1.86876</v>
      </c>
      <c r="EL207">
        <v>1.86446</v>
      </c>
      <c r="EM207">
        <v>1.8690899999999999</v>
      </c>
      <c r="EN207">
        <v>1.8670899999999999</v>
      </c>
      <c r="EO207">
        <v>1.8632500000000001</v>
      </c>
      <c r="EP207">
        <v>1.8642700000000001</v>
      </c>
      <c r="EQ207">
        <v>1.8701000000000001</v>
      </c>
      <c r="ER207">
        <v>1.86931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-1.0629999999999999</v>
      </c>
      <c r="FG207">
        <v>0.18290000000000001</v>
      </c>
      <c r="FH207">
        <v>-0.81947142863283695</v>
      </c>
      <c r="FI207">
        <v>-6.1462078757559423E-4</v>
      </c>
      <c r="FJ207">
        <v>-1.8861989874597051E-7</v>
      </c>
      <c r="FK207">
        <v>1.1980462299894961E-10</v>
      </c>
      <c r="FL207">
        <v>0.18283500000000069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39.5</v>
      </c>
      <c r="FU207">
        <v>39.5</v>
      </c>
      <c r="FV207">
        <v>1.7626999999999999</v>
      </c>
      <c r="FW207">
        <v>2.5585900000000001</v>
      </c>
      <c r="FX207">
        <v>1.5490699999999999</v>
      </c>
      <c r="FY207">
        <v>2.34375</v>
      </c>
      <c r="FZ207">
        <v>1.50146</v>
      </c>
      <c r="GA207">
        <v>2.33887</v>
      </c>
      <c r="GB207">
        <v>31.063600000000001</v>
      </c>
      <c r="GC207">
        <v>23.991199999999999</v>
      </c>
      <c r="GD207">
        <v>19</v>
      </c>
      <c r="GE207">
        <v>283.32400000000001</v>
      </c>
      <c r="GF207">
        <v>592.48800000000006</v>
      </c>
      <c r="GG207">
        <v>25.672499999999999</v>
      </c>
      <c r="GH207">
        <v>25.332000000000001</v>
      </c>
      <c r="GI207">
        <v>30.0001</v>
      </c>
      <c r="GJ207">
        <v>25.438700000000001</v>
      </c>
      <c r="GK207">
        <v>25.404399999999999</v>
      </c>
      <c r="GL207">
        <v>35.239199999999997</v>
      </c>
      <c r="GM207">
        <v>100</v>
      </c>
      <c r="GN207">
        <v>0</v>
      </c>
      <c r="GO207">
        <v>25.677199999999999</v>
      </c>
      <c r="GP207">
        <v>800</v>
      </c>
      <c r="GQ207">
        <v>0</v>
      </c>
      <c r="GR207">
        <v>99.778199999999998</v>
      </c>
      <c r="GS207">
        <v>99.522499999999994</v>
      </c>
    </row>
    <row r="208" spans="1:201" x14ac:dyDescent="0.25">
      <c r="A208">
        <v>192</v>
      </c>
      <c r="B208">
        <v>1690375796.0999999</v>
      </c>
      <c r="C208">
        <v>1976.599999904633</v>
      </c>
      <c r="D208" t="s">
        <v>717</v>
      </c>
      <c r="E208" t="s">
        <v>718</v>
      </c>
      <c r="F208" t="s">
        <v>330</v>
      </c>
      <c r="H208">
        <v>1690375796.0999999</v>
      </c>
      <c r="I208">
        <f t="shared" si="60"/>
        <v>2.7978553592106605E-3</v>
      </c>
      <c r="J208">
        <f t="shared" si="61"/>
        <v>2.7978553592106605</v>
      </c>
      <c r="K208">
        <f t="shared" si="62"/>
        <v>42.548538657617655</v>
      </c>
      <c r="L208">
        <f t="shared" si="63"/>
        <v>364.52800000000002</v>
      </c>
      <c r="M208">
        <f t="shared" si="64"/>
        <v>98.606390946861524</v>
      </c>
      <c r="N208">
        <f t="shared" si="65"/>
        <v>9.7416149488893833</v>
      </c>
      <c r="O208">
        <f t="shared" si="66"/>
        <v>36.012791665830399</v>
      </c>
      <c r="P208">
        <f t="shared" si="67"/>
        <v>0.27492673803178763</v>
      </c>
      <c r="Q208">
        <f t="shared" si="68"/>
        <v>2.2526821355605415</v>
      </c>
      <c r="R208">
        <f t="shared" si="69"/>
        <v>0.25755383779511515</v>
      </c>
      <c r="S208">
        <f t="shared" si="70"/>
        <v>0.16244046630997386</v>
      </c>
      <c r="T208">
        <f t="shared" si="71"/>
        <v>276.11392354523605</v>
      </c>
      <c r="U208">
        <f t="shared" si="72"/>
        <v>27.761519298713395</v>
      </c>
      <c r="V208">
        <f t="shared" si="73"/>
        <v>27.761519298713395</v>
      </c>
      <c r="W208">
        <f t="shared" si="74"/>
        <v>3.7424003908492098</v>
      </c>
      <c r="X208">
        <f t="shared" si="75"/>
        <v>77.291556460789366</v>
      </c>
      <c r="Y208">
        <f t="shared" si="76"/>
        <v>2.7042096625579997</v>
      </c>
      <c r="Z208">
        <f t="shared" si="77"/>
        <v>3.4987129078321342</v>
      </c>
      <c r="AA208">
        <f t="shared" si="78"/>
        <v>1.0381907282912102</v>
      </c>
      <c r="AB208">
        <f t="shared" si="79"/>
        <v>-123.38542134119012</v>
      </c>
      <c r="AC208">
        <f t="shared" si="80"/>
        <v>-139.42303975071897</v>
      </c>
      <c r="AD208">
        <f t="shared" si="81"/>
        <v>-13.382131148231538</v>
      </c>
      <c r="AE208">
        <f t="shared" si="82"/>
        <v>-7.6668694904611812E-2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52394.159412443114</v>
      </c>
      <c r="AK208">
        <f t="shared" si="86"/>
        <v>1799.99</v>
      </c>
      <c r="AL208">
        <f t="shared" si="87"/>
        <v>1499.1042295968998</v>
      </c>
      <c r="AM208">
        <f t="shared" si="88"/>
        <v>0.83284030999999992</v>
      </c>
      <c r="AN208">
        <f t="shared" si="89"/>
        <v>0.15339747640000001</v>
      </c>
      <c r="AO208">
        <v>30</v>
      </c>
      <c r="AP208">
        <v>0.5</v>
      </c>
      <c r="AQ208" t="s">
        <v>331</v>
      </c>
      <c r="AR208">
        <v>2</v>
      </c>
      <c r="AS208">
        <v>1690375796.0999999</v>
      </c>
      <c r="AT208">
        <v>364.52800000000002</v>
      </c>
      <c r="AU208">
        <v>799.95399999999995</v>
      </c>
      <c r="AV208">
        <v>27.372499999999999</v>
      </c>
      <c r="AW208">
        <v>0.175926</v>
      </c>
      <c r="AX208">
        <v>365.59199999999998</v>
      </c>
      <c r="AY208">
        <v>27.189699999999998</v>
      </c>
      <c r="AZ208">
        <v>300.178</v>
      </c>
      <c r="BA208">
        <v>98.692999999999998</v>
      </c>
      <c r="BB208">
        <v>9.9936800000000006E-2</v>
      </c>
      <c r="BC208">
        <v>26.613499999999998</v>
      </c>
      <c r="BD208">
        <v>27.001899999999999</v>
      </c>
      <c r="BE208">
        <v>27.784600000000001</v>
      </c>
      <c r="BF208">
        <v>0</v>
      </c>
      <c r="BG208">
        <v>0</v>
      </c>
      <c r="BH208">
        <v>10028.1</v>
      </c>
      <c r="BI208">
        <v>1085.8599999999999</v>
      </c>
      <c r="BJ208">
        <v>1.0848800000000001</v>
      </c>
      <c r="BK208">
        <v>-435.42599999999999</v>
      </c>
      <c r="BL208">
        <v>374.78699999999998</v>
      </c>
      <c r="BM208">
        <v>800.09500000000003</v>
      </c>
      <c r="BN208">
        <v>27.1966</v>
      </c>
      <c r="BO208">
        <v>799.95399999999995</v>
      </c>
      <c r="BP208">
        <v>0.175926</v>
      </c>
      <c r="BQ208">
        <v>2.70147</v>
      </c>
      <c r="BR208">
        <v>1.7362699999999998E-2</v>
      </c>
      <c r="BS208">
        <v>22.2941</v>
      </c>
      <c r="BT208">
        <v>-40.778399999999998</v>
      </c>
      <c r="BU208">
        <v>1799.99</v>
      </c>
      <c r="BV208">
        <v>0.91</v>
      </c>
      <c r="BW208">
        <v>3.3997699999999999E-2</v>
      </c>
      <c r="BX208">
        <v>2.2001E-2</v>
      </c>
      <c r="BY208">
        <v>3.4001400000000001E-2</v>
      </c>
      <c r="BZ208">
        <v>25</v>
      </c>
      <c r="CA208">
        <v>33528.300000000003</v>
      </c>
      <c r="CB208">
        <v>1690373417</v>
      </c>
      <c r="CC208" t="s">
        <v>332</v>
      </c>
      <c r="CD208">
        <v>1690373417</v>
      </c>
      <c r="CE208">
        <v>1690373415</v>
      </c>
      <c r="CF208">
        <v>1</v>
      </c>
      <c r="CG208">
        <v>-1.319</v>
      </c>
      <c r="CH208">
        <v>0.01</v>
      </c>
      <c r="CI208">
        <v>-1.371</v>
      </c>
      <c r="CJ208">
        <v>0.183</v>
      </c>
      <c r="CK208">
        <v>800</v>
      </c>
      <c r="CL208">
        <v>21</v>
      </c>
      <c r="CM208">
        <v>0.09</v>
      </c>
      <c r="CN208">
        <v>7.0000000000000007E-2</v>
      </c>
      <c r="CO208">
        <v>-435.02768292682919</v>
      </c>
      <c r="CP208">
        <v>-2.493930313588764</v>
      </c>
      <c r="CQ208">
        <v>0.25111424268495319</v>
      </c>
      <c r="CR208">
        <v>-1</v>
      </c>
      <c r="CS208">
        <v>27.176743902439021</v>
      </c>
      <c r="CT208">
        <v>9.6121254355503782E-2</v>
      </c>
      <c r="CU208">
        <v>9.6785417360688488E-3</v>
      </c>
      <c r="CV208">
        <v>-1</v>
      </c>
      <c r="CW208">
        <v>0</v>
      </c>
      <c r="CX208">
        <v>0</v>
      </c>
      <c r="CY208" t="s">
        <v>333</v>
      </c>
      <c r="CZ208">
        <v>2.3656199999999998</v>
      </c>
      <c r="DA208">
        <v>2.7137500000000001</v>
      </c>
      <c r="DB208">
        <v>8.3361400000000002E-2</v>
      </c>
      <c r="DC208">
        <v>0.14571500000000001</v>
      </c>
      <c r="DD208">
        <v>0.12470299999999999</v>
      </c>
      <c r="DE208">
        <v>1.47831E-3</v>
      </c>
      <c r="DF208">
        <v>33488.400000000001</v>
      </c>
      <c r="DG208">
        <v>27529.8</v>
      </c>
      <c r="DH208">
        <v>31185.7</v>
      </c>
      <c r="DI208">
        <v>28077.599999999999</v>
      </c>
      <c r="DJ208">
        <v>37043.1</v>
      </c>
      <c r="DK208">
        <v>39854.9</v>
      </c>
      <c r="DL208">
        <v>44378</v>
      </c>
      <c r="DM208">
        <v>42533.9</v>
      </c>
      <c r="DN208">
        <v>1.48695</v>
      </c>
      <c r="DO208">
        <v>2.06033</v>
      </c>
      <c r="DP208">
        <v>0.110984</v>
      </c>
      <c r="DQ208">
        <v>0.16313800000000001</v>
      </c>
      <c r="DR208">
        <v>25.184200000000001</v>
      </c>
      <c r="DS208">
        <v>25.1142</v>
      </c>
      <c r="DT208">
        <v>30.2</v>
      </c>
      <c r="DU208">
        <v>25.9</v>
      </c>
      <c r="DV208">
        <v>10.264699999999999</v>
      </c>
      <c r="DW208">
        <v>61.330100000000002</v>
      </c>
      <c r="DX208">
        <v>37.756399999999999</v>
      </c>
      <c r="DY208">
        <v>1</v>
      </c>
      <c r="DZ208">
        <v>-0.16689000000000001</v>
      </c>
      <c r="EA208">
        <v>-0.67836300000000005</v>
      </c>
      <c r="EB208">
        <v>20.189</v>
      </c>
      <c r="EC208">
        <v>5.2403500000000003</v>
      </c>
      <c r="ED208">
        <v>12.039899999999999</v>
      </c>
      <c r="EE208">
        <v>5.0140000000000002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1.86877</v>
      </c>
      <c r="EL208">
        <v>1.8644700000000001</v>
      </c>
      <c r="EM208">
        <v>1.86913</v>
      </c>
      <c r="EN208">
        <v>1.8670899999999999</v>
      </c>
      <c r="EO208">
        <v>1.8632500000000001</v>
      </c>
      <c r="EP208">
        <v>1.8642700000000001</v>
      </c>
      <c r="EQ208">
        <v>1.8701099999999999</v>
      </c>
      <c r="ER208">
        <v>1.8693299999999999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-1.0640000000000001</v>
      </c>
      <c r="FG208">
        <v>0.18279999999999999</v>
      </c>
      <c r="FH208">
        <v>-0.81947142863283695</v>
      </c>
      <c r="FI208">
        <v>-6.1462078757559423E-4</v>
      </c>
      <c r="FJ208">
        <v>-1.8861989874597051E-7</v>
      </c>
      <c r="FK208">
        <v>1.1980462299894961E-10</v>
      </c>
      <c r="FL208">
        <v>0.18283500000000069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39.700000000000003</v>
      </c>
      <c r="FU208">
        <v>39.700000000000003</v>
      </c>
      <c r="FV208">
        <v>1.7626999999999999</v>
      </c>
      <c r="FW208">
        <v>2.5634800000000002</v>
      </c>
      <c r="FX208">
        <v>1.5490699999999999</v>
      </c>
      <c r="FY208">
        <v>2.34375</v>
      </c>
      <c r="FZ208">
        <v>1.50146</v>
      </c>
      <c r="GA208">
        <v>2.3339799999999999</v>
      </c>
      <c r="GB208">
        <v>31.063600000000001</v>
      </c>
      <c r="GC208">
        <v>23.991199999999999</v>
      </c>
      <c r="GD208">
        <v>19</v>
      </c>
      <c r="GE208">
        <v>283.37700000000001</v>
      </c>
      <c r="GF208">
        <v>592.28599999999994</v>
      </c>
      <c r="GG208">
        <v>25.686299999999999</v>
      </c>
      <c r="GH208">
        <v>25.332000000000001</v>
      </c>
      <c r="GI208">
        <v>30.0001</v>
      </c>
      <c r="GJ208">
        <v>25.438700000000001</v>
      </c>
      <c r="GK208">
        <v>25.405000000000001</v>
      </c>
      <c r="GL208">
        <v>35.241700000000002</v>
      </c>
      <c r="GM208">
        <v>100</v>
      </c>
      <c r="GN208">
        <v>0</v>
      </c>
      <c r="GO208">
        <v>25.676500000000001</v>
      </c>
      <c r="GP208">
        <v>800</v>
      </c>
      <c r="GQ208">
        <v>0</v>
      </c>
      <c r="GR208">
        <v>99.778099999999995</v>
      </c>
      <c r="GS208">
        <v>99.522099999999995</v>
      </c>
    </row>
    <row r="209" spans="1:201" x14ac:dyDescent="0.25">
      <c r="A209">
        <v>193</v>
      </c>
      <c r="B209">
        <v>1690375806.0999999</v>
      </c>
      <c r="C209">
        <v>1986.599999904633</v>
      </c>
      <c r="D209" t="s">
        <v>719</v>
      </c>
      <c r="E209" t="s">
        <v>720</v>
      </c>
      <c r="F209" t="s">
        <v>330</v>
      </c>
      <c r="H209">
        <v>1690375806.0999999</v>
      </c>
      <c r="I209">
        <f t="shared" ref="I209:I272" si="90">(J209)/1000</f>
        <v>2.7989488098883407E-3</v>
      </c>
      <c r="J209">
        <f t="shared" ref="J209:J233" si="91">1000*AZ209*AH209*(AV209-AW209)/(100*AO209*(1000-AH209*AV209))</f>
        <v>2.7989488098883406</v>
      </c>
      <c r="K209">
        <f t="shared" ref="K209:K233" si="92">AZ209*AH209*(AU209-AT209*(1000-AH209*AW209)/(1000-AH209*AV209))/(100*AO209)</f>
        <v>42.593214025323249</v>
      </c>
      <c r="L209">
        <f t="shared" ref="L209:L272" si="93">AT209 - IF(AH209&gt;1, K209*AO209*100/(AJ209*BH209), 0)</f>
        <v>364.06099999999998</v>
      </c>
      <c r="M209">
        <f t="shared" ref="M209:M272" si="94">((S209-I209/2)*L209-K209)/(S209+I209/2)</f>
        <v>98.346615335026158</v>
      </c>
      <c r="N209">
        <f t="shared" ref="N209:N272" si="95">M209*(BA209+BB209)/1000</f>
        <v>9.7158825630508474</v>
      </c>
      <c r="O209">
        <f t="shared" ref="O209:O233" si="96">(AT209 - IF(AH209&gt;1, K209*AO209*100/(AJ209*BH209), 0))*(BA209+BB209)/1000</f>
        <v>35.966402196325397</v>
      </c>
      <c r="P209">
        <f t="shared" ref="P209:P272" si="97">2/((1/R209-1/Q209)+SIGN(R209)*SQRT((1/R209-1/Q209)*(1/R209-1/Q209) + 4*AP209/((AP209+1)*(AP209+1))*(2*1/R209*1/Q209-1/Q209*1/Q209)))</f>
        <v>0.27545500950743601</v>
      </c>
      <c r="Q209">
        <f t="shared" ref="Q209:Q233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2.2518761197102757</v>
      </c>
      <c r="R209">
        <f t="shared" ref="R209:R233" si="99">I209*(1000-(1000*0.61365*EXP(17.502*V209/(240.97+V209))/(BA209+BB209)+AV209)/2)/(1000*0.61365*EXP(17.502*V209/(240.97+V209))/(BA209+BB209)-AV209)</f>
        <v>0.25801173492722401</v>
      </c>
      <c r="S209">
        <f t="shared" ref="S209:S233" si="100">1/((AP209+1)/(P209/1.6)+1/(Q209/1.37)) + AP209/((AP209+1)/(P209/1.6) + AP209/(Q209/1.37))</f>
        <v>0.16273240796562635</v>
      </c>
      <c r="T209">
        <f t="shared" ref="T209:T233" si="101">(AK209*AN209)</f>
        <v>276.11546601600003</v>
      </c>
      <c r="U209">
        <f t="shared" ref="U209:U272" si="102">(BC209+(T209+2*0.95*0.0000000567*(((BC209+$B$7)+273)^4-(BC209+273)^4)-44100*I209)/(1.84*29.3*Q209+8*0.95*0.0000000567*(BC209+273)^3))</f>
        <v>27.761743214216597</v>
      </c>
      <c r="V209">
        <f t="shared" ref="V209:V272" si="103">($C$7*BD209+$D$7*BE209+$E$7*U209)</f>
        <v>27.761743214216597</v>
      </c>
      <c r="W209">
        <f t="shared" ref="W209:W272" si="104">0.61365*EXP(17.502*V209/(240.97+V209))</f>
        <v>3.7424493293131254</v>
      </c>
      <c r="X209">
        <f t="shared" ref="X209:X272" si="105">(Y209/Z209*100)</f>
        <v>77.333585956145299</v>
      </c>
      <c r="Y209">
        <f t="shared" ref="Y209:Y233" si="106">AV209*(BA209+BB209)/1000</f>
        <v>2.7057120282390601</v>
      </c>
      <c r="Z209">
        <f t="shared" ref="Z209:Z233" si="107">0.61365*EXP(17.502*BC209/(240.97+BC209))</f>
        <v>3.4987541244672506</v>
      </c>
      <c r="AA209">
        <f t="shared" ref="AA209:AA233" si="108">(W209-AV209*(BA209+BB209)/1000)</f>
        <v>1.0367373010740653</v>
      </c>
      <c r="AB209">
        <f t="shared" ref="AB209:AB233" si="109">(-I209*44100)</f>
        <v>-123.43364251607582</v>
      </c>
      <c r="AC209">
        <f t="shared" ref="AC209:AC233" si="110">2*29.3*Q209*0.92*(BC209-V209)</f>
        <v>-139.37605722178108</v>
      </c>
      <c r="AD209">
        <f t="shared" ref="AD209:AD233" si="111">2*0.95*0.0000000567*(((BC209+$B$7)+273)^4-(V209+273)^4)</f>
        <v>-13.382438273708711</v>
      </c>
      <c r="AE209">
        <f t="shared" ref="AE209:AE272" si="112">T209+AD209+AB209+AC209</f>
        <v>-7.6671995565590123E-2</v>
      </c>
      <c r="AF209">
        <v>0</v>
      </c>
      <c r="AG209">
        <v>0</v>
      </c>
      <c r="AH209">
        <f t="shared" ref="AH209:AH233" si="113">IF(AF209*$H$13&gt;=AJ209,1,(AJ209/(AJ209-AF209*$H$13)))</f>
        <v>1</v>
      </c>
      <c r="AI209">
        <f t="shared" ref="AI209:AI272" si="114">(AH209-1)*100</f>
        <v>0</v>
      </c>
      <c r="AJ209">
        <f t="shared" ref="AJ209:AJ233" si="115">MAX(0,($B$13+$C$13*BH209)/(1+$D$13*BH209)*BA209/(BC209+273)*$E$13)</f>
        <v>52362.702784865498</v>
      </c>
      <c r="AK209">
        <f t="shared" ref="AK209:AK233" si="116">$B$11*BI209+$C$11*BJ209+$D$11*BU209</f>
        <v>1800</v>
      </c>
      <c r="AL209">
        <f t="shared" ref="AL209:AL272" si="117">AK209*AM209</f>
        <v>1499.1132636</v>
      </c>
      <c r="AM209">
        <f t="shared" ref="AM209:AM233" si="118">($B$11*$D$9+$C$11*$D$9+$D$11*(BV209*$E$9+BW209*$F$9+BX209*$G$9+BY209*$H$9))/($B$11+$C$11+$D$11)</f>
        <v>0.83284070200000004</v>
      </c>
      <c r="AN209">
        <f t="shared" ref="AN209:AN233" si="119">($B$11*$K$9+$C$11*$K$9+$D$11*(BV209*$L$9+BW209*$M$9+BX209*$N$9+BY209*$O$9))/($B$11+$C$11+$D$11)</f>
        <v>0.15339748112000001</v>
      </c>
      <c r="AO209">
        <v>30</v>
      </c>
      <c r="AP209">
        <v>0.5</v>
      </c>
      <c r="AQ209" t="s">
        <v>331</v>
      </c>
      <c r="AR209">
        <v>2</v>
      </c>
      <c r="AS209">
        <v>1690375806.0999999</v>
      </c>
      <c r="AT209">
        <v>364.06099999999998</v>
      </c>
      <c r="AU209">
        <v>800.01300000000003</v>
      </c>
      <c r="AV209">
        <v>27.387899999999998</v>
      </c>
      <c r="AW209">
        <v>0.175598</v>
      </c>
      <c r="AX209">
        <v>365.12400000000002</v>
      </c>
      <c r="AY209">
        <v>27.205100000000002</v>
      </c>
      <c r="AZ209">
        <v>300.11700000000002</v>
      </c>
      <c r="BA209">
        <v>98.692300000000003</v>
      </c>
      <c r="BB209">
        <v>9.99414E-2</v>
      </c>
      <c r="BC209">
        <v>26.613700000000001</v>
      </c>
      <c r="BD209">
        <v>26.999300000000002</v>
      </c>
      <c r="BE209">
        <v>27.787600000000001</v>
      </c>
      <c r="BF209">
        <v>0</v>
      </c>
      <c r="BG209">
        <v>0</v>
      </c>
      <c r="BH209">
        <v>10021.9</v>
      </c>
      <c r="BI209">
        <v>1085.79</v>
      </c>
      <c r="BJ209">
        <v>1.4016500000000001</v>
      </c>
      <c r="BK209">
        <v>-435.952</v>
      </c>
      <c r="BL209">
        <v>374.31299999999999</v>
      </c>
      <c r="BM209">
        <v>800.15300000000002</v>
      </c>
      <c r="BN209">
        <v>27.212299999999999</v>
      </c>
      <c r="BO209">
        <v>800.01300000000003</v>
      </c>
      <c r="BP209">
        <v>0.175598</v>
      </c>
      <c r="BQ209">
        <v>2.7029800000000002</v>
      </c>
      <c r="BR209">
        <v>1.73302E-2</v>
      </c>
      <c r="BS209">
        <v>22.3032</v>
      </c>
      <c r="BT209">
        <v>-40.796199999999999</v>
      </c>
      <c r="BU209">
        <v>1800</v>
      </c>
      <c r="BV209">
        <v>0.91000199999999998</v>
      </c>
      <c r="BW209">
        <v>3.3996999999999999E-2</v>
      </c>
      <c r="BX209">
        <v>2.2000599999999999E-2</v>
      </c>
      <c r="BY209">
        <v>3.4000799999999998E-2</v>
      </c>
      <c r="BZ209">
        <v>25</v>
      </c>
      <c r="CA209">
        <v>33528.400000000001</v>
      </c>
      <c r="CB209">
        <v>1690373417</v>
      </c>
      <c r="CC209" t="s">
        <v>332</v>
      </c>
      <c r="CD209">
        <v>1690373417</v>
      </c>
      <c r="CE209">
        <v>1690373415</v>
      </c>
      <c r="CF209">
        <v>1</v>
      </c>
      <c r="CG209">
        <v>-1.319</v>
      </c>
      <c r="CH209">
        <v>0.01</v>
      </c>
      <c r="CI209">
        <v>-1.371</v>
      </c>
      <c r="CJ209">
        <v>0.183</v>
      </c>
      <c r="CK209">
        <v>800</v>
      </c>
      <c r="CL209">
        <v>21</v>
      </c>
      <c r="CM209">
        <v>0.09</v>
      </c>
      <c r="CN209">
        <v>7.0000000000000007E-2</v>
      </c>
      <c r="CO209">
        <v>-435.46912500000002</v>
      </c>
      <c r="CP209">
        <v>-2.337714821763512</v>
      </c>
      <c r="CQ209">
        <v>0.22767929061511269</v>
      </c>
      <c r="CR209">
        <v>-1</v>
      </c>
      <c r="CS209">
        <v>27.194324999999999</v>
      </c>
      <c r="CT209">
        <v>0.103175234521571</v>
      </c>
      <c r="CU209">
        <v>1.00398642919114E-2</v>
      </c>
      <c r="CV209">
        <v>-1</v>
      </c>
      <c r="CW209">
        <v>0</v>
      </c>
      <c r="CX209">
        <v>0</v>
      </c>
      <c r="CY209" t="s">
        <v>333</v>
      </c>
      <c r="CZ209">
        <v>2.3654099999999998</v>
      </c>
      <c r="DA209">
        <v>2.7137500000000001</v>
      </c>
      <c r="DB209">
        <v>8.3277799999999999E-2</v>
      </c>
      <c r="DC209">
        <v>0.14572099999999999</v>
      </c>
      <c r="DD209">
        <v>0.124751</v>
      </c>
      <c r="DE209">
        <v>1.47557E-3</v>
      </c>
      <c r="DF209">
        <v>33491.4</v>
      </c>
      <c r="DG209">
        <v>27529.200000000001</v>
      </c>
      <c r="DH209">
        <v>31185.7</v>
      </c>
      <c r="DI209">
        <v>28077.1</v>
      </c>
      <c r="DJ209">
        <v>37040.9</v>
      </c>
      <c r="DK209">
        <v>39854.9</v>
      </c>
      <c r="DL209">
        <v>44378</v>
      </c>
      <c r="DM209">
        <v>42533.7</v>
      </c>
      <c r="DN209">
        <v>1.48658</v>
      </c>
      <c r="DO209">
        <v>2.0603500000000001</v>
      </c>
      <c r="DP209">
        <v>0.11089400000000001</v>
      </c>
      <c r="DQ209">
        <v>0.163518</v>
      </c>
      <c r="DR209">
        <v>25.183</v>
      </c>
      <c r="DS209">
        <v>25.111000000000001</v>
      </c>
      <c r="DT209">
        <v>30.2</v>
      </c>
      <c r="DU209">
        <v>25.9</v>
      </c>
      <c r="DV209">
        <v>10.262499999999999</v>
      </c>
      <c r="DW209">
        <v>61.530099999999997</v>
      </c>
      <c r="DX209">
        <v>37.548099999999998</v>
      </c>
      <c r="DY209">
        <v>1</v>
      </c>
      <c r="DZ209">
        <v>-0.16672999999999999</v>
      </c>
      <c r="EA209">
        <v>-0.66044700000000001</v>
      </c>
      <c r="EB209">
        <v>20.1889</v>
      </c>
      <c r="EC209">
        <v>5.2403500000000003</v>
      </c>
      <c r="ED209">
        <v>12.039899999999999</v>
      </c>
      <c r="EE209">
        <v>5.0137499999999999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1.8687499999999999</v>
      </c>
      <c r="EL209">
        <v>1.8644700000000001</v>
      </c>
      <c r="EM209">
        <v>1.86913</v>
      </c>
      <c r="EN209">
        <v>1.8671</v>
      </c>
      <c r="EO209">
        <v>1.8632500000000001</v>
      </c>
      <c r="EP209">
        <v>1.8642700000000001</v>
      </c>
      <c r="EQ209">
        <v>1.8701000000000001</v>
      </c>
      <c r="ER209">
        <v>1.8693200000000001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-1.0629999999999999</v>
      </c>
      <c r="FG209">
        <v>0.18279999999999999</v>
      </c>
      <c r="FH209">
        <v>-0.81947142863283695</v>
      </c>
      <c r="FI209">
        <v>-6.1462078757559423E-4</v>
      </c>
      <c r="FJ209">
        <v>-1.8861989874597051E-7</v>
      </c>
      <c r="FK209">
        <v>1.1980462299894961E-10</v>
      </c>
      <c r="FL209">
        <v>0.18283500000000069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39.799999999999997</v>
      </c>
      <c r="FU209">
        <v>39.9</v>
      </c>
      <c r="FV209">
        <v>1.7626999999999999</v>
      </c>
      <c r="FW209">
        <v>2.5598100000000001</v>
      </c>
      <c r="FX209">
        <v>1.5490699999999999</v>
      </c>
      <c r="FY209">
        <v>2.34375</v>
      </c>
      <c r="FZ209">
        <v>1.50024</v>
      </c>
      <c r="GA209">
        <v>2.33887</v>
      </c>
      <c r="GB209">
        <v>31.063600000000001</v>
      </c>
      <c r="GC209">
        <v>23.991199999999999</v>
      </c>
      <c r="GD209">
        <v>19</v>
      </c>
      <c r="GE209">
        <v>283.21800000000002</v>
      </c>
      <c r="GF209">
        <v>592.32500000000005</v>
      </c>
      <c r="GG209">
        <v>25.679600000000001</v>
      </c>
      <c r="GH209">
        <v>25.332000000000001</v>
      </c>
      <c r="GI209">
        <v>30.0002</v>
      </c>
      <c r="GJ209">
        <v>25.438700000000001</v>
      </c>
      <c r="GK209">
        <v>25.406500000000001</v>
      </c>
      <c r="GL209">
        <v>35.241900000000001</v>
      </c>
      <c r="GM209">
        <v>100</v>
      </c>
      <c r="GN209">
        <v>0</v>
      </c>
      <c r="GO209">
        <v>25.679300000000001</v>
      </c>
      <c r="GP209">
        <v>800</v>
      </c>
      <c r="GQ209">
        <v>0</v>
      </c>
      <c r="GR209">
        <v>99.778000000000006</v>
      </c>
      <c r="GS209">
        <v>99.521199999999993</v>
      </c>
    </row>
    <row r="210" spans="1:201" x14ac:dyDescent="0.25">
      <c r="A210">
        <v>194</v>
      </c>
      <c r="B210">
        <v>1690375816.0999999</v>
      </c>
      <c r="C210">
        <v>1996.599999904633</v>
      </c>
      <c r="D210" t="s">
        <v>721</v>
      </c>
      <c r="E210" t="s">
        <v>722</v>
      </c>
      <c r="F210" t="s">
        <v>330</v>
      </c>
      <c r="H210">
        <v>1690375816.0999999</v>
      </c>
      <c r="I210">
        <f t="shared" si="90"/>
        <v>2.8025227206696485E-3</v>
      </c>
      <c r="J210">
        <f t="shared" si="91"/>
        <v>2.8025227206696486</v>
      </c>
      <c r="K210">
        <f t="shared" si="92"/>
        <v>42.64188916208289</v>
      </c>
      <c r="L210">
        <f t="shared" si="93"/>
        <v>363.63</v>
      </c>
      <c r="M210">
        <f t="shared" si="94"/>
        <v>98.876809213983748</v>
      </c>
      <c r="N210">
        <f t="shared" si="95"/>
        <v>9.7683486756478199</v>
      </c>
      <c r="O210">
        <f t="shared" si="96"/>
        <v>35.924142952859995</v>
      </c>
      <c r="P210">
        <f t="shared" si="97"/>
        <v>0.27686532204528741</v>
      </c>
      <c r="Q210">
        <f t="shared" si="98"/>
        <v>2.2495578594284638</v>
      </c>
      <c r="R210">
        <f t="shared" si="99"/>
        <v>0.25923218601116282</v>
      </c>
      <c r="S210">
        <f t="shared" si="100"/>
        <v>0.16351070955633859</v>
      </c>
      <c r="T210">
        <f t="shared" si="101"/>
        <v>276.11523133200001</v>
      </c>
      <c r="U210">
        <f t="shared" si="102"/>
        <v>27.757439352935343</v>
      </c>
      <c r="V210">
        <f t="shared" si="103"/>
        <v>27.757439352935343</v>
      </c>
      <c r="W210">
        <f t="shared" si="104"/>
        <v>3.7415087849406516</v>
      </c>
      <c r="X210">
        <f t="shared" si="105"/>
        <v>77.427690391897713</v>
      </c>
      <c r="Y210">
        <f t="shared" si="106"/>
        <v>2.7083344051324003</v>
      </c>
      <c r="Z210">
        <f t="shared" si="107"/>
        <v>3.4978886641513576</v>
      </c>
      <c r="AA210">
        <f t="shared" si="108"/>
        <v>1.0331743798082513</v>
      </c>
      <c r="AB210">
        <f t="shared" si="109"/>
        <v>-123.5912519815315</v>
      </c>
      <c r="AC210">
        <f t="shared" si="110"/>
        <v>-139.21997632388616</v>
      </c>
      <c r="AD210">
        <f t="shared" si="111"/>
        <v>-13.380658985896181</v>
      </c>
      <c r="AE210">
        <f t="shared" si="112"/>
        <v>-7.6655959313825406E-2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52273.181045767902</v>
      </c>
      <c r="AK210">
        <f t="shared" si="116"/>
        <v>1800</v>
      </c>
      <c r="AL210">
        <f t="shared" si="117"/>
        <v>1499.1125832</v>
      </c>
      <c r="AM210">
        <f t="shared" si="118"/>
        <v>0.83284032399999997</v>
      </c>
      <c r="AN210">
        <f t="shared" si="119"/>
        <v>0.15339735073999999</v>
      </c>
      <c r="AO210">
        <v>30</v>
      </c>
      <c r="AP210">
        <v>0.5</v>
      </c>
      <c r="AQ210" t="s">
        <v>331</v>
      </c>
      <c r="AR210">
        <v>2</v>
      </c>
      <c r="AS210">
        <v>1690375816.0999999</v>
      </c>
      <c r="AT210">
        <v>363.63</v>
      </c>
      <c r="AU210">
        <v>799.95899999999995</v>
      </c>
      <c r="AV210">
        <v>27.414200000000001</v>
      </c>
      <c r="AW210">
        <v>0.174786</v>
      </c>
      <c r="AX210">
        <v>364.69200000000001</v>
      </c>
      <c r="AY210">
        <v>27.231400000000001</v>
      </c>
      <c r="AZ210">
        <v>300.19299999999998</v>
      </c>
      <c r="BA210">
        <v>98.693100000000001</v>
      </c>
      <c r="BB210">
        <v>0.100022</v>
      </c>
      <c r="BC210">
        <v>26.609500000000001</v>
      </c>
      <c r="BD210">
        <v>27.0047</v>
      </c>
      <c r="BE210">
        <v>27.7775</v>
      </c>
      <c r="BF210">
        <v>0</v>
      </c>
      <c r="BG210">
        <v>0</v>
      </c>
      <c r="BH210">
        <v>10003.799999999999</v>
      </c>
      <c r="BI210">
        <v>1085.68</v>
      </c>
      <c r="BJ210">
        <v>1.4016500000000001</v>
      </c>
      <c r="BK210">
        <v>-436.33</v>
      </c>
      <c r="BL210">
        <v>373.87900000000002</v>
      </c>
      <c r="BM210">
        <v>800.09900000000005</v>
      </c>
      <c r="BN210">
        <v>27.2394</v>
      </c>
      <c r="BO210">
        <v>799.95899999999995</v>
      </c>
      <c r="BP210">
        <v>0.174786</v>
      </c>
      <c r="BQ210">
        <v>2.7055899999999999</v>
      </c>
      <c r="BR210">
        <v>1.72502E-2</v>
      </c>
      <c r="BS210">
        <v>22.319099999999999</v>
      </c>
      <c r="BT210">
        <v>-40.8401</v>
      </c>
      <c r="BU210">
        <v>1800</v>
      </c>
      <c r="BV210">
        <v>0.91000300000000001</v>
      </c>
      <c r="BW210">
        <v>3.3996400000000003E-2</v>
      </c>
      <c r="BX210">
        <v>2.2000200000000001E-2</v>
      </c>
      <c r="BY210">
        <v>3.4000200000000001E-2</v>
      </c>
      <c r="BZ210">
        <v>25</v>
      </c>
      <c r="CA210">
        <v>33528.5</v>
      </c>
      <c r="CB210">
        <v>1690373417</v>
      </c>
      <c r="CC210" t="s">
        <v>332</v>
      </c>
      <c r="CD210">
        <v>1690373417</v>
      </c>
      <c r="CE210">
        <v>1690373415</v>
      </c>
      <c r="CF210">
        <v>1</v>
      </c>
      <c r="CG210">
        <v>-1.319</v>
      </c>
      <c r="CH210">
        <v>0.01</v>
      </c>
      <c r="CI210">
        <v>-1.371</v>
      </c>
      <c r="CJ210">
        <v>0.183</v>
      </c>
      <c r="CK210">
        <v>800</v>
      </c>
      <c r="CL210">
        <v>21</v>
      </c>
      <c r="CM210">
        <v>0.09</v>
      </c>
      <c r="CN210">
        <v>7.0000000000000007E-2</v>
      </c>
      <c r="CO210">
        <v>-435.88487499999991</v>
      </c>
      <c r="CP210">
        <v>-2.6036960600375441</v>
      </c>
      <c r="CQ210">
        <v>0.25197303303131358</v>
      </c>
      <c r="CR210">
        <v>-1</v>
      </c>
      <c r="CS210">
        <v>27.212775000000001</v>
      </c>
      <c r="CT210">
        <v>0.1244217636021771</v>
      </c>
      <c r="CU210">
        <v>1.21751950703059E-2</v>
      </c>
      <c r="CV210">
        <v>-1</v>
      </c>
      <c r="CW210">
        <v>0</v>
      </c>
      <c r="CX210">
        <v>0</v>
      </c>
      <c r="CY210" t="s">
        <v>333</v>
      </c>
      <c r="CZ210">
        <v>2.3656899999999998</v>
      </c>
      <c r="DA210">
        <v>2.7138200000000001</v>
      </c>
      <c r="DB210">
        <v>8.3201300000000006E-2</v>
      </c>
      <c r="DC210">
        <v>0.14571500000000001</v>
      </c>
      <c r="DD210">
        <v>0.124834</v>
      </c>
      <c r="DE210">
        <v>1.46883E-3</v>
      </c>
      <c r="DF210">
        <v>33494.199999999997</v>
      </c>
      <c r="DG210">
        <v>27529.8</v>
      </c>
      <c r="DH210">
        <v>31185.7</v>
      </c>
      <c r="DI210">
        <v>28077.599999999999</v>
      </c>
      <c r="DJ210">
        <v>37037.5</v>
      </c>
      <c r="DK210">
        <v>39855.599999999999</v>
      </c>
      <c r="DL210">
        <v>44378.2</v>
      </c>
      <c r="DM210">
        <v>42534.2</v>
      </c>
      <c r="DN210">
        <v>1.4871300000000001</v>
      </c>
      <c r="DO210">
        <v>2.06033</v>
      </c>
      <c r="DP210">
        <v>0.111416</v>
      </c>
      <c r="DQ210">
        <v>0.16308600000000001</v>
      </c>
      <c r="DR210">
        <v>25.18</v>
      </c>
      <c r="DS210">
        <v>25.108000000000001</v>
      </c>
      <c r="DT210">
        <v>30.1</v>
      </c>
      <c r="DU210">
        <v>25.9</v>
      </c>
      <c r="DV210">
        <v>10.229900000000001</v>
      </c>
      <c r="DW210">
        <v>61.640099999999997</v>
      </c>
      <c r="DX210">
        <v>37.708300000000001</v>
      </c>
      <c r="DY210">
        <v>1</v>
      </c>
      <c r="DZ210">
        <v>-0.16683400000000001</v>
      </c>
      <c r="EA210">
        <v>-0.66152200000000005</v>
      </c>
      <c r="EB210">
        <v>20.189</v>
      </c>
      <c r="EC210">
        <v>5.2404999999999999</v>
      </c>
      <c r="ED210">
        <v>12.039899999999999</v>
      </c>
      <c r="EE210">
        <v>5.0135500000000004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1.86877</v>
      </c>
      <c r="EL210">
        <v>1.8644700000000001</v>
      </c>
      <c r="EM210">
        <v>1.8691</v>
      </c>
      <c r="EN210">
        <v>1.8670800000000001</v>
      </c>
      <c r="EO210">
        <v>1.8632500000000001</v>
      </c>
      <c r="EP210">
        <v>1.86426</v>
      </c>
      <c r="EQ210">
        <v>1.87009</v>
      </c>
      <c r="ER210">
        <v>1.86931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-1.0620000000000001</v>
      </c>
      <c r="FG210">
        <v>0.18279999999999999</v>
      </c>
      <c r="FH210">
        <v>-0.81947142863283695</v>
      </c>
      <c r="FI210">
        <v>-6.1462078757559423E-4</v>
      </c>
      <c r="FJ210">
        <v>-1.8861989874597051E-7</v>
      </c>
      <c r="FK210">
        <v>1.1980462299894961E-10</v>
      </c>
      <c r="FL210">
        <v>0.18283500000000069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40</v>
      </c>
      <c r="FU210">
        <v>40</v>
      </c>
      <c r="FV210">
        <v>1.7626999999999999</v>
      </c>
      <c r="FW210">
        <v>2.5573700000000001</v>
      </c>
      <c r="FX210">
        <v>1.5490699999999999</v>
      </c>
      <c r="FY210">
        <v>2.34375</v>
      </c>
      <c r="FZ210">
        <v>1.50146</v>
      </c>
      <c r="GA210">
        <v>2.32422</v>
      </c>
      <c r="GB210">
        <v>31.0853</v>
      </c>
      <c r="GC210">
        <v>23.991199999999999</v>
      </c>
      <c r="GD210">
        <v>19</v>
      </c>
      <c r="GE210">
        <v>283.46100000000001</v>
      </c>
      <c r="GF210">
        <v>592.30399999999997</v>
      </c>
      <c r="GG210">
        <v>25.679099999999998</v>
      </c>
      <c r="GH210">
        <v>25.334199999999999</v>
      </c>
      <c r="GI210">
        <v>30.0001</v>
      </c>
      <c r="GJ210">
        <v>25.440799999999999</v>
      </c>
      <c r="GK210">
        <v>25.406500000000001</v>
      </c>
      <c r="GL210">
        <v>35.241399999999999</v>
      </c>
      <c r="GM210">
        <v>100</v>
      </c>
      <c r="GN210">
        <v>0</v>
      </c>
      <c r="GO210">
        <v>25.679200000000002</v>
      </c>
      <c r="GP210">
        <v>800</v>
      </c>
      <c r="GQ210">
        <v>0</v>
      </c>
      <c r="GR210">
        <v>99.778199999999998</v>
      </c>
      <c r="GS210">
        <v>99.522499999999994</v>
      </c>
    </row>
    <row r="211" spans="1:201" x14ac:dyDescent="0.25">
      <c r="A211">
        <v>195</v>
      </c>
      <c r="B211">
        <v>1690375826.0999999</v>
      </c>
      <c r="C211">
        <v>2006.599999904633</v>
      </c>
      <c r="D211" t="s">
        <v>723</v>
      </c>
      <c r="E211" t="s">
        <v>724</v>
      </c>
      <c r="F211" t="s">
        <v>330</v>
      </c>
      <c r="H211">
        <v>1690375826.0999999</v>
      </c>
      <c r="I211">
        <f t="shared" si="90"/>
        <v>2.804582490486911E-3</v>
      </c>
      <c r="J211">
        <f t="shared" si="91"/>
        <v>2.804582490486911</v>
      </c>
      <c r="K211">
        <f t="shared" si="92"/>
        <v>42.674947815354223</v>
      </c>
      <c r="L211">
        <f t="shared" si="93"/>
        <v>363.27800000000002</v>
      </c>
      <c r="M211">
        <f t="shared" si="94"/>
        <v>98.84318844182377</v>
      </c>
      <c r="N211">
        <f t="shared" si="95"/>
        <v>9.7651578452972068</v>
      </c>
      <c r="O211">
        <f t="shared" si="96"/>
        <v>35.889848027432002</v>
      </c>
      <c r="P211">
        <f t="shared" si="97"/>
        <v>0.2774478748902251</v>
      </c>
      <c r="Q211">
        <f t="shared" si="98"/>
        <v>2.2486835925426272</v>
      </c>
      <c r="R211">
        <f t="shared" si="99"/>
        <v>0.25973658978993802</v>
      </c>
      <c r="S211">
        <f t="shared" si="100"/>
        <v>0.16383234891377585</v>
      </c>
      <c r="T211">
        <f t="shared" si="101"/>
        <v>276.11534811600006</v>
      </c>
      <c r="U211">
        <f t="shared" si="102"/>
        <v>27.761958884389401</v>
      </c>
      <c r="V211">
        <f t="shared" si="103"/>
        <v>27.761958884389401</v>
      </c>
      <c r="W211">
        <f t="shared" si="104"/>
        <v>3.7424964662242868</v>
      </c>
      <c r="X211">
        <f t="shared" si="105"/>
        <v>77.469804195189084</v>
      </c>
      <c r="Y211">
        <f t="shared" si="106"/>
        <v>2.7105737628059998</v>
      </c>
      <c r="Z211">
        <f t="shared" si="107"/>
        <v>3.4988777769162449</v>
      </c>
      <c r="AA211">
        <f t="shared" si="108"/>
        <v>1.031922703418287</v>
      </c>
      <c r="AB211">
        <f t="shared" si="109"/>
        <v>-123.68208783047277</v>
      </c>
      <c r="AC211">
        <f t="shared" si="110"/>
        <v>-139.13186846088166</v>
      </c>
      <c r="AD211">
        <f t="shared" si="111"/>
        <v>-13.378012734920695</v>
      </c>
      <c r="AE211">
        <f t="shared" si="112"/>
        <v>-7.6620910275039478E-2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52238.350669110281</v>
      </c>
      <c r="AK211">
        <f t="shared" si="116"/>
        <v>1800</v>
      </c>
      <c r="AL211">
        <f t="shared" si="117"/>
        <v>1499.1134165999999</v>
      </c>
      <c r="AM211">
        <f t="shared" si="118"/>
        <v>0.83284078699999997</v>
      </c>
      <c r="AN211">
        <f t="shared" si="119"/>
        <v>0.15339741562000003</v>
      </c>
      <c r="AO211">
        <v>30</v>
      </c>
      <c r="AP211">
        <v>0.5</v>
      </c>
      <c r="AQ211" t="s">
        <v>331</v>
      </c>
      <c r="AR211">
        <v>2</v>
      </c>
      <c r="AS211">
        <v>1690375826.0999999</v>
      </c>
      <c r="AT211">
        <v>363.27800000000002</v>
      </c>
      <c r="AU211">
        <v>799.98299999999995</v>
      </c>
      <c r="AV211">
        <v>27.436499999999999</v>
      </c>
      <c r="AW211">
        <v>0.17469399999999999</v>
      </c>
      <c r="AX211">
        <v>364.34100000000001</v>
      </c>
      <c r="AY211">
        <v>27.253599999999999</v>
      </c>
      <c r="AZ211">
        <v>300.16000000000003</v>
      </c>
      <c r="BA211">
        <v>98.694400000000002</v>
      </c>
      <c r="BB211">
        <v>0.10004399999999999</v>
      </c>
      <c r="BC211">
        <v>26.6143</v>
      </c>
      <c r="BD211">
        <v>26.978100000000001</v>
      </c>
      <c r="BE211">
        <v>27.786200000000001</v>
      </c>
      <c r="BF211">
        <v>0</v>
      </c>
      <c r="BG211">
        <v>0</v>
      </c>
      <c r="BH211">
        <v>9996.8799999999992</v>
      </c>
      <c r="BI211">
        <v>1085.69</v>
      </c>
      <c r="BJ211">
        <v>1.4016500000000001</v>
      </c>
      <c r="BK211">
        <v>-436.70499999999998</v>
      </c>
      <c r="BL211">
        <v>373.52600000000001</v>
      </c>
      <c r="BM211">
        <v>800.12300000000005</v>
      </c>
      <c r="BN211">
        <v>27.261800000000001</v>
      </c>
      <c r="BO211">
        <v>799.98299999999995</v>
      </c>
      <c r="BP211">
        <v>0.17469399999999999</v>
      </c>
      <c r="BQ211">
        <v>2.7078199999999999</v>
      </c>
      <c r="BR211">
        <v>1.7241300000000001E-2</v>
      </c>
      <c r="BS211">
        <v>22.332699999999999</v>
      </c>
      <c r="BT211">
        <v>-40.845100000000002</v>
      </c>
      <c r="BU211">
        <v>1800</v>
      </c>
      <c r="BV211">
        <v>0.91000400000000004</v>
      </c>
      <c r="BW211">
        <v>3.3996199999999997E-2</v>
      </c>
      <c r="BX211">
        <v>2.2000100000000002E-2</v>
      </c>
      <c r="BY211">
        <v>3.4000000000000002E-2</v>
      </c>
      <c r="BZ211">
        <v>25</v>
      </c>
      <c r="CA211">
        <v>33528.400000000001</v>
      </c>
      <c r="CB211">
        <v>1690373417</v>
      </c>
      <c r="CC211" t="s">
        <v>332</v>
      </c>
      <c r="CD211">
        <v>1690373417</v>
      </c>
      <c r="CE211">
        <v>1690373415</v>
      </c>
      <c r="CF211">
        <v>1</v>
      </c>
      <c r="CG211">
        <v>-1.319</v>
      </c>
      <c r="CH211">
        <v>0.01</v>
      </c>
      <c r="CI211">
        <v>-1.371</v>
      </c>
      <c r="CJ211">
        <v>0.183</v>
      </c>
      <c r="CK211">
        <v>800</v>
      </c>
      <c r="CL211">
        <v>21</v>
      </c>
      <c r="CM211">
        <v>0.09</v>
      </c>
      <c r="CN211">
        <v>7.0000000000000007E-2</v>
      </c>
      <c r="CO211">
        <v>-436.27509756097561</v>
      </c>
      <c r="CP211">
        <v>-2.3631637630663809</v>
      </c>
      <c r="CQ211">
        <v>0.2364074412676849</v>
      </c>
      <c r="CR211">
        <v>-1</v>
      </c>
      <c r="CS211">
        <v>27.233987804878051</v>
      </c>
      <c r="CT211">
        <v>0.15398048780493681</v>
      </c>
      <c r="CU211">
        <v>1.5238849504008931E-2</v>
      </c>
      <c r="CV211">
        <v>-1</v>
      </c>
      <c r="CW211">
        <v>0</v>
      </c>
      <c r="CX211">
        <v>0</v>
      </c>
      <c r="CY211" t="s">
        <v>333</v>
      </c>
      <c r="CZ211">
        <v>2.36558</v>
      </c>
      <c r="DA211">
        <v>2.7138300000000002</v>
      </c>
      <c r="DB211">
        <v>8.3139900000000003E-2</v>
      </c>
      <c r="DC211">
        <v>0.14571999999999999</v>
      </c>
      <c r="DD211">
        <v>0.124906</v>
      </c>
      <c r="DE211">
        <v>1.4680699999999999E-3</v>
      </c>
      <c r="DF211">
        <v>33496.6</v>
      </c>
      <c r="DG211">
        <v>27530.3</v>
      </c>
      <c r="DH211">
        <v>31185.8</v>
      </c>
      <c r="DI211">
        <v>28078.2</v>
      </c>
      <c r="DJ211">
        <v>37034.5</v>
      </c>
      <c r="DK211">
        <v>39856.699999999997</v>
      </c>
      <c r="DL211">
        <v>44378.3</v>
      </c>
      <c r="DM211">
        <v>42535.4</v>
      </c>
      <c r="DN211">
        <v>1.4869699999999999</v>
      </c>
      <c r="DO211">
        <v>2.0602800000000001</v>
      </c>
      <c r="DP211">
        <v>0.10978400000000001</v>
      </c>
      <c r="DQ211">
        <v>0.16361500000000001</v>
      </c>
      <c r="DR211">
        <v>25.18</v>
      </c>
      <c r="DS211">
        <v>25.108000000000001</v>
      </c>
      <c r="DT211">
        <v>30</v>
      </c>
      <c r="DU211">
        <v>25.9</v>
      </c>
      <c r="DV211">
        <v>10.1975</v>
      </c>
      <c r="DW211">
        <v>61.8401</v>
      </c>
      <c r="DX211">
        <v>37.748399999999997</v>
      </c>
      <c r="DY211">
        <v>1</v>
      </c>
      <c r="DZ211">
        <v>-0.16650699999999999</v>
      </c>
      <c r="EA211">
        <v>-0.67868499999999998</v>
      </c>
      <c r="EB211">
        <v>20.1891</v>
      </c>
      <c r="EC211">
        <v>5.2406499999999996</v>
      </c>
      <c r="ED211">
        <v>12.039899999999999</v>
      </c>
      <c r="EE211">
        <v>5.0133000000000001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1.86877</v>
      </c>
      <c r="EL211">
        <v>1.86446</v>
      </c>
      <c r="EM211">
        <v>1.8691199999999999</v>
      </c>
      <c r="EN211">
        <v>1.8670899999999999</v>
      </c>
      <c r="EO211">
        <v>1.8632500000000001</v>
      </c>
      <c r="EP211">
        <v>1.86429</v>
      </c>
      <c r="EQ211">
        <v>1.8701000000000001</v>
      </c>
      <c r="ER211">
        <v>1.86927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-1.0629999999999999</v>
      </c>
      <c r="FG211">
        <v>0.18290000000000001</v>
      </c>
      <c r="FH211">
        <v>-0.81947142863283695</v>
      </c>
      <c r="FI211">
        <v>-6.1462078757559423E-4</v>
      </c>
      <c r="FJ211">
        <v>-1.8861989874597051E-7</v>
      </c>
      <c r="FK211">
        <v>1.1980462299894961E-10</v>
      </c>
      <c r="FL211">
        <v>0.18283500000000069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40.200000000000003</v>
      </c>
      <c r="FU211">
        <v>40.200000000000003</v>
      </c>
      <c r="FV211">
        <v>1.7626999999999999</v>
      </c>
      <c r="FW211">
        <v>2.5573700000000001</v>
      </c>
      <c r="FX211">
        <v>1.5490699999999999</v>
      </c>
      <c r="FY211">
        <v>2.34375</v>
      </c>
      <c r="FZ211">
        <v>1.50146</v>
      </c>
      <c r="GA211">
        <v>2.36938</v>
      </c>
      <c r="GB211">
        <v>31.0853</v>
      </c>
      <c r="GC211">
        <v>23.991199999999999</v>
      </c>
      <c r="GD211">
        <v>19</v>
      </c>
      <c r="GE211">
        <v>283.39699999999999</v>
      </c>
      <c r="GF211">
        <v>592.26199999999994</v>
      </c>
      <c r="GG211">
        <v>25.680900000000001</v>
      </c>
      <c r="GH211">
        <v>25.334199999999999</v>
      </c>
      <c r="GI211">
        <v>30.0001</v>
      </c>
      <c r="GJ211">
        <v>25.440799999999999</v>
      </c>
      <c r="GK211">
        <v>25.406500000000001</v>
      </c>
      <c r="GL211">
        <v>35.241700000000002</v>
      </c>
      <c r="GM211">
        <v>100</v>
      </c>
      <c r="GN211">
        <v>0</v>
      </c>
      <c r="GO211">
        <v>25.6921</v>
      </c>
      <c r="GP211">
        <v>800</v>
      </c>
      <c r="GQ211">
        <v>0</v>
      </c>
      <c r="GR211">
        <v>99.778599999999997</v>
      </c>
      <c r="GS211">
        <v>99.525000000000006</v>
      </c>
    </row>
    <row r="212" spans="1:201" x14ac:dyDescent="0.25">
      <c r="A212">
        <v>196</v>
      </c>
      <c r="B212">
        <v>1690375836.0999999</v>
      </c>
      <c r="C212">
        <v>2016.599999904633</v>
      </c>
      <c r="D212" t="s">
        <v>725</v>
      </c>
      <c r="E212" t="s">
        <v>726</v>
      </c>
      <c r="F212" t="s">
        <v>330</v>
      </c>
      <c r="H212">
        <v>1690375836.0999999</v>
      </c>
      <c r="I212">
        <f t="shared" si="90"/>
        <v>2.8064161567142002E-3</v>
      </c>
      <c r="J212">
        <f t="shared" si="91"/>
        <v>2.8064161567142003</v>
      </c>
      <c r="K212">
        <f t="shared" si="92"/>
        <v>42.714333686045435</v>
      </c>
      <c r="L212">
        <f t="shared" si="93"/>
        <v>362.86799999999999</v>
      </c>
      <c r="M212">
        <f t="shared" si="94"/>
        <v>98.675018966026173</v>
      </c>
      <c r="N212">
        <f t="shared" si="95"/>
        <v>9.7483332602975743</v>
      </c>
      <c r="O212">
        <f t="shared" si="96"/>
        <v>35.848568670816007</v>
      </c>
      <c r="P212">
        <f t="shared" si="97"/>
        <v>0.27799417112889563</v>
      </c>
      <c r="Q212">
        <f t="shared" si="98"/>
        <v>2.2468825219453108</v>
      </c>
      <c r="R212">
        <f t="shared" si="99"/>
        <v>0.2602021943411118</v>
      </c>
      <c r="S212">
        <f t="shared" si="100"/>
        <v>0.16412992657511882</v>
      </c>
      <c r="T212">
        <f t="shared" si="101"/>
        <v>276.11528754599999</v>
      </c>
      <c r="U212">
        <f t="shared" si="102"/>
        <v>27.763986965767671</v>
      </c>
      <c r="V212">
        <f t="shared" si="103"/>
        <v>27.763986965767671</v>
      </c>
      <c r="W212">
        <f t="shared" si="104"/>
        <v>3.7429397493904579</v>
      </c>
      <c r="X212">
        <f t="shared" si="105"/>
        <v>77.508761548842529</v>
      </c>
      <c r="Y212">
        <f t="shared" si="106"/>
        <v>2.7122243751856003</v>
      </c>
      <c r="Z212">
        <f t="shared" si="107"/>
        <v>3.4992487571569293</v>
      </c>
      <c r="AA212">
        <f t="shared" si="108"/>
        <v>1.0307153742048576</v>
      </c>
      <c r="AB212">
        <f t="shared" si="109"/>
        <v>-123.76295251109623</v>
      </c>
      <c r="AC212">
        <f t="shared" si="110"/>
        <v>-139.04805995969113</v>
      </c>
      <c r="AD212">
        <f t="shared" si="111"/>
        <v>-13.380927401917114</v>
      </c>
      <c r="AE212">
        <f t="shared" si="112"/>
        <v>-7.6652326704476081E-2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52167.944394241473</v>
      </c>
      <c r="AK212">
        <f t="shared" si="116"/>
        <v>1800</v>
      </c>
      <c r="AL212">
        <f t="shared" si="117"/>
        <v>1499.1138306</v>
      </c>
      <c r="AM212">
        <f t="shared" si="118"/>
        <v>0.83284101700000002</v>
      </c>
      <c r="AN212">
        <f t="shared" si="119"/>
        <v>0.15339738197</v>
      </c>
      <c r="AO212">
        <v>30</v>
      </c>
      <c r="AP212">
        <v>0.5</v>
      </c>
      <c r="AQ212" t="s">
        <v>331</v>
      </c>
      <c r="AR212">
        <v>2</v>
      </c>
      <c r="AS212">
        <v>1690375836.0999999</v>
      </c>
      <c r="AT212">
        <v>362.86799999999999</v>
      </c>
      <c r="AU212">
        <v>799.97199999999998</v>
      </c>
      <c r="AV212">
        <v>27.453800000000001</v>
      </c>
      <c r="AW212">
        <v>0.17401900000000001</v>
      </c>
      <c r="AX212">
        <v>363.93099999999998</v>
      </c>
      <c r="AY212">
        <v>27.271000000000001</v>
      </c>
      <c r="AZ212">
        <v>300.15300000000002</v>
      </c>
      <c r="BA212">
        <v>98.692300000000003</v>
      </c>
      <c r="BB212">
        <v>0.100012</v>
      </c>
      <c r="BC212">
        <v>26.616099999999999</v>
      </c>
      <c r="BD212">
        <v>26.995200000000001</v>
      </c>
      <c r="BE212">
        <v>27.7941</v>
      </c>
      <c r="BF212">
        <v>0</v>
      </c>
      <c r="BG212">
        <v>0</v>
      </c>
      <c r="BH212">
        <v>9983.1200000000008</v>
      </c>
      <c r="BI212">
        <v>1085.69</v>
      </c>
      <c r="BJ212">
        <v>1.4016500000000001</v>
      </c>
      <c r="BK212">
        <v>-437.10300000000001</v>
      </c>
      <c r="BL212">
        <v>373.11200000000002</v>
      </c>
      <c r="BM212">
        <v>800.11099999999999</v>
      </c>
      <c r="BN212">
        <v>27.279800000000002</v>
      </c>
      <c r="BO212">
        <v>799.97199999999998</v>
      </c>
      <c r="BP212">
        <v>0.17401900000000001</v>
      </c>
      <c r="BQ212">
        <v>2.7094800000000001</v>
      </c>
      <c r="BR212">
        <v>1.71743E-2</v>
      </c>
      <c r="BS212">
        <v>22.342700000000001</v>
      </c>
      <c r="BT212">
        <v>-40.881999999999998</v>
      </c>
      <c r="BU212">
        <v>1800</v>
      </c>
      <c r="BV212">
        <v>0.91000599999999998</v>
      </c>
      <c r="BW212">
        <v>3.3995499999999998E-2</v>
      </c>
      <c r="BX212">
        <v>2.1999600000000001E-2</v>
      </c>
      <c r="BY212">
        <v>3.3999300000000003E-2</v>
      </c>
      <c r="BZ212">
        <v>25</v>
      </c>
      <c r="CA212">
        <v>33528.400000000001</v>
      </c>
      <c r="CB212">
        <v>1690373417</v>
      </c>
      <c r="CC212" t="s">
        <v>332</v>
      </c>
      <c r="CD212">
        <v>1690373417</v>
      </c>
      <c r="CE212">
        <v>1690373415</v>
      </c>
      <c r="CF212">
        <v>1</v>
      </c>
      <c r="CG212">
        <v>-1.319</v>
      </c>
      <c r="CH212">
        <v>0.01</v>
      </c>
      <c r="CI212">
        <v>-1.371</v>
      </c>
      <c r="CJ212">
        <v>0.183</v>
      </c>
      <c r="CK212">
        <v>800</v>
      </c>
      <c r="CL212">
        <v>21</v>
      </c>
      <c r="CM212">
        <v>0.09</v>
      </c>
      <c r="CN212">
        <v>7.0000000000000007E-2</v>
      </c>
      <c r="CO212">
        <v>-436.68178048780487</v>
      </c>
      <c r="CP212">
        <v>-2.4864459930313272</v>
      </c>
      <c r="CQ212">
        <v>0.24880872388782549</v>
      </c>
      <c r="CR212">
        <v>-1</v>
      </c>
      <c r="CS212">
        <v>27.2578</v>
      </c>
      <c r="CT212">
        <v>0.12735470383267969</v>
      </c>
      <c r="CU212">
        <v>1.2582721408692901E-2</v>
      </c>
      <c r="CV212">
        <v>-1</v>
      </c>
      <c r="CW212">
        <v>0</v>
      </c>
      <c r="CX212">
        <v>0</v>
      </c>
      <c r="CY212" t="s">
        <v>333</v>
      </c>
      <c r="CZ212">
        <v>2.3655499999999998</v>
      </c>
      <c r="DA212">
        <v>2.7137899999999999</v>
      </c>
      <c r="DB212">
        <v>8.3065200000000006E-2</v>
      </c>
      <c r="DC212">
        <v>0.14571500000000001</v>
      </c>
      <c r="DD212">
        <v>0.124958</v>
      </c>
      <c r="DE212">
        <v>1.4624200000000001E-3</v>
      </c>
      <c r="DF212">
        <v>33499.4</v>
      </c>
      <c r="DG212">
        <v>27530.1</v>
      </c>
      <c r="DH212">
        <v>31185.9</v>
      </c>
      <c r="DI212">
        <v>28078</v>
      </c>
      <c r="DJ212">
        <v>37032.6</v>
      </c>
      <c r="DK212">
        <v>39856.5</v>
      </c>
      <c r="DL212">
        <v>44378.7</v>
      </c>
      <c r="DM212">
        <v>42535</v>
      </c>
      <c r="DN212">
        <v>1.48685</v>
      </c>
      <c r="DO212">
        <v>2.0603699999999998</v>
      </c>
      <c r="DP212">
        <v>0.11070099999999999</v>
      </c>
      <c r="DQ212">
        <v>0.16403200000000001</v>
      </c>
      <c r="DR212">
        <v>25.182099999999998</v>
      </c>
      <c r="DS212">
        <v>25.109100000000002</v>
      </c>
      <c r="DT212">
        <v>30</v>
      </c>
      <c r="DU212">
        <v>25.9</v>
      </c>
      <c r="DV212">
        <v>10.1966</v>
      </c>
      <c r="DW212">
        <v>61.8001</v>
      </c>
      <c r="DX212">
        <v>37.4559</v>
      </c>
      <c r="DY212">
        <v>1</v>
      </c>
      <c r="DZ212">
        <v>-0.16657</v>
      </c>
      <c r="EA212">
        <v>-0.71898700000000004</v>
      </c>
      <c r="EB212">
        <v>20.188800000000001</v>
      </c>
      <c r="EC212">
        <v>5.2403500000000003</v>
      </c>
      <c r="ED212">
        <v>12.039899999999999</v>
      </c>
      <c r="EE212">
        <v>5.0134999999999996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1.8687499999999999</v>
      </c>
      <c r="EL212">
        <v>1.8644700000000001</v>
      </c>
      <c r="EM212">
        <v>1.8691</v>
      </c>
      <c r="EN212">
        <v>1.8670899999999999</v>
      </c>
      <c r="EO212">
        <v>1.8632500000000001</v>
      </c>
      <c r="EP212">
        <v>1.8642300000000001</v>
      </c>
      <c r="EQ212">
        <v>1.8701000000000001</v>
      </c>
      <c r="ER212">
        <v>1.8693200000000001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-1.0629999999999999</v>
      </c>
      <c r="FG212">
        <v>0.18279999999999999</v>
      </c>
      <c r="FH212">
        <v>-0.81947142863283695</v>
      </c>
      <c r="FI212">
        <v>-6.1462078757559423E-4</v>
      </c>
      <c r="FJ212">
        <v>-1.8861989874597051E-7</v>
      </c>
      <c r="FK212">
        <v>1.1980462299894961E-10</v>
      </c>
      <c r="FL212">
        <v>0.18283500000000069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40.299999999999997</v>
      </c>
      <c r="FU212">
        <v>40.4</v>
      </c>
      <c r="FV212">
        <v>1.7626999999999999</v>
      </c>
      <c r="FW212">
        <v>2.5585900000000001</v>
      </c>
      <c r="FX212">
        <v>1.5490699999999999</v>
      </c>
      <c r="FY212">
        <v>2.34375</v>
      </c>
      <c r="FZ212">
        <v>1.50024</v>
      </c>
      <c r="GA212">
        <v>2.32422</v>
      </c>
      <c r="GB212">
        <v>31.0853</v>
      </c>
      <c r="GC212">
        <v>23.991199999999999</v>
      </c>
      <c r="GD212">
        <v>19</v>
      </c>
      <c r="GE212">
        <v>283.34699999999998</v>
      </c>
      <c r="GF212">
        <v>592.37099999999998</v>
      </c>
      <c r="GG212">
        <v>25.7058</v>
      </c>
      <c r="GH212">
        <v>25.3354</v>
      </c>
      <c r="GI212">
        <v>30</v>
      </c>
      <c r="GJ212">
        <v>25.441400000000002</v>
      </c>
      <c r="GK212">
        <v>25.4087</v>
      </c>
      <c r="GL212">
        <v>35.241199999999999</v>
      </c>
      <c r="GM212">
        <v>100</v>
      </c>
      <c r="GN212">
        <v>0</v>
      </c>
      <c r="GO212">
        <v>25.709599999999998</v>
      </c>
      <c r="GP212">
        <v>800</v>
      </c>
      <c r="GQ212">
        <v>0</v>
      </c>
      <c r="GR212">
        <v>99.779200000000003</v>
      </c>
      <c r="GS212">
        <v>99.524100000000004</v>
      </c>
    </row>
    <row r="213" spans="1:201" x14ac:dyDescent="0.25">
      <c r="A213">
        <v>197</v>
      </c>
      <c r="B213">
        <v>1690375846.0999999</v>
      </c>
      <c r="C213">
        <v>2026.599999904633</v>
      </c>
      <c r="D213" t="s">
        <v>727</v>
      </c>
      <c r="E213" t="s">
        <v>728</v>
      </c>
      <c r="F213" t="s">
        <v>330</v>
      </c>
      <c r="H213">
        <v>1690375846.0999999</v>
      </c>
      <c r="I213">
        <f t="shared" si="90"/>
        <v>2.8073422709458873E-3</v>
      </c>
      <c r="J213">
        <f t="shared" si="91"/>
        <v>2.8073422709458873</v>
      </c>
      <c r="K213">
        <f t="shared" si="92"/>
        <v>42.747872644193251</v>
      </c>
      <c r="L213">
        <f t="shared" si="93"/>
        <v>362.45400000000001</v>
      </c>
      <c r="M213">
        <f t="shared" si="94"/>
        <v>98.191511130719661</v>
      </c>
      <c r="N213">
        <f t="shared" si="95"/>
        <v>9.7012909978147679</v>
      </c>
      <c r="O213">
        <f t="shared" si="96"/>
        <v>35.810343346695596</v>
      </c>
      <c r="P213">
        <f t="shared" si="97"/>
        <v>0.27812196030891823</v>
      </c>
      <c r="Q213">
        <f t="shared" si="98"/>
        <v>2.2489936426835868</v>
      </c>
      <c r="R213">
        <f t="shared" si="99"/>
        <v>0.26032975342595532</v>
      </c>
      <c r="S213">
        <f t="shared" si="100"/>
        <v>0.16420971299228948</v>
      </c>
      <c r="T213">
        <f t="shared" si="101"/>
        <v>276.11341123208217</v>
      </c>
      <c r="U213">
        <f t="shared" si="102"/>
        <v>27.770773770277625</v>
      </c>
      <c r="V213">
        <f t="shared" si="103"/>
        <v>27.770773770277625</v>
      </c>
      <c r="W213">
        <f t="shared" si="104"/>
        <v>3.7444234925846507</v>
      </c>
      <c r="X213">
        <f t="shared" si="105"/>
        <v>77.517088476569384</v>
      </c>
      <c r="Y213">
        <f t="shared" si="106"/>
        <v>2.7138101634369201</v>
      </c>
      <c r="Z213">
        <f t="shared" si="107"/>
        <v>3.500918593268898</v>
      </c>
      <c r="AA213">
        <f t="shared" si="108"/>
        <v>1.0306133291477306</v>
      </c>
      <c r="AB213">
        <f t="shared" si="109"/>
        <v>-123.80379414871362</v>
      </c>
      <c r="AC213">
        <f t="shared" si="110"/>
        <v>-139.01948442541567</v>
      </c>
      <c r="AD213">
        <f t="shared" si="111"/>
        <v>-13.366613609249013</v>
      </c>
      <c r="AE213">
        <f t="shared" si="112"/>
        <v>-7.6480951296105104E-2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52248.802706384216</v>
      </c>
      <c r="AK213">
        <f t="shared" si="116"/>
        <v>1799.99</v>
      </c>
      <c r="AL213">
        <f t="shared" si="117"/>
        <v>1499.10468499437</v>
      </c>
      <c r="AM213">
        <f t="shared" si="118"/>
        <v>0.83284056299999998</v>
      </c>
      <c r="AN213">
        <f t="shared" si="119"/>
        <v>0.15339719178</v>
      </c>
      <c r="AO213">
        <v>30</v>
      </c>
      <c r="AP213">
        <v>0.5</v>
      </c>
      <c r="AQ213" t="s">
        <v>331</v>
      </c>
      <c r="AR213">
        <v>2</v>
      </c>
      <c r="AS213">
        <v>1690375846.0999999</v>
      </c>
      <c r="AT213">
        <v>362.45400000000001</v>
      </c>
      <c r="AU213">
        <v>799.98699999999997</v>
      </c>
      <c r="AV213">
        <v>27.4678</v>
      </c>
      <c r="AW213">
        <v>0.173044</v>
      </c>
      <c r="AX213">
        <v>363.51600000000002</v>
      </c>
      <c r="AY213">
        <v>27.285</v>
      </c>
      <c r="AZ213">
        <v>300.08300000000003</v>
      </c>
      <c r="BA213">
        <v>98.699700000000007</v>
      </c>
      <c r="BB213">
        <v>9.9991399999999994E-2</v>
      </c>
      <c r="BC213">
        <v>26.624199999999998</v>
      </c>
      <c r="BD213">
        <v>27.000699999999998</v>
      </c>
      <c r="BE213">
        <v>27.8062</v>
      </c>
      <c r="BF213">
        <v>0</v>
      </c>
      <c r="BG213">
        <v>0</v>
      </c>
      <c r="BH213">
        <v>9998.75</v>
      </c>
      <c r="BI213">
        <v>1085.6300000000001</v>
      </c>
      <c r="BJ213">
        <v>1.4016500000000001</v>
      </c>
      <c r="BK213">
        <v>-437.53300000000002</v>
      </c>
      <c r="BL213">
        <v>372.69099999999997</v>
      </c>
      <c r="BM213">
        <v>800.125</v>
      </c>
      <c r="BN213">
        <v>27.294799999999999</v>
      </c>
      <c r="BO213">
        <v>799.98699999999997</v>
      </c>
      <c r="BP213">
        <v>0.173044</v>
      </c>
      <c r="BQ213">
        <v>2.7110699999999999</v>
      </c>
      <c r="BR213">
        <v>1.7079400000000002E-2</v>
      </c>
      <c r="BS213">
        <v>22.3523</v>
      </c>
      <c r="BT213">
        <v>-40.934600000000003</v>
      </c>
      <c r="BU213">
        <v>1799.99</v>
      </c>
      <c r="BV213">
        <v>0.91000800000000004</v>
      </c>
      <c r="BW213">
        <v>3.3994499999999997E-2</v>
      </c>
      <c r="BX213">
        <v>2.1998899999999998E-2</v>
      </c>
      <c r="BY213">
        <v>3.3998199999999999E-2</v>
      </c>
      <c r="BZ213">
        <v>25</v>
      </c>
      <c r="CA213">
        <v>33528.300000000003</v>
      </c>
      <c r="CB213">
        <v>1690373417</v>
      </c>
      <c r="CC213" t="s">
        <v>332</v>
      </c>
      <c r="CD213">
        <v>1690373417</v>
      </c>
      <c r="CE213">
        <v>1690373415</v>
      </c>
      <c r="CF213">
        <v>1</v>
      </c>
      <c r="CG213">
        <v>-1.319</v>
      </c>
      <c r="CH213">
        <v>0.01</v>
      </c>
      <c r="CI213">
        <v>-1.371</v>
      </c>
      <c r="CJ213">
        <v>0.183</v>
      </c>
      <c r="CK213">
        <v>800</v>
      </c>
      <c r="CL213">
        <v>21</v>
      </c>
      <c r="CM213">
        <v>0.09</v>
      </c>
      <c r="CN213">
        <v>7.0000000000000007E-2</v>
      </c>
      <c r="CO213">
        <v>-437.11189999999999</v>
      </c>
      <c r="CP213">
        <v>-2.402746716697032</v>
      </c>
      <c r="CQ213">
        <v>0.2328271676587598</v>
      </c>
      <c r="CR213">
        <v>-1</v>
      </c>
      <c r="CS213">
        <v>27.278572499999999</v>
      </c>
      <c r="CT213">
        <v>0.10207767354585411</v>
      </c>
      <c r="CU213">
        <v>9.833793456748955E-3</v>
      </c>
      <c r="CV213">
        <v>-1</v>
      </c>
      <c r="CW213">
        <v>0</v>
      </c>
      <c r="CX213">
        <v>0</v>
      </c>
      <c r="CY213" t="s">
        <v>333</v>
      </c>
      <c r="CZ213">
        <v>2.3653400000000002</v>
      </c>
      <c r="DA213">
        <v>2.7137799999999999</v>
      </c>
      <c r="DB213">
        <v>8.2997100000000004E-2</v>
      </c>
      <c r="DC213">
        <v>0.145727</v>
      </c>
      <c r="DD213">
        <v>0.12501100000000001</v>
      </c>
      <c r="DE213">
        <v>1.45443E-3</v>
      </c>
      <c r="DF213">
        <v>33501.699999999997</v>
      </c>
      <c r="DG213">
        <v>27529.599999999999</v>
      </c>
      <c r="DH213">
        <v>31185.7</v>
      </c>
      <c r="DI213">
        <v>28077.9</v>
      </c>
      <c r="DJ213">
        <v>37030</v>
      </c>
      <c r="DK213">
        <v>39856.6</v>
      </c>
      <c r="DL213">
        <v>44378.2</v>
      </c>
      <c r="DM213">
        <v>42534.7</v>
      </c>
      <c r="DN213">
        <v>1.4871000000000001</v>
      </c>
      <c r="DO213">
        <v>2.0602499999999999</v>
      </c>
      <c r="DP213">
        <v>0.11090899999999999</v>
      </c>
      <c r="DQ213">
        <v>0.164546</v>
      </c>
      <c r="DR213">
        <v>25.184200000000001</v>
      </c>
      <c r="DS213">
        <v>25.1128</v>
      </c>
      <c r="DT213">
        <v>29.9</v>
      </c>
      <c r="DU213">
        <v>25.9</v>
      </c>
      <c r="DV213">
        <v>10.1608</v>
      </c>
      <c r="DW213">
        <v>61.400100000000002</v>
      </c>
      <c r="DX213">
        <v>37.564100000000003</v>
      </c>
      <c r="DY213">
        <v>1</v>
      </c>
      <c r="DZ213">
        <v>-0.166522</v>
      </c>
      <c r="EA213">
        <v>-0.68465699999999996</v>
      </c>
      <c r="EB213">
        <v>20.188800000000001</v>
      </c>
      <c r="EC213">
        <v>5.2406499999999996</v>
      </c>
      <c r="ED213">
        <v>12.039899999999999</v>
      </c>
      <c r="EE213">
        <v>5.0134499999999997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1.8687499999999999</v>
      </c>
      <c r="EL213">
        <v>1.8644700000000001</v>
      </c>
      <c r="EM213">
        <v>1.8690800000000001</v>
      </c>
      <c r="EN213">
        <v>1.8670800000000001</v>
      </c>
      <c r="EO213">
        <v>1.8632500000000001</v>
      </c>
      <c r="EP213">
        <v>1.8642399999999999</v>
      </c>
      <c r="EQ213">
        <v>1.87009</v>
      </c>
      <c r="ER213">
        <v>1.86931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-1.0620000000000001</v>
      </c>
      <c r="FG213">
        <v>0.18279999999999999</v>
      </c>
      <c r="FH213">
        <v>-0.81947142863283695</v>
      </c>
      <c r="FI213">
        <v>-6.1462078757559423E-4</v>
      </c>
      <c r="FJ213">
        <v>-1.8861989874597051E-7</v>
      </c>
      <c r="FK213">
        <v>1.1980462299894961E-10</v>
      </c>
      <c r="FL213">
        <v>0.18283500000000069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40.5</v>
      </c>
      <c r="FU213">
        <v>40.5</v>
      </c>
      <c r="FV213">
        <v>1.7626999999999999</v>
      </c>
      <c r="FW213">
        <v>2.5598100000000001</v>
      </c>
      <c r="FX213">
        <v>1.5490699999999999</v>
      </c>
      <c r="FY213">
        <v>2.34375</v>
      </c>
      <c r="FZ213">
        <v>1.50146</v>
      </c>
      <c r="GA213">
        <v>2.3144499999999999</v>
      </c>
      <c r="GB213">
        <v>31.0853</v>
      </c>
      <c r="GC213">
        <v>23.991199999999999</v>
      </c>
      <c r="GD213">
        <v>19</v>
      </c>
      <c r="GE213">
        <v>283.45999999999998</v>
      </c>
      <c r="GF213">
        <v>592.26700000000005</v>
      </c>
      <c r="GG213">
        <v>25.7136</v>
      </c>
      <c r="GH213">
        <v>25.336300000000001</v>
      </c>
      <c r="GI213">
        <v>30.0001</v>
      </c>
      <c r="GJ213">
        <v>25.443000000000001</v>
      </c>
      <c r="GK213">
        <v>25.4087</v>
      </c>
      <c r="GL213">
        <v>35.243400000000001</v>
      </c>
      <c r="GM213">
        <v>100</v>
      </c>
      <c r="GN213">
        <v>0</v>
      </c>
      <c r="GO213">
        <v>25.7117</v>
      </c>
      <c r="GP213">
        <v>800</v>
      </c>
      <c r="GQ213">
        <v>0</v>
      </c>
      <c r="GR213">
        <v>99.778400000000005</v>
      </c>
      <c r="GS213">
        <v>99.523600000000002</v>
      </c>
    </row>
    <row r="214" spans="1:201" x14ac:dyDescent="0.25">
      <c r="A214">
        <v>198</v>
      </c>
      <c r="B214">
        <v>1690375856.0999999</v>
      </c>
      <c r="C214">
        <v>2036.599999904633</v>
      </c>
      <c r="D214" t="s">
        <v>729</v>
      </c>
      <c r="E214" t="s">
        <v>730</v>
      </c>
      <c r="F214" t="s">
        <v>330</v>
      </c>
      <c r="H214">
        <v>1690375856.0999999</v>
      </c>
      <c r="I214">
        <f t="shared" si="90"/>
        <v>2.8101032674456676E-3</v>
      </c>
      <c r="J214">
        <f t="shared" si="91"/>
        <v>2.8101032674456676</v>
      </c>
      <c r="K214">
        <f t="shared" si="92"/>
        <v>42.809750304504959</v>
      </c>
      <c r="L214">
        <f t="shared" si="93"/>
        <v>362.05500000000001</v>
      </c>
      <c r="M214">
        <f t="shared" si="94"/>
        <v>97.962366794338962</v>
      </c>
      <c r="N214">
        <f t="shared" si="95"/>
        <v>9.6780229639941044</v>
      </c>
      <c r="O214">
        <f t="shared" si="96"/>
        <v>35.768598890481002</v>
      </c>
      <c r="P214">
        <f t="shared" si="97"/>
        <v>0.27871455373605919</v>
      </c>
      <c r="Q214">
        <f t="shared" si="98"/>
        <v>2.2510790257545463</v>
      </c>
      <c r="R214">
        <f t="shared" si="99"/>
        <v>0.2608644720664936</v>
      </c>
      <c r="S214">
        <f t="shared" si="100"/>
        <v>0.16454869615169829</v>
      </c>
      <c r="T214">
        <f t="shared" si="101"/>
        <v>276.11494408800002</v>
      </c>
      <c r="U214">
        <f t="shared" si="102"/>
        <v>27.770598204550144</v>
      </c>
      <c r="V214">
        <f t="shared" si="103"/>
        <v>27.770598204550144</v>
      </c>
      <c r="W214">
        <f t="shared" si="104"/>
        <v>3.7443851036296807</v>
      </c>
      <c r="X214">
        <f t="shared" si="105"/>
        <v>77.541820930363656</v>
      </c>
      <c r="Y214">
        <f t="shared" si="106"/>
        <v>2.7149478476176201</v>
      </c>
      <c r="Z214">
        <f t="shared" si="107"/>
        <v>3.5012691410171755</v>
      </c>
      <c r="AA214">
        <f t="shared" si="108"/>
        <v>1.0294372560120606</v>
      </c>
      <c r="AB214">
        <f t="shared" si="109"/>
        <v>-123.92555409435394</v>
      </c>
      <c r="AC214">
        <f t="shared" si="110"/>
        <v>-138.92077149193329</v>
      </c>
      <c r="AD214">
        <f t="shared" si="111"/>
        <v>-13.344849988544961</v>
      </c>
      <c r="AE214">
        <f t="shared" si="112"/>
        <v>-7.623148683219938E-2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52329.545619132441</v>
      </c>
      <c r="AK214">
        <f t="shared" si="116"/>
        <v>1800</v>
      </c>
      <c r="AL214">
        <f t="shared" si="117"/>
        <v>1499.1139998000001</v>
      </c>
      <c r="AM214">
        <f t="shared" si="118"/>
        <v>0.83284111100000002</v>
      </c>
      <c r="AN214">
        <f t="shared" si="119"/>
        <v>0.15339719116</v>
      </c>
      <c r="AO214">
        <v>30</v>
      </c>
      <c r="AP214">
        <v>0.5</v>
      </c>
      <c r="AQ214" t="s">
        <v>331</v>
      </c>
      <c r="AR214">
        <v>2</v>
      </c>
      <c r="AS214">
        <v>1690375856.0999999</v>
      </c>
      <c r="AT214">
        <v>362.05500000000001</v>
      </c>
      <c r="AU214">
        <v>800.00400000000002</v>
      </c>
      <c r="AV214">
        <v>27.481100000000001</v>
      </c>
      <c r="AW214">
        <v>0.172432</v>
      </c>
      <c r="AX214">
        <v>363.11700000000002</v>
      </c>
      <c r="AY214">
        <v>27.298300000000001</v>
      </c>
      <c r="AZ214">
        <v>300.221</v>
      </c>
      <c r="BA214">
        <v>98.693299999999994</v>
      </c>
      <c r="BB214">
        <v>9.9974199999999999E-2</v>
      </c>
      <c r="BC214">
        <v>26.625900000000001</v>
      </c>
      <c r="BD214">
        <v>27.020299999999999</v>
      </c>
      <c r="BE214">
        <v>27.808599999999998</v>
      </c>
      <c r="BF214">
        <v>0</v>
      </c>
      <c r="BG214">
        <v>0</v>
      </c>
      <c r="BH214">
        <v>10015.6</v>
      </c>
      <c r="BI214">
        <v>1085.6199999999999</v>
      </c>
      <c r="BJ214">
        <v>1.4016500000000001</v>
      </c>
      <c r="BK214">
        <v>-437.94900000000001</v>
      </c>
      <c r="BL214">
        <v>372.286</v>
      </c>
      <c r="BM214">
        <v>800.14200000000005</v>
      </c>
      <c r="BN214">
        <v>27.308700000000002</v>
      </c>
      <c r="BO214">
        <v>800.00400000000002</v>
      </c>
      <c r="BP214">
        <v>0.172432</v>
      </c>
      <c r="BQ214">
        <v>2.7122099999999998</v>
      </c>
      <c r="BR214">
        <v>1.7017899999999999E-2</v>
      </c>
      <c r="BS214">
        <v>22.359300000000001</v>
      </c>
      <c r="BT214">
        <v>-40.968800000000002</v>
      </c>
      <c r="BU214">
        <v>1800</v>
      </c>
      <c r="BV214">
        <v>0.91001100000000001</v>
      </c>
      <c r="BW214">
        <v>3.3993500000000003E-2</v>
      </c>
      <c r="BX214">
        <v>2.1998299999999998E-2</v>
      </c>
      <c r="BY214">
        <v>3.3997199999999998E-2</v>
      </c>
      <c r="BZ214">
        <v>25</v>
      </c>
      <c r="CA214">
        <v>33528.5</v>
      </c>
      <c r="CB214">
        <v>1690373417</v>
      </c>
      <c r="CC214" t="s">
        <v>332</v>
      </c>
      <c r="CD214">
        <v>1690373417</v>
      </c>
      <c r="CE214">
        <v>1690373415</v>
      </c>
      <c r="CF214">
        <v>1</v>
      </c>
      <c r="CG214">
        <v>-1.319</v>
      </c>
      <c r="CH214">
        <v>0.01</v>
      </c>
      <c r="CI214">
        <v>-1.371</v>
      </c>
      <c r="CJ214">
        <v>0.183</v>
      </c>
      <c r="CK214">
        <v>800</v>
      </c>
      <c r="CL214">
        <v>21</v>
      </c>
      <c r="CM214">
        <v>0.09</v>
      </c>
      <c r="CN214">
        <v>7.0000000000000007E-2</v>
      </c>
      <c r="CO214">
        <v>-437.48821951219509</v>
      </c>
      <c r="CP214">
        <v>-2.5668292682927012</v>
      </c>
      <c r="CQ214">
        <v>0.25422330420274231</v>
      </c>
      <c r="CR214">
        <v>-1</v>
      </c>
      <c r="CS214">
        <v>27.292097560975609</v>
      </c>
      <c r="CT214">
        <v>7.8321951219534183E-2</v>
      </c>
      <c r="CU214">
        <v>7.7929764439552216E-3</v>
      </c>
      <c r="CV214">
        <v>-1</v>
      </c>
      <c r="CW214">
        <v>0</v>
      </c>
      <c r="CX214">
        <v>0</v>
      </c>
      <c r="CY214" t="s">
        <v>333</v>
      </c>
      <c r="CZ214">
        <v>2.3657599999999999</v>
      </c>
      <c r="DA214">
        <v>2.7137799999999999</v>
      </c>
      <c r="DB214">
        <v>8.2920800000000003E-2</v>
      </c>
      <c r="DC214">
        <v>0.14571999999999999</v>
      </c>
      <c r="DD214">
        <v>0.12504599999999999</v>
      </c>
      <c r="DE214">
        <v>1.4492400000000001E-3</v>
      </c>
      <c r="DF214">
        <v>33504.9</v>
      </c>
      <c r="DG214">
        <v>27530.7</v>
      </c>
      <c r="DH214">
        <v>31186.2</v>
      </c>
      <c r="DI214">
        <v>28078.7</v>
      </c>
      <c r="DJ214">
        <v>37028.9</v>
      </c>
      <c r="DK214">
        <v>39858.1</v>
      </c>
      <c r="DL214">
        <v>44378.7</v>
      </c>
      <c r="DM214">
        <v>42536</v>
      </c>
      <c r="DN214">
        <v>1.48715</v>
      </c>
      <c r="DO214">
        <v>2.0600800000000001</v>
      </c>
      <c r="DP214">
        <v>0.112109</v>
      </c>
      <c r="DQ214">
        <v>0.164434</v>
      </c>
      <c r="DR214">
        <v>25.184200000000001</v>
      </c>
      <c r="DS214">
        <v>25.117100000000001</v>
      </c>
      <c r="DT214">
        <v>29.9</v>
      </c>
      <c r="DU214">
        <v>26</v>
      </c>
      <c r="DV214">
        <v>10.224</v>
      </c>
      <c r="DW214">
        <v>61.450099999999999</v>
      </c>
      <c r="DX214">
        <v>37.303699999999999</v>
      </c>
      <c r="DY214">
        <v>1</v>
      </c>
      <c r="DZ214">
        <v>-0.16650699999999999</v>
      </c>
      <c r="EA214">
        <v>-0.60461900000000002</v>
      </c>
      <c r="EB214">
        <v>20.1892</v>
      </c>
      <c r="EC214">
        <v>5.2404999999999999</v>
      </c>
      <c r="ED214">
        <v>12.039899999999999</v>
      </c>
      <c r="EE214">
        <v>5.0133999999999999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1.8687499999999999</v>
      </c>
      <c r="EL214">
        <v>1.8644700000000001</v>
      </c>
      <c r="EM214">
        <v>1.86913</v>
      </c>
      <c r="EN214">
        <v>1.8670800000000001</v>
      </c>
      <c r="EO214">
        <v>1.8632500000000001</v>
      </c>
      <c r="EP214">
        <v>1.86426</v>
      </c>
      <c r="EQ214">
        <v>1.8701099999999999</v>
      </c>
      <c r="ER214">
        <v>1.8693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-1.0620000000000001</v>
      </c>
      <c r="FG214">
        <v>0.18279999999999999</v>
      </c>
      <c r="FH214">
        <v>-0.81947142863283695</v>
      </c>
      <c r="FI214">
        <v>-6.1462078757559423E-4</v>
      </c>
      <c r="FJ214">
        <v>-1.8861989874597051E-7</v>
      </c>
      <c r="FK214">
        <v>1.1980462299894961E-10</v>
      </c>
      <c r="FL214">
        <v>0.18283500000000069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40.700000000000003</v>
      </c>
      <c r="FU214">
        <v>40.700000000000003</v>
      </c>
      <c r="FV214">
        <v>1.7626999999999999</v>
      </c>
      <c r="FW214">
        <v>2.5610400000000002</v>
      </c>
      <c r="FX214">
        <v>1.5490699999999999</v>
      </c>
      <c r="FY214">
        <v>2.34375</v>
      </c>
      <c r="FZ214">
        <v>1.50146</v>
      </c>
      <c r="GA214">
        <v>2.2924799999999999</v>
      </c>
      <c r="GB214">
        <v>31.106999999999999</v>
      </c>
      <c r="GC214">
        <v>23.991199999999999</v>
      </c>
      <c r="GD214">
        <v>19</v>
      </c>
      <c r="GE214">
        <v>283.48099999999999</v>
      </c>
      <c r="GF214">
        <v>592.13400000000001</v>
      </c>
      <c r="GG214">
        <v>25.7</v>
      </c>
      <c r="GH214">
        <v>25.336300000000001</v>
      </c>
      <c r="GI214">
        <v>30</v>
      </c>
      <c r="GJ214">
        <v>25.443000000000001</v>
      </c>
      <c r="GK214">
        <v>25.409800000000001</v>
      </c>
      <c r="GL214">
        <v>35.241100000000003</v>
      </c>
      <c r="GM214">
        <v>100</v>
      </c>
      <c r="GN214">
        <v>0</v>
      </c>
      <c r="GO214">
        <v>25.675899999999999</v>
      </c>
      <c r="GP214">
        <v>800</v>
      </c>
      <c r="GQ214">
        <v>0</v>
      </c>
      <c r="GR214">
        <v>99.779600000000002</v>
      </c>
      <c r="GS214">
        <v>99.526600000000002</v>
      </c>
    </row>
    <row r="215" spans="1:201" x14ac:dyDescent="0.25">
      <c r="A215">
        <v>199</v>
      </c>
      <c r="B215">
        <v>1690375866.0999999</v>
      </c>
      <c r="C215">
        <v>2046.599999904633</v>
      </c>
      <c r="D215" t="s">
        <v>731</v>
      </c>
      <c r="E215" t="s">
        <v>732</v>
      </c>
      <c r="F215" t="s">
        <v>330</v>
      </c>
      <c r="H215">
        <v>1690375866.0999999</v>
      </c>
      <c r="I215">
        <f t="shared" si="90"/>
        <v>2.8112315907845597E-3</v>
      </c>
      <c r="J215">
        <f t="shared" si="91"/>
        <v>2.8112315907845598</v>
      </c>
      <c r="K215">
        <f t="shared" si="92"/>
        <v>42.84002742633723</v>
      </c>
      <c r="L215">
        <f t="shared" si="93"/>
        <v>361.59899999999999</v>
      </c>
      <c r="M215">
        <f t="shared" si="94"/>
        <v>98.051422462041586</v>
      </c>
      <c r="N215">
        <f t="shared" si="95"/>
        <v>9.6868975745174613</v>
      </c>
      <c r="O215">
        <f t="shared" si="96"/>
        <v>35.723831313145503</v>
      </c>
      <c r="P215">
        <f t="shared" si="97"/>
        <v>0.27957052978758018</v>
      </c>
      <c r="Q215">
        <f t="shared" si="98"/>
        <v>2.2453743382892291</v>
      </c>
      <c r="R215">
        <f t="shared" si="99"/>
        <v>0.26157195743613443</v>
      </c>
      <c r="S215">
        <f t="shared" si="100"/>
        <v>0.1650029179807026</v>
      </c>
      <c r="T215">
        <f t="shared" si="101"/>
        <v>276.11474687999998</v>
      </c>
      <c r="U215">
        <f t="shared" si="102"/>
        <v>27.768480122053795</v>
      </c>
      <c r="V215">
        <f t="shared" si="103"/>
        <v>27.768480122053795</v>
      </c>
      <c r="W215">
        <f t="shared" si="104"/>
        <v>3.7439219937536303</v>
      </c>
      <c r="X215">
        <f t="shared" si="105"/>
        <v>77.616438874463483</v>
      </c>
      <c r="Y215">
        <f t="shared" si="106"/>
        <v>2.7168562575608997</v>
      </c>
      <c r="Z215">
        <f t="shared" si="107"/>
        <v>3.500361903945544</v>
      </c>
      <c r="AA215">
        <f t="shared" si="108"/>
        <v>1.0270657361927307</v>
      </c>
      <c r="AB215">
        <f t="shared" si="109"/>
        <v>-123.97531315359909</v>
      </c>
      <c r="AC215">
        <f t="shared" si="110"/>
        <v>-138.84495038325389</v>
      </c>
      <c r="AD215">
        <f t="shared" si="111"/>
        <v>-13.371017206109018</v>
      </c>
      <c r="AE215">
        <f t="shared" si="112"/>
        <v>-7.6533862961980503E-2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52108.427270057269</v>
      </c>
      <c r="AK215">
        <f t="shared" si="116"/>
        <v>1800</v>
      </c>
      <c r="AL215">
        <f t="shared" si="117"/>
        <v>1499.1141510000002</v>
      </c>
      <c r="AM215">
        <f t="shared" si="118"/>
        <v>0.83284119500000009</v>
      </c>
      <c r="AN215">
        <f t="shared" si="119"/>
        <v>0.15339708159999998</v>
      </c>
      <c r="AO215">
        <v>30</v>
      </c>
      <c r="AP215">
        <v>0.5</v>
      </c>
      <c r="AQ215" t="s">
        <v>331</v>
      </c>
      <c r="AR215">
        <v>2</v>
      </c>
      <c r="AS215">
        <v>1690375866.0999999</v>
      </c>
      <c r="AT215">
        <v>361.59899999999999</v>
      </c>
      <c r="AU215">
        <v>799.98199999999997</v>
      </c>
      <c r="AV215">
        <v>27.5002</v>
      </c>
      <c r="AW215">
        <v>0.17236499999999999</v>
      </c>
      <c r="AX215">
        <v>362.661</v>
      </c>
      <c r="AY215">
        <v>27.317399999999999</v>
      </c>
      <c r="AZ215">
        <v>300.125</v>
      </c>
      <c r="BA215">
        <v>98.694100000000006</v>
      </c>
      <c r="BB215">
        <v>9.9954500000000002E-2</v>
      </c>
      <c r="BC215">
        <v>26.621500000000001</v>
      </c>
      <c r="BD215">
        <v>27.014800000000001</v>
      </c>
      <c r="BE215">
        <v>27.799700000000001</v>
      </c>
      <c r="BF215">
        <v>0</v>
      </c>
      <c r="BG215">
        <v>0</v>
      </c>
      <c r="BH215">
        <v>9971.25</v>
      </c>
      <c r="BI215">
        <v>1085.3900000000001</v>
      </c>
      <c r="BJ215">
        <v>1.4016500000000001</v>
      </c>
      <c r="BK215">
        <v>-438.38299999999998</v>
      </c>
      <c r="BL215">
        <v>371.82499999999999</v>
      </c>
      <c r="BM215">
        <v>800.12</v>
      </c>
      <c r="BN215">
        <v>27.3279</v>
      </c>
      <c r="BO215">
        <v>799.98199999999997</v>
      </c>
      <c r="BP215">
        <v>0.17236499999999999</v>
      </c>
      <c r="BQ215">
        <v>2.7141099999999998</v>
      </c>
      <c r="BR215">
        <v>1.7011399999999999E-2</v>
      </c>
      <c r="BS215">
        <v>22.370799999999999</v>
      </c>
      <c r="BT215">
        <v>-40.9724</v>
      </c>
      <c r="BU215">
        <v>1800</v>
      </c>
      <c r="BV215">
        <v>0.91001399999999999</v>
      </c>
      <c r="BW215">
        <v>3.3992300000000003E-2</v>
      </c>
      <c r="BX215">
        <v>2.19975E-2</v>
      </c>
      <c r="BY215">
        <v>3.3995999999999998E-2</v>
      </c>
      <c r="BZ215">
        <v>25</v>
      </c>
      <c r="CA215">
        <v>33528.5</v>
      </c>
      <c r="CB215">
        <v>1690373417</v>
      </c>
      <c r="CC215" t="s">
        <v>332</v>
      </c>
      <c r="CD215">
        <v>1690373417</v>
      </c>
      <c r="CE215">
        <v>1690373415</v>
      </c>
      <c r="CF215">
        <v>1</v>
      </c>
      <c r="CG215">
        <v>-1.319</v>
      </c>
      <c r="CH215">
        <v>0.01</v>
      </c>
      <c r="CI215">
        <v>-1.371</v>
      </c>
      <c r="CJ215">
        <v>0.183</v>
      </c>
      <c r="CK215">
        <v>800</v>
      </c>
      <c r="CL215">
        <v>21</v>
      </c>
      <c r="CM215">
        <v>0.09</v>
      </c>
      <c r="CN215">
        <v>7.0000000000000007E-2</v>
      </c>
      <c r="CO215">
        <v>-437.91865000000001</v>
      </c>
      <c r="CP215">
        <v>-2.2119849906185869</v>
      </c>
      <c r="CQ215">
        <v>0.2148423317225911</v>
      </c>
      <c r="CR215">
        <v>-1</v>
      </c>
      <c r="CS215">
        <v>27.30730999999999</v>
      </c>
      <c r="CT215">
        <v>9.6911819887439396E-2</v>
      </c>
      <c r="CU215">
        <v>9.3879390709565788E-3</v>
      </c>
      <c r="CV215">
        <v>-1</v>
      </c>
      <c r="CW215">
        <v>0</v>
      </c>
      <c r="CX215">
        <v>0</v>
      </c>
      <c r="CY215" t="s">
        <v>333</v>
      </c>
      <c r="CZ215">
        <v>2.3654600000000001</v>
      </c>
      <c r="DA215">
        <v>2.7137199999999999</v>
      </c>
      <c r="DB215">
        <v>8.2839999999999997E-2</v>
      </c>
      <c r="DC215">
        <v>0.14571799999999999</v>
      </c>
      <c r="DD215">
        <v>0.12510599999999999</v>
      </c>
      <c r="DE215">
        <v>1.4486900000000001E-3</v>
      </c>
      <c r="DF215">
        <v>33507.300000000003</v>
      </c>
      <c r="DG215">
        <v>27530.799999999999</v>
      </c>
      <c r="DH215">
        <v>31185.599999999999</v>
      </c>
      <c r="DI215">
        <v>28078.7</v>
      </c>
      <c r="DJ215">
        <v>37025.9</v>
      </c>
      <c r="DK215">
        <v>39858.300000000003</v>
      </c>
      <c r="DL215">
        <v>44378.2</v>
      </c>
      <c r="DM215">
        <v>42536.2</v>
      </c>
      <c r="DN215">
        <v>1.4865999999999999</v>
      </c>
      <c r="DO215">
        <v>2.0602299999999998</v>
      </c>
      <c r="DP215">
        <v>0.11160200000000001</v>
      </c>
      <c r="DQ215">
        <v>0.16367399999999999</v>
      </c>
      <c r="DR215">
        <v>25.187000000000001</v>
      </c>
      <c r="DS215">
        <v>25.1206</v>
      </c>
      <c r="DT215">
        <v>29.8</v>
      </c>
      <c r="DU215">
        <v>26</v>
      </c>
      <c r="DV215">
        <v>10.1873</v>
      </c>
      <c r="DW215">
        <v>61.9801</v>
      </c>
      <c r="DX215">
        <v>37.3598</v>
      </c>
      <c r="DY215">
        <v>1</v>
      </c>
      <c r="DZ215">
        <v>-0.16634399999999999</v>
      </c>
      <c r="EA215">
        <v>-0.57987200000000005</v>
      </c>
      <c r="EB215">
        <v>20.1892</v>
      </c>
      <c r="EC215">
        <v>5.2404999999999999</v>
      </c>
      <c r="ED215">
        <v>12.039899999999999</v>
      </c>
      <c r="EE215">
        <v>5.0133000000000001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1.8687499999999999</v>
      </c>
      <c r="EL215">
        <v>1.8644700000000001</v>
      </c>
      <c r="EM215">
        <v>1.86911</v>
      </c>
      <c r="EN215">
        <v>1.8670800000000001</v>
      </c>
      <c r="EO215">
        <v>1.8632500000000001</v>
      </c>
      <c r="EP215">
        <v>1.8642700000000001</v>
      </c>
      <c r="EQ215">
        <v>1.8701000000000001</v>
      </c>
      <c r="ER215">
        <v>1.86931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-1.0620000000000001</v>
      </c>
      <c r="FG215">
        <v>0.18279999999999999</v>
      </c>
      <c r="FH215">
        <v>-0.81947142863283695</v>
      </c>
      <c r="FI215">
        <v>-6.1462078757559423E-4</v>
      </c>
      <c r="FJ215">
        <v>-1.8861989874597051E-7</v>
      </c>
      <c r="FK215">
        <v>1.1980462299894961E-10</v>
      </c>
      <c r="FL215">
        <v>0.18283500000000069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40.799999999999997</v>
      </c>
      <c r="FU215">
        <v>40.9</v>
      </c>
      <c r="FV215">
        <v>1.7626999999999999</v>
      </c>
      <c r="FW215">
        <v>2.5610400000000002</v>
      </c>
      <c r="FX215">
        <v>1.5490699999999999</v>
      </c>
      <c r="FY215">
        <v>2.34375</v>
      </c>
      <c r="FZ215">
        <v>1.50146</v>
      </c>
      <c r="GA215">
        <v>2.3083499999999999</v>
      </c>
      <c r="GB215">
        <v>31.106999999999999</v>
      </c>
      <c r="GC215">
        <v>23.991199999999999</v>
      </c>
      <c r="GD215">
        <v>19</v>
      </c>
      <c r="GE215">
        <v>283.25400000000002</v>
      </c>
      <c r="GF215">
        <v>592.27099999999996</v>
      </c>
      <c r="GG215">
        <v>25.6645</v>
      </c>
      <c r="GH215">
        <v>25.3384</v>
      </c>
      <c r="GI215">
        <v>30.0001</v>
      </c>
      <c r="GJ215">
        <v>25.444199999999999</v>
      </c>
      <c r="GK215">
        <v>25.410799999999998</v>
      </c>
      <c r="GL215">
        <v>35.242699999999999</v>
      </c>
      <c r="GM215">
        <v>100</v>
      </c>
      <c r="GN215">
        <v>0</v>
      </c>
      <c r="GO215">
        <v>25.651499999999999</v>
      </c>
      <c r="GP215">
        <v>800</v>
      </c>
      <c r="GQ215">
        <v>0</v>
      </c>
      <c r="GR215">
        <v>99.778199999999998</v>
      </c>
      <c r="GS215">
        <v>99.527000000000001</v>
      </c>
    </row>
    <row r="216" spans="1:201" x14ac:dyDescent="0.25">
      <c r="A216">
        <v>200</v>
      </c>
      <c r="B216">
        <v>1690375876.0999999</v>
      </c>
      <c r="C216">
        <v>2056.599999904633</v>
      </c>
      <c r="D216" t="s">
        <v>733</v>
      </c>
      <c r="E216" t="s">
        <v>734</v>
      </c>
      <c r="F216" t="s">
        <v>330</v>
      </c>
      <c r="H216">
        <v>1690375876.0999999</v>
      </c>
      <c r="I216">
        <f t="shared" si="90"/>
        <v>2.8145662321833989E-3</v>
      </c>
      <c r="J216">
        <f t="shared" si="91"/>
        <v>2.8145662321833989</v>
      </c>
      <c r="K216">
        <f t="shared" si="92"/>
        <v>42.876905396243735</v>
      </c>
      <c r="L216">
        <f t="shared" si="93"/>
        <v>361.29599999999999</v>
      </c>
      <c r="M216">
        <f t="shared" si="94"/>
        <v>98.779067899076765</v>
      </c>
      <c r="N216">
        <f t="shared" si="95"/>
        <v>9.7582941102631242</v>
      </c>
      <c r="O216">
        <f t="shared" si="96"/>
        <v>35.6921026270848</v>
      </c>
      <c r="P216">
        <f t="shared" si="97"/>
        <v>0.28096741459271668</v>
      </c>
      <c r="Q216">
        <f t="shared" si="98"/>
        <v>2.2490163174385556</v>
      </c>
      <c r="R216">
        <f t="shared" si="99"/>
        <v>0.26282219137832674</v>
      </c>
      <c r="S216">
        <f t="shared" si="100"/>
        <v>0.16579639615283992</v>
      </c>
      <c r="T216">
        <f t="shared" si="101"/>
        <v>276.11329747271424</v>
      </c>
      <c r="U216">
        <f t="shared" si="102"/>
        <v>27.761770764053139</v>
      </c>
      <c r="V216">
        <f t="shared" si="103"/>
        <v>27.761770764053139</v>
      </c>
      <c r="W216">
        <f t="shared" si="104"/>
        <v>3.7424553505814178</v>
      </c>
      <c r="X216">
        <f t="shared" si="105"/>
        <v>77.698964448494266</v>
      </c>
      <c r="Y216">
        <f t="shared" si="106"/>
        <v>2.7191202746755998</v>
      </c>
      <c r="Z216">
        <f t="shared" si="107"/>
        <v>3.4995579335913449</v>
      </c>
      <c r="AA216">
        <f t="shared" si="108"/>
        <v>1.023335075905818</v>
      </c>
      <c r="AB216">
        <f t="shared" si="109"/>
        <v>-124.1223708392879</v>
      </c>
      <c r="AC216">
        <f t="shared" si="110"/>
        <v>-138.72952402053949</v>
      </c>
      <c r="AD216">
        <f t="shared" si="111"/>
        <v>-13.337559562409398</v>
      </c>
      <c r="AE216">
        <f t="shared" si="112"/>
        <v>-7.6156949522555806E-2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52250.606673280585</v>
      </c>
      <c r="AK216">
        <f t="shared" si="116"/>
        <v>1799.99</v>
      </c>
      <c r="AL216">
        <f t="shared" si="117"/>
        <v>1499.1072049803699</v>
      </c>
      <c r="AM216">
        <f t="shared" si="118"/>
        <v>0.83284196299999991</v>
      </c>
      <c r="AN216">
        <f t="shared" si="119"/>
        <v>0.15339712858000001</v>
      </c>
      <c r="AO216">
        <v>30</v>
      </c>
      <c r="AP216">
        <v>0.5</v>
      </c>
      <c r="AQ216" t="s">
        <v>331</v>
      </c>
      <c r="AR216">
        <v>2</v>
      </c>
      <c r="AS216">
        <v>1690375876.0999999</v>
      </c>
      <c r="AT216">
        <v>361.29599999999999</v>
      </c>
      <c r="AU216">
        <v>799.94299999999998</v>
      </c>
      <c r="AV216">
        <v>27.5245</v>
      </c>
      <c r="AW216">
        <v>0.171677</v>
      </c>
      <c r="AX216">
        <v>362.35700000000003</v>
      </c>
      <c r="AY216">
        <v>27.341699999999999</v>
      </c>
      <c r="AZ216">
        <v>300.19900000000001</v>
      </c>
      <c r="BA216">
        <v>98.689099999999996</v>
      </c>
      <c r="BB216">
        <v>9.9988800000000003E-2</v>
      </c>
      <c r="BC216">
        <v>26.617599999999999</v>
      </c>
      <c r="BD216">
        <v>26.995799999999999</v>
      </c>
      <c r="BE216">
        <v>27.788</v>
      </c>
      <c r="BF216">
        <v>0</v>
      </c>
      <c r="BG216">
        <v>0</v>
      </c>
      <c r="BH216">
        <v>10000</v>
      </c>
      <c r="BI216">
        <v>1085.2</v>
      </c>
      <c r="BJ216">
        <v>1.4016500000000001</v>
      </c>
      <c r="BK216">
        <v>-438.64699999999999</v>
      </c>
      <c r="BL216">
        <v>371.52199999999999</v>
      </c>
      <c r="BM216">
        <v>800.08</v>
      </c>
      <c r="BN216">
        <v>27.352799999999998</v>
      </c>
      <c r="BO216">
        <v>799.94299999999998</v>
      </c>
      <c r="BP216">
        <v>0.171677</v>
      </c>
      <c r="BQ216">
        <v>2.71637</v>
      </c>
      <c r="BR216">
        <v>1.6942700000000002E-2</v>
      </c>
      <c r="BS216">
        <v>22.384499999999999</v>
      </c>
      <c r="BT216">
        <v>-41.010800000000003</v>
      </c>
      <c r="BU216">
        <v>1799.99</v>
      </c>
      <c r="BV216">
        <v>0.91001699999999996</v>
      </c>
      <c r="BW216">
        <v>3.3991399999999998E-2</v>
      </c>
      <c r="BX216">
        <v>2.19969E-2</v>
      </c>
      <c r="BY216">
        <v>3.3995200000000003E-2</v>
      </c>
      <c r="BZ216">
        <v>25</v>
      </c>
      <c r="CA216">
        <v>33528.400000000001</v>
      </c>
      <c r="CB216">
        <v>1690373417</v>
      </c>
      <c r="CC216" t="s">
        <v>332</v>
      </c>
      <c r="CD216">
        <v>1690373417</v>
      </c>
      <c r="CE216">
        <v>1690373415</v>
      </c>
      <c r="CF216">
        <v>1</v>
      </c>
      <c r="CG216">
        <v>-1.319</v>
      </c>
      <c r="CH216">
        <v>0.01</v>
      </c>
      <c r="CI216">
        <v>-1.371</v>
      </c>
      <c r="CJ216">
        <v>0.183</v>
      </c>
      <c r="CK216">
        <v>800</v>
      </c>
      <c r="CL216">
        <v>21</v>
      </c>
      <c r="CM216">
        <v>0.09</v>
      </c>
      <c r="CN216">
        <v>7.0000000000000007E-2</v>
      </c>
      <c r="CO216">
        <v>-438.28831707317067</v>
      </c>
      <c r="CP216">
        <v>-2.4479790940773949</v>
      </c>
      <c r="CQ216">
        <v>0.24466078448456979</v>
      </c>
      <c r="CR216">
        <v>-1</v>
      </c>
      <c r="CS216">
        <v>27.326029268292679</v>
      </c>
      <c r="CT216">
        <v>0.1424445993030839</v>
      </c>
      <c r="CU216">
        <v>1.4163561008454549E-2</v>
      </c>
      <c r="CV216">
        <v>-1</v>
      </c>
      <c r="CW216">
        <v>0</v>
      </c>
      <c r="CX216">
        <v>0</v>
      </c>
      <c r="CY216" t="s">
        <v>333</v>
      </c>
      <c r="CZ216">
        <v>2.3656999999999999</v>
      </c>
      <c r="DA216">
        <v>2.7137799999999999</v>
      </c>
      <c r="DB216">
        <v>8.27817E-2</v>
      </c>
      <c r="DC216">
        <v>0.145706</v>
      </c>
      <c r="DD216">
        <v>0.12517700000000001</v>
      </c>
      <c r="DE216">
        <v>1.4429E-3</v>
      </c>
      <c r="DF216">
        <v>33509.5</v>
      </c>
      <c r="DG216">
        <v>27530.799999999999</v>
      </c>
      <c r="DH216">
        <v>31185.7</v>
      </c>
      <c r="DI216">
        <v>28078.3</v>
      </c>
      <c r="DJ216">
        <v>37022.699999999997</v>
      </c>
      <c r="DK216">
        <v>39857.800000000003</v>
      </c>
      <c r="DL216">
        <v>44378.1</v>
      </c>
      <c r="DM216">
        <v>42535.5</v>
      </c>
      <c r="DN216">
        <v>1.4868699999999999</v>
      </c>
      <c r="DO216">
        <v>2.0599799999999999</v>
      </c>
      <c r="DP216">
        <v>0.110351</v>
      </c>
      <c r="DQ216">
        <v>0.162825</v>
      </c>
      <c r="DR216">
        <v>25.188500000000001</v>
      </c>
      <c r="DS216">
        <v>25.122800000000002</v>
      </c>
      <c r="DT216">
        <v>29.8</v>
      </c>
      <c r="DU216">
        <v>26</v>
      </c>
      <c r="DV216">
        <v>10.188700000000001</v>
      </c>
      <c r="DW216">
        <v>61.850099999999998</v>
      </c>
      <c r="DX216">
        <v>37.179499999999997</v>
      </c>
      <c r="DY216">
        <v>1</v>
      </c>
      <c r="DZ216">
        <v>-0.16625799999999999</v>
      </c>
      <c r="EA216">
        <v>-0.63710199999999995</v>
      </c>
      <c r="EB216">
        <v>20.188800000000001</v>
      </c>
      <c r="EC216">
        <v>5.2404999999999999</v>
      </c>
      <c r="ED216">
        <v>12.039899999999999</v>
      </c>
      <c r="EE216">
        <v>5.0132000000000003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1.86877</v>
      </c>
      <c r="EL216">
        <v>1.8644499999999999</v>
      </c>
      <c r="EM216">
        <v>1.8690899999999999</v>
      </c>
      <c r="EN216">
        <v>1.8671</v>
      </c>
      <c r="EO216">
        <v>1.8632500000000001</v>
      </c>
      <c r="EP216">
        <v>1.8642700000000001</v>
      </c>
      <c r="EQ216">
        <v>1.8701099999999999</v>
      </c>
      <c r="ER216">
        <v>1.8693200000000001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-1.0609999999999999</v>
      </c>
      <c r="FG216">
        <v>0.18279999999999999</v>
      </c>
      <c r="FH216">
        <v>-0.81947142863283695</v>
      </c>
      <c r="FI216">
        <v>-6.1462078757559423E-4</v>
      </c>
      <c r="FJ216">
        <v>-1.8861989874597051E-7</v>
      </c>
      <c r="FK216">
        <v>1.1980462299894961E-10</v>
      </c>
      <c r="FL216">
        <v>0.18283500000000069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41</v>
      </c>
      <c r="FU216">
        <v>41</v>
      </c>
      <c r="FV216">
        <v>1.7626999999999999</v>
      </c>
      <c r="FW216">
        <v>2.5647000000000002</v>
      </c>
      <c r="FX216">
        <v>1.5490699999999999</v>
      </c>
      <c r="FY216">
        <v>2.34375</v>
      </c>
      <c r="FZ216">
        <v>1.50146</v>
      </c>
      <c r="GA216">
        <v>2.2863799999999999</v>
      </c>
      <c r="GB216">
        <v>31.106999999999999</v>
      </c>
      <c r="GC216">
        <v>23.982399999999998</v>
      </c>
      <c r="GD216">
        <v>19</v>
      </c>
      <c r="GE216">
        <v>283.37400000000002</v>
      </c>
      <c r="GF216">
        <v>592.06299999999999</v>
      </c>
      <c r="GG216">
        <v>25.6435</v>
      </c>
      <c r="GH216">
        <v>25.3384</v>
      </c>
      <c r="GI216">
        <v>30.0002</v>
      </c>
      <c r="GJ216">
        <v>25.4451</v>
      </c>
      <c r="GK216">
        <v>25.410799999999998</v>
      </c>
      <c r="GL216">
        <v>35.245100000000001</v>
      </c>
      <c r="GM216">
        <v>100</v>
      </c>
      <c r="GN216">
        <v>0</v>
      </c>
      <c r="GO216">
        <v>25.670300000000001</v>
      </c>
      <c r="GP216">
        <v>800</v>
      </c>
      <c r="GQ216">
        <v>0</v>
      </c>
      <c r="GR216">
        <v>99.778099999999995</v>
      </c>
      <c r="GS216">
        <v>99.525400000000005</v>
      </c>
    </row>
    <row r="217" spans="1:201" x14ac:dyDescent="0.25">
      <c r="A217">
        <v>201</v>
      </c>
      <c r="B217">
        <v>1690375886.0999999</v>
      </c>
      <c r="C217">
        <v>2066.599999904633</v>
      </c>
      <c r="D217" t="s">
        <v>735</v>
      </c>
      <c r="E217" t="s">
        <v>736</v>
      </c>
      <c r="F217" t="s">
        <v>330</v>
      </c>
      <c r="H217">
        <v>1690375886.0999999</v>
      </c>
      <c r="I217">
        <f t="shared" si="90"/>
        <v>2.8157582734890394E-3</v>
      </c>
      <c r="J217">
        <f t="shared" si="91"/>
        <v>2.8157582734890392</v>
      </c>
      <c r="K217">
        <f t="shared" si="92"/>
        <v>42.929808019304041</v>
      </c>
      <c r="L217">
        <f t="shared" si="93"/>
        <v>360.86500000000001</v>
      </c>
      <c r="M217">
        <f t="shared" si="94"/>
        <v>98.227435695257327</v>
      </c>
      <c r="N217">
        <f t="shared" si="95"/>
        <v>9.7040292304772571</v>
      </c>
      <c r="O217">
        <f t="shared" si="96"/>
        <v>35.650370830409997</v>
      </c>
      <c r="P217">
        <f t="shared" si="97"/>
        <v>0.28117078101063253</v>
      </c>
      <c r="Q217">
        <f t="shared" si="98"/>
        <v>2.2508998625621435</v>
      </c>
      <c r="R217">
        <f t="shared" si="99"/>
        <v>0.26301434396549039</v>
      </c>
      <c r="S217">
        <f t="shared" si="100"/>
        <v>0.16591744900129554</v>
      </c>
      <c r="T217">
        <f t="shared" si="101"/>
        <v>276.114665898</v>
      </c>
      <c r="U217">
        <f t="shared" si="102"/>
        <v>27.765306872786244</v>
      </c>
      <c r="V217">
        <f t="shared" si="103"/>
        <v>27.765306872786244</v>
      </c>
      <c r="W217">
        <f t="shared" si="104"/>
        <v>3.743228269604538</v>
      </c>
      <c r="X217">
        <f t="shared" si="105"/>
        <v>77.707630878755467</v>
      </c>
      <c r="Y217">
        <f t="shared" si="106"/>
        <v>2.7201924977598</v>
      </c>
      <c r="Z217">
        <f t="shared" si="107"/>
        <v>3.5005474584652085</v>
      </c>
      <c r="AA217">
        <f t="shared" si="108"/>
        <v>1.023035771844738</v>
      </c>
      <c r="AB217">
        <f t="shared" si="109"/>
        <v>-124.17493986086663</v>
      </c>
      <c r="AC217">
        <f t="shared" si="110"/>
        <v>-138.6923357700849</v>
      </c>
      <c r="AD217">
        <f t="shared" si="111"/>
        <v>-13.323381276310986</v>
      </c>
      <c r="AE217">
        <f t="shared" si="112"/>
        <v>-7.5991009262537546E-2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52323.138253449833</v>
      </c>
      <c r="AK217">
        <f t="shared" si="116"/>
        <v>1800</v>
      </c>
      <c r="AL217">
        <f t="shared" si="117"/>
        <v>1499.1118488000002</v>
      </c>
      <c r="AM217">
        <f t="shared" si="118"/>
        <v>0.83283991600000007</v>
      </c>
      <c r="AN217">
        <f t="shared" si="119"/>
        <v>0.15339703661000001</v>
      </c>
      <c r="AO217">
        <v>30</v>
      </c>
      <c r="AP217">
        <v>0.5</v>
      </c>
      <c r="AQ217" t="s">
        <v>331</v>
      </c>
      <c r="AR217">
        <v>2</v>
      </c>
      <c r="AS217">
        <v>1690375886.0999999</v>
      </c>
      <c r="AT217">
        <v>360.86500000000001</v>
      </c>
      <c r="AU217">
        <v>800.02700000000004</v>
      </c>
      <c r="AV217">
        <v>27.534700000000001</v>
      </c>
      <c r="AW217">
        <v>0.17094400000000001</v>
      </c>
      <c r="AX217">
        <v>361.92599999999999</v>
      </c>
      <c r="AY217">
        <v>27.351900000000001</v>
      </c>
      <c r="AZ217">
        <v>300.20299999999997</v>
      </c>
      <c r="BA217">
        <v>98.691400000000002</v>
      </c>
      <c r="BB217">
        <v>0.100034</v>
      </c>
      <c r="BC217">
        <v>26.622399999999999</v>
      </c>
      <c r="BD217">
        <v>27.026599999999998</v>
      </c>
      <c r="BE217">
        <v>27.770299999999999</v>
      </c>
      <c r="BF217">
        <v>0</v>
      </c>
      <c r="BG217">
        <v>0</v>
      </c>
      <c r="BH217">
        <v>10014.4</v>
      </c>
      <c r="BI217">
        <v>1085.18</v>
      </c>
      <c r="BJ217">
        <v>1.4016500000000001</v>
      </c>
      <c r="BK217">
        <v>-439.16300000000001</v>
      </c>
      <c r="BL217">
        <v>371.08199999999999</v>
      </c>
      <c r="BM217">
        <v>800.16399999999999</v>
      </c>
      <c r="BN217">
        <v>27.363700000000001</v>
      </c>
      <c r="BO217">
        <v>800.02700000000004</v>
      </c>
      <c r="BP217">
        <v>0.17094400000000001</v>
      </c>
      <c r="BQ217">
        <v>2.7174399999999999</v>
      </c>
      <c r="BR217">
        <v>1.6870699999999999E-2</v>
      </c>
      <c r="BS217">
        <v>22.390899999999998</v>
      </c>
      <c r="BT217">
        <v>-41.051200000000001</v>
      </c>
      <c r="BU217">
        <v>1800</v>
      </c>
      <c r="BV217">
        <v>0.91000800000000004</v>
      </c>
      <c r="BW217">
        <v>3.4001200000000002E-2</v>
      </c>
      <c r="BX217">
        <v>2.19963E-2</v>
      </c>
      <c r="BY217">
        <v>3.3994099999999999E-2</v>
      </c>
      <c r="BZ217">
        <v>25</v>
      </c>
      <c r="CA217">
        <v>33528.400000000001</v>
      </c>
      <c r="CB217">
        <v>1690373417</v>
      </c>
      <c r="CC217" t="s">
        <v>332</v>
      </c>
      <c r="CD217">
        <v>1690373417</v>
      </c>
      <c r="CE217">
        <v>1690373415</v>
      </c>
      <c r="CF217">
        <v>1</v>
      </c>
      <c r="CG217">
        <v>-1.319</v>
      </c>
      <c r="CH217">
        <v>0.01</v>
      </c>
      <c r="CI217">
        <v>-1.371</v>
      </c>
      <c r="CJ217">
        <v>0.183</v>
      </c>
      <c r="CK217">
        <v>800</v>
      </c>
      <c r="CL217">
        <v>21</v>
      </c>
      <c r="CM217">
        <v>0.09</v>
      </c>
      <c r="CN217">
        <v>7.0000000000000007E-2</v>
      </c>
      <c r="CO217">
        <v>-438.68848780487798</v>
      </c>
      <c r="CP217">
        <v>-2.2835540069678242</v>
      </c>
      <c r="CQ217">
        <v>0.22961474860755371</v>
      </c>
      <c r="CR217">
        <v>-1</v>
      </c>
      <c r="CS217">
        <v>27.347007317073171</v>
      </c>
      <c r="CT217">
        <v>0.1127581881532612</v>
      </c>
      <c r="CU217">
        <v>1.1457054281179961E-2</v>
      </c>
      <c r="CV217">
        <v>-1</v>
      </c>
      <c r="CW217">
        <v>0</v>
      </c>
      <c r="CX217">
        <v>0</v>
      </c>
      <c r="CY217" t="s">
        <v>333</v>
      </c>
      <c r="CZ217">
        <v>2.3656899999999998</v>
      </c>
      <c r="DA217">
        <v>2.7138399999999998</v>
      </c>
      <c r="DB217">
        <v>8.2706600000000005E-2</v>
      </c>
      <c r="DC217">
        <v>0.14571899999999999</v>
      </c>
      <c r="DD217">
        <v>0.12521199999999999</v>
      </c>
      <c r="DE217">
        <v>1.4368199999999999E-3</v>
      </c>
      <c r="DF217">
        <v>33512.400000000001</v>
      </c>
      <c r="DG217">
        <v>27530.7</v>
      </c>
      <c r="DH217">
        <v>31185.9</v>
      </c>
      <c r="DI217">
        <v>28078.7</v>
      </c>
      <c r="DJ217">
        <v>37021.5</v>
      </c>
      <c r="DK217">
        <v>39858.800000000003</v>
      </c>
      <c r="DL217">
        <v>44378.400000000001</v>
      </c>
      <c r="DM217">
        <v>42536.3</v>
      </c>
      <c r="DN217">
        <v>1.48695</v>
      </c>
      <c r="DO217">
        <v>2.0596000000000001</v>
      </c>
      <c r="DP217">
        <v>0.112236</v>
      </c>
      <c r="DQ217">
        <v>0.16170000000000001</v>
      </c>
      <c r="DR217">
        <v>25.188500000000001</v>
      </c>
      <c r="DS217">
        <v>25.1234</v>
      </c>
      <c r="DT217">
        <v>29.7</v>
      </c>
      <c r="DU217">
        <v>26</v>
      </c>
      <c r="DV217">
        <v>10.1539</v>
      </c>
      <c r="DW217">
        <v>61.3001</v>
      </c>
      <c r="DX217">
        <v>37.131399999999999</v>
      </c>
      <c r="DY217">
        <v>1</v>
      </c>
      <c r="DZ217">
        <v>-0.16627800000000001</v>
      </c>
      <c r="EA217">
        <v>-0.62829199999999996</v>
      </c>
      <c r="EB217">
        <v>20.189</v>
      </c>
      <c r="EC217">
        <v>5.2404999999999999</v>
      </c>
      <c r="ED217">
        <v>12.039899999999999</v>
      </c>
      <c r="EE217">
        <v>5.0133000000000001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1.86876</v>
      </c>
      <c r="EL217">
        <v>1.86446</v>
      </c>
      <c r="EM217">
        <v>1.86907</v>
      </c>
      <c r="EN217">
        <v>1.8671</v>
      </c>
      <c r="EO217">
        <v>1.8632500000000001</v>
      </c>
      <c r="EP217">
        <v>1.8642700000000001</v>
      </c>
      <c r="EQ217">
        <v>1.87009</v>
      </c>
      <c r="ER217">
        <v>1.8693299999999999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-1.0609999999999999</v>
      </c>
      <c r="FG217">
        <v>0.18279999999999999</v>
      </c>
      <c r="FH217">
        <v>-0.81947142863283695</v>
      </c>
      <c r="FI217">
        <v>-6.1462078757559423E-4</v>
      </c>
      <c r="FJ217">
        <v>-1.8861989874597051E-7</v>
      </c>
      <c r="FK217">
        <v>1.1980462299894961E-10</v>
      </c>
      <c r="FL217">
        <v>0.18283500000000069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41.2</v>
      </c>
      <c r="FU217">
        <v>41.2</v>
      </c>
      <c r="FV217">
        <v>1.7626999999999999</v>
      </c>
      <c r="FW217">
        <v>2.5634800000000002</v>
      </c>
      <c r="FX217">
        <v>1.5490699999999999</v>
      </c>
      <c r="FY217">
        <v>2.34375</v>
      </c>
      <c r="FZ217">
        <v>1.50146</v>
      </c>
      <c r="GA217">
        <v>2.2753899999999998</v>
      </c>
      <c r="GB217">
        <v>31.106999999999999</v>
      </c>
      <c r="GC217">
        <v>23.991199999999999</v>
      </c>
      <c r="GD217">
        <v>19</v>
      </c>
      <c r="GE217">
        <v>283.40600000000001</v>
      </c>
      <c r="GF217">
        <v>591.77499999999998</v>
      </c>
      <c r="GG217">
        <v>25.665099999999999</v>
      </c>
      <c r="GH217">
        <v>25.340499999999999</v>
      </c>
      <c r="GI217">
        <v>30.0001</v>
      </c>
      <c r="GJ217">
        <v>25.4451</v>
      </c>
      <c r="GK217">
        <v>25.4129</v>
      </c>
      <c r="GL217">
        <v>35.2423</v>
      </c>
      <c r="GM217">
        <v>100</v>
      </c>
      <c r="GN217">
        <v>0</v>
      </c>
      <c r="GO217">
        <v>25.643599999999999</v>
      </c>
      <c r="GP217">
        <v>800</v>
      </c>
      <c r="GQ217">
        <v>0</v>
      </c>
      <c r="GR217">
        <v>99.778800000000004</v>
      </c>
      <c r="GS217">
        <v>99.527000000000001</v>
      </c>
    </row>
    <row r="218" spans="1:201" x14ac:dyDescent="0.25">
      <c r="A218">
        <v>202</v>
      </c>
      <c r="B218">
        <v>1690375896.0999999</v>
      </c>
      <c r="C218">
        <v>2076.599999904633</v>
      </c>
      <c r="D218" t="s">
        <v>737</v>
      </c>
      <c r="E218" t="s">
        <v>738</v>
      </c>
      <c r="F218" t="s">
        <v>330</v>
      </c>
      <c r="H218">
        <v>1690375896.0999999</v>
      </c>
      <c r="I218">
        <f t="shared" si="90"/>
        <v>2.8162452510168152E-3</v>
      </c>
      <c r="J218">
        <f t="shared" si="91"/>
        <v>2.8162452510168152</v>
      </c>
      <c r="K218">
        <f t="shared" si="92"/>
        <v>42.955230812846075</v>
      </c>
      <c r="L218">
        <f t="shared" si="93"/>
        <v>360.536</v>
      </c>
      <c r="M218">
        <f t="shared" si="94"/>
        <v>98.062520851619894</v>
      </c>
      <c r="N218">
        <f t="shared" si="95"/>
        <v>9.6874284244145539</v>
      </c>
      <c r="O218">
        <f t="shared" si="96"/>
        <v>35.616733733671204</v>
      </c>
      <c r="P218">
        <f t="shared" si="97"/>
        <v>0.28153064784442688</v>
      </c>
      <c r="Q218">
        <f t="shared" si="98"/>
        <v>2.2503704871747763</v>
      </c>
      <c r="R218">
        <f t="shared" si="99"/>
        <v>0.26332533343836489</v>
      </c>
      <c r="S218">
        <f t="shared" si="100"/>
        <v>0.16611580685237021</v>
      </c>
      <c r="T218">
        <f t="shared" si="101"/>
        <v>276.11325720693787</v>
      </c>
      <c r="U218">
        <f t="shared" si="102"/>
        <v>27.764181304833045</v>
      </c>
      <c r="V218">
        <f t="shared" si="103"/>
        <v>27.764181304833045</v>
      </c>
      <c r="W218">
        <f t="shared" si="104"/>
        <v>3.7429822290045518</v>
      </c>
      <c r="X218">
        <f t="shared" si="105"/>
        <v>77.736612512879475</v>
      </c>
      <c r="Y218">
        <f t="shared" si="106"/>
        <v>2.7210146900361303</v>
      </c>
      <c r="Z218">
        <f t="shared" si="107"/>
        <v>3.500300054347377</v>
      </c>
      <c r="AA218">
        <f t="shared" si="108"/>
        <v>1.0219675389684215</v>
      </c>
      <c r="AB218">
        <f t="shared" si="109"/>
        <v>-124.19641556984155</v>
      </c>
      <c r="AC218">
        <f t="shared" si="110"/>
        <v>-138.66874780976559</v>
      </c>
      <c r="AD218">
        <f t="shared" si="111"/>
        <v>-13.324094139356243</v>
      </c>
      <c r="AE218">
        <f t="shared" si="112"/>
        <v>-7.6000312025513495E-2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52302.66791627575</v>
      </c>
      <c r="AK218">
        <f t="shared" si="116"/>
        <v>1799.99</v>
      </c>
      <c r="AL218">
        <f t="shared" si="117"/>
        <v>1499.10343940129</v>
      </c>
      <c r="AM218">
        <f t="shared" si="118"/>
        <v>0.83283987100000001</v>
      </c>
      <c r="AN218">
        <f t="shared" si="119"/>
        <v>0.15339710620999999</v>
      </c>
      <c r="AO218">
        <v>30</v>
      </c>
      <c r="AP218">
        <v>0.5</v>
      </c>
      <c r="AQ218" t="s">
        <v>331</v>
      </c>
      <c r="AR218">
        <v>2</v>
      </c>
      <c r="AS218">
        <v>1690375896.0999999</v>
      </c>
      <c r="AT218">
        <v>360.536</v>
      </c>
      <c r="AU218">
        <v>800.02800000000002</v>
      </c>
      <c r="AV218">
        <v>27.543900000000001</v>
      </c>
      <c r="AW218">
        <v>0.17047300000000001</v>
      </c>
      <c r="AX218">
        <v>361.596</v>
      </c>
      <c r="AY218">
        <v>27.361000000000001</v>
      </c>
      <c r="AZ218">
        <v>300.14600000000002</v>
      </c>
      <c r="BA218">
        <v>98.688299999999998</v>
      </c>
      <c r="BB218">
        <v>9.9986699999999998E-2</v>
      </c>
      <c r="BC218">
        <v>26.621200000000002</v>
      </c>
      <c r="BD218">
        <v>27.008199999999999</v>
      </c>
      <c r="BE218">
        <v>27.785900000000002</v>
      </c>
      <c r="BF218">
        <v>0</v>
      </c>
      <c r="BG218">
        <v>0</v>
      </c>
      <c r="BH218">
        <v>10010.6</v>
      </c>
      <c r="BI218">
        <v>1085.2</v>
      </c>
      <c r="BJ218">
        <v>1.4016500000000001</v>
      </c>
      <c r="BK218">
        <v>-439.49200000000002</v>
      </c>
      <c r="BL218">
        <v>370.74700000000001</v>
      </c>
      <c r="BM218">
        <v>800.16399999999999</v>
      </c>
      <c r="BN218">
        <v>27.3734</v>
      </c>
      <c r="BO218">
        <v>800.02800000000002</v>
      </c>
      <c r="BP218">
        <v>0.17047300000000001</v>
      </c>
      <c r="BQ218">
        <v>2.7182599999999999</v>
      </c>
      <c r="BR218">
        <v>1.68237E-2</v>
      </c>
      <c r="BS218">
        <v>22.395900000000001</v>
      </c>
      <c r="BT218">
        <v>-41.077599999999997</v>
      </c>
      <c r="BU218">
        <v>1799.99</v>
      </c>
      <c r="BV218">
        <v>0.91000599999999998</v>
      </c>
      <c r="BW218">
        <v>3.4004800000000002E-2</v>
      </c>
      <c r="BX218">
        <v>2.1995799999999999E-2</v>
      </c>
      <c r="BY218">
        <v>3.3993500000000003E-2</v>
      </c>
      <c r="BZ218">
        <v>25</v>
      </c>
      <c r="CA218">
        <v>33528.300000000003</v>
      </c>
      <c r="CB218">
        <v>1690373417</v>
      </c>
      <c r="CC218" t="s">
        <v>332</v>
      </c>
      <c r="CD218">
        <v>1690373417</v>
      </c>
      <c r="CE218">
        <v>1690373415</v>
      </c>
      <c r="CF218">
        <v>1</v>
      </c>
      <c r="CG218">
        <v>-1.319</v>
      </c>
      <c r="CH218">
        <v>0.01</v>
      </c>
      <c r="CI218">
        <v>-1.371</v>
      </c>
      <c r="CJ218">
        <v>0.183</v>
      </c>
      <c r="CK218">
        <v>800</v>
      </c>
      <c r="CL218">
        <v>21</v>
      </c>
      <c r="CM218">
        <v>0.09</v>
      </c>
      <c r="CN218">
        <v>7.0000000000000007E-2</v>
      </c>
      <c r="CO218">
        <v>-439.09469999999999</v>
      </c>
      <c r="CP218">
        <v>-2.288690431518567</v>
      </c>
      <c r="CQ218">
        <v>0.22479937722333559</v>
      </c>
      <c r="CR218">
        <v>-1</v>
      </c>
      <c r="CS218">
        <v>27.362715000000001</v>
      </c>
      <c r="CT218">
        <v>6.7127954971859832E-2</v>
      </c>
      <c r="CU218">
        <v>6.4709176319902428E-3</v>
      </c>
      <c r="CV218">
        <v>-1</v>
      </c>
      <c r="CW218">
        <v>0</v>
      </c>
      <c r="CX218">
        <v>0</v>
      </c>
      <c r="CY218" t="s">
        <v>333</v>
      </c>
      <c r="CZ218">
        <v>2.3655200000000001</v>
      </c>
      <c r="DA218">
        <v>2.7137899999999999</v>
      </c>
      <c r="DB218">
        <v>8.2644899999999993E-2</v>
      </c>
      <c r="DC218">
        <v>0.14571400000000001</v>
      </c>
      <c r="DD218">
        <v>0.12523599999999999</v>
      </c>
      <c r="DE218">
        <v>1.43286E-3</v>
      </c>
      <c r="DF218">
        <v>33515</v>
      </c>
      <c r="DG218">
        <v>27530.799999999999</v>
      </c>
      <c r="DH218">
        <v>31186.1</v>
      </c>
      <c r="DI218">
        <v>28078.7</v>
      </c>
      <c r="DJ218">
        <v>37020.800000000003</v>
      </c>
      <c r="DK218">
        <v>39858.800000000003</v>
      </c>
      <c r="DL218">
        <v>44378.9</v>
      </c>
      <c r="DM218">
        <v>42536.2</v>
      </c>
      <c r="DN218">
        <v>1.48685</v>
      </c>
      <c r="DO218">
        <v>2.0597500000000002</v>
      </c>
      <c r="DP218">
        <v>0.110984</v>
      </c>
      <c r="DQ218">
        <v>0.16237099999999999</v>
      </c>
      <c r="DR218">
        <v>25.1906</v>
      </c>
      <c r="DS218">
        <v>25.1282</v>
      </c>
      <c r="DT218">
        <v>29.6</v>
      </c>
      <c r="DU218">
        <v>26</v>
      </c>
      <c r="DV218">
        <v>10.121</v>
      </c>
      <c r="DW218">
        <v>61.5901</v>
      </c>
      <c r="DX218">
        <v>37.1554</v>
      </c>
      <c r="DY218">
        <v>1</v>
      </c>
      <c r="DZ218">
        <v>-0.16622999999999999</v>
      </c>
      <c r="EA218">
        <v>-0.58970599999999995</v>
      </c>
      <c r="EB218">
        <v>20.1892</v>
      </c>
      <c r="EC218">
        <v>5.2404999999999999</v>
      </c>
      <c r="ED218">
        <v>12.039899999999999</v>
      </c>
      <c r="EE218">
        <v>5.0132500000000002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1.86876</v>
      </c>
      <c r="EL218">
        <v>1.86446</v>
      </c>
      <c r="EM218">
        <v>1.8690800000000001</v>
      </c>
      <c r="EN218">
        <v>1.86711</v>
      </c>
      <c r="EO218">
        <v>1.8632500000000001</v>
      </c>
      <c r="EP218">
        <v>1.86426</v>
      </c>
      <c r="EQ218">
        <v>1.87008</v>
      </c>
      <c r="ER218">
        <v>1.8693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-1.06</v>
      </c>
      <c r="FG218">
        <v>0.18290000000000001</v>
      </c>
      <c r="FH218">
        <v>-0.81947142863283695</v>
      </c>
      <c r="FI218">
        <v>-6.1462078757559423E-4</v>
      </c>
      <c r="FJ218">
        <v>-1.8861989874597051E-7</v>
      </c>
      <c r="FK218">
        <v>1.1980462299894961E-10</v>
      </c>
      <c r="FL218">
        <v>0.18283500000000069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41.3</v>
      </c>
      <c r="FU218">
        <v>41.4</v>
      </c>
      <c r="FV218">
        <v>1.7626999999999999</v>
      </c>
      <c r="FW218">
        <v>2.5671400000000002</v>
      </c>
      <c r="FX218">
        <v>1.5490699999999999</v>
      </c>
      <c r="FY218">
        <v>2.34375</v>
      </c>
      <c r="FZ218">
        <v>1.50146</v>
      </c>
      <c r="GA218">
        <v>2.2900399999999999</v>
      </c>
      <c r="GB218">
        <v>31.128699999999998</v>
      </c>
      <c r="GC218">
        <v>23.982399999999998</v>
      </c>
      <c r="GD218">
        <v>19</v>
      </c>
      <c r="GE218">
        <v>283.37099999999998</v>
      </c>
      <c r="GF218">
        <v>591.9</v>
      </c>
      <c r="GG218">
        <v>25.6294</v>
      </c>
      <c r="GH218">
        <v>25.340499999999999</v>
      </c>
      <c r="GI218">
        <v>30.0001</v>
      </c>
      <c r="GJ218">
        <v>25.446899999999999</v>
      </c>
      <c r="GK218">
        <v>25.4129</v>
      </c>
      <c r="GL218">
        <v>35.241900000000001</v>
      </c>
      <c r="GM218">
        <v>100</v>
      </c>
      <c r="GN218">
        <v>0</v>
      </c>
      <c r="GO218">
        <v>25.648399999999999</v>
      </c>
      <c r="GP218">
        <v>800</v>
      </c>
      <c r="GQ218">
        <v>0</v>
      </c>
      <c r="GR218">
        <v>99.779799999999994</v>
      </c>
      <c r="GS218">
        <v>99.526799999999994</v>
      </c>
    </row>
    <row r="219" spans="1:201" x14ac:dyDescent="0.25">
      <c r="A219">
        <v>203</v>
      </c>
      <c r="B219">
        <v>1690375906.0999999</v>
      </c>
      <c r="C219">
        <v>2086.599999904633</v>
      </c>
      <c r="D219" t="s">
        <v>739</v>
      </c>
      <c r="E219" t="s">
        <v>740</v>
      </c>
      <c r="F219" t="s">
        <v>330</v>
      </c>
      <c r="H219">
        <v>1690375906.0999999</v>
      </c>
      <c r="I219">
        <f t="shared" si="90"/>
        <v>2.8166695960240903E-3</v>
      </c>
      <c r="J219">
        <f t="shared" si="91"/>
        <v>2.8166695960240902</v>
      </c>
      <c r="K219">
        <f t="shared" si="92"/>
        <v>42.984420944094452</v>
      </c>
      <c r="L219">
        <f t="shared" si="93"/>
        <v>360.11500000000001</v>
      </c>
      <c r="M219">
        <f t="shared" si="94"/>
        <v>97.700340529472513</v>
      </c>
      <c r="N219">
        <f t="shared" si="95"/>
        <v>9.6517218520362071</v>
      </c>
      <c r="O219">
        <f t="shared" si="96"/>
        <v>35.575411466426999</v>
      </c>
      <c r="P219">
        <f t="shared" si="97"/>
        <v>0.28181219065440682</v>
      </c>
      <c r="Q219">
        <f t="shared" si="98"/>
        <v>2.2474055716401233</v>
      </c>
      <c r="R219">
        <f t="shared" si="99"/>
        <v>0.26354931964018657</v>
      </c>
      <c r="S219">
        <f t="shared" si="100"/>
        <v>0.16626044561403766</v>
      </c>
      <c r="T219">
        <f t="shared" si="101"/>
        <v>276.114840786</v>
      </c>
      <c r="U219">
        <f t="shared" si="102"/>
        <v>27.763830103712387</v>
      </c>
      <c r="V219">
        <f t="shared" si="103"/>
        <v>27.763830103712387</v>
      </c>
      <c r="W219">
        <f t="shared" si="104"/>
        <v>3.7429054619972497</v>
      </c>
      <c r="X219">
        <f t="shared" si="105"/>
        <v>77.762023381659802</v>
      </c>
      <c r="Y219">
        <f t="shared" si="106"/>
        <v>2.7216476498929802</v>
      </c>
      <c r="Z219">
        <f t="shared" si="107"/>
        <v>3.4999702059384452</v>
      </c>
      <c r="AA219">
        <f t="shared" si="108"/>
        <v>1.0212578121042695</v>
      </c>
      <c r="AB219">
        <f t="shared" si="109"/>
        <v>-124.21512918466239</v>
      </c>
      <c r="AC219">
        <f t="shared" si="110"/>
        <v>-138.63735563565692</v>
      </c>
      <c r="AD219">
        <f t="shared" si="111"/>
        <v>-13.338521840388276</v>
      </c>
      <c r="AE219">
        <f t="shared" si="112"/>
        <v>-7.616587470758418E-2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52187.603152839169</v>
      </c>
      <c r="AK219">
        <f t="shared" si="116"/>
        <v>1800</v>
      </c>
      <c r="AL219">
        <f t="shared" si="117"/>
        <v>1499.1106625999998</v>
      </c>
      <c r="AM219">
        <f t="shared" si="118"/>
        <v>0.83283925699999994</v>
      </c>
      <c r="AN219">
        <f t="shared" si="119"/>
        <v>0.15339713377</v>
      </c>
      <c r="AO219">
        <v>30</v>
      </c>
      <c r="AP219">
        <v>0.5</v>
      </c>
      <c r="AQ219" t="s">
        <v>331</v>
      </c>
      <c r="AR219">
        <v>2</v>
      </c>
      <c r="AS219">
        <v>1690375906.0999999</v>
      </c>
      <c r="AT219">
        <v>360.11500000000001</v>
      </c>
      <c r="AU219">
        <v>799.928</v>
      </c>
      <c r="AV219">
        <v>27.5501</v>
      </c>
      <c r="AW219">
        <v>0.17025999999999999</v>
      </c>
      <c r="AX219">
        <v>361.17500000000001</v>
      </c>
      <c r="AY219">
        <v>27.3673</v>
      </c>
      <c r="AZ219">
        <v>300.11900000000003</v>
      </c>
      <c r="BA219">
        <v>98.689099999999996</v>
      </c>
      <c r="BB219">
        <v>9.9929799999999999E-2</v>
      </c>
      <c r="BC219">
        <v>26.619599999999998</v>
      </c>
      <c r="BD219">
        <v>27.000800000000002</v>
      </c>
      <c r="BE219">
        <v>27.7879</v>
      </c>
      <c r="BF219">
        <v>0</v>
      </c>
      <c r="BG219">
        <v>0</v>
      </c>
      <c r="BH219">
        <v>9987.5</v>
      </c>
      <c r="BI219">
        <v>1085.31</v>
      </c>
      <c r="BJ219">
        <v>1.4016500000000001</v>
      </c>
      <c r="BK219">
        <v>-439.81299999999999</v>
      </c>
      <c r="BL219">
        <v>370.31700000000001</v>
      </c>
      <c r="BM219">
        <v>800.06399999999996</v>
      </c>
      <c r="BN219">
        <v>27.379799999999999</v>
      </c>
      <c r="BO219">
        <v>799.928</v>
      </c>
      <c r="BP219">
        <v>0.17025999999999999</v>
      </c>
      <c r="BQ219">
        <v>2.71889</v>
      </c>
      <c r="BR219">
        <v>1.68028E-2</v>
      </c>
      <c r="BS219">
        <v>22.399799999999999</v>
      </c>
      <c r="BT219">
        <v>-41.089399999999998</v>
      </c>
      <c r="BU219">
        <v>1800</v>
      </c>
      <c r="BV219">
        <v>0.91000199999999998</v>
      </c>
      <c r="BW219">
        <v>3.4009400000000002E-2</v>
      </c>
      <c r="BX219">
        <v>2.1995600000000001E-2</v>
      </c>
      <c r="BY219">
        <v>3.3993099999999998E-2</v>
      </c>
      <c r="BZ219">
        <v>25</v>
      </c>
      <c r="CA219">
        <v>33528.400000000001</v>
      </c>
      <c r="CB219">
        <v>1690373417</v>
      </c>
      <c r="CC219" t="s">
        <v>332</v>
      </c>
      <c r="CD219">
        <v>1690373417</v>
      </c>
      <c r="CE219">
        <v>1690373415</v>
      </c>
      <c r="CF219">
        <v>1</v>
      </c>
      <c r="CG219">
        <v>-1.319</v>
      </c>
      <c r="CH219">
        <v>0.01</v>
      </c>
      <c r="CI219">
        <v>-1.371</v>
      </c>
      <c r="CJ219">
        <v>0.183</v>
      </c>
      <c r="CK219">
        <v>800</v>
      </c>
      <c r="CL219">
        <v>21</v>
      </c>
      <c r="CM219">
        <v>0.09</v>
      </c>
      <c r="CN219">
        <v>7.0000000000000007E-2</v>
      </c>
      <c r="CO219">
        <v>-439.46385365853661</v>
      </c>
      <c r="CP219">
        <v>-1.987191637630271</v>
      </c>
      <c r="CQ219">
        <v>0.19760437945373771</v>
      </c>
      <c r="CR219">
        <v>-1</v>
      </c>
      <c r="CS219">
        <v>27.372326829268289</v>
      </c>
      <c r="CT219">
        <v>4.829477351919808E-2</v>
      </c>
      <c r="CU219">
        <v>4.8294838582093377E-3</v>
      </c>
      <c r="CV219">
        <v>-1</v>
      </c>
      <c r="CW219">
        <v>0</v>
      </c>
      <c r="CX219">
        <v>0</v>
      </c>
      <c r="CY219" t="s">
        <v>333</v>
      </c>
      <c r="CZ219">
        <v>2.3654299999999999</v>
      </c>
      <c r="DA219">
        <v>2.7137099999999998</v>
      </c>
      <c r="DB219">
        <v>8.2570299999999999E-2</v>
      </c>
      <c r="DC219">
        <v>0.145703</v>
      </c>
      <c r="DD219">
        <v>0.12525700000000001</v>
      </c>
      <c r="DE219">
        <v>1.4311E-3</v>
      </c>
      <c r="DF219">
        <v>33517.300000000003</v>
      </c>
      <c r="DG219">
        <v>27531.4</v>
      </c>
      <c r="DH219">
        <v>31185.8</v>
      </c>
      <c r="DI219">
        <v>28078.799999999999</v>
      </c>
      <c r="DJ219">
        <v>37019.599999999999</v>
      </c>
      <c r="DK219">
        <v>39859</v>
      </c>
      <c r="DL219">
        <v>44378.5</v>
      </c>
      <c r="DM219">
        <v>42536.3</v>
      </c>
      <c r="DN219">
        <v>1.48647</v>
      </c>
      <c r="DO219">
        <v>2.0598000000000001</v>
      </c>
      <c r="DP219">
        <v>0.11026900000000001</v>
      </c>
      <c r="DQ219">
        <v>0.162303</v>
      </c>
      <c r="DR219">
        <v>25.194800000000001</v>
      </c>
      <c r="DS219">
        <v>25.1312</v>
      </c>
      <c r="DT219">
        <v>29.6</v>
      </c>
      <c r="DU219">
        <v>26</v>
      </c>
      <c r="DV219">
        <v>10.1196</v>
      </c>
      <c r="DW219">
        <v>61.880099999999999</v>
      </c>
      <c r="DX219">
        <v>37.267600000000002</v>
      </c>
      <c r="DY219">
        <v>1</v>
      </c>
      <c r="DZ219">
        <v>-0.166242</v>
      </c>
      <c r="EA219">
        <v>-0.61864399999999997</v>
      </c>
      <c r="EB219">
        <v>20.188700000000001</v>
      </c>
      <c r="EC219">
        <v>5.2408000000000001</v>
      </c>
      <c r="ED219">
        <v>12.039899999999999</v>
      </c>
      <c r="EE219">
        <v>5.0131500000000004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1.8687800000000001</v>
      </c>
      <c r="EL219">
        <v>1.8644700000000001</v>
      </c>
      <c r="EM219">
        <v>1.86911</v>
      </c>
      <c r="EN219">
        <v>1.8670800000000001</v>
      </c>
      <c r="EO219">
        <v>1.8632599999999999</v>
      </c>
      <c r="EP219">
        <v>1.86429</v>
      </c>
      <c r="EQ219">
        <v>1.87009</v>
      </c>
      <c r="ER219">
        <v>1.86931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-1.06</v>
      </c>
      <c r="FG219">
        <v>0.18279999999999999</v>
      </c>
      <c r="FH219">
        <v>-0.81947142863283695</v>
      </c>
      <c r="FI219">
        <v>-6.1462078757559423E-4</v>
      </c>
      <c r="FJ219">
        <v>-1.8861989874597051E-7</v>
      </c>
      <c r="FK219">
        <v>1.1980462299894961E-10</v>
      </c>
      <c r="FL219">
        <v>0.18283500000000069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41.5</v>
      </c>
      <c r="FU219">
        <v>41.5</v>
      </c>
      <c r="FV219">
        <v>1.7626999999999999</v>
      </c>
      <c r="FW219">
        <v>2.5671400000000002</v>
      </c>
      <c r="FX219">
        <v>1.5490699999999999</v>
      </c>
      <c r="FY219">
        <v>2.34253</v>
      </c>
      <c r="FZ219">
        <v>1.50146</v>
      </c>
      <c r="GA219">
        <v>2.3022499999999999</v>
      </c>
      <c r="GB219">
        <v>31.150400000000001</v>
      </c>
      <c r="GC219">
        <v>23.982399999999998</v>
      </c>
      <c r="GD219">
        <v>19</v>
      </c>
      <c r="GE219">
        <v>283.214</v>
      </c>
      <c r="GF219">
        <v>591.96600000000001</v>
      </c>
      <c r="GG219">
        <v>25.642499999999998</v>
      </c>
      <c r="GH219">
        <v>25.342700000000001</v>
      </c>
      <c r="GI219">
        <v>30.0001</v>
      </c>
      <c r="GJ219">
        <v>25.447199999999999</v>
      </c>
      <c r="GK219">
        <v>25.414999999999999</v>
      </c>
      <c r="GL219">
        <v>35.247700000000002</v>
      </c>
      <c r="GM219">
        <v>100</v>
      </c>
      <c r="GN219">
        <v>0</v>
      </c>
      <c r="GO219">
        <v>25.633700000000001</v>
      </c>
      <c r="GP219">
        <v>800</v>
      </c>
      <c r="GQ219">
        <v>0</v>
      </c>
      <c r="GR219">
        <v>99.778700000000001</v>
      </c>
      <c r="GS219">
        <v>99.527199999999993</v>
      </c>
    </row>
    <row r="220" spans="1:201" x14ac:dyDescent="0.25">
      <c r="A220">
        <v>204</v>
      </c>
      <c r="B220">
        <v>1690375916.0999999</v>
      </c>
      <c r="C220">
        <v>2096.599999904633</v>
      </c>
      <c r="D220" t="s">
        <v>741</v>
      </c>
      <c r="E220" t="s">
        <v>742</v>
      </c>
      <c r="F220" t="s">
        <v>330</v>
      </c>
      <c r="H220">
        <v>1690375916.0999999</v>
      </c>
      <c r="I220">
        <f t="shared" si="90"/>
        <v>2.817737039894208E-3</v>
      </c>
      <c r="J220">
        <f t="shared" si="91"/>
        <v>2.8177370398942081</v>
      </c>
      <c r="K220">
        <f t="shared" si="92"/>
        <v>43.031306484805398</v>
      </c>
      <c r="L220">
        <f t="shared" si="93"/>
        <v>359.77499999999998</v>
      </c>
      <c r="M220">
        <f t="shared" si="94"/>
        <v>97.030702794856282</v>
      </c>
      <c r="N220">
        <f t="shared" si="95"/>
        <v>9.5856309149105243</v>
      </c>
      <c r="O220">
        <f t="shared" si="96"/>
        <v>35.542052804699999</v>
      </c>
      <c r="P220">
        <f t="shared" si="97"/>
        <v>0.28175834399193966</v>
      </c>
      <c r="Q220">
        <f t="shared" si="98"/>
        <v>2.2462835848320828</v>
      </c>
      <c r="R220">
        <f t="shared" si="99"/>
        <v>0.26349372423908951</v>
      </c>
      <c r="S220">
        <f t="shared" si="100"/>
        <v>0.1662258177390819</v>
      </c>
      <c r="T220">
        <f t="shared" si="101"/>
        <v>276.11338005625544</v>
      </c>
      <c r="U220">
        <f t="shared" si="102"/>
        <v>27.768381532631341</v>
      </c>
      <c r="V220">
        <f t="shared" si="103"/>
        <v>27.768381532631341</v>
      </c>
      <c r="W220">
        <f t="shared" si="104"/>
        <v>3.7439004388062509</v>
      </c>
      <c r="X220">
        <f t="shared" si="105"/>
        <v>77.753098939779434</v>
      </c>
      <c r="Y220">
        <f t="shared" si="106"/>
        <v>2.7220406331051996</v>
      </c>
      <c r="Z220">
        <f t="shared" si="107"/>
        <v>3.5008773543720078</v>
      </c>
      <c r="AA220">
        <f t="shared" si="108"/>
        <v>1.0218598057010513</v>
      </c>
      <c r="AB220">
        <f t="shared" si="109"/>
        <v>-124.26220345933457</v>
      </c>
      <c r="AC220">
        <f t="shared" si="110"/>
        <v>-138.58648110314229</v>
      </c>
      <c r="AD220">
        <f t="shared" si="111"/>
        <v>-13.340883790055344</v>
      </c>
      <c r="AE220">
        <f t="shared" si="112"/>
        <v>-7.6188296276740175E-2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52143.229670589848</v>
      </c>
      <c r="AK220">
        <f t="shared" si="116"/>
        <v>1799.99</v>
      </c>
      <c r="AL220">
        <f t="shared" si="117"/>
        <v>1499.1033044020401</v>
      </c>
      <c r="AM220">
        <f t="shared" si="118"/>
        <v>0.83283979600000002</v>
      </c>
      <c r="AN220">
        <f t="shared" si="119"/>
        <v>0.15339717446000001</v>
      </c>
      <c r="AO220">
        <v>30</v>
      </c>
      <c r="AP220">
        <v>0.5</v>
      </c>
      <c r="AQ220" t="s">
        <v>331</v>
      </c>
      <c r="AR220">
        <v>2</v>
      </c>
      <c r="AS220">
        <v>1690375916.0999999</v>
      </c>
      <c r="AT220">
        <v>359.77499999999998</v>
      </c>
      <c r="AU220">
        <v>799.96</v>
      </c>
      <c r="AV220">
        <v>27.553899999999999</v>
      </c>
      <c r="AW220">
        <v>0.16944799999999999</v>
      </c>
      <c r="AX220">
        <v>360.83600000000001</v>
      </c>
      <c r="AY220">
        <v>27.371099999999998</v>
      </c>
      <c r="AZ220">
        <v>300.18099999999998</v>
      </c>
      <c r="BA220">
        <v>98.689599999999999</v>
      </c>
      <c r="BB220">
        <v>0.100068</v>
      </c>
      <c r="BC220">
        <v>26.623999999999999</v>
      </c>
      <c r="BD220">
        <v>26.997299999999999</v>
      </c>
      <c r="BE220">
        <v>27.799900000000001</v>
      </c>
      <c r="BF220">
        <v>0</v>
      </c>
      <c r="BG220">
        <v>0</v>
      </c>
      <c r="BH220">
        <v>9978.75</v>
      </c>
      <c r="BI220">
        <v>1085.42</v>
      </c>
      <c r="BJ220">
        <v>1.4016500000000001</v>
      </c>
      <c r="BK220">
        <v>-440.18400000000003</v>
      </c>
      <c r="BL220">
        <v>369.97</v>
      </c>
      <c r="BM220">
        <v>800.09500000000003</v>
      </c>
      <c r="BN220">
        <v>27.384499999999999</v>
      </c>
      <c r="BO220">
        <v>799.96</v>
      </c>
      <c r="BP220">
        <v>0.16944799999999999</v>
      </c>
      <c r="BQ220">
        <v>2.71929</v>
      </c>
      <c r="BR220">
        <v>1.67227E-2</v>
      </c>
      <c r="BS220">
        <v>22.402100000000001</v>
      </c>
      <c r="BT220">
        <v>-41.134599999999999</v>
      </c>
      <c r="BU220">
        <v>1799.99</v>
      </c>
      <c r="BV220">
        <v>0.91000400000000004</v>
      </c>
      <c r="BW220">
        <v>3.4007200000000001E-2</v>
      </c>
      <c r="BX220">
        <v>2.1995799999999999E-2</v>
      </c>
      <c r="BY220">
        <v>3.39934E-2</v>
      </c>
      <c r="BZ220">
        <v>25</v>
      </c>
      <c r="CA220">
        <v>33528.300000000003</v>
      </c>
      <c r="CB220">
        <v>1690373417</v>
      </c>
      <c r="CC220" t="s">
        <v>332</v>
      </c>
      <c r="CD220">
        <v>1690373417</v>
      </c>
      <c r="CE220">
        <v>1690373415</v>
      </c>
      <c r="CF220">
        <v>1</v>
      </c>
      <c r="CG220">
        <v>-1.319</v>
      </c>
      <c r="CH220">
        <v>0.01</v>
      </c>
      <c r="CI220">
        <v>-1.371</v>
      </c>
      <c r="CJ220">
        <v>0.183</v>
      </c>
      <c r="CK220">
        <v>800</v>
      </c>
      <c r="CL220">
        <v>21</v>
      </c>
      <c r="CM220">
        <v>0.09</v>
      </c>
      <c r="CN220">
        <v>7.0000000000000007E-2</v>
      </c>
      <c r="CO220">
        <v>-439.80317073170721</v>
      </c>
      <c r="CP220">
        <v>-2.440620209060826</v>
      </c>
      <c r="CQ220">
        <v>0.2431495477232084</v>
      </c>
      <c r="CR220">
        <v>-1</v>
      </c>
      <c r="CS220">
        <v>27.377592682926831</v>
      </c>
      <c r="CT220">
        <v>2.7685714285748179E-2</v>
      </c>
      <c r="CU220">
        <v>2.9577834683773619E-3</v>
      </c>
      <c r="CV220">
        <v>-1</v>
      </c>
      <c r="CW220">
        <v>0</v>
      </c>
      <c r="CX220">
        <v>0</v>
      </c>
      <c r="CY220" t="s">
        <v>333</v>
      </c>
      <c r="CZ220">
        <v>2.3656299999999999</v>
      </c>
      <c r="DA220">
        <v>2.7138399999999998</v>
      </c>
      <c r="DB220">
        <v>8.251E-2</v>
      </c>
      <c r="DC220">
        <v>0.145707</v>
      </c>
      <c r="DD220">
        <v>0.12526999999999999</v>
      </c>
      <c r="DE220">
        <v>1.4243400000000001E-3</v>
      </c>
      <c r="DF220">
        <v>33519.800000000003</v>
      </c>
      <c r="DG220">
        <v>27531</v>
      </c>
      <c r="DH220">
        <v>31186.1</v>
      </c>
      <c r="DI220">
        <v>28078.6</v>
      </c>
      <c r="DJ220">
        <v>37019.199999999997</v>
      </c>
      <c r="DK220">
        <v>39859.199999999997</v>
      </c>
      <c r="DL220">
        <v>44378.7</v>
      </c>
      <c r="DM220">
        <v>42536.2</v>
      </c>
      <c r="DN220">
        <v>1.4870699999999999</v>
      </c>
      <c r="DO220">
        <v>2.05965</v>
      </c>
      <c r="DP220">
        <v>0.109926</v>
      </c>
      <c r="DQ220">
        <v>0.16304099999999999</v>
      </c>
      <c r="DR220">
        <v>25.196899999999999</v>
      </c>
      <c r="DS220">
        <v>25.1312</v>
      </c>
      <c r="DT220">
        <v>29.5</v>
      </c>
      <c r="DU220">
        <v>26</v>
      </c>
      <c r="DV220">
        <v>10.0854</v>
      </c>
      <c r="DW220">
        <v>61.540100000000002</v>
      </c>
      <c r="DX220">
        <v>37.183500000000002</v>
      </c>
      <c r="DY220">
        <v>1</v>
      </c>
      <c r="DZ220">
        <v>-0.16564499999999999</v>
      </c>
      <c r="EA220">
        <v>-0.573322</v>
      </c>
      <c r="EB220">
        <v>20.1891</v>
      </c>
      <c r="EC220">
        <v>5.2408000000000001</v>
      </c>
      <c r="ED220">
        <v>12.039899999999999</v>
      </c>
      <c r="EE220">
        <v>5.01335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1.86876</v>
      </c>
      <c r="EL220">
        <v>1.86446</v>
      </c>
      <c r="EM220">
        <v>1.8691199999999999</v>
      </c>
      <c r="EN220">
        <v>1.8670800000000001</v>
      </c>
      <c r="EO220">
        <v>1.8632500000000001</v>
      </c>
      <c r="EP220">
        <v>1.8642799999999999</v>
      </c>
      <c r="EQ220">
        <v>1.8701000000000001</v>
      </c>
      <c r="ER220">
        <v>1.8693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-1.0609999999999999</v>
      </c>
      <c r="FG220">
        <v>0.18279999999999999</v>
      </c>
      <c r="FH220">
        <v>-0.81947142863283695</v>
      </c>
      <c r="FI220">
        <v>-6.1462078757559423E-4</v>
      </c>
      <c r="FJ220">
        <v>-1.8861989874597051E-7</v>
      </c>
      <c r="FK220">
        <v>1.1980462299894961E-10</v>
      </c>
      <c r="FL220">
        <v>0.18283500000000069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41.7</v>
      </c>
      <c r="FU220">
        <v>41.7</v>
      </c>
      <c r="FV220">
        <v>1.7626999999999999</v>
      </c>
      <c r="FW220">
        <v>2.5659200000000002</v>
      </c>
      <c r="FX220">
        <v>1.5490699999999999</v>
      </c>
      <c r="FY220">
        <v>2.34375</v>
      </c>
      <c r="FZ220">
        <v>1.50146</v>
      </c>
      <c r="GA220">
        <v>2.2985799999999998</v>
      </c>
      <c r="GB220">
        <v>31.150400000000001</v>
      </c>
      <c r="GC220">
        <v>23.982399999999998</v>
      </c>
      <c r="GD220">
        <v>19</v>
      </c>
      <c r="GE220">
        <v>283.46899999999999</v>
      </c>
      <c r="GF220">
        <v>591.84100000000001</v>
      </c>
      <c r="GG220">
        <v>25.624600000000001</v>
      </c>
      <c r="GH220">
        <v>25.342700000000001</v>
      </c>
      <c r="GI220">
        <v>30.000299999999999</v>
      </c>
      <c r="GJ220">
        <v>25.447500000000002</v>
      </c>
      <c r="GK220">
        <v>25.414999999999999</v>
      </c>
      <c r="GL220">
        <v>35.246400000000001</v>
      </c>
      <c r="GM220">
        <v>100</v>
      </c>
      <c r="GN220">
        <v>0</v>
      </c>
      <c r="GO220">
        <v>25.611499999999999</v>
      </c>
      <c r="GP220">
        <v>800</v>
      </c>
      <c r="GQ220">
        <v>0</v>
      </c>
      <c r="GR220">
        <v>99.779399999999995</v>
      </c>
      <c r="GS220">
        <v>99.526700000000005</v>
      </c>
    </row>
    <row r="221" spans="1:201" x14ac:dyDescent="0.25">
      <c r="A221">
        <v>205</v>
      </c>
      <c r="B221">
        <v>1690375926.0999999</v>
      </c>
      <c r="C221">
        <v>2106.599999904633</v>
      </c>
      <c r="D221" t="s">
        <v>743</v>
      </c>
      <c r="E221" t="s">
        <v>744</v>
      </c>
      <c r="F221" t="s">
        <v>330</v>
      </c>
      <c r="H221">
        <v>1690375926.0999999</v>
      </c>
      <c r="I221">
        <f t="shared" si="90"/>
        <v>2.818322652667681E-3</v>
      </c>
      <c r="J221">
        <f t="shared" si="91"/>
        <v>2.818322652667681</v>
      </c>
      <c r="K221">
        <f t="shared" si="92"/>
        <v>43.058972341855544</v>
      </c>
      <c r="L221">
        <f t="shared" si="93"/>
        <v>359.42099999999999</v>
      </c>
      <c r="M221">
        <f t="shared" si="94"/>
        <v>97.580536078011036</v>
      </c>
      <c r="N221">
        <f t="shared" si="95"/>
        <v>9.6396380269496458</v>
      </c>
      <c r="O221">
        <f t="shared" si="96"/>
        <v>35.505936721995596</v>
      </c>
      <c r="P221">
        <f t="shared" si="97"/>
        <v>0.28293948651916762</v>
      </c>
      <c r="Q221">
        <f t="shared" si="98"/>
        <v>2.2518775329269838</v>
      </c>
      <c r="R221">
        <f t="shared" si="99"/>
        <v>0.26456933458648735</v>
      </c>
      <c r="S221">
        <f t="shared" si="100"/>
        <v>0.16690682783693972</v>
      </c>
      <c r="T221">
        <f t="shared" si="101"/>
        <v>276.11474274000005</v>
      </c>
      <c r="U221">
        <f t="shared" si="102"/>
        <v>27.756012132653332</v>
      </c>
      <c r="V221">
        <f t="shared" si="103"/>
        <v>27.756012132653332</v>
      </c>
      <c r="W221">
        <f t="shared" si="104"/>
        <v>3.7411969328826995</v>
      </c>
      <c r="X221">
        <f t="shared" si="105"/>
        <v>77.833248206512053</v>
      </c>
      <c r="Y221">
        <f t="shared" si="106"/>
        <v>2.72330626529136</v>
      </c>
      <c r="Z221">
        <f t="shared" si="107"/>
        <v>3.4988983860286971</v>
      </c>
      <c r="AA221">
        <f t="shared" si="108"/>
        <v>1.0178906675913395</v>
      </c>
      <c r="AB221">
        <f t="shared" si="109"/>
        <v>-124.28802898264473</v>
      </c>
      <c r="AC221">
        <f t="shared" si="110"/>
        <v>-138.59539067057068</v>
      </c>
      <c r="AD221">
        <f t="shared" si="111"/>
        <v>-13.307137759144775</v>
      </c>
      <c r="AE221">
        <f t="shared" si="112"/>
        <v>-7.5814672360138502E-2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52362.508081048509</v>
      </c>
      <c r="AK221">
        <f t="shared" si="116"/>
        <v>1800</v>
      </c>
      <c r="AL221">
        <f t="shared" si="117"/>
        <v>1499.1102449999998</v>
      </c>
      <c r="AM221">
        <f t="shared" si="118"/>
        <v>0.83283902499999996</v>
      </c>
      <c r="AN221">
        <f t="shared" si="119"/>
        <v>0.15339707930000002</v>
      </c>
      <c r="AO221">
        <v>30</v>
      </c>
      <c r="AP221">
        <v>0.5</v>
      </c>
      <c r="AQ221" t="s">
        <v>331</v>
      </c>
      <c r="AR221">
        <v>2</v>
      </c>
      <c r="AS221">
        <v>1690375926.0999999</v>
      </c>
      <c r="AT221">
        <v>359.42099999999999</v>
      </c>
      <c r="AU221">
        <v>800.01700000000005</v>
      </c>
      <c r="AV221">
        <v>27.567599999999999</v>
      </c>
      <c r="AW221">
        <v>0.168989</v>
      </c>
      <c r="AX221">
        <v>360.48099999999999</v>
      </c>
      <c r="AY221">
        <v>27.384699999999999</v>
      </c>
      <c r="AZ221">
        <v>300.084</v>
      </c>
      <c r="BA221">
        <v>98.686499999999995</v>
      </c>
      <c r="BB221">
        <v>9.9983600000000006E-2</v>
      </c>
      <c r="BC221">
        <v>26.6144</v>
      </c>
      <c r="BD221">
        <v>26.994599999999998</v>
      </c>
      <c r="BE221">
        <v>27.785699999999999</v>
      </c>
      <c r="BF221">
        <v>0</v>
      </c>
      <c r="BG221">
        <v>0</v>
      </c>
      <c r="BH221">
        <v>10022.5</v>
      </c>
      <c r="BI221">
        <v>1085.45</v>
      </c>
      <c r="BJ221">
        <v>1.4016500000000001</v>
      </c>
      <c r="BK221">
        <v>-440.596</v>
      </c>
      <c r="BL221">
        <v>369.61</v>
      </c>
      <c r="BM221">
        <v>800.15300000000002</v>
      </c>
      <c r="BN221">
        <v>27.398599999999998</v>
      </c>
      <c r="BO221">
        <v>800.01700000000005</v>
      </c>
      <c r="BP221">
        <v>0.168989</v>
      </c>
      <c r="BQ221">
        <v>2.7205499999999998</v>
      </c>
      <c r="BR221">
        <v>1.6676900000000001E-2</v>
      </c>
      <c r="BS221">
        <v>22.409800000000001</v>
      </c>
      <c r="BT221">
        <v>-41.160600000000002</v>
      </c>
      <c r="BU221">
        <v>1800</v>
      </c>
      <c r="BV221">
        <v>0.91000199999999998</v>
      </c>
      <c r="BW221">
        <v>3.4009299999999999E-2</v>
      </c>
      <c r="BX221">
        <v>2.1995500000000001E-2</v>
      </c>
      <c r="BY221">
        <v>3.3993000000000002E-2</v>
      </c>
      <c r="BZ221">
        <v>25</v>
      </c>
      <c r="CA221">
        <v>33528.300000000003</v>
      </c>
      <c r="CB221">
        <v>1690373417</v>
      </c>
      <c r="CC221" t="s">
        <v>332</v>
      </c>
      <c r="CD221">
        <v>1690373417</v>
      </c>
      <c r="CE221">
        <v>1690373415</v>
      </c>
      <c r="CF221">
        <v>1</v>
      </c>
      <c r="CG221">
        <v>-1.319</v>
      </c>
      <c r="CH221">
        <v>0.01</v>
      </c>
      <c r="CI221">
        <v>-1.371</v>
      </c>
      <c r="CJ221">
        <v>0.183</v>
      </c>
      <c r="CK221">
        <v>800</v>
      </c>
      <c r="CL221">
        <v>21</v>
      </c>
      <c r="CM221">
        <v>0.09</v>
      </c>
      <c r="CN221">
        <v>7.0000000000000007E-2</v>
      </c>
      <c r="CO221">
        <v>-440.20521951219507</v>
      </c>
      <c r="CP221">
        <v>-2.0824808362379188</v>
      </c>
      <c r="CQ221">
        <v>0.21201409435374841</v>
      </c>
      <c r="CR221">
        <v>-1</v>
      </c>
      <c r="CS221">
        <v>27.385709756097562</v>
      </c>
      <c r="CT221">
        <v>6.3397212543540096E-2</v>
      </c>
      <c r="CU221">
        <v>6.4864889551206296E-3</v>
      </c>
      <c r="CV221">
        <v>-1</v>
      </c>
      <c r="CW221">
        <v>0</v>
      </c>
      <c r="CX221">
        <v>0</v>
      </c>
      <c r="CY221" t="s">
        <v>333</v>
      </c>
      <c r="CZ221">
        <v>2.3652799999999998</v>
      </c>
      <c r="DA221">
        <v>2.7137899999999999</v>
      </c>
      <c r="DB221">
        <v>8.2443799999999998E-2</v>
      </c>
      <c r="DC221">
        <v>0.14570900000000001</v>
      </c>
      <c r="DD221">
        <v>0.125308</v>
      </c>
      <c r="DE221">
        <v>1.4204700000000001E-3</v>
      </c>
      <c r="DF221">
        <v>33522.300000000003</v>
      </c>
      <c r="DG221">
        <v>27530.9</v>
      </c>
      <c r="DH221">
        <v>31186.1</v>
      </c>
      <c r="DI221">
        <v>28078.6</v>
      </c>
      <c r="DJ221">
        <v>37017.5</v>
      </c>
      <c r="DK221">
        <v>39859.4</v>
      </c>
      <c r="DL221">
        <v>44378.6</v>
      </c>
      <c r="DM221">
        <v>42536.3</v>
      </c>
      <c r="DN221">
        <v>1.48682</v>
      </c>
      <c r="DO221">
        <v>2.0596000000000001</v>
      </c>
      <c r="DP221">
        <v>0.10979899999999999</v>
      </c>
      <c r="DQ221">
        <v>0.16216900000000001</v>
      </c>
      <c r="DR221">
        <v>25.196300000000001</v>
      </c>
      <c r="DS221">
        <v>25.1312</v>
      </c>
      <c r="DT221">
        <v>29.5</v>
      </c>
      <c r="DU221">
        <v>26</v>
      </c>
      <c r="DV221">
        <v>10.086399999999999</v>
      </c>
      <c r="DW221">
        <v>61.200099999999999</v>
      </c>
      <c r="DX221">
        <v>37.508000000000003</v>
      </c>
      <c r="DY221">
        <v>1</v>
      </c>
      <c r="DZ221">
        <v>-0.165711</v>
      </c>
      <c r="EA221">
        <v>-0.65522899999999995</v>
      </c>
      <c r="EB221">
        <v>20.188800000000001</v>
      </c>
      <c r="EC221">
        <v>5.2409499999999998</v>
      </c>
      <c r="ED221">
        <v>12.039899999999999</v>
      </c>
      <c r="EE221">
        <v>5.01335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1.86876</v>
      </c>
      <c r="EL221">
        <v>1.86446</v>
      </c>
      <c r="EM221">
        <v>1.8690899999999999</v>
      </c>
      <c r="EN221">
        <v>1.8671</v>
      </c>
      <c r="EO221">
        <v>1.8632500000000001</v>
      </c>
      <c r="EP221">
        <v>1.86426</v>
      </c>
      <c r="EQ221">
        <v>1.87009</v>
      </c>
      <c r="ER221">
        <v>1.8693200000000001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-1.06</v>
      </c>
      <c r="FG221">
        <v>0.18290000000000001</v>
      </c>
      <c r="FH221">
        <v>-0.81947142863283695</v>
      </c>
      <c r="FI221">
        <v>-6.1462078757559423E-4</v>
      </c>
      <c r="FJ221">
        <v>-1.8861989874597051E-7</v>
      </c>
      <c r="FK221">
        <v>1.1980462299894961E-10</v>
      </c>
      <c r="FL221">
        <v>0.18283500000000069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41.8</v>
      </c>
      <c r="FU221">
        <v>41.9</v>
      </c>
      <c r="FV221">
        <v>1.7626999999999999</v>
      </c>
      <c r="FW221">
        <v>2.5659200000000002</v>
      </c>
      <c r="FX221">
        <v>1.5490699999999999</v>
      </c>
      <c r="FY221">
        <v>2.34375</v>
      </c>
      <c r="FZ221">
        <v>1.50146</v>
      </c>
      <c r="GA221">
        <v>2.3339799999999999</v>
      </c>
      <c r="GB221">
        <v>31.150400000000001</v>
      </c>
      <c r="GC221">
        <v>23.982399999999998</v>
      </c>
      <c r="GD221">
        <v>19</v>
      </c>
      <c r="GE221">
        <v>283.37200000000001</v>
      </c>
      <c r="GF221">
        <v>591.82399999999996</v>
      </c>
      <c r="GG221">
        <v>25.621500000000001</v>
      </c>
      <c r="GH221">
        <v>25.344799999999999</v>
      </c>
      <c r="GI221">
        <v>30.0001</v>
      </c>
      <c r="GJ221">
        <v>25.449400000000001</v>
      </c>
      <c r="GK221">
        <v>25.417100000000001</v>
      </c>
      <c r="GL221">
        <v>35.246699999999997</v>
      </c>
      <c r="GM221">
        <v>100</v>
      </c>
      <c r="GN221">
        <v>0</v>
      </c>
      <c r="GO221">
        <v>25.631799999999998</v>
      </c>
      <c r="GP221">
        <v>800</v>
      </c>
      <c r="GQ221">
        <v>0</v>
      </c>
      <c r="GR221">
        <v>99.779399999999995</v>
      </c>
      <c r="GS221">
        <v>99.526799999999994</v>
      </c>
    </row>
    <row r="222" spans="1:201" x14ac:dyDescent="0.25">
      <c r="A222">
        <v>206</v>
      </c>
      <c r="B222">
        <v>1690375936.0999999</v>
      </c>
      <c r="C222">
        <v>2116.599999904633</v>
      </c>
      <c r="D222" t="s">
        <v>745</v>
      </c>
      <c r="E222" t="s">
        <v>746</v>
      </c>
      <c r="F222" t="s">
        <v>330</v>
      </c>
      <c r="H222">
        <v>1690375936.0999999</v>
      </c>
      <c r="I222">
        <f t="shared" si="90"/>
        <v>2.8200399366502633E-3</v>
      </c>
      <c r="J222">
        <f t="shared" si="91"/>
        <v>2.8200399366502631</v>
      </c>
      <c r="K222">
        <f t="shared" si="92"/>
        <v>43.084417849028448</v>
      </c>
      <c r="L222">
        <f t="shared" si="93"/>
        <v>359.09300000000002</v>
      </c>
      <c r="M222">
        <f t="shared" si="94"/>
        <v>97.381650763549658</v>
      </c>
      <c r="N222">
        <f t="shared" si="95"/>
        <v>9.6200459154178333</v>
      </c>
      <c r="O222">
        <f t="shared" si="96"/>
        <v>35.473737822466305</v>
      </c>
      <c r="P222">
        <f t="shared" si="97"/>
        <v>0.28330886732820815</v>
      </c>
      <c r="Q222">
        <f t="shared" si="98"/>
        <v>2.2452830332500837</v>
      </c>
      <c r="R222">
        <f t="shared" si="99"/>
        <v>0.26484208474331683</v>
      </c>
      <c r="S222">
        <f t="shared" si="100"/>
        <v>0.16708505897515347</v>
      </c>
      <c r="T222">
        <f t="shared" si="101"/>
        <v>276.11471439000002</v>
      </c>
      <c r="U222">
        <f t="shared" si="102"/>
        <v>27.763595824602138</v>
      </c>
      <c r="V222">
        <f t="shared" si="103"/>
        <v>27.763595824602138</v>
      </c>
      <c r="W222">
        <f t="shared" si="104"/>
        <v>3.7428542530550533</v>
      </c>
      <c r="X222">
        <f t="shared" si="105"/>
        <v>77.869871848124347</v>
      </c>
      <c r="Y222">
        <f t="shared" si="106"/>
        <v>2.7254062615051704</v>
      </c>
      <c r="Z222">
        <f t="shared" si="107"/>
        <v>3.4999495913140084</v>
      </c>
      <c r="AA222">
        <f t="shared" si="108"/>
        <v>1.0174479915498829</v>
      </c>
      <c r="AB222">
        <f t="shared" si="109"/>
        <v>-124.36376120627661</v>
      </c>
      <c r="AC222">
        <f t="shared" si="110"/>
        <v>-138.49016687611973</v>
      </c>
      <c r="AD222">
        <f t="shared" si="111"/>
        <v>-13.336934233233546</v>
      </c>
      <c r="AE222">
        <f t="shared" si="112"/>
        <v>-7.6147925629840074E-2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52105.079222000168</v>
      </c>
      <c r="AK222">
        <f t="shared" si="116"/>
        <v>1800</v>
      </c>
      <c r="AL222">
        <f t="shared" si="117"/>
        <v>1499.1101099999998</v>
      </c>
      <c r="AM222">
        <f t="shared" si="118"/>
        <v>0.83283894999999997</v>
      </c>
      <c r="AN222">
        <f t="shared" si="119"/>
        <v>0.15339706355000002</v>
      </c>
      <c r="AO222">
        <v>30</v>
      </c>
      <c r="AP222">
        <v>0.5</v>
      </c>
      <c r="AQ222" t="s">
        <v>331</v>
      </c>
      <c r="AR222">
        <v>2</v>
      </c>
      <c r="AS222">
        <v>1690375936.0999999</v>
      </c>
      <c r="AT222">
        <v>359.09300000000002</v>
      </c>
      <c r="AU222">
        <v>800.02700000000004</v>
      </c>
      <c r="AV222">
        <v>27.588699999999999</v>
      </c>
      <c r="AW222">
        <v>0.168598</v>
      </c>
      <c r="AX222">
        <v>360.15199999999999</v>
      </c>
      <c r="AY222">
        <v>27.405899999999999</v>
      </c>
      <c r="AZ222">
        <v>300.02499999999998</v>
      </c>
      <c r="BA222">
        <v>98.687100000000001</v>
      </c>
      <c r="BB222">
        <v>9.9949099999999999E-2</v>
      </c>
      <c r="BC222">
        <v>26.619499999999999</v>
      </c>
      <c r="BD222">
        <v>26.985700000000001</v>
      </c>
      <c r="BE222">
        <v>27.798100000000002</v>
      </c>
      <c r="BF222">
        <v>0</v>
      </c>
      <c r="BG222">
        <v>0</v>
      </c>
      <c r="BH222">
        <v>9971.25</v>
      </c>
      <c r="BI222">
        <v>1085.52</v>
      </c>
      <c r="BJ222">
        <v>1.4016500000000001</v>
      </c>
      <c r="BK222">
        <v>-440.935</v>
      </c>
      <c r="BL222">
        <v>369.28100000000001</v>
      </c>
      <c r="BM222">
        <v>800.16200000000003</v>
      </c>
      <c r="BN222">
        <v>27.420100000000001</v>
      </c>
      <c r="BO222">
        <v>800.02700000000004</v>
      </c>
      <c r="BP222">
        <v>0.168598</v>
      </c>
      <c r="BQ222">
        <v>2.7226499999999998</v>
      </c>
      <c r="BR222">
        <v>1.6638400000000001E-2</v>
      </c>
      <c r="BS222">
        <v>22.422499999999999</v>
      </c>
      <c r="BT222">
        <v>-41.182499999999997</v>
      </c>
      <c r="BU222">
        <v>1800</v>
      </c>
      <c r="BV222">
        <v>0.91000199999999998</v>
      </c>
      <c r="BW222">
        <v>3.4009299999999999E-2</v>
      </c>
      <c r="BX222">
        <v>2.1995500000000001E-2</v>
      </c>
      <c r="BY222">
        <v>3.39929E-2</v>
      </c>
      <c r="BZ222">
        <v>25</v>
      </c>
      <c r="CA222">
        <v>33528.300000000003</v>
      </c>
      <c r="CB222">
        <v>1690373417</v>
      </c>
      <c r="CC222" t="s">
        <v>332</v>
      </c>
      <c r="CD222">
        <v>1690373417</v>
      </c>
      <c r="CE222">
        <v>1690373415</v>
      </c>
      <c r="CF222">
        <v>1</v>
      </c>
      <c r="CG222">
        <v>-1.319</v>
      </c>
      <c r="CH222">
        <v>0.01</v>
      </c>
      <c r="CI222">
        <v>-1.371</v>
      </c>
      <c r="CJ222">
        <v>0.183</v>
      </c>
      <c r="CK222">
        <v>800</v>
      </c>
      <c r="CL222">
        <v>21</v>
      </c>
      <c r="CM222">
        <v>0.09</v>
      </c>
      <c r="CN222">
        <v>7.0000000000000007E-2</v>
      </c>
      <c r="CO222">
        <v>-440.54253658536578</v>
      </c>
      <c r="CP222">
        <v>-2.1540000000001949</v>
      </c>
      <c r="CQ222">
        <v>0.21805918838040469</v>
      </c>
      <c r="CR222">
        <v>-1</v>
      </c>
      <c r="CS222">
        <v>27.399409756097558</v>
      </c>
      <c r="CT222">
        <v>0.1033505226481025</v>
      </c>
      <c r="CU222">
        <v>1.033128813723932E-2</v>
      </c>
      <c r="CV222">
        <v>-1</v>
      </c>
      <c r="CW222">
        <v>0</v>
      </c>
      <c r="CX222">
        <v>0</v>
      </c>
      <c r="CY222" t="s">
        <v>333</v>
      </c>
      <c r="CZ222">
        <v>2.36511</v>
      </c>
      <c r="DA222">
        <v>2.7137099999999998</v>
      </c>
      <c r="DB222">
        <v>8.2385299999999995E-2</v>
      </c>
      <c r="DC222">
        <v>0.14571100000000001</v>
      </c>
      <c r="DD222">
        <v>0.12537499999999999</v>
      </c>
      <c r="DE222">
        <v>1.41723E-3</v>
      </c>
      <c r="DF222">
        <v>33524.5</v>
      </c>
      <c r="DG222">
        <v>27531.4</v>
      </c>
      <c r="DH222">
        <v>31186.2</v>
      </c>
      <c r="DI222">
        <v>28079.200000000001</v>
      </c>
      <c r="DJ222">
        <v>37014.9</v>
      </c>
      <c r="DK222">
        <v>39860.400000000001</v>
      </c>
      <c r="DL222">
        <v>44379</v>
      </c>
      <c r="DM222">
        <v>42537.2</v>
      </c>
      <c r="DN222">
        <v>1.48655</v>
      </c>
      <c r="DO222">
        <v>2.05945</v>
      </c>
      <c r="DP222">
        <v>0.109345</v>
      </c>
      <c r="DQ222">
        <v>0.16292899999999999</v>
      </c>
      <c r="DR222">
        <v>25.194800000000001</v>
      </c>
      <c r="DS222">
        <v>25.1312</v>
      </c>
      <c r="DT222">
        <v>29.4</v>
      </c>
      <c r="DU222">
        <v>26</v>
      </c>
      <c r="DV222">
        <v>10.0532</v>
      </c>
      <c r="DW222">
        <v>61.7301</v>
      </c>
      <c r="DX222">
        <v>37.728400000000001</v>
      </c>
      <c r="DY222">
        <v>1</v>
      </c>
      <c r="DZ222">
        <v>-0.165655</v>
      </c>
      <c r="EA222">
        <v>-0.63491799999999998</v>
      </c>
      <c r="EB222">
        <v>20.1892</v>
      </c>
      <c r="EC222">
        <v>5.2409499999999998</v>
      </c>
      <c r="ED222">
        <v>12.039899999999999</v>
      </c>
      <c r="EE222">
        <v>5.0133999999999999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1.8687800000000001</v>
      </c>
      <c r="EL222">
        <v>1.8644700000000001</v>
      </c>
      <c r="EM222">
        <v>1.8691</v>
      </c>
      <c r="EN222">
        <v>1.8671</v>
      </c>
      <c r="EO222">
        <v>1.8632500000000001</v>
      </c>
      <c r="EP222">
        <v>1.8642799999999999</v>
      </c>
      <c r="EQ222">
        <v>1.87008</v>
      </c>
      <c r="ER222">
        <v>1.86931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-1.0589999999999999</v>
      </c>
      <c r="FG222">
        <v>0.18279999999999999</v>
      </c>
      <c r="FH222">
        <v>-0.81947142863283695</v>
      </c>
      <c r="FI222">
        <v>-6.1462078757559423E-4</v>
      </c>
      <c r="FJ222">
        <v>-1.8861989874597051E-7</v>
      </c>
      <c r="FK222">
        <v>1.1980462299894961E-10</v>
      </c>
      <c r="FL222">
        <v>0.18283500000000069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42</v>
      </c>
      <c r="FU222">
        <v>42</v>
      </c>
      <c r="FV222">
        <v>1.7626999999999999</v>
      </c>
      <c r="FW222">
        <v>2.5647000000000002</v>
      </c>
      <c r="FX222">
        <v>1.5490699999999999</v>
      </c>
      <c r="FY222">
        <v>2.34375</v>
      </c>
      <c r="FZ222">
        <v>1.50146</v>
      </c>
      <c r="GA222">
        <v>2.34985</v>
      </c>
      <c r="GB222">
        <v>31.150400000000001</v>
      </c>
      <c r="GC222">
        <v>23.982399999999998</v>
      </c>
      <c r="GD222">
        <v>19</v>
      </c>
      <c r="GE222">
        <v>283.26299999999998</v>
      </c>
      <c r="GF222">
        <v>591.69899999999996</v>
      </c>
      <c r="GG222">
        <v>25.633199999999999</v>
      </c>
      <c r="GH222">
        <v>25.345500000000001</v>
      </c>
      <c r="GI222">
        <v>30.0002</v>
      </c>
      <c r="GJ222">
        <v>25.4512</v>
      </c>
      <c r="GK222">
        <v>25.417100000000001</v>
      </c>
      <c r="GL222">
        <v>35.246099999999998</v>
      </c>
      <c r="GM222">
        <v>100</v>
      </c>
      <c r="GN222">
        <v>0</v>
      </c>
      <c r="GO222">
        <v>25.633299999999998</v>
      </c>
      <c r="GP222">
        <v>800</v>
      </c>
      <c r="GQ222">
        <v>0</v>
      </c>
      <c r="GR222">
        <v>99.78</v>
      </c>
      <c r="GS222">
        <v>99.528899999999993</v>
      </c>
    </row>
    <row r="223" spans="1:201" x14ac:dyDescent="0.25">
      <c r="A223">
        <v>207</v>
      </c>
      <c r="B223">
        <v>1690375946.0999999</v>
      </c>
      <c r="C223">
        <v>2126.599999904633</v>
      </c>
      <c r="D223" t="s">
        <v>747</v>
      </c>
      <c r="E223" t="s">
        <v>748</v>
      </c>
      <c r="F223" t="s">
        <v>330</v>
      </c>
      <c r="H223">
        <v>1690375946.0999999</v>
      </c>
      <c r="I223">
        <f t="shared" si="90"/>
        <v>2.8209126054800026E-3</v>
      </c>
      <c r="J223">
        <f t="shared" si="91"/>
        <v>2.8209126054800024</v>
      </c>
      <c r="K223">
        <f t="shared" si="92"/>
        <v>43.123889865347081</v>
      </c>
      <c r="L223">
        <f t="shared" si="93"/>
        <v>358.745</v>
      </c>
      <c r="M223">
        <f t="shared" si="94"/>
        <v>97.270655445742094</v>
      </c>
      <c r="N223">
        <f t="shared" si="95"/>
        <v>9.6095124886811334</v>
      </c>
      <c r="O223">
        <f t="shared" si="96"/>
        <v>35.440951250450503</v>
      </c>
      <c r="P223">
        <f t="shared" si="97"/>
        <v>0.28383047193665339</v>
      </c>
      <c r="Q223">
        <f t="shared" si="98"/>
        <v>2.2477591687145195</v>
      </c>
      <c r="R223">
        <f t="shared" si="99"/>
        <v>0.26531700026119603</v>
      </c>
      <c r="S223">
        <f t="shared" si="100"/>
        <v>0.16738575287502686</v>
      </c>
      <c r="T223">
        <f t="shared" si="101"/>
        <v>276.11478021599999</v>
      </c>
      <c r="U223">
        <f t="shared" si="102"/>
        <v>27.760457848556602</v>
      </c>
      <c r="V223">
        <f t="shared" si="103"/>
        <v>27.760457848556602</v>
      </c>
      <c r="W223">
        <f t="shared" si="104"/>
        <v>3.7421684103106649</v>
      </c>
      <c r="X223">
        <f t="shared" si="105"/>
        <v>77.899797647222229</v>
      </c>
      <c r="Y223">
        <f t="shared" si="106"/>
        <v>2.72618066326097</v>
      </c>
      <c r="Z223">
        <f t="shared" si="107"/>
        <v>3.4995991589179449</v>
      </c>
      <c r="AA223">
        <f t="shared" si="108"/>
        <v>1.015987747049695</v>
      </c>
      <c r="AB223">
        <f t="shared" si="109"/>
        <v>-124.40224590166811</v>
      </c>
      <c r="AC223">
        <f t="shared" si="110"/>
        <v>-138.46864048331224</v>
      </c>
      <c r="AD223">
        <f t="shared" si="111"/>
        <v>-13.319849357636361</v>
      </c>
      <c r="AE223">
        <f t="shared" si="112"/>
        <v>-7.5955526616724001E-2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52201.718982614591</v>
      </c>
      <c r="AK223">
        <f t="shared" si="116"/>
        <v>1800</v>
      </c>
      <c r="AL223">
        <f t="shared" si="117"/>
        <v>1499.1110765999999</v>
      </c>
      <c r="AM223">
        <f t="shared" si="118"/>
        <v>0.83283948699999999</v>
      </c>
      <c r="AN223">
        <f t="shared" si="119"/>
        <v>0.15339710011999999</v>
      </c>
      <c r="AO223">
        <v>30</v>
      </c>
      <c r="AP223">
        <v>0.5</v>
      </c>
      <c r="AQ223" t="s">
        <v>331</v>
      </c>
      <c r="AR223">
        <v>2</v>
      </c>
      <c r="AS223">
        <v>1690375946.0999999</v>
      </c>
      <c r="AT223">
        <v>358.745</v>
      </c>
      <c r="AU223">
        <v>800.04200000000003</v>
      </c>
      <c r="AV223">
        <v>27.595300000000002</v>
      </c>
      <c r="AW223">
        <v>0.16845299999999999</v>
      </c>
      <c r="AX223">
        <v>359.80399999999997</v>
      </c>
      <c r="AY223">
        <v>27.412400000000002</v>
      </c>
      <c r="AZ223">
        <v>300.04199999999997</v>
      </c>
      <c r="BA223">
        <v>98.691500000000005</v>
      </c>
      <c r="BB223">
        <v>9.9984900000000002E-2</v>
      </c>
      <c r="BC223">
        <v>26.617799999999999</v>
      </c>
      <c r="BD223">
        <v>26.9999</v>
      </c>
      <c r="BE223">
        <v>27.7852</v>
      </c>
      <c r="BF223">
        <v>0</v>
      </c>
      <c r="BG223">
        <v>0</v>
      </c>
      <c r="BH223">
        <v>9990</v>
      </c>
      <c r="BI223">
        <v>1085.56</v>
      </c>
      <c r="BJ223">
        <v>1.4016500000000001</v>
      </c>
      <c r="BK223">
        <v>-441.29700000000003</v>
      </c>
      <c r="BL223">
        <v>368.92500000000001</v>
      </c>
      <c r="BM223">
        <v>800.17700000000002</v>
      </c>
      <c r="BN223">
        <v>27.4268</v>
      </c>
      <c r="BO223">
        <v>800.04200000000003</v>
      </c>
      <c r="BP223">
        <v>0.16845299999999999</v>
      </c>
      <c r="BQ223">
        <v>2.72342</v>
      </c>
      <c r="BR223">
        <v>1.6624799999999999E-2</v>
      </c>
      <c r="BS223">
        <v>22.427099999999999</v>
      </c>
      <c r="BT223">
        <v>-41.190199999999997</v>
      </c>
      <c r="BU223">
        <v>1800</v>
      </c>
      <c r="BV223">
        <v>0.91000400000000004</v>
      </c>
      <c r="BW223">
        <v>3.4008700000000003E-2</v>
      </c>
      <c r="BX223">
        <v>2.19951E-2</v>
      </c>
      <c r="BY223">
        <v>3.3992399999999999E-2</v>
      </c>
      <c r="BZ223">
        <v>25</v>
      </c>
      <c r="CA223">
        <v>33528.5</v>
      </c>
      <c r="CB223">
        <v>1690373417</v>
      </c>
      <c r="CC223" t="s">
        <v>332</v>
      </c>
      <c r="CD223">
        <v>1690373417</v>
      </c>
      <c r="CE223">
        <v>1690373415</v>
      </c>
      <c r="CF223">
        <v>1</v>
      </c>
      <c r="CG223">
        <v>-1.319</v>
      </c>
      <c r="CH223">
        <v>0.01</v>
      </c>
      <c r="CI223">
        <v>-1.371</v>
      </c>
      <c r="CJ223">
        <v>0.183</v>
      </c>
      <c r="CK223">
        <v>800</v>
      </c>
      <c r="CL223">
        <v>21</v>
      </c>
      <c r="CM223">
        <v>0.09</v>
      </c>
      <c r="CN223">
        <v>7.0000000000000007E-2</v>
      </c>
      <c r="CO223">
        <v>-440.88178048780492</v>
      </c>
      <c r="CP223">
        <v>-2.097721254354155</v>
      </c>
      <c r="CQ223">
        <v>0.2105491672137281</v>
      </c>
      <c r="CR223">
        <v>-1</v>
      </c>
      <c r="CS223">
        <v>27.41388292682926</v>
      </c>
      <c r="CT223">
        <v>9.8111498257759125E-2</v>
      </c>
      <c r="CU223">
        <v>9.9247387982840454E-3</v>
      </c>
      <c r="CV223">
        <v>-1</v>
      </c>
      <c r="CW223">
        <v>0</v>
      </c>
      <c r="CX223">
        <v>0</v>
      </c>
      <c r="CY223" t="s">
        <v>333</v>
      </c>
      <c r="CZ223">
        <v>2.36517</v>
      </c>
      <c r="DA223">
        <v>2.7137699999999998</v>
      </c>
      <c r="DB223">
        <v>8.2326399999999994E-2</v>
      </c>
      <c r="DC223">
        <v>0.14571899999999999</v>
      </c>
      <c r="DD223">
        <v>0.12540100000000001</v>
      </c>
      <c r="DE223">
        <v>1.4160799999999999E-3</v>
      </c>
      <c r="DF223">
        <v>33527.199999999997</v>
      </c>
      <c r="DG223">
        <v>27531</v>
      </c>
      <c r="DH223">
        <v>31186.7</v>
      </c>
      <c r="DI223">
        <v>28079.1</v>
      </c>
      <c r="DJ223">
        <v>37014.300000000003</v>
      </c>
      <c r="DK223">
        <v>39860.400000000001</v>
      </c>
      <c r="DL223">
        <v>44379.6</v>
      </c>
      <c r="DM223">
        <v>42537.1</v>
      </c>
      <c r="DN223">
        <v>1.4867999999999999</v>
      </c>
      <c r="DO223">
        <v>2.0594199999999998</v>
      </c>
      <c r="DP223">
        <v>0.11021599999999999</v>
      </c>
      <c r="DQ223">
        <v>0.16226599999999999</v>
      </c>
      <c r="DR223">
        <v>25.194800000000001</v>
      </c>
      <c r="DS223">
        <v>25.129100000000001</v>
      </c>
      <c r="DT223">
        <v>29.4</v>
      </c>
      <c r="DU223">
        <v>26.1</v>
      </c>
      <c r="DV223">
        <v>10.1129</v>
      </c>
      <c r="DW223">
        <v>61.420099999999998</v>
      </c>
      <c r="DX223">
        <v>37.968800000000002</v>
      </c>
      <c r="DY223">
        <v>1</v>
      </c>
      <c r="DZ223">
        <v>-0.165716</v>
      </c>
      <c r="EA223">
        <v>-0.650675</v>
      </c>
      <c r="EB223">
        <v>20.189</v>
      </c>
      <c r="EC223">
        <v>5.2406499999999996</v>
      </c>
      <c r="ED223">
        <v>12.039899999999999</v>
      </c>
      <c r="EE223">
        <v>5.0136000000000003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1.8687499999999999</v>
      </c>
      <c r="EL223">
        <v>1.86446</v>
      </c>
      <c r="EM223">
        <v>1.8690800000000001</v>
      </c>
      <c r="EN223">
        <v>1.8671</v>
      </c>
      <c r="EO223">
        <v>1.8632500000000001</v>
      </c>
      <c r="EP223">
        <v>1.8642700000000001</v>
      </c>
      <c r="EQ223">
        <v>1.87008</v>
      </c>
      <c r="ER223">
        <v>1.86931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-1.0589999999999999</v>
      </c>
      <c r="FG223">
        <v>0.18290000000000001</v>
      </c>
      <c r="FH223">
        <v>-0.81947142863283695</v>
      </c>
      <c r="FI223">
        <v>-6.1462078757559423E-4</v>
      </c>
      <c r="FJ223">
        <v>-1.8861989874597051E-7</v>
      </c>
      <c r="FK223">
        <v>1.1980462299894961E-10</v>
      </c>
      <c r="FL223">
        <v>0.18283500000000069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42.2</v>
      </c>
      <c r="FU223">
        <v>42.2</v>
      </c>
      <c r="FV223">
        <v>1.7626999999999999</v>
      </c>
      <c r="FW223">
        <v>2.5622600000000002</v>
      </c>
      <c r="FX223">
        <v>1.5490699999999999</v>
      </c>
      <c r="FY223">
        <v>2.34253</v>
      </c>
      <c r="FZ223">
        <v>1.50146</v>
      </c>
      <c r="GA223">
        <v>2.3645</v>
      </c>
      <c r="GB223">
        <v>31.150400000000001</v>
      </c>
      <c r="GC223">
        <v>23.991199999999999</v>
      </c>
      <c r="GD223">
        <v>19</v>
      </c>
      <c r="GE223">
        <v>283.37099999999998</v>
      </c>
      <c r="GF223">
        <v>591.70299999999997</v>
      </c>
      <c r="GG223">
        <v>25.638999999999999</v>
      </c>
      <c r="GH223">
        <v>25.346900000000002</v>
      </c>
      <c r="GI223">
        <v>30.0001</v>
      </c>
      <c r="GJ223">
        <v>25.451499999999999</v>
      </c>
      <c r="GK223">
        <v>25.4192</v>
      </c>
      <c r="GL223">
        <v>35.247199999999999</v>
      </c>
      <c r="GM223">
        <v>100</v>
      </c>
      <c r="GN223">
        <v>0</v>
      </c>
      <c r="GO223">
        <v>25.646000000000001</v>
      </c>
      <c r="GP223">
        <v>800</v>
      </c>
      <c r="GQ223">
        <v>0</v>
      </c>
      <c r="GR223">
        <v>99.781400000000005</v>
      </c>
      <c r="GS223">
        <v>99.528599999999997</v>
      </c>
    </row>
    <row r="224" spans="1:201" x14ac:dyDescent="0.25">
      <c r="A224">
        <v>208</v>
      </c>
      <c r="B224">
        <v>1690375956.0999999</v>
      </c>
      <c r="C224">
        <v>2136.599999904633</v>
      </c>
      <c r="D224" t="s">
        <v>749</v>
      </c>
      <c r="E224" t="s">
        <v>750</v>
      </c>
      <c r="F224" t="s">
        <v>330</v>
      </c>
      <c r="H224">
        <v>1690375956.0999999</v>
      </c>
      <c r="I224">
        <f t="shared" si="90"/>
        <v>2.8226141929052783E-3</v>
      </c>
      <c r="J224">
        <f t="shared" si="91"/>
        <v>2.8226141929052782</v>
      </c>
      <c r="K224">
        <f t="shared" si="92"/>
        <v>43.161256098735002</v>
      </c>
      <c r="L224">
        <f t="shared" si="93"/>
        <v>358.40899999999999</v>
      </c>
      <c r="M224">
        <f t="shared" si="94"/>
        <v>97.679751715608674</v>
      </c>
      <c r="N224">
        <f t="shared" si="95"/>
        <v>9.6495336862978558</v>
      </c>
      <c r="O224">
        <f t="shared" si="96"/>
        <v>35.406311525458996</v>
      </c>
      <c r="P224">
        <f t="shared" si="97"/>
        <v>0.28493616335933292</v>
      </c>
      <c r="Q224">
        <f t="shared" si="98"/>
        <v>2.2497152052305802</v>
      </c>
      <c r="R224">
        <f t="shared" si="99"/>
        <v>0.26629833185372237</v>
      </c>
      <c r="S224">
        <f t="shared" si="100"/>
        <v>0.16800929576900819</v>
      </c>
      <c r="T224">
        <f t="shared" si="101"/>
        <v>276.11462484000003</v>
      </c>
      <c r="U224">
        <f t="shared" si="102"/>
        <v>27.750593483138378</v>
      </c>
      <c r="V224">
        <f t="shared" si="103"/>
        <v>27.750593483138378</v>
      </c>
      <c r="W224">
        <f t="shared" si="104"/>
        <v>3.7400131476658882</v>
      </c>
      <c r="X224">
        <f t="shared" si="105"/>
        <v>77.967364021758144</v>
      </c>
      <c r="Y224">
        <f t="shared" si="106"/>
        <v>2.7271955235216998</v>
      </c>
      <c r="Z224">
        <f t="shared" si="107"/>
        <v>3.4978680602317511</v>
      </c>
      <c r="AA224">
        <f t="shared" si="108"/>
        <v>1.0128176241441884</v>
      </c>
      <c r="AB224">
        <f t="shared" si="109"/>
        <v>-124.47728590712278</v>
      </c>
      <c r="AC224">
        <f t="shared" si="110"/>
        <v>-138.41153017168941</v>
      </c>
      <c r="AD224">
        <f t="shared" si="111"/>
        <v>-13.301565242713073</v>
      </c>
      <c r="AE224">
        <f t="shared" si="112"/>
        <v>-7.57564815252465E-2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52279.199015688624</v>
      </c>
      <c r="AK224">
        <f t="shared" si="116"/>
        <v>1800</v>
      </c>
      <c r="AL224">
        <f t="shared" si="117"/>
        <v>1499.1103979999998</v>
      </c>
      <c r="AM224">
        <f t="shared" si="118"/>
        <v>0.83283910999999988</v>
      </c>
      <c r="AN224">
        <f t="shared" si="119"/>
        <v>0.15339701380000001</v>
      </c>
      <c r="AO224">
        <v>30</v>
      </c>
      <c r="AP224">
        <v>0.5</v>
      </c>
      <c r="AQ224" t="s">
        <v>331</v>
      </c>
      <c r="AR224">
        <v>2</v>
      </c>
      <c r="AS224">
        <v>1690375956.0999999</v>
      </c>
      <c r="AT224">
        <v>358.40899999999999</v>
      </c>
      <c r="AU224">
        <v>800.01</v>
      </c>
      <c r="AV224">
        <v>27.6067</v>
      </c>
      <c r="AW224">
        <v>0.16774600000000001</v>
      </c>
      <c r="AX224">
        <v>359.46800000000002</v>
      </c>
      <c r="AY224">
        <v>27.4239</v>
      </c>
      <c r="AZ224">
        <v>300.08699999999999</v>
      </c>
      <c r="BA224">
        <v>98.687399999999997</v>
      </c>
      <c r="BB224">
        <v>0.100051</v>
      </c>
      <c r="BC224">
        <v>26.609400000000001</v>
      </c>
      <c r="BD224">
        <v>27.001799999999999</v>
      </c>
      <c r="BE224">
        <v>27.779499999999999</v>
      </c>
      <c r="BF224">
        <v>0</v>
      </c>
      <c r="BG224">
        <v>0</v>
      </c>
      <c r="BH224">
        <v>10005.6</v>
      </c>
      <c r="BI224">
        <v>1085.53</v>
      </c>
      <c r="BJ224">
        <v>1.4016500000000001</v>
      </c>
      <c r="BK224">
        <v>-441.601</v>
      </c>
      <c r="BL224">
        <v>368.584</v>
      </c>
      <c r="BM224">
        <v>800.14400000000001</v>
      </c>
      <c r="BN224">
        <v>27.439</v>
      </c>
      <c r="BO224">
        <v>800.01</v>
      </c>
      <c r="BP224">
        <v>0.16774600000000001</v>
      </c>
      <c r="BQ224">
        <v>2.72444</v>
      </c>
      <c r="BR224">
        <v>1.65544E-2</v>
      </c>
      <c r="BS224">
        <v>22.433299999999999</v>
      </c>
      <c r="BT224">
        <v>-41.230400000000003</v>
      </c>
      <c r="BU224">
        <v>1800</v>
      </c>
      <c r="BV224">
        <v>0.91000400000000004</v>
      </c>
      <c r="BW224">
        <v>3.4008499999999997E-2</v>
      </c>
      <c r="BX224">
        <v>2.1995000000000001E-2</v>
      </c>
      <c r="BY224">
        <v>3.39922E-2</v>
      </c>
      <c r="BZ224">
        <v>25</v>
      </c>
      <c r="CA224">
        <v>33528.300000000003</v>
      </c>
      <c r="CB224">
        <v>1690373417</v>
      </c>
      <c r="CC224" t="s">
        <v>332</v>
      </c>
      <c r="CD224">
        <v>1690373417</v>
      </c>
      <c r="CE224">
        <v>1690373415</v>
      </c>
      <c r="CF224">
        <v>1</v>
      </c>
      <c r="CG224">
        <v>-1.319</v>
      </c>
      <c r="CH224">
        <v>0.01</v>
      </c>
      <c r="CI224">
        <v>-1.371</v>
      </c>
      <c r="CJ224">
        <v>0.183</v>
      </c>
      <c r="CK224">
        <v>800</v>
      </c>
      <c r="CL224">
        <v>21</v>
      </c>
      <c r="CM224">
        <v>0.09</v>
      </c>
      <c r="CN224">
        <v>7.0000000000000007E-2</v>
      </c>
      <c r="CO224">
        <v>-441.26319999999998</v>
      </c>
      <c r="CP224">
        <v>-1.961538461538086</v>
      </c>
      <c r="CQ224">
        <v>0.1897302295365694</v>
      </c>
      <c r="CR224">
        <v>-1</v>
      </c>
      <c r="CS224">
        <v>27.426974999999999</v>
      </c>
      <c r="CT224">
        <v>5.1201500937959263E-2</v>
      </c>
      <c r="CU224">
        <v>5.0223873805192304E-3</v>
      </c>
      <c r="CV224">
        <v>-1</v>
      </c>
      <c r="CW224">
        <v>0</v>
      </c>
      <c r="CX224">
        <v>0</v>
      </c>
      <c r="CY224" t="s">
        <v>333</v>
      </c>
      <c r="CZ224">
        <v>2.3653</v>
      </c>
      <c r="DA224">
        <v>2.7138499999999999</v>
      </c>
      <c r="DB224">
        <v>8.2263100000000006E-2</v>
      </c>
      <c r="DC224">
        <v>0.14570900000000001</v>
      </c>
      <c r="DD224">
        <v>0.12543199999999999</v>
      </c>
      <c r="DE224">
        <v>1.41014E-3</v>
      </c>
      <c r="DF224">
        <v>33529.1</v>
      </c>
      <c r="DG224">
        <v>27531.7</v>
      </c>
      <c r="DH224">
        <v>31186.3</v>
      </c>
      <c r="DI224">
        <v>28079.4</v>
      </c>
      <c r="DJ224">
        <v>37012.5</v>
      </c>
      <c r="DK224">
        <v>39861.1</v>
      </c>
      <c r="DL224">
        <v>44379</v>
      </c>
      <c r="DM224">
        <v>42537.599999999999</v>
      </c>
      <c r="DN224">
        <v>1.48715</v>
      </c>
      <c r="DO224">
        <v>2.0594999999999999</v>
      </c>
      <c r="DP224">
        <v>0.110462</v>
      </c>
      <c r="DQ224">
        <v>0.16202</v>
      </c>
      <c r="DR224">
        <v>25.192699999999999</v>
      </c>
      <c r="DS224">
        <v>25.127400000000002</v>
      </c>
      <c r="DT224">
        <v>29.3</v>
      </c>
      <c r="DU224">
        <v>26.1</v>
      </c>
      <c r="DV224">
        <v>10.0779</v>
      </c>
      <c r="DW224">
        <v>61.740099999999998</v>
      </c>
      <c r="DX224">
        <v>38.076900000000002</v>
      </c>
      <c r="DY224">
        <v>1</v>
      </c>
      <c r="DZ224">
        <v>-0.16564999999999999</v>
      </c>
      <c r="EA224">
        <v>-0.61129900000000004</v>
      </c>
      <c r="EB224">
        <v>20.1892</v>
      </c>
      <c r="EC224">
        <v>5.2409499999999998</v>
      </c>
      <c r="ED224">
        <v>12.039899999999999</v>
      </c>
      <c r="EE224">
        <v>5.0137499999999999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1.86879</v>
      </c>
      <c r="EL224">
        <v>1.8644700000000001</v>
      </c>
      <c r="EM224">
        <v>1.8690899999999999</v>
      </c>
      <c r="EN224">
        <v>1.8670800000000001</v>
      </c>
      <c r="EO224">
        <v>1.8632500000000001</v>
      </c>
      <c r="EP224">
        <v>1.8642700000000001</v>
      </c>
      <c r="EQ224">
        <v>1.87009</v>
      </c>
      <c r="ER224">
        <v>1.8693299999999999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-1.0589999999999999</v>
      </c>
      <c r="FG224">
        <v>0.18279999999999999</v>
      </c>
      <c r="FH224">
        <v>-0.81947142863283695</v>
      </c>
      <c r="FI224">
        <v>-6.1462078757559423E-4</v>
      </c>
      <c r="FJ224">
        <v>-1.8861989874597051E-7</v>
      </c>
      <c r="FK224">
        <v>1.1980462299894961E-10</v>
      </c>
      <c r="FL224">
        <v>0.18283500000000069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42.3</v>
      </c>
      <c r="FU224">
        <v>42.4</v>
      </c>
      <c r="FV224">
        <v>1.7626999999999999</v>
      </c>
      <c r="FW224">
        <v>2.5610400000000002</v>
      </c>
      <c r="FX224">
        <v>1.5490699999999999</v>
      </c>
      <c r="FY224">
        <v>2.34375</v>
      </c>
      <c r="FZ224">
        <v>1.50146</v>
      </c>
      <c r="GA224">
        <v>2.3791500000000001</v>
      </c>
      <c r="GB224">
        <v>31.1722</v>
      </c>
      <c r="GC224">
        <v>23.982399999999998</v>
      </c>
      <c r="GD224">
        <v>19</v>
      </c>
      <c r="GE224">
        <v>283.51900000000001</v>
      </c>
      <c r="GF224">
        <v>591.76599999999996</v>
      </c>
      <c r="GG224">
        <v>25.64</v>
      </c>
      <c r="GH224">
        <v>25.348800000000001</v>
      </c>
      <c r="GI224">
        <v>30.0002</v>
      </c>
      <c r="GJ224">
        <v>25.451499999999999</v>
      </c>
      <c r="GK224">
        <v>25.4192</v>
      </c>
      <c r="GL224">
        <v>35.246000000000002</v>
      </c>
      <c r="GM224">
        <v>100</v>
      </c>
      <c r="GN224">
        <v>0</v>
      </c>
      <c r="GO224">
        <v>25.636700000000001</v>
      </c>
      <c r="GP224">
        <v>800</v>
      </c>
      <c r="GQ224">
        <v>0</v>
      </c>
      <c r="GR224">
        <v>99.780199999999994</v>
      </c>
      <c r="GS224">
        <v>99.529799999999994</v>
      </c>
    </row>
    <row r="225" spans="1:201" x14ac:dyDescent="0.25">
      <c r="A225">
        <v>209</v>
      </c>
      <c r="B225">
        <v>1690375966.0999999</v>
      </c>
      <c r="C225">
        <v>2146.599999904633</v>
      </c>
      <c r="D225" t="s">
        <v>751</v>
      </c>
      <c r="E225" t="s">
        <v>752</v>
      </c>
      <c r="F225" t="s">
        <v>330</v>
      </c>
      <c r="H225">
        <v>1690375966.0999999</v>
      </c>
      <c r="I225">
        <f t="shared" si="90"/>
        <v>2.823624407455894E-3</v>
      </c>
      <c r="J225">
        <f t="shared" si="91"/>
        <v>2.823624407455894</v>
      </c>
      <c r="K225">
        <f t="shared" si="92"/>
        <v>43.200085220713341</v>
      </c>
      <c r="L225">
        <f t="shared" si="93"/>
        <v>358.06900000000002</v>
      </c>
      <c r="M225">
        <f t="shared" si="94"/>
        <v>97.140609168808666</v>
      </c>
      <c r="N225">
        <f t="shared" si="95"/>
        <v>9.596252477424084</v>
      </c>
      <c r="O225">
        <f t="shared" si="96"/>
        <v>35.372647523422003</v>
      </c>
      <c r="P225">
        <f t="shared" si="97"/>
        <v>0.28495280216118829</v>
      </c>
      <c r="Q225">
        <f t="shared" si="98"/>
        <v>2.2514881039305954</v>
      </c>
      <c r="R225">
        <f t="shared" si="99"/>
        <v>0.2663265190031085</v>
      </c>
      <c r="S225">
        <f t="shared" si="100"/>
        <v>0.16802600729851713</v>
      </c>
      <c r="T225">
        <f t="shared" si="101"/>
        <v>276.11466231600002</v>
      </c>
      <c r="U225">
        <f t="shared" si="102"/>
        <v>27.755432464215893</v>
      </c>
      <c r="V225">
        <f t="shared" si="103"/>
        <v>27.755432464215893</v>
      </c>
      <c r="W225">
        <f t="shared" si="104"/>
        <v>3.741070280007984</v>
      </c>
      <c r="X225">
        <f t="shared" si="105"/>
        <v>77.963078571596185</v>
      </c>
      <c r="Y225">
        <f t="shared" si="106"/>
        <v>2.7280095773699999</v>
      </c>
      <c r="Z225">
        <f t="shared" si="107"/>
        <v>3.4991044829826401</v>
      </c>
      <c r="AA225">
        <f t="shared" si="108"/>
        <v>1.0130607026379841</v>
      </c>
      <c r="AB225">
        <f t="shared" si="109"/>
        <v>-124.52183636880493</v>
      </c>
      <c r="AC225">
        <f t="shared" si="110"/>
        <v>-138.37967897019286</v>
      </c>
      <c r="AD225">
        <f t="shared" si="111"/>
        <v>-13.288752220845202</v>
      </c>
      <c r="AE225">
        <f t="shared" si="112"/>
        <v>-7.5605243842971959E-2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52347.178767116719</v>
      </c>
      <c r="AK225">
        <f t="shared" si="116"/>
        <v>1800</v>
      </c>
      <c r="AL225">
        <f t="shared" si="117"/>
        <v>1499.1112295999999</v>
      </c>
      <c r="AM225">
        <f t="shared" si="118"/>
        <v>0.83283957199999992</v>
      </c>
      <c r="AN225">
        <f t="shared" si="119"/>
        <v>0.15339703462000001</v>
      </c>
      <c r="AO225">
        <v>30</v>
      </c>
      <c r="AP225">
        <v>0.5</v>
      </c>
      <c r="AQ225" t="s">
        <v>331</v>
      </c>
      <c r="AR225">
        <v>2</v>
      </c>
      <c r="AS225">
        <v>1690375966.0999999</v>
      </c>
      <c r="AT225">
        <v>358.06900000000002</v>
      </c>
      <c r="AU225">
        <v>800.03599999999994</v>
      </c>
      <c r="AV225">
        <v>27.614999999999998</v>
      </c>
      <c r="AW225">
        <v>0.167466</v>
      </c>
      <c r="AX225">
        <v>359.12799999999999</v>
      </c>
      <c r="AY225">
        <v>27.432200000000002</v>
      </c>
      <c r="AZ225">
        <v>300.09800000000001</v>
      </c>
      <c r="BA225">
        <v>98.687200000000004</v>
      </c>
      <c r="BB225">
        <v>0.100038</v>
      </c>
      <c r="BC225">
        <v>26.615400000000001</v>
      </c>
      <c r="BD225">
        <v>27.003599999999999</v>
      </c>
      <c r="BE225">
        <v>27.799099999999999</v>
      </c>
      <c r="BF225">
        <v>0</v>
      </c>
      <c r="BG225">
        <v>0</v>
      </c>
      <c r="BH225">
        <v>10019.4</v>
      </c>
      <c r="BI225">
        <v>1085.56</v>
      </c>
      <c r="BJ225">
        <v>1.4016500000000001</v>
      </c>
      <c r="BK225">
        <v>-441.96699999999998</v>
      </c>
      <c r="BL225">
        <v>368.238</v>
      </c>
      <c r="BM225">
        <v>800.17</v>
      </c>
      <c r="BN225">
        <v>27.447600000000001</v>
      </c>
      <c r="BO225">
        <v>800.03599999999994</v>
      </c>
      <c r="BP225">
        <v>0.167466</v>
      </c>
      <c r="BQ225">
        <v>2.72525</v>
      </c>
      <c r="BR225">
        <v>1.6526699999999998E-2</v>
      </c>
      <c r="BS225">
        <v>22.438199999999998</v>
      </c>
      <c r="BT225">
        <v>-41.246200000000002</v>
      </c>
      <c r="BU225">
        <v>1800</v>
      </c>
      <c r="BV225">
        <v>0.91000599999999998</v>
      </c>
      <c r="BW225">
        <v>3.4007900000000001E-2</v>
      </c>
      <c r="BX225">
        <v>2.19946E-2</v>
      </c>
      <c r="BY225">
        <v>3.3991599999999997E-2</v>
      </c>
      <c r="BZ225">
        <v>25</v>
      </c>
      <c r="CA225">
        <v>33528.400000000001</v>
      </c>
      <c r="CB225">
        <v>1690373417</v>
      </c>
      <c r="CC225" t="s">
        <v>332</v>
      </c>
      <c r="CD225">
        <v>1690373417</v>
      </c>
      <c r="CE225">
        <v>1690373415</v>
      </c>
      <c r="CF225">
        <v>1</v>
      </c>
      <c r="CG225">
        <v>-1.319</v>
      </c>
      <c r="CH225">
        <v>0.01</v>
      </c>
      <c r="CI225">
        <v>-1.371</v>
      </c>
      <c r="CJ225">
        <v>0.183</v>
      </c>
      <c r="CK225">
        <v>800</v>
      </c>
      <c r="CL225">
        <v>21</v>
      </c>
      <c r="CM225">
        <v>0.09</v>
      </c>
      <c r="CN225">
        <v>7.0000000000000007E-2</v>
      </c>
      <c r="CO225">
        <v>-441.57382500000011</v>
      </c>
      <c r="CP225">
        <v>-1.7598911819884751</v>
      </c>
      <c r="CQ225">
        <v>0.17135050153121231</v>
      </c>
      <c r="CR225">
        <v>-1</v>
      </c>
      <c r="CS225">
        <v>27.4367825</v>
      </c>
      <c r="CT225">
        <v>6.8221013133174246E-2</v>
      </c>
      <c r="CU225">
        <v>6.6023059418659109E-3</v>
      </c>
      <c r="CV225">
        <v>-1</v>
      </c>
      <c r="CW225">
        <v>0</v>
      </c>
      <c r="CX225">
        <v>0</v>
      </c>
      <c r="CY225" t="s">
        <v>333</v>
      </c>
      <c r="CZ225">
        <v>2.3653499999999998</v>
      </c>
      <c r="DA225">
        <v>2.7138499999999999</v>
      </c>
      <c r="DB225">
        <v>8.2201499999999997E-2</v>
      </c>
      <c r="DC225">
        <v>0.14571200000000001</v>
      </c>
      <c r="DD225">
        <v>0.12545799999999999</v>
      </c>
      <c r="DE225">
        <v>1.4078000000000001E-3</v>
      </c>
      <c r="DF225">
        <v>33531.300000000003</v>
      </c>
      <c r="DG225">
        <v>27531.5</v>
      </c>
      <c r="DH225">
        <v>31186.2</v>
      </c>
      <c r="DI225">
        <v>28079.3</v>
      </c>
      <c r="DJ225">
        <v>37011.4</v>
      </c>
      <c r="DK225">
        <v>39861.1</v>
      </c>
      <c r="DL225">
        <v>44379</v>
      </c>
      <c r="DM225">
        <v>42537.5</v>
      </c>
      <c r="DN225">
        <v>1.4870300000000001</v>
      </c>
      <c r="DO225">
        <v>2.05938</v>
      </c>
      <c r="DP225">
        <v>0.11082699999999999</v>
      </c>
      <c r="DQ225">
        <v>0.163414</v>
      </c>
      <c r="DR225">
        <v>25.188500000000001</v>
      </c>
      <c r="DS225">
        <v>25.124300000000002</v>
      </c>
      <c r="DT225">
        <v>29.2</v>
      </c>
      <c r="DU225">
        <v>26.1</v>
      </c>
      <c r="DV225">
        <v>10.042199999999999</v>
      </c>
      <c r="DW225">
        <v>60.9801</v>
      </c>
      <c r="DX225">
        <v>38.064900000000002</v>
      </c>
      <c r="DY225">
        <v>1</v>
      </c>
      <c r="DZ225">
        <v>-0.16539599999999999</v>
      </c>
      <c r="EA225">
        <v>-0.61651100000000003</v>
      </c>
      <c r="EB225">
        <v>20.189399999999999</v>
      </c>
      <c r="EC225">
        <v>5.2406499999999996</v>
      </c>
      <c r="ED225">
        <v>12.039899999999999</v>
      </c>
      <c r="EE225">
        <v>5.0137499999999999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1.8688</v>
      </c>
      <c r="EL225">
        <v>1.8644700000000001</v>
      </c>
      <c r="EM225">
        <v>1.86913</v>
      </c>
      <c r="EN225">
        <v>1.86711</v>
      </c>
      <c r="EO225">
        <v>1.8632500000000001</v>
      </c>
      <c r="EP225">
        <v>1.8642700000000001</v>
      </c>
      <c r="EQ225">
        <v>1.8701000000000001</v>
      </c>
      <c r="ER225">
        <v>1.8693200000000001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-1.0589999999999999</v>
      </c>
      <c r="FG225">
        <v>0.18279999999999999</v>
      </c>
      <c r="FH225">
        <v>-0.81947142863283695</v>
      </c>
      <c r="FI225">
        <v>-6.1462078757559423E-4</v>
      </c>
      <c r="FJ225">
        <v>-1.8861989874597051E-7</v>
      </c>
      <c r="FK225">
        <v>1.1980462299894961E-10</v>
      </c>
      <c r="FL225">
        <v>0.18283500000000069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42.5</v>
      </c>
      <c r="FU225">
        <v>42.5</v>
      </c>
      <c r="FV225">
        <v>1.7626999999999999</v>
      </c>
      <c r="FW225">
        <v>2.5598100000000001</v>
      </c>
      <c r="FX225">
        <v>1.5490699999999999</v>
      </c>
      <c r="FY225">
        <v>2.34375</v>
      </c>
      <c r="FZ225">
        <v>1.50146</v>
      </c>
      <c r="GA225">
        <v>2.3840300000000001</v>
      </c>
      <c r="GB225">
        <v>31.1722</v>
      </c>
      <c r="GC225">
        <v>23.991199999999999</v>
      </c>
      <c r="GD225">
        <v>19</v>
      </c>
      <c r="GE225">
        <v>283.476</v>
      </c>
      <c r="GF225">
        <v>591.66200000000003</v>
      </c>
      <c r="GG225">
        <v>25.633800000000001</v>
      </c>
      <c r="GH225">
        <v>25.3491</v>
      </c>
      <c r="GI225">
        <v>30.0002</v>
      </c>
      <c r="GJ225">
        <v>25.453600000000002</v>
      </c>
      <c r="GK225">
        <v>25.4192</v>
      </c>
      <c r="GL225">
        <v>35.248100000000001</v>
      </c>
      <c r="GM225">
        <v>100</v>
      </c>
      <c r="GN225">
        <v>0</v>
      </c>
      <c r="GO225">
        <v>25.6356</v>
      </c>
      <c r="GP225">
        <v>800</v>
      </c>
      <c r="GQ225">
        <v>0</v>
      </c>
      <c r="GR225">
        <v>99.780100000000004</v>
      </c>
      <c r="GS225">
        <v>99.529600000000002</v>
      </c>
    </row>
    <row r="226" spans="1:201" x14ac:dyDescent="0.25">
      <c r="A226">
        <v>210</v>
      </c>
      <c r="B226">
        <v>1690375976.0999999</v>
      </c>
      <c r="C226">
        <v>2156.599999904633</v>
      </c>
      <c r="D226" t="s">
        <v>753</v>
      </c>
      <c r="E226" t="s">
        <v>754</v>
      </c>
      <c r="F226" t="s">
        <v>330</v>
      </c>
      <c r="H226">
        <v>1690375976.0999999</v>
      </c>
      <c r="I226">
        <f t="shared" si="90"/>
        <v>2.8244211274880077E-3</v>
      </c>
      <c r="J226">
        <f t="shared" si="91"/>
        <v>2.8244211274880078</v>
      </c>
      <c r="K226">
        <f t="shared" si="92"/>
        <v>43.23138414700734</v>
      </c>
      <c r="L226">
        <f t="shared" si="93"/>
        <v>357.78</v>
      </c>
      <c r="M226">
        <f t="shared" si="94"/>
        <v>96.885121124055814</v>
      </c>
      <c r="N226">
        <f t="shared" si="95"/>
        <v>9.5712256006710703</v>
      </c>
      <c r="O226">
        <f t="shared" si="96"/>
        <v>35.344881192060001</v>
      </c>
      <c r="P226">
        <f t="shared" si="97"/>
        <v>0.28521694537041398</v>
      </c>
      <c r="Q226">
        <f t="shared" si="98"/>
        <v>2.2496640665189469</v>
      </c>
      <c r="R226">
        <f t="shared" si="99"/>
        <v>0.26654325972979259</v>
      </c>
      <c r="S226">
        <f t="shared" si="100"/>
        <v>0.16816530559377735</v>
      </c>
      <c r="T226">
        <f t="shared" si="101"/>
        <v>276.11465270399998</v>
      </c>
      <c r="U226">
        <f t="shared" si="102"/>
        <v>27.755911781440876</v>
      </c>
      <c r="V226">
        <f t="shared" si="103"/>
        <v>27.755911781440876</v>
      </c>
      <c r="W226">
        <f t="shared" si="104"/>
        <v>3.7411750066849927</v>
      </c>
      <c r="X226">
        <f t="shared" si="105"/>
        <v>77.981358136105513</v>
      </c>
      <c r="Y226">
        <f t="shared" si="106"/>
        <v>2.7286331263389001</v>
      </c>
      <c r="Z226">
        <f t="shared" si="107"/>
        <v>3.499083872810286</v>
      </c>
      <c r="AA226">
        <f t="shared" si="108"/>
        <v>1.0125418803460926</v>
      </c>
      <c r="AB226">
        <f t="shared" si="109"/>
        <v>-124.55697172222114</v>
      </c>
      <c r="AC226">
        <f t="shared" si="110"/>
        <v>-138.33783286821478</v>
      </c>
      <c r="AD226">
        <f t="shared" si="111"/>
        <v>-13.295530262868926</v>
      </c>
      <c r="AE226">
        <f t="shared" si="112"/>
        <v>-7.5682149304839186E-2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52276.222541964074</v>
      </c>
      <c r="AK226">
        <f t="shared" si="116"/>
        <v>1800</v>
      </c>
      <c r="AL226">
        <f t="shared" si="117"/>
        <v>1499.1115103999998</v>
      </c>
      <c r="AM226">
        <f t="shared" si="118"/>
        <v>0.83283972799999995</v>
      </c>
      <c r="AN226">
        <f t="shared" si="119"/>
        <v>0.15339702927999999</v>
      </c>
      <c r="AO226">
        <v>30</v>
      </c>
      <c r="AP226">
        <v>0.5</v>
      </c>
      <c r="AQ226" t="s">
        <v>331</v>
      </c>
      <c r="AR226">
        <v>2</v>
      </c>
      <c r="AS226">
        <v>1690375976.0999999</v>
      </c>
      <c r="AT226">
        <v>357.78</v>
      </c>
      <c r="AU226">
        <v>800.03099999999995</v>
      </c>
      <c r="AV226">
        <v>27.620699999999999</v>
      </c>
      <c r="AW226">
        <v>0.167046</v>
      </c>
      <c r="AX226">
        <v>358.839</v>
      </c>
      <c r="AY226">
        <v>27.437799999999999</v>
      </c>
      <c r="AZ226">
        <v>300.11399999999998</v>
      </c>
      <c r="BA226">
        <v>98.689400000000006</v>
      </c>
      <c r="BB226">
        <v>0.100027</v>
      </c>
      <c r="BC226">
        <v>26.615300000000001</v>
      </c>
      <c r="BD226">
        <v>26.990200000000002</v>
      </c>
      <c r="BE226">
        <v>27.799800000000001</v>
      </c>
      <c r="BF226">
        <v>0</v>
      </c>
      <c r="BG226">
        <v>0</v>
      </c>
      <c r="BH226">
        <v>10005</v>
      </c>
      <c r="BI226">
        <v>1085.56</v>
      </c>
      <c r="BJ226">
        <v>1.4016500000000001</v>
      </c>
      <c r="BK226">
        <v>-442.25099999999998</v>
      </c>
      <c r="BL226">
        <v>367.94299999999998</v>
      </c>
      <c r="BM226">
        <v>800.16399999999999</v>
      </c>
      <c r="BN226">
        <v>27.453600000000002</v>
      </c>
      <c r="BO226">
        <v>800.03099999999995</v>
      </c>
      <c r="BP226">
        <v>0.167046</v>
      </c>
      <c r="BQ226">
        <v>2.72587</v>
      </c>
      <c r="BR226">
        <v>1.6485699999999999E-2</v>
      </c>
      <c r="BS226">
        <v>22.4419</v>
      </c>
      <c r="BT226">
        <v>-41.2697</v>
      </c>
      <c r="BU226">
        <v>1800</v>
      </c>
      <c r="BV226">
        <v>0.91000700000000001</v>
      </c>
      <c r="BW226">
        <v>3.4007599999999999E-2</v>
      </c>
      <c r="BX226">
        <v>2.1994400000000001E-2</v>
      </c>
      <c r="BY226">
        <v>3.3991199999999999E-2</v>
      </c>
      <c r="BZ226">
        <v>25</v>
      </c>
      <c r="CA226">
        <v>33528.5</v>
      </c>
      <c r="CB226">
        <v>1690373417</v>
      </c>
      <c r="CC226" t="s">
        <v>332</v>
      </c>
      <c r="CD226">
        <v>1690373417</v>
      </c>
      <c r="CE226">
        <v>1690373415</v>
      </c>
      <c r="CF226">
        <v>1</v>
      </c>
      <c r="CG226">
        <v>-1.319</v>
      </c>
      <c r="CH226">
        <v>0.01</v>
      </c>
      <c r="CI226">
        <v>-1.371</v>
      </c>
      <c r="CJ226">
        <v>0.183</v>
      </c>
      <c r="CK226">
        <v>800</v>
      </c>
      <c r="CL226">
        <v>21</v>
      </c>
      <c r="CM226">
        <v>0.09</v>
      </c>
      <c r="CN226">
        <v>7.0000000000000007E-2</v>
      </c>
      <c r="CO226">
        <v>-441.90253658536579</v>
      </c>
      <c r="CP226">
        <v>-2.1149477351921808</v>
      </c>
      <c r="CQ226">
        <v>0.2110111657617775</v>
      </c>
      <c r="CR226">
        <v>-1</v>
      </c>
      <c r="CS226">
        <v>27.447280487804878</v>
      </c>
      <c r="CT226">
        <v>5.3021602787551622E-2</v>
      </c>
      <c r="CU226">
        <v>5.2800692674780814E-3</v>
      </c>
      <c r="CV226">
        <v>-1</v>
      </c>
      <c r="CW226">
        <v>0</v>
      </c>
      <c r="CX226">
        <v>0</v>
      </c>
      <c r="CY226" t="s">
        <v>333</v>
      </c>
      <c r="CZ226">
        <v>2.3653900000000001</v>
      </c>
      <c r="DA226">
        <v>2.7138200000000001</v>
      </c>
      <c r="DB226">
        <v>8.2151600000000005E-2</v>
      </c>
      <c r="DC226">
        <v>0.14571400000000001</v>
      </c>
      <c r="DD226">
        <v>0.12547800000000001</v>
      </c>
      <c r="DE226">
        <v>1.4043300000000001E-3</v>
      </c>
      <c r="DF226">
        <v>33532.9</v>
      </c>
      <c r="DG226">
        <v>27531.8</v>
      </c>
      <c r="DH226">
        <v>31186.1</v>
      </c>
      <c r="DI226">
        <v>28079.7</v>
      </c>
      <c r="DJ226">
        <v>37010.199999999997</v>
      </c>
      <c r="DK226">
        <v>39861.5</v>
      </c>
      <c r="DL226">
        <v>44378.6</v>
      </c>
      <c r="DM226">
        <v>42537.9</v>
      </c>
      <c r="DN226">
        <v>1.4869699999999999</v>
      </c>
      <c r="DO226">
        <v>2.05945</v>
      </c>
      <c r="DP226">
        <v>0.11000799999999999</v>
      </c>
      <c r="DQ226">
        <v>0.163548</v>
      </c>
      <c r="DR226">
        <v>25.188500000000001</v>
      </c>
      <c r="DS226">
        <v>25.122800000000002</v>
      </c>
      <c r="DT226">
        <v>29.2</v>
      </c>
      <c r="DU226">
        <v>26.1</v>
      </c>
      <c r="DV226">
        <v>10.0427</v>
      </c>
      <c r="DW226">
        <v>61.6601</v>
      </c>
      <c r="DX226">
        <v>37.868600000000001</v>
      </c>
      <c r="DY226">
        <v>1</v>
      </c>
      <c r="DZ226">
        <v>-0.165409</v>
      </c>
      <c r="EA226">
        <v>-0.62461900000000004</v>
      </c>
      <c r="EB226">
        <v>20.1891</v>
      </c>
      <c r="EC226">
        <v>5.2408000000000001</v>
      </c>
      <c r="ED226">
        <v>12.039899999999999</v>
      </c>
      <c r="EE226">
        <v>5.0137499999999999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1.8687800000000001</v>
      </c>
      <c r="EL226">
        <v>1.86446</v>
      </c>
      <c r="EM226">
        <v>1.86914</v>
      </c>
      <c r="EN226">
        <v>1.8671199999999999</v>
      </c>
      <c r="EO226">
        <v>1.8632500000000001</v>
      </c>
      <c r="EP226">
        <v>1.86426</v>
      </c>
      <c r="EQ226">
        <v>1.8701099999999999</v>
      </c>
      <c r="ER226">
        <v>1.8693200000000001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-1.0589999999999999</v>
      </c>
      <c r="FG226">
        <v>0.18290000000000001</v>
      </c>
      <c r="FH226">
        <v>-0.81947142863283695</v>
      </c>
      <c r="FI226">
        <v>-6.1462078757559423E-4</v>
      </c>
      <c r="FJ226">
        <v>-1.8861989874597051E-7</v>
      </c>
      <c r="FK226">
        <v>1.1980462299894961E-10</v>
      </c>
      <c r="FL226">
        <v>0.18283500000000069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42.7</v>
      </c>
      <c r="FU226">
        <v>42.7</v>
      </c>
      <c r="FV226">
        <v>1.7626999999999999</v>
      </c>
      <c r="FW226">
        <v>2.5610400000000002</v>
      </c>
      <c r="FX226">
        <v>1.5490699999999999</v>
      </c>
      <c r="FY226">
        <v>2.34253</v>
      </c>
      <c r="FZ226">
        <v>1.50146</v>
      </c>
      <c r="GA226">
        <v>2.3767100000000001</v>
      </c>
      <c r="GB226">
        <v>31.193899999999999</v>
      </c>
      <c r="GC226">
        <v>23.991199999999999</v>
      </c>
      <c r="GD226">
        <v>19</v>
      </c>
      <c r="GE226">
        <v>283.45499999999998</v>
      </c>
      <c r="GF226">
        <v>591.74900000000002</v>
      </c>
      <c r="GG226">
        <v>25.634399999999999</v>
      </c>
      <c r="GH226">
        <v>25.3491</v>
      </c>
      <c r="GI226">
        <v>30</v>
      </c>
      <c r="GJ226">
        <v>25.453600000000002</v>
      </c>
      <c r="GK226">
        <v>25.421299999999999</v>
      </c>
      <c r="GL226">
        <v>35.247799999999998</v>
      </c>
      <c r="GM226">
        <v>100</v>
      </c>
      <c r="GN226">
        <v>0</v>
      </c>
      <c r="GO226">
        <v>25.634699999999999</v>
      </c>
      <c r="GP226">
        <v>800</v>
      </c>
      <c r="GQ226">
        <v>0</v>
      </c>
      <c r="GR226">
        <v>99.779399999999995</v>
      </c>
      <c r="GS226">
        <v>99.530500000000004</v>
      </c>
    </row>
    <row r="227" spans="1:201" x14ac:dyDescent="0.25">
      <c r="A227">
        <v>211</v>
      </c>
      <c r="B227">
        <v>1690375986.0999999</v>
      </c>
      <c r="C227">
        <v>2166.599999904633</v>
      </c>
      <c r="D227" t="s">
        <v>755</v>
      </c>
      <c r="E227" t="s">
        <v>756</v>
      </c>
      <c r="F227" t="s">
        <v>330</v>
      </c>
      <c r="H227">
        <v>1690375986.0999999</v>
      </c>
      <c r="I227">
        <f t="shared" si="90"/>
        <v>2.8264247676314841E-3</v>
      </c>
      <c r="J227">
        <f t="shared" si="91"/>
        <v>2.826424767631484</v>
      </c>
      <c r="K227">
        <f t="shared" si="92"/>
        <v>43.280589210985958</v>
      </c>
      <c r="L227">
        <f t="shared" si="93"/>
        <v>357.346</v>
      </c>
      <c r="M227">
        <f t="shared" si="94"/>
        <v>96.532267397797938</v>
      </c>
      <c r="N227">
        <f t="shared" si="95"/>
        <v>9.5361850337861256</v>
      </c>
      <c r="O227">
        <f t="shared" si="96"/>
        <v>35.301331554148</v>
      </c>
      <c r="P227">
        <f t="shared" si="97"/>
        <v>0.28565925141432263</v>
      </c>
      <c r="Q227">
        <f t="shared" si="98"/>
        <v>2.2478680920689991</v>
      </c>
      <c r="R227">
        <f t="shared" si="99"/>
        <v>0.26691573177158373</v>
      </c>
      <c r="S227">
        <f t="shared" si="100"/>
        <v>0.1684037690845368</v>
      </c>
      <c r="T227">
        <f t="shared" si="101"/>
        <v>276.11448708600005</v>
      </c>
      <c r="U227">
        <f t="shared" si="102"/>
        <v>27.757875023348056</v>
      </c>
      <c r="V227">
        <f t="shared" si="103"/>
        <v>27.757875023348056</v>
      </c>
      <c r="W227">
        <f t="shared" si="104"/>
        <v>3.7416039847956317</v>
      </c>
      <c r="X227">
        <f t="shared" si="105"/>
        <v>78.006039756093855</v>
      </c>
      <c r="Y227">
        <f t="shared" si="106"/>
        <v>2.7297861588001995</v>
      </c>
      <c r="Z227">
        <f t="shared" si="107"/>
        <v>3.4994548721298822</v>
      </c>
      <c r="AA227">
        <f t="shared" si="108"/>
        <v>1.0118178259954322</v>
      </c>
      <c r="AB227">
        <f t="shared" si="109"/>
        <v>-124.64533225254844</v>
      </c>
      <c r="AC227">
        <f t="shared" si="110"/>
        <v>-138.24717642530274</v>
      </c>
      <c r="AD227">
        <f t="shared" si="111"/>
        <v>-13.297683157878135</v>
      </c>
      <c r="AE227">
        <f t="shared" si="112"/>
        <v>-7.5704749729226251E-2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52205.991180319055</v>
      </c>
      <c r="AK227">
        <f t="shared" si="116"/>
        <v>1800</v>
      </c>
      <c r="AL227">
        <f t="shared" si="117"/>
        <v>1499.1111215999999</v>
      </c>
      <c r="AM227">
        <f t="shared" si="118"/>
        <v>0.83283951199999995</v>
      </c>
      <c r="AN227">
        <f t="shared" si="119"/>
        <v>0.15339693727000003</v>
      </c>
      <c r="AO227">
        <v>30</v>
      </c>
      <c r="AP227">
        <v>0.5</v>
      </c>
      <c r="AQ227" t="s">
        <v>331</v>
      </c>
      <c r="AR227">
        <v>2</v>
      </c>
      <c r="AS227">
        <v>1690375986.0999999</v>
      </c>
      <c r="AT227">
        <v>357.346</v>
      </c>
      <c r="AU227">
        <v>799.98199999999997</v>
      </c>
      <c r="AV227">
        <v>27.632899999999999</v>
      </c>
      <c r="AW227">
        <v>0.16642999999999999</v>
      </c>
      <c r="AX227">
        <v>358.404</v>
      </c>
      <c r="AY227">
        <v>27.450099999999999</v>
      </c>
      <c r="AZ227">
        <v>300.18299999999999</v>
      </c>
      <c r="BA227">
        <v>98.6875</v>
      </c>
      <c r="BB227">
        <v>0.100038</v>
      </c>
      <c r="BC227">
        <v>26.617100000000001</v>
      </c>
      <c r="BD227">
        <v>27.0015</v>
      </c>
      <c r="BE227">
        <v>27.796900000000001</v>
      </c>
      <c r="BF227">
        <v>0</v>
      </c>
      <c r="BG227">
        <v>0</v>
      </c>
      <c r="BH227">
        <v>9991.25</v>
      </c>
      <c r="BI227">
        <v>1085.43</v>
      </c>
      <c r="BJ227">
        <v>1.4016500000000001</v>
      </c>
      <c r="BK227">
        <v>-442.63600000000002</v>
      </c>
      <c r="BL227">
        <v>367.50099999999998</v>
      </c>
      <c r="BM227">
        <v>800.11500000000001</v>
      </c>
      <c r="BN227">
        <v>27.4665</v>
      </c>
      <c r="BO227">
        <v>799.98199999999997</v>
      </c>
      <c r="BP227">
        <v>0.16642999999999999</v>
      </c>
      <c r="BQ227">
        <v>2.72702</v>
      </c>
      <c r="BR227">
        <v>1.6424600000000001E-2</v>
      </c>
      <c r="BS227">
        <v>22.448899999999998</v>
      </c>
      <c r="BT227">
        <v>-41.3048</v>
      </c>
      <c r="BU227">
        <v>1800</v>
      </c>
      <c r="BV227">
        <v>0.91000800000000004</v>
      </c>
      <c r="BW227">
        <v>3.4007000000000003E-2</v>
      </c>
      <c r="BX227">
        <v>2.1994099999999999E-2</v>
      </c>
      <c r="BY227">
        <v>3.3990699999999999E-2</v>
      </c>
      <c r="BZ227">
        <v>25</v>
      </c>
      <c r="CA227">
        <v>33528.5</v>
      </c>
      <c r="CB227">
        <v>1690373417</v>
      </c>
      <c r="CC227" t="s">
        <v>332</v>
      </c>
      <c r="CD227">
        <v>1690373417</v>
      </c>
      <c r="CE227">
        <v>1690373415</v>
      </c>
      <c r="CF227">
        <v>1</v>
      </c>
      <c r="CG227">
        <v>-1.319</v>
      </c>
      <c r="CH227">
        <v>0.01</v>
      </c>
      <c r="CI227">
        <v>-1.371</v>
      </c>
      <c r="CJ227">
        <v>0.183</v>
      </c>
      <c r="CK227">
        <v>800</v>
      </c>
      <c r="CL227">
        <v>21</v>
      </c>
      <c r="CM227">
        <v>0.09</v>
      </c>
      <c r="CN227">
        <v>7.0000000000000007E-2</v>
      </c>
      <c r="CO227">
        <v>-442.19692682926831</v>
      </c>
      <c r="CP227">
        <v>-1.8880766550527439</v>
      </c>
      <c r="CQ227">
        <v>0.1914374877583172</v>
      </c>
      <c r="CR227">
        <v>-1</v>
      </c>
      <c r="CS227">
        <v>27.45497804878049</v>
      </c>
      <c r="CT227">
        <v>5.1531010453004483E-2</v>
      </c>
      <c r="CU227">
        <v>5.2380648165148364E-3</v>
      </c>
      <c r="CV227">
        <v>-1</v>
      </c>
      <c r="CW227">
        <v>0</v>
      </c>
      <c r="CX227">
        <v>0</v>
      </c>
      <c r="CY227" t="s">
        <v>333</v>
      </c>
      <c r="CZ227">
        <v>2.3656199999999998</v>
      </c>
      <c r="DA227">
        <v>2.7138200000000001</v>
      </c>
      <c r="DB227">
        <v>8.2072300000000001E-2</v>
      </c>
      <c r="DC227">
        <v>0.145705</v>
      </c>
      <c r="DD227">
        <v>0.12551499999999999</v>
      </c>
      <c r="DE227">
        <v>1.3991800000000001E-3</v>
      </c>
      <c r="DF227">
        <v>33535.800000000003</v>
      </c>
      <c r="DG227">
        <v>27532.3</v>
      </c>
      <c r="DH227">
        <v>31186.1</v>
      </c>
      <c r="DI227">
        <v>28079.9</v>
      </c>
      <c r="DJ227">
        <v>37008.800000000003</v>
      </c>
      <c r="DK227">
        <v>39862.400000000001</v>
      </c>
      <c r="DL227">
        <v>44378.8</v>
      </c>
      <c r="DM227">
        <v>42538.5</v>
      </c>
      <c r="DN227">
        <v>1.48722</v>
      </c>
      <c r="DO227">
        <v>2.0592999999999999</v>
      </c>
      <c r="DP227">
        <v>0.11082699999999999</v>
      </c>
      <c r="DQ227">
        <v>0.16336899999999999</v>
      </c>
      <c r="DR227">
        <v>25.186299999999999</v>
      </c>
      <c r="DS227">
        <v>25.122800000000002</v>
      </c>
      <c r="DT227">
        <v>29.1</v>
      </c>
      <c r="DU227">
        <v>26.1</v>
      </c>
      <c r="DV227">
        <v>10.0091</v>
      </c>
      <c r="DW227">
        <v>61.4101</v>
      </c>
      <c r="DX227">
        <v>37.564100000000003</v>
      </c>
      <c r="DY227">
        <v>1</v>
      </c>
      <c r="DZ227">
        <v>-0.16531000000000001</v>
      </c>
      <c r="EA227">
        <v>-0.65284299999999995</v>
      </c>
      <c r="EB227">
        <v>20.189</v>
      </c>
      <c r="EC227">
        <v>5.2409499999999998</v>
      </c>
      <c r="ED227">
        <v>12.039899999999999</v>
      </c>
      <c r="EE227">
        <v>5.0138499999999997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1.86879</v>
      </c>
      <c r="EL227">
        <v>1.8644700000000001</v>
      </c>
      <c r="EM227">
        <v>1.86911</v>
      </c>
      <c r="EN227">
        <v>1.8671</v>
      </c>
      <c r="EO227">
        <v>1.8632500000000001</v>
      </c>
      <c r="EP227">
        <v>1.8642799999999999</v>
      </c>
      <c r="EQ227">
        <v>1.87008</v>
      </c>
      <c r="ER227">
        <v>1.8693299999999999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-1.0580000000000001</v>
      </c>
      <c r="FG227">
        <v>0.18279999999999999</v>
      </c>
      <c r="FH227">
        <v>-0.81947142863283695</v>
      </c>
      <c r="FI227">
        <v>-6.1462078757559423E-4</v>
      </c>
      <c r="FJ227">
        <v>-1.8861989874597051E-7</v>
      </c>
      <c r="FK227">
        <v>1.1980462299894961E-10</v>
      </c>
      <c r="FL227">
        <v>0.18283500000000069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42.8</v>
      </c>
      <c r="FU227">
        <v>42.9</v>
      </c>
      <c r="FV227">
        <v>1.7626999999999999</v>
      </c>
      <c r="FW227">
        <v>2.5622600000000002</v>
      </c>
      <c r="FX227">
        <v>1.5490699999999999</v>
      </c>
      <c r="FY227">
        <v>2.34375</v>
      </c>
      <c r="FZ227">
        <v>1.50146</v>
      </c>
      <c r="GA227">
        <v>2.32178</v>
      </c>
      <c r="GB227">
        <v>31.193899999999999</v>
      </c>
      <c r="GC227">
        <v>23.991199999999999</v>
      </c>
      <c r="GD227">
        <v>19</v>
      </c>
      <c r="GE227">
        <v>283.56099999999998</v>
      </c>
      <c r="GF227">
        <v>591.62400000000002</v>
      </c>
      <c r="GG227">
        <v>25.639700000000001</v>
      </c>
      <c r="GH227">
        <v>25.351199999999999</v>
      </c>
      <c r="GI227">
        <v>30.0002</v>
      </c>
      <c r="GJ227">
        <v>25.453600000000002</v>
      </c>
      <c r="GK227">
        <v>25.421299999999999</v>
      </c>
      <c r="GL227">
        <v>35.251399999999997</v>
      </c>
      <c r="GM227">
        <v>100</v>
      </c>
      <c r="GN227">
        <v>0</v>
      </c>
      <c r="GO227">
        <v>25.649100000000001</v>
      </c>
      <c r="GP227">
        <v>800</v>
      </c>
      <c r="GQ227">
        <v>0</v>
      </c>
      <c r="GR227">
        <v>99.779600000000002</v>
      </c>
      <c r="GS227">
        <v>99.531800000000004</v>
      </c>
    </row>
    <row r="228" spans="1:201" x14ac:dyDescent="0.25">
      <c r="A228">
        <v>212</v>
      </c>
      <c r="B228">
        <v>1690375996.0999999</v>
      </c>
      <c r="C228">
        <v>2176.599999904633</v>
      </c>
      <c r="D228" t="s">
        <v>757</v>
      </c>
      <c r="E228" t="s">
        <v>758</v>
      </c>
      <c r="F228" t="s">
        <v>330</v>
      </c>
      <c r="H228">
        <v>1690375996.0999999</v>
      </c>
      <c r="I228">
        <f t="shared" si="90"/>
        <v>2.8273135175012716E-3</v>
      </c>
      <c r="J228">
        <f t="shared" si="91"/>
        <v>2.8273135175012714</v>
      </c>
      <c r="K228">
        <f t="shared" si="92"/>
        <v>43.302908060741764</v>
      </c>
      <c r="L228">
        <f t="shared" si="93"/>
        <v>357.09199999999998</v>
      </c>
      <c r="M228">
        <f t="shared" si="94"/>
        <v>96.575212787835156</v>
      </c>
      <c r="N228">
        <f t="shared" si="95"/>
        <v>9.5404180097929334</v>
      </c>
      <c r="O228">
        <f t="shared" si="96"/>
        <v>35.276204417352396</v>
      </c>
      <c r="P228">
        <f t="shared" si="97"/>
        <v>0.28612837158898313</v>
      </c>
      <c r="Q228">
        <f t="shared" si="98"/>
        <v>2.2517234595680398</v>
      </c>
      <c r="R228">
        <f t="shared" si="99"/>
        <v>0.26735534054641485</v>
      </c>
      <c r="S228">
        <f t="shared" si="100"/>
        <v>0.16868102149031444</v>
      </c>
      <c r="T228">
        <f t="shared" si="101"/>
        <v>276.11455354199995</v>
      </c>
      <c r="U228">
        <f t="shared" si="102"/>
        <v>27.755398212041957</v>
      </c>
      <c r="V228">
        <f t="shared" si="103"/>
        <v>27.755398212041957</v>
      </c>
      <c r="W228">
        <f t="shared" si="104"/>
        <v>3.7410627963015162</v>
      </c>
      <c r="X228">
        <f t="shared" si="105"/>
        <v>78.030948637714886</v>
      </c>
      <c r="Y228">
        <f t="shared" si="106"/>
        <v>2.7305934994916701</v>
      </c>
      <c r="Z228">
        <f t="shared" si="107"/>
        <v>3.4993724248687217</v>
      </c>
      <c r="AA228">
        <f t="shared" si="108"/>
        <v>1.0104692968098461</v>
      </c>
      <c r="AB228">
        <f t="shared" si="109"/>
        <v>-124.68452612180607</v>
      </c>
      <c r="AC228">
        <f t="shared" si="110"/>
        <v>-138.23217283483166</v>
      </c>
      <c r="AD228">
        <f t="shared" si="111"/>
        <v>-13.273283391490425</v>
      </c>
      <c r="AE228">
        <f t="shared" si="112"/>
        <v>-7.5428806128229553E-2</v>
      </c>
      <c r="AF228">
        <v>0</v>
      </c>
      <c r="AG228">
        <v>0</v>
      </c>
      <c r="AH228">
        <f t="shared" si="113"/>
        <v>1</v>
      </c>
      <c r="AI228">
        <f t="shared" si="114"/>
        <v>0</v>
      </c>
      <c r="AJ228">
        <f t="shared" si="115"/>
        <v>52356.126003674595</v>
      </c>
      <c r="AK228">
        <f t="shared" si="116"/>
        <v>1800</v>
      </c>
      <c r="AL228">
        <f t="shared" si="117"/>
        <v>1499.1120791999999</v>
      </c>
      <c r="AM228">
        <f t="shared" si="118"/>
        <v>0.832840044</v>
      </c>
      <c r="AN228">
        <f t="shared" si="119"/>
        <v>0.15339697418999998</v>
      </c>
      <c r="AO228">
        <v>30</v>
      </c>
      <c r="AP228">
        <v>0.5</v>
      </c>
      <c r="AQ228" t="s">
        <v>331</v>
      </c>
      <c r="AR228">
        <v>2</v>
      </c>
      <c r="AS228">
        <v>1690375996.0999999</v>
      </c>
      <c r="AT228">
        <v>357.09199999999998</v>
      </c>
      <c r="AU228">
        <v>799.95</v>
      </c>
      <c r="AV228">
        <v>27.641100000000002</v>
      </c>
      <c r="AW228">
        <v>0.166042</v>
      </c>
      <c r="AX228">
        <v>358.15</v>
      </c>
      <c r="AY228">
        <v>27.458200000000001</v>
      </c>
      <c r="AZ228">
        <v>300.18099999999998</v>
      </c>
      <c r="BA228">
        <v>98.6875</v>
      </c>
      <c r="BB228">
        <v>9.9939700000000006E-2</v>
      </c>
      <c r="BC228">
        <v>26.616700000000002</v>
      </c>
      <c r="BD228">
        <v>26.998200000000001</v>
      </c>
      <c r="BE228">
        <v>27.783100000000001</v>
      </c>
      <c r="BF228">
        <v>0</v>
      </c>
      <c r="BG228">
        <v>0</v>
      </c>
      <c r="BH228">
        <v>10021.200000000001</v>
      </c>
      <c r="BI228">
        <v>1085.48</v>
      </c>
      <c r="BJ228">
        <v>1.4016500000000001</v>
      </c>
      <c r="BK228">
        <v>-442.858</v>
      </c>
      <c r="BL228">
        <v>367.24299999999999</v>
      </c>
      <c r="BM228">
        <v>800.08299999999997</v>
      </c>
      <c r="BN228">
        <v>27.475000000000001</v>
      </c>
      <c r="BO228">
        <v>799.95</v>
      </c>
      <c r="BP228">
        <v>0.166042</v>
      </c>
      <c r="BQ228">
        <v>2.72783</v>
      </c>
      <c r="BR228">
        <v>1.6386299999999999E-2</v>
      </c>
      <c r="BS228">
        <v>22.453700000000001</v>
      </c>
      <c r="BT228">
        <v>-41.326900000000002</v>
      </c>
      <c r="BU228">
        <v>1800</v>
      </c>
      <c r="BV228">
        <v>0.91000999999999999</v>
      </c>
      <c r="BW228">
        <v>3.4006500000000002E-2</v>
      </c>
      <c r="BX228">
        <v>2.1993700000000001E-2</v>
      </c>
      <c r="BY228">
        <v>3.3990100000000002E-2</v>
      </c>
      <c r="BZ228">
        <v>25</v>
      </c>
      <c r="CA228">
        <v>33528.400000000001</v>
      </c>
      <c r="CB228">
        <v>1690373417</v>
      </c>
      <c r="CC228" t="s">
        <v>332</v>
      </c>
      <c r="CD228">
        <v>1690373417</v>
      </c>
      <c r="CE228">
        <v>1690373415</v>
      </c>
      <c r="CF228">
        <v>1</v>
      </c>
      <c r="CG228">
        <v>-1.319</v>
      </c>
      <c r="CH228">
        <v>0.01</v>
      </c>
      <c r="CI228">
        <v>-1.371</v>
      </c>
      <c r="CJ228">
        <v>0.183</v>
      </c>
      <c r="CK228">
        <v>800</v>
      </c>
      <c r="CL228">
        <v>21</v>
      </c>
      <c r="CM228">
        <v>0.09</v>
      </c>
      <c r="CN228">
        <v>7.0000000000000007E-2</v>
      </c>
      <c r="CO228">
        <v>-442.5522499999999</v>
      </c>
      <c r="CP228">
        <v>-2.1562401500920489</v>
      </c>
      <c r="CQ228">
        <v>0.21115098271142391</v>
      </c>
      <c r="CR228">
        <v>-1</v>
      </c>
      <c r="CS228">
        <v>27.465507500000001</v>
      </c>
      <c r="CT228">
        <v>7.0082926829235184E-2</v>
      </c>
      <c r="CU228">
        <v>6.8111815237883594E-3</v>
      </c>
      <c r="CV228">
        <v>-1</v>
      </c>
      <c r="CW228">
        <v>0</v>
      </c>
      <c r="CX228">
        <v>0</v>
      </c>
      <c r="CY228" t="s">
        <v>333</v>
      </c>
      <c r="CZ228">
        <v>2.3656299999999999</v>
      </c>
      <c r="DA228">
        <v>2.7137500000000001</v>
      </c>
      <c r="DB228">
        <v>8.2026299999999996E-2</v>
      </c>
      <c r="DC228">
        <v>0.1457</v>
      </c>
      <c r="DD228">
        <v>0.12554000000000001</v>
      </c>
      <c r="DE228">
        <v>1.39595E-3</v>
      </c>
      <c r="DF228">
        <v>33537.4</v>
      </c>
      <c r="DG228">
        <v>27532.5</v>
      </c>
      <c r="DH228">
        <v>31186</v>
      </c>
      <c r="DI228">
        <v>28080</v>
      </c>
      <c r="DJ228">
        <v>37007.699999999997</v>
      </c>
      <c r="DK228">
        <v>39862.5</v>
      </c>
      <c r="DL228">
        <v>44378.8</v>
      </c>
      <c r="DM228">
        <v>42538.6</v>
      </c>
      <c r="DN228">
        <v>1.4867999999999999</v>
      </c>
      <c r="DO228">
        <v>2.0594199999999998</v>
      </c>
      <c r="DP228">
        <v>0.110693</v>
      </c>
      <c r="DQ228">
        <v>0.162527</v>
      </c>
      <c r="DR228">
        <v>25.185300000000002</v>
      </c>
      <c r="DS228">
        <v>25.122800000000002</v>
      </c>
      <c r="DT228">
        <v>29.1</v>
      </c>
      <c r="DU228">
        <v>26.1</v>
      </c>
      <c r="DV228">
        <v>10.0091</v>
      </c>
      <c r="DW228">
        <v>61.3401</v>
      </c>
      <c r="DX228">
        <v>37.403799999999997</v>
      </c>
      <c r="DY228">
        <v>1</v>
      </c>
      <c r="DZ228">
        <v>-0.16555600000000001</v>
      </c>
      <c r="EA228">
        <v>-0.60579799999999995</v>
      </c>
      <c r="EB228">
        <v>20.1892</v>
      </c>
      <c r="EC228">
        <v>5.2409499999999998</v>
      </c>
      <c r="ED228">
        <v>12.039899999999999</v>
      </c>
      <c r="EE228">
        <v>5.0137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1.8688</v>
      </c>
      <c r="EL228">
        <v>1.8644700000000001</v>
      </c>
      <c r="EM228">
        <v>1.8690800000000001</v>
      </c>
      <c r="EN228">
        <v>1.8670800000000001</v>
      </c>
      <c r="EO228">
        <v>1.8632500000000001</v>
      </c>
      <c r="EP228">
        <v>1.8642799999999999</v>
      </c>
      <c r="EQ228">
        <v>1.87009</v>
      </c>
      <c r="ER228">
        <v>1.8693200000000001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-1.0580000000000001</v>
      </c>
      <c r="FG228">
        <v>0.18290000000000001</v>
      </c>
      <c r="FH228">
        <v>-0.81947142863283695</v>
      </c>
      <c r="FI228">
        <v>-6.1462078757559423E-4</v>
      </c>
      <c r="FJ228">
        <v>-1.8861989874597051E-7</v>
      </c>
      <c r="FK228">
        <v>1.1980462299894961E-10</v>
      </c>
      <c r="FL228">
        <v>0.18283500000000069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43</v>
      </c>
      <c r="FU228">
        <v>43</v>
      </c>
      <c r="FV228">
        <v>1.7626999999999999</v>
      </c>
      <c r="FW228">
        <v>2.5598100000000001</v>
      </c>
      <c r="FX228">
        <v>1.5490699999999999</v>
      </c>
      <c r="FY228">
        <v>2.34253</v>
      </c>
      <c r="FZ228">
        <v>1.50146</v>
      </c>
      <c r="GA228">
        <v>2.34863</v>
      </c>
      <c r="GB228">
        <v>31.193899999999999</v>
      </c>
      <c r="GC228">
        <v>23.982399999999998</v>
      </c>
      <c r="GD228">
        <v>19</v>
      </c>
      <c r="GE228">
        <v>283.39</v>
      </c>
      <c r="GF228">
        <v>591.74099999999999</v>
      </c>
      <c r="GG228">
        <v>25.643699999999999</v>
      </c>
      <c r="GH228">
        <v>25.351199999999999</v>
      </c>
      <c r="GI228">
        <v>30.0001</v>
      </c>
      <c r="GJ228">
        <v>25.4558</v>
      </c>
      <c r="GK228">
        <v>25.422499999999999</v>
      </c>
      <c r="GL228">
        <v>35.253599999999999</v>
      </c>
      <c r="GM228">
        <v>100</v>
      </c>
      <c r="GN228">
        <v>0</v>
      </c>
      <c r="GO228">
        <v>25.6313</v>
      </c>
      <c r="GP228">
        <v>800</v>
      </c>
      <c r="GQ228">
        <v>0</v>
      </c>
      <c r="GR228">
        <v>99.779499999999999</v>
      </c>
      <c r="GS228">
        <v>99.531999999999996</v>
      </c>
    </row>
    <row r="229" spans="1:201" x14ac:dyDescent="0.25">
      <c r="A229">
        <v>213</v>
      </c>
      <c r="B229">
        <v>1690376006.0999999</v>
      </c>
      <c r="C229">
        <v>2186.599999904633</v>
      </c>
      <c r="D229" t="s">
        <v>759</v>
      </c>
      <c r="E229" t="s">
        <v>760</v>
      </c>
      <c r="F229" t="s">
        <v>330</v>
      </c>
      <c r="H229">
        <v>1690376006.0999999</v>
      </c>
      <c r="I229">
        <f t="shared" si="90"/>
        <v>2.8280037088383525E-3</v>
      </c>
      <c r="J229">
        <f t="shared" si="91"/>
        <v>2.8280037088383527</v>
      </c>
      <c r="K229">
        <f t="shared" si="92"/>
        <v>43.344671946053182</v>
      </c>
      <c r="L229">
        <f t="shared" si="93"/>
        <v>356.791</v>
      </c>
      <c r="M229">
        <f t="shared" si="94"/>
        <v>95.92402186331546</v>
      </c>
      <c r="N229">
        <f t="shared" si="95"/>
        <v>9.4759416947034918</v>
      </c>
      <c r="O229">
        <f t="shared" si="96"/>
        <v>35.245923258018998</v>
      </c>
      <c r="P229">
        <f t="shared" si="97"/>
        <v>0.28600712311554727</v>
      </c>
      <c r="Q229">
        <f t="shared" si="98"/>
        <v>2.2509052489158874</v>
      </c>
      <c r="R229">
        <f t="shared" si="99"/>
        <v>0.26724310102756593</v>
      </c>
      <c r="S229">
        <f t="shared" si="100"/>
        <v>0.16861011746548055</v>
      </c>
      <c r="T229">
        <f t="shared" si="101"/>
        <v>276.11600820330131</v>
      </c>
      <c r="U229">
        <f t="shared" si="102"/>
        <v>27.759753857370491</v>
      </c>
      <c r="V229">
        <f t="shared" si="103"/>
        <v>27.759753857370491</v>
      </c>
      <c r="W229">
        <f t="shared" si="104"/>
        <v>3.7420145595551477</v>
      </c>
      <c r="X229">
        <f t="shared" si="105"/>
        <v>78.020316888479229</v>
      </c>
      <c r="Y229">
        <f t="shared" si="106"/>
        <v>2.7308969399413998</v>
      </c>
      <c r="Z229">
        <f t="shared" si="107"/>
        <v>3.5002382057033841</v>
      </c>
      <c r="AA229">
        <f t="shared" si="108"/>
        <v>1.0111176196137479</v>
      </c>
      <c r="AB229">
        <f t="shared" si="109"/>
        <v>-124.71496355977135</v>
      </c>
      <c r="AC229">
        <f t="shared" si="110"/>
        <v>-138.20083097935401</v>
      </c>
      <c r="AD229">
        <f t="shared" si="111"/>
        <v>-13.275665230735799</v>
      </c>
      <c r="AE229">
        <f t="shared" si="112"/>
        <v>-7.545156655984897E-2</v>
      </c>
      <c r="AF229">
        <v>0</v>
      </c>
      <c r="AG229">
        <v>0</v>
      </c>
      <c r="AH229">
        <f t="shared" si="113"/>
        <v>1</v>
      </c>
      <c r="AI229">
        <f t="shared" si="114"/>
        <v>0</v>
      </c>
      <c r="AJ229">
        <f t="shared" si="115"/>
        <v>52323.489733588562</v>
      </c>
      <c r="AK229">
        <f t="shared" si="116"/>
        <v>1800.01</v>
      </c>
      <c r="AL229">
        <f t="shared" si="117"/>
        <v>1499.1204058004298</v>
      </c>
      <c r="AM229">
        <f t="shared" si="118"/>
        <v>0.83284004299999992</v>
      </c>
      <c r="AN229">
        <f t="shared" si="119"/>
        <v>0.15339693013</v>
      </c>
      <c r="AO229">
        <v>30</v>
      </c>
      <c r="AP229">
        <v>0.5</v>
      </c>
      <c r="AQ229" t="s">
        <v>331</v>
      </c>
      <c r="AR229">
        <v>2</v>
      </c>
      <c r="AS229">
        <v>1690376006.0999999</v>
      </c>
      <c r="AT229">
        <v>356.791</v>
      </c>
      <c r="AU229">
        <v>800.01900000000001</v>
      </c>
      <c r="AV229">
        <v>27.644600000000001</v>
      </c>
      <c r="AW229">
        <v>0.16549700000000001</v>
      </c>
      <c r="AX229">
        <v>357.84899999999999</v>
      </c>
      <c r="AY229">
        <v>27.4618</v>
      </c>
      <c r="AZ229">
        <v>300.209</v>
      </c>
      <c r="BA229">
        <v>98.685900000000004</v>
      </c>
      <c r="BB229">
        <v>0.100009</v>
      </c>
      <c r="BC229">
        <v>26.620899999999999</v>
      </c>
      <c r="BD229">
        <v>27.003699999999998</v>
      </c>
      <c r="BE229">
        <v>27.779199999999999</v>
      </c>
      <c r="BF229">
        <v>0</v>
      </c>
      <c r="BG229">
        <v>0</v>
      </c>
      <c r="BH229">
        <v>10015</v>
      </c>
      <c r="BI229">
        <v>1085.51</v>
      </c>
      <c r="BJ229">
        <v>1.4016500000000001</v>
      </c>
      <c r="BK229">
        <v>-443.22800000000001</v>
      </c>
      <c r="BL229">
        <v>366.935</v>
      </c>
      <c r="BM229">
        <v>800.15200000000004</v>
      </c>
      <c r="BN229">
        <v>27.479099999999999</v>
      </c>
      <c r="BO229">
        <v>800.01900000000001</v>
      </c>
      <c r="BP229">
        <v>0.16549700000000001</v>
      </c>
      <c r="BQ229">
        <v>2.7281399999999998</v>
      </c>
      <c r="BR229">
        <v>1.6332200000000002E-2</v>
      </c>
      <c r="BS229">
        <v>22.4556</v>
      </c>
      <c r="BT229">
        <v>-41.3581</v>
      </c>
      <c r="BU229">
        <v>1800.01</v>
      </c>
      <c r="BV229">
        <v>0.91001100000000001</v>
      </c>
      <c r="BW229">
        <v>3.4006099999999997E-2</v>
      </c>
      <c r="BX229">
        <v>2.19934E-2</v>
      </c>
      <c r="BY229">
        <v>3.3989699999999998E-2</v>
      </c>
      <c r="BZ229">
        <v>25</v>
      </c>
      <c r="CA229">
        <v>33528.6</v>
      </c>
      <c r="CB229">
        <v>1690373417</v>
      </c>
      <c r="CC229" t="s">
        <v>332</v>
      </c>
      <c r="CD229">
        <v>1690373417</v>
      </c>
      <c r="CE229">
        <v>1690373415</v>
      </c>
      <c r="CF229">
        <v>1</v>
      </c>
      <c r="CG229">
        <v>-1.319</v>
      </c>
      <c r="CH229">
        <v>0.01</v>
      </c>
      <c r="CI229">
        <v>-1.371</v>
      </c>
      <c r="CJ229">
        <v>0.183</v>
      </c>
      <c r="CK229">
        <v>800</v>
      </c>
      <c r="CL229">
        <v>21</v>
      </c>
      <c r="CM229">
        <v>0.09</v>
      </c>
      <c r="CN229">
        <v>7.0000000000000007E-2</v>
      </c>
      <c r="CO229">
        <v>-442.87475609756092</v>
      </c>
      <c r="CP229">
        <v>-1.9257073170737919</v>
      </c>
      <c r="CQ229">
        <v>0.19210474537222269</v>
      </c>
      <c r="CR229">
        <v>-1</v>
      </c>
      <c r="CS229">
        <v>27.473563414634139</v>
      </c>
      <c r="CT229">
        <v>3.679442508707436E-2</v>
      </c>
      <c r="CU229">
        <v>3.8213620415327829E-3</v>
      </c>
      <c r="CV229">
        <v>-1</v>
      </c>
      <c r="CW229">
        <v>0</v>
      </c>
      <c r="CX229">
        <v>0</v>
      </c>
      <c r="CY229" t="s">
        <v>333</v>
      </c>
      <c r="CZ229">
        <v>2.36572</v>
      </c>
      <c r="DA229">
        <v>2.7138100000000001</v>
      </c>
      <c r="DB229">
        <v>8.1971000000000002E-2</v>
      </c>
      <c r="DC229">
        <v>0.145706</v>
      </c>
      <c r="DD229">
        <v>0.12554899999999999</v>
      </c>
      <c r="DE229">
        <v>1.39138E-3</v>
      </c>
      <c r="DF229">
        <v>33540</v>
      </c>
      <c r="DG229">
        <v>27532.3</v>
      </c>
      <c r="DH229">
        <v>31186.5</v>
      </c>
      <c r="DI229">
        <v>28080</v>
      </c>
      <c r="DJ229">
        <v>37007.800000000003</v>
      </c>
      <c r="DK229">
        <v>39862.699999999997</v>
      </c>
      <c r="DL229">
        <v>44379.4</v>
      </c>
      <c r="DM229">
        <v>42538.6</v>
      </c>
      <c r="DN229">
        <v>1.48695</v>
      </c>
      <c r="DO229">
        <v>2.0588799999999998</v>
      </c>
      <c r="DP229">
        <v>0.11089400000000001</v>
      </c>
      <c r="DQ229">
        <v>0.16211700000000001</v>
      </c>
      <c r="DR229">
        <v>25.1875</v>
      </c>
      <c r="DS229">
        <v>25.125499999999999</v>
      </c>
      <c r="DT229">
        <v>29.1</v>
      </c>
      <c r="DU229">
        <v>26.1</v>
      </c>
      <c r="DV229">
        <v>10.008900000000001</v>
      </c>
      <c r="DW229">
        <v>61.630099999999999</v>
      </c>
      <c r="DX229">
        <v>37.215499999999999</v>
      </c>
      <c r="DY229">
        <v>1</v>
      </c>
      <c r="DZ229">
        <v>-0.165826</v>
      </c>
      <c r="EA229">
        <v>-0.63768000000000002</v>
      </c>
      <c r="EB229">
        <v>20.1889</v>
      </c>
      <c r="EC229">
        <v>5.2406499999999996</v>
      </c>
      <c r="ED229">
        <v>12.039899999999999</v>
      </c>
      <c r="EE229">
        <v>5.0137499999999999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1.8687800000000001</v>
      </c>
      <c r="EL229">
        <v>1.8644700000000001</v>
      </c>
      <c r="EM229">
        <v>1.86911</v>
      </c>
      <c r="EN229">
        <v>1.8670800000000001</v>
      </c>
      <c r="EO229">
        <v>1.8632500000000001</v>
      </c>
      <c r="EP229">
        <v>1.86429</v>
      </c>
      <c r="EQ229">
        <v>1.8701000000000001</v>
      </c>
      <c r="ER229">
        <v>1.8693299999999999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-1.0580000000000001</v>
      </c>
      <c r="FG229">
        <v>0.18279999999999999</v>
      </c>
      <c r="FH229">
        <v>-0.81947142863283695</v>
      </c>
      <c r="FI229">
        <v>-6.1462078757559423E-4</v>
      </c>
      <c r="FJ229">
        <v>-1.8861989874597051E-7</v>
      </c>
      <c r="FK229">
        <v>1.1980462299894961E-10</v>
      </c>
      <c r="FL229">
        <v>0.18283500000000069</v>
      </c>
      <c r="FM229">
        <v>0</v>
      </c>
      <c r="FN229">
        <v>0</v>
      </c>
      <c r="FO229">
        <v>0</v>
      </c>
      <c r="FP229">
        <v>3</v>
      </c>
      <c r="FQ229">
        <v>2158</v>
      </c>
      <c r="FR229">
        <v>1</v>
      </c>
      <c r="FS229">
        <v>19</v>
      </c>
      <c r="FT229">
        <v>43.2</v>
      </c>
      <c r="FU229">
        <v>43.2</v>
      </c>
      <c r="FV229">
        <v>1.7626999999999999</v>
      </c>
      <c r="FW229">
        <v>2.5610400000000002</v>
      </c>
      <c r="FX229">
        <v>1.5490699999999999</v>
      </c>
      <c r="FY229">
        <v>2.34253</v>
      </c>
      <c r="FZ229">
        <v>1.50146</v>
      </c>
      <c r="GA229">
        <v>2.3010299999999999</v>
      </c>
      <c r="GB229">
        <v>31.193899999999999</v>
      </c>
      <c r="GC229">
        <v>23.991199999999999</v>
      </c>
      <c r="GD229">
        <v>19</v>
      </c>
      <c r="GE229">
        <v>283.45400000000001</v>
      </c>
      <c r="GF229">
        <v>591.29499999999996</v>
      </c>
      <c r="GG229">
        <v>25.6356</v>
      </c>
      <c r="GH229">
        <v>25.353400000000001</v>
      </c>
      <c r="GI229">
        <v>29.9999</v>
      </c>
      <c r="GJ229">
        <v>25.4558</v>
      </c>
      <c r="GK229">
        <v>25.423500000000001</v>
      </c>
      <c r="GL229">
        <v>35.252499999999998</v>
      </c>
      <c r="GM229">
        <v>100</v>
      </c>
      <c r="GN229">
        <v>0</v>
      </c>
      <c r="GO229">
        <v>25.642900000000001</v>
      </c>
      <c r="GP229">
        <v>800</v>
      </c>
      <c r="GQ229">
        <v>0</v>
      </c>
      <c r="GR229">
        <v>99.781000000000006</v>
      </c>
      <c r="GS229">
        <v>99.531999999999996</v>
      </c>
    </row>
    <row r="230" spans="1:201" x14ac:dyDescent="0.25">
      <c r="A230">
        <v>214</v>
      </c>
      <c r="B230">
        <v>1690376016.0999999</v>
      </c>
      <c r="C230">
        <v>2196.599999904633</v>
      </c>
      <c r="D230" t="s">
        <v>761</v>
      </c>
      <c r="E230" t="s">
        <v>762</v>
      </c>
      <c r="F230" t="s">
        <v>330</v>
      </c>
      <c r="H230">
        <v>1690376016.0999999</v>
      </c>
      <c r="I230">
        <f t="shared" si="90"/>
        <v>2.8288204838454391E-3</v>
      </c>
      <c r="J230">
        <f t="shared" si="91"/>
        <v>2.8288204838454392</v>
      </c>
      <c r="K230">
        <f t="shared" si="92"/>
        <v>43.375727278585074</v>
      </c>
      <c r="L230">
        <f t="shared" si="93"/>
        <v>356.46699999999998</v>
      </c>
      <c r="M230">
        <f t="shared" si="94"/>
        <v>95.745979206422518</v>
      </c>
      <c r="N230">
        <f t="shared" si="95"/>
        <v>9.4584759140645822</v>
      </c>
      <c r="O230">
        <f t="shared" si="96"/>
        <v>35.214372045742195</v>
      </c>
      <c r="P230">
        <f t="shared" si="97"/>
        <v>0.28640568311525205</v>
      </c>
      <c r="Q230">
        <f t="shared" si="98"/>
        <v>2.2485084736262726</v>
      </c>
      <c r="R230">
        <f t="shared" si="99"/>
        <v>0.26757253194880648</v>
      </c>
      <c r="S230">
        <f t="shared" si="100"/>
        <v>0.16882160791612427</v>
      </c>
      <c r="T230">
        <f t="shared" si="101"/>
        <v>276.11446399200003</v>
      </c>
      <c r="U230">
        <f t="shared" si="102"/>
        <v>27.759080522427563</v>
      </c>
      <c r="V230">
        <f t="shared" si="103"/>
        <v>27.759080522427563</v>
      </c>
      <c r="W230">
        <f t="shared" si="104"/>
        <v>3.7418674136016463</v>
      </c>
      <c r="X230">
        <f t="shared" si="105"/>
        <v>78.04995295990912</v>
      </c>
      <c r="Y230">
        <f t="shared" si="106"/>
        <v>2.7316929200191797</v>
      </c>
      <c r="Z230">
        <f t="shared" si="107"/>
        <v>3.4999289767955815</v>
      </c>
      <c r="AA230">
        <f t="shared" si="108"/>
        <v>1.0101744935824666</v>
      </c>
      <c r="AB230">
        <f t="shared" si="109"/>
        <v>-124.75098333758386</v>
      </c>
      <c r="AC230">
        <f t="shared" si="110"/>
        <v>-138.15388368743294</v>
      </c>
      <c r="AD230">
        <f t="shared" si="111"/>
        <v>-13.28515749333336</v>
      </c>
      <c r="AE230">
        <f t="shared" si="112"/>
        <v>-7.5560526350159307E-2</v>
      </c>
      <c r="AF230">
        <v>0</v>
      </c>
      <c r="AG230">
        <v>0</v>
      </c>
      <c r="AH230">
        <f t="shared" si="113"/>
        <v>1</v>
      </c>
      <c r="AI230">
        <f t="shared" si="114"/>
        <v>0</v>
      </c>
      <c r="AJ230">
        <f t="shared" si="115"/>
        <v>52230.49315663497</v>
      </c>
      <c r="AK230">
        <f t="shared" si="116"/>
        <v>1800</v>
      </c>
      <c r="AL230">
        <f t="shared" si="117"/>
        <v>1499.1123672000001</v>
      </c>
      <c r="AM230">
        <f t="shared" si="118"/>
        <v>0.83284020400000003</v>
      </c>
      <c r="AN230">
        <f t="shared" si="119"/>
        <v>0.15339692444000003</v>
      </c>
      <c r="AO230">
        <v>30</v>
      </c>
      <c r="AP230">
        <v>0.5</v>
      </c>
      <c r="AQ230" t="s">
        <v>331</v>
      </c>
      <c r="AR230">
        <v>2</v>
      </c>
      <c r="AS230">
        <v>1690376016.0999999</v>
      </c>
      <c r="AT230">
        <v>356.46699999999998</v>
      </c>
      <c r="AU230">
        <v>800.005</v>
      </c>
      <c r="AV230">
        <v>27.6523</v>
      </c>
      <c r="AW230">
        <v>0.16511200000000001</v>
      </c>
      <c r="AX230">
        <v>357.52499999999998</v>
      </c>
      <c r="AY230">
        <v>27.4694</v>
      </c>
      <c r="AZ230">
        <v>300.20499999999998</v>
      </c>
      <c r="BA230">
        <v>98.687200000000004</v>
      </c>
      <c r="BB230">
        <v>9.9986599999999995E-2</v>
      </c>
      <c r="BC230">
        <v>26.619399999999999</v>
      </c>
      <c r="BD230">
        <v>27.003299999999999</v>
      </c>
      <c r="BE230">
        <v>27.795000000000002</v>
      </c>
      <c r="BF230">
        <v>0</v>
      </c>
      <c r="BG230">
        <v>0</v>
      </c>
      <c r="BH230">
        <v>9996.25</v>
      </c>
      <c r="BI230">
        <v>1085.5</v>
      </c>
      <c r="BJ230">
        <v>1.4016500000000001</v>
      </c>
      <c r="BK230">
        <v>-443.53800000000001</v>
      </c>
      <c r="BL230">
        <v>366.60500000000002</v>
      </c>
      <c r="BM230">
        <v>800.13699999999994</v>
      </c>
      <c r="BN230">
        <v>27.487100000000002</v>
      </c>
      <c r="BO230">
        <v>800.005</v>
      </c>
      <c r="BP230">
        <v>0.16511200000000001</v>
      </c>
      <c r="BQ230">
        <v>2.72892</v>
      </c>
      <c r="BR230">
        <v>1.62945E-2</v>
      </c>
      <c r="BS230">
        <v>22.4603</v>
      </c>
      <c r="BT230">
        <v>-41.38</v>
      </c>
      <c r="BU230">
        <v>1800</v>
      </c>
      <c r="BV230">
        <v>0.91001200000000004</v>
      </c>
      <c r="BW230">
        <v>3.40057E-2</v>
      </c>
      <c r="BX230">
        <v>2.1993200000000001E-2</v>
      </c>
      <c r="BY230">
        <v>3.3989400000000003E-2</v>
      </c>
      <c r="BZ230">
        <v>25</v>
      </c>
      <c r="CA230">
        <v>33528.400000000001</v>
      </c>
      <c r="CB230">
        <v>1690373417</v>
      </c>
      <c r="CC230" t="s">
        <v>332</v>
      </c>
      <c r="CD230">
        <v>1690373417</v>
      </c>
      <c r="CE230">
        <v>1690373415</v>
      </c>
      <c r="CF230">
        <v>1</v>
      </c>
      <c r="CG230">
        <v>-1.319</v>
      </c>
      <c r="CH230">
        <v>0.01</v>
      </c>
      <c r="CI230">
        <v>-1.371</v>
      </c>
      <c r="CJ230">
        <v>0.183</v>
      </c>
      <c r="CK230">
        <v>800</v>
      </c>
      <c r="CL230">
        <v>21</v>
      </c>
      <c r="CM230">
        <v>0.09</v>
      </c>
      <c r="CN230">
        <v>7.0000000000000007E-2</v>
      </c>
      <c r="CO230">
        <v>-443.17731707317068</v>
      </c>
      <c r="CP230">
        <v>-1.833888501742216</v>
      </c>
      <c r="CQ230">
        <v>0.1831232343991305</v>
      </c>
      <c r="CR230">
        <v>-1</v>
      </c>
      <c r="CS230">
        <v>27.478899999999999</v>
      </c>
      <c r="CT230">
        <v>2.9351916376283971E-2</v>
      </c>
      <c r="CU230">
        <v>3.0394961071477638E-3</v>
      </c>
      <c r="CV230">
        <v>-1</v>
      </c>
      <c r="CW230">
        <v>0</v>
      </c>
      <c r="CX230">
        <v>0</v>
      </c>
      <c r="CY230" t="s">
        <v>333</v>
      </c>
      <c r="CZ230">
        <v>2.3656799999999998</v>
      </c>
      <c r="DA230">
        <v>2.7137799999999999</v>
      </c>
      <c r="DB230">
        <v>8.1913700000000006E-2</v>
      </c>
      <c r="DC230">
        <v>0.145706</v>
      </c>
      <c r="DD230">
        <v>0.12557399999999999</v>
      </c>
      <c r="DE230">
        <v>1.3882E-3</v>
      </c>
      <c r="DF230">
        <v>33542.1</v>
      </c>
      <c r="DG230">
        <v>27532.2</v>
      </c>
      <c r="DH230">
        <v>31186.5</v>
      </c>
      <c r="DI230">
        <v>28079.8</v>
      </c>
      <c r="DJ230">
        <v>37006.699999999997</v>
      </c>
      <c r="DK230">
        <v>39862.699999999997</v>
      </c>
      <c r="DL230">
        <v>44379.4</v>
      </c>
      <c r="DM230">
        <v>42538.400000000001</v>
      </c>
      <c r="DN230">
        <v>1.4869000000000001</v>
      </c>
      <c r="DO230">
        <v>2.0589499999999998</v>
      </c>
      <c r="DP230">
        <v>0.110611</v>
      </c>
      <c r="DQ230">
        <v>0.16286999999999999</v>
      </c>
      <c r="DR230">
        <v>25.191700000000001</v>
      </c>
      <c r="DS230">
        <v>25.129100000000001</v>
      </c>
      <c r="DT230">
        <v>29</v>
      </c>
      <c r="DU230">
        <v>26.1</v>
      </c>
      <c r="DV230">
        <v>9.9744700000000002</v>
      </c>
      <c r="DW230">
        <v>61.650100000000002</v>
      </c>
      <c r="DX230">
        <v>37.051299999999998</v>
      </c>
      <c r="DY230">
        <v>1</v>
      </c>
      <c r="DZ230">
        <v>-0.16522600000000001</v>
      </c>
      <c r="EA230">
        <v>-0.649227</v>
      </c>
      <c r="EB230">
        <v>20.188800000000001</v>
      </c>
      <c r="EC230">
        <v>5.2408000000000001</v>
      </c>
      <c r="ED230">
        <v>12.039899999999999</v>
      </c>
      <c r="EE230">
        <v>5.0136500000000002</v>
      </c>
      <c r="EF230">
        <v>3.2879999999999998</v>
      </c>
      <c r="EG230">
        <v>9999</v>
      </c>
      <c r="EH230">
        <v>9999</v>
      </c>
      <c r="EI230">
        <v>9999</v>
      </c>
      <c r="EJ230">
        <v>999.9</v>
      </c>
      <c r="EK230">
        <v>1.86877</v>
      </c>
      <c r="EL230">
        <v>1.8644700000000001</v>
      </c>
      <c r="EM230">
        <v>1.8691</v>
      </c>
      <c r="EN230">
        <v>1.8670800000000001</v>
      </c>
      <c r="EO230">
        <v>1.8632500000000001</v>
      </c>
      <c r="EP230">
        <v>1.8642700000000001</v>
      </c>
      <c r="EQ230">
        <v>1.87009</v>
      </c>
      <c r="ER230">
        <v>1.8693200000000001</v>
      </c>
      <c r="ES230">
        <v>0</v>
      </c>
      <c r="ET230">
        <v>0</v>
      </c>
      <c r="EU230">
        <v>0</v>
      </c>
      <c r="EV230">
        <v>0</v>
      </c>
      <c r="EW230" t="s">
        <v>334</v>
      </c>
      <c r="EX230" t="s">
        <v>335</v>
      </c>
      <c r="EY230" t="s">
        <v>336</v>
      </c>
      <c r="EZ230" t="s">
        <v>336</v>
      </c>
      <c r="FA230" t="s">
        <v>336</v>
      </c>
      <c r="FB230" t="s">
        <v>336</v>
      </c>
      <c r="FC230">
        <v>0</v>
      </c>
      <c r="FD230">
        <v>100</v>
      </c>
      <c r="FE230">
        <v>100</v>
      </c>
      <c r="FF230">
        <v>-1.0580000000000001</v>
      </c>
      <c r="FG230">
        <v>0.18290000000000001</v>
      </c>
      <c r="FH230">
        <v>-0.81947142863283695</v>
      </c>
      <c r="FI230">
        <v>-6.1462078757559423E-4</v>
      </c>
      <c r="FJ230">
        <v>-1.8861989874597051E-7</v>
      </c>
      <c r="FK230">
        <v>1.1980462299894961E-10</v>
      </c>
      <c r="FL230">
        <v>0.18283500000000069</v>
      </c>
      <c r="FM230">
        <v>0</v>
      </c>
      <c r="FN230">
        <v>0</v>
      </c>
      <c r="FO230">
        <v>0</v>
      </c>
      <c r="FP230">
        <v>3</v>
      </c>
      <c r="FQ230">
        <v>2158</v>
      </c>
      <c r="FR230">
        <v>1</v>
      </c>
      <c r="FS230">
        <v>19</v>
      </c>
      <c r="FT230">
        <v>43.3</v>
      </c>
      <c r="FU230">
        <v>43.4</v>
      </c>
      <c r="FV230">
        <v>1.7639199999999999</v>
      </c>
      <c r="FW230">
        <v>2.5622600000000002</v>
      </c>
      <c r="FX230">
        <v>1.5490699999999999</v>
      </c>
      <c r="FY230">
        <v>2.34375</v>
      </c>
      <c r="FZ230">
        <v>1.50146</v>
      </c>
      <c r="GA230">
        <v>2.3034699999999999</v>
      </c>
      <c r="GB230">
        <v>31.215599999999998</v>
      </c>
      <c r="GC230">
        <v>23.982399999999998</v>
      </c>
      <c r="GD230">
        <v>19</v>
      </c>
      <c r="GE230">
        <v>283.43799999999999</v>
      </c>
      <c r="GF230">
        <v>591.35799999999995</v>
      </c>
      <c r="GG230">
        <v>25.645399999999999</v>
      </c>
      <c r="GH230">
        <v>25.353400000000001</v>
      </c>
      <c r="GI230">
        <v>30.0001</v>
      </c>
      <c r="GJ230">
        <v>25.457000000000001</v>
      </c>
      <c r="GK230">
        <v>25.4236</v>
      </c>
      <c r="GL230">
        <v>35.254399999999997</v>
      </c>
      <c r="GM230">
        <v>100</v>
      </c>
      <c r="GN230">
        <v>0</v>
      </c>
      <c r="GO230">
        <v>25.648700000000002</v>
      </c>
      <c r="GP230">
        <v>800</v>
      </c>
      <c r="GQ230">
        <v>0</v>
      </c>
      <c r="GR230">
        <v>99.781000000000006</v>
      </c>
      <c r="GS230">
        <v>99.531599999999997</v>
      </c>
    </row>
    <row r="231" spans="1:201" x14ac:dyDescent="0.25">
      <c r="A231">
        <v>215</v>
      </c>
      <c r="B231">
        <v>1690376026.0999999</v>
      </c>
      <c r="C231">
        <v>2206.599999904633</v>
      </c>
      <c r="D231" t="s">
        <v>763</v>
      </c>
      <c r="E231" t="s">
        <v>764</v>
      </c>
      <c r="F231" t="s">
        <v>330</v>
      </c>
      <c r="H231">
        <v>1690376026.0999999</v>
      </c>
      <c r="I231">
        <f t="shared" si="90"/>
        <v>2.8298565159369238E-3</v>
      </c>
      <c r="J231">
        <f t="shared" si="91"/>
        <v>2.8298565159369238</v>
      </c>
      <c r="K231">
        <f t="shared" si="92"/>
        <v>43.40774097844303</v>
      </c>
      <c r="L231">
        <f t="shared" si="93"/>
        <v>356.11</v>
      </c>
      <c r="M231">
        <f t="shared" si="94"/>
        <v>95.570930811965368</v>
      </c>
      <c r="N231">
        <f t="shared" si="95"/>
        <v>9.4413109055073878</v>
      </c>
      <c r="O231">
        <f t="shared" si="96"/>
        <v>35.179580213310004</v>
      </c>
      <c r="P231">
        <f t="shared" si="97"/>
        <v>0.28685976631930765</v>
      </c>
      <c r="Q231">
        <f t="shared" si="98"/>
        <v>2.2453012946829625</v>
      </c>
      <c r="R231">
        <f t="shared" si="99"/>
        <v>0.26794388632437244</v>
      </c>
      <c r="S231">
        <f t="shared" si="100"/>
        <v>0.16906039170365333</v>
      </c>
      <c r="T231">
        <f t="shared" si="101"/>
        <v>276.11415</v>
      </c>
      <c r="U231">
        <f t="shared" si="102"/>
        <v>27.759719854027001</v>
      </c>
      <c r="V231">
        <f t="shared" si="103"/>
        <v>27.759719854027001</v>
      </c>
      <c r="W231">
        <f t="shared" si="104"/>
        <v>3.7420071285789938</v>
      </c>
      <c r="X231">
        <f t="shared" si="105"/>
        <v>78.085484305483163</v>
      </c>
      <c r="Y231">
        <f t="shared" si="106"/>
        <v>2.7328560083877003</v>
      </c>
      <c r="Z231">
        <f t="shared" si="107"/>
        <v>3.4998259057936059</v>
      </c>
      <c r="AA231">
        <f t="shared" si="108"/>
        <v>1.0091511201912935</v>
      </c>
      <c r="AB231">
        <f t="shared" si="109"/>
        <v>-124.79667235281833</v>
      </c>
      <c r="AC231">
        <f t="shared" si="110"/>
        <v>-138.09474132534834</v>
      </c>
      <c r="AD231">
        <f t="shared" si="111"/>
        <v>-13.298447937923049</v>
      </c>
      <c r="AE231">
        <f t="shared" si="112"/>
        <v>-7.5711616089762401E-2</v>
      </c>
      <c r="AF231">
        <v>0</v>
      </c>
      <c r="AG231">
        <v>0</v>
      </c>
      <c r="AH231">
        <f t="shared" si="113"/>
        <v>1</v>
      </c>
      <c r="AI231">
        <f t="shared" si="114"/>
        <v>0</v>
      </c>
      <c r="AJ231">
        <f t="shared" si="115"/>
        <v>52105.922741936352</v>
      </c>
      <c r="AK231">
        <f t="shared" si="116"/>
        <v>1800</v>
      </c>
      <c r="AL231">
        <f t="shared" si="117"/>
        <v>1499.1116849999999</v>
      </c>
      <c r="AM231">
        <f t="shared" si="118"/>
        <v>0.83283982499999998</v>
      </c>
      <c r="AN231">
        <f t="shared" si="119"/>
        <v>0.15339675</v>
      </c>
      <c r="AO231">
        <v>30</v>
      </c>
      <c r="AP231">
        <v>0.5</v>
      </c>
      <c r="AQ231" t="s">
        <v>331</v>
      </c>
      <c r="AR231">
        <v>2</v>
      </c>
      <c r="AS231">
        <v>1690376026.0999999</v>
      </c>
      <c r="AT231">
        <v>356.11</v>
      </c>
      <c r="AU231">
        <v>799.99699999999996</v>
      </c>
      <c r="AV231">
        <v>27.663699999999999</v>
      </c>
      <c r="AW231">
        <v>0.16456899999999999</v>
      </c>
      <c r="AX231">
        <v>357.16800000000001</v>
      </c>
      <c r="AY231">
        <v>27.480899999999998</v>
      </c>
      <c r="AZ231">
        <v>300.18099999999998</v>
      </c>
      <c r="BA231">
        <v>98.688500000000005</v>
      </c>
      <c r="BB231">
        <v>0.100021</v>
      </c>
      <c r="BC231">
        <v>26.6189</v>
      </c>
      <c r="BD231">
        <v>27.0075</v>
      </c>
      <c r="BE231">
        <v>27.805</v>
      </c>
      <c r="BF231">
        <v>0</v>
      </c>
      <c r="BG231">
        <v>0</v>
      </c>
      <c r="BH231">
        <v>9971.25</v>
      </c>
      <c r="BI231">
        <v>1085.42</v>
      </c>
      <c r="BJ231">
        <v>1.4016500000000001</v>
      </c>
      <c r="BK231">
        <v>-443.88600000000002</v>
      </c>
      <c r="BL231">
        <v>366.24200000000002</v>
      </c>
      <c r="BM231">
        <v>800.12800000000004</v>
      </c>
      <c r="BN231">
        <v>27.499199999999998</v>
      </c>
      <c r="BO231">
        <v>799.99699999999996</v>
      </c>
      <c r="BP231">
        <v>0.16456899999999999</v>
      </c>
      <c r="BQ231">
        <v>2.7300900000000001</v>
      </c>
      <c r="BR231">
        <v>1.6241100000000001E-2</v>
      </c>
      <c r="BS231">
        <v>22.467400000000001</v>
      </c>
      <c r="BT231">
        <v>-41.411000000000001</v>
      </c>
      <c r="BU231">
        <v>1800</v>
      </c>
      <c r="BV231">
        <v>0.91001399999999999</v>
      </c>
      <c r="BW231">
        <v>3.4004699999999999E-2</v>
      </c>
      <c r="BX231">
        <v>2.1992500000000002E-2</v>
      </c>
      <c r="BY231">
        <v>3.3988400000000002E-2</v>
      </c>
      <c r="BZ231">
        <v>25</v>
      </c>
      <c r="CA231">
        <v>33528.5</v>
      </c>
      <c r="CB231">
        <v>1690373417</v>
      </c>
      <c r="CC231" t="s">
        <v>332</v>
      </c>
      <c r="CD231">
        <v>1690373417</v>
      </c>
      <c r="CE231">
        <v>1690373415</v>
      </c>
      <c r="CF231">
        <v>1</v>
      </c>
      <c r="CG231">
        <v>-1.319</v>
      </c>
      <c r="CH231">
        <v>0.01</v>
      </c>
      <c r="CI231">
        <v>-1.371</v>
      </c>
      <c r="CJ231">
        <v>0.183</v>
      </c>
      <c r="CK231">
        <v>800</v>
      </c>
      <c r="CL231">
        <v>21</v>
      </c>
      <c r="CM231">
        <v>0.09</v>
      </c>
      <c r="CN231">
        <v>7.0000000000000007E-2</v>
      </c>
      <c r="CO231">
        <v>-443.50807500000002</v>
      </c>
      <c r="CP231">
        <v>-1.9648592870531381</v>
      </c>
      <c r="CQ231">
        <v>0.1893375804614611</v>
      </c>
      <c r="CR231">
        <v>-1</v>
      </c>
      <c r="CS231">
        <v>27.487277500000001</v>
      </c>
      <c r="CT231">
        <v>6.5586866791639289E-2</v>
      </c>
      <c r="CU231">
        <v>6.4017766088795593E-3</v>
      </c>
      <c r="CV231">
        <v>-1</v>
      </c>
      <c r="CW231">
        <v>0</v>
      </c>
      <c r="CX231">
        <v>0</v>
      </c>
      <c r="CY231" t="s">
        <v>333</v>
      </c>
      <c r="CZ231">
        <v>2.3656000000000001</v>
      </c>
      <c r="DA231">
        <v>2.7137899999999999</v>
      </c>
      <c r="DB231">
        <v>8.1850500000000007E-2</v>
      </c>
      <c r="DC231">
        <v>0.145707</v>
      </c>
      <c r="DD231">
        <v>0.125612</v>
      </c>
      <c r="DE231">
        <v>1.3836899999999999E-3</v>
      </c>
      <c r="DF231">
        <v>33543.9</v>
      </c>
      <c r="DG231">
        <v>27532.400000000001</v>
      </c>
      <c r="DH231">
        <v>31186.1</v>
      </c>
      <c r="DI231">
        <v>28080.1</v>
      </c>
      <c r="DJ231">
        <v>37004.800000000003</v>
      </c>
      <c r="DK231">
        <v>39863.199999999997</v>
      </c>
      <c r="DL231">
        <v>44379</v>
      </c>
      <c r="DM231">
        <v>42538.7</v>
      </c>
      <c r="DN231">
        <v>1.4867300000000001</v>
      </c>
      <c r="DO231">
        <v>2.0588500000000001</v>
      </c>
      <c r="DP231">
        <v>0.110678</v>
      </c>
      <c r="DQ231">
        <v>0.16348099999999999</v>
      </c>
      <c r="DR231">
        <v>25.194800000000001</v>
      </c>
      <c r="DS231">
        <v>25.129100000000001</v>
      </c>
      <c r="DT231">
        <v>29</v>
      </c>
      <c r="DU231">
        <v>26.1</v>
      </c>
      <c r="DV231">
        <v>9.9750499999999995</v>
      </c>
      <c r="DW231">
        <v>61.580100000000002</v>
      </c>
      <c r="DX231">
        <v>37.119399999999999</v>
      </c>
      <c r="DY231">
        <v>1</v>
      </c>
      <c r="DZ231">
        <v>-0.165274</v>
      </c>
      <c r="EA231">
        <v>-0.62354900000000002</v>
      </c>
      <c r="EB231">
        <v>20.1892</v>
      </c>
      <c r="EC231">
        <v>5.2403500000000003</v>
      </c>
      <c r="ED231">
        <v>12.039899999999999</v>
      </c>
      <c r="EE231">
        <v>5.0136500000000002</v>
      </c>
      <c r="EF231">
        <v>3.2879999999999998</v>
      </c>
      <c r="EG231">
        <v>9999</v>
      </c>
      <c r="EH231">
        <v>9999</v>
      </c>
      <c r="EI231">
        <v>9999</v>
      </c>
      <c r="EJ231">
        <v>999.9</v>
      </c>
      <c r="EK231">
        <v>1.8687800000000001</v>
      </c>
      <c r="EL231">
        <v>1.8644700000000001</v>
      </c>
      <c r="EM231">
        <v>1.8691</v>
      </c>
      <c r="EN231">
        <v>1.8670800000000001</v>
      </c>
      <c r="EO231">
        <v>1.8632500000000001</v>
      </c>
      <c r="EP231">
        <v>1.86425</v>
      </c>
      <c r="EQ231">
        <v>1.8701000000000001</v>
      </c>
      <c r="ER231">
        <v>1.8692800000000001</v>
      </c>
      <c r="ES231">
        <v>0</v>
      </c>
      <c r="ET231">
        <v>0</v>
      </c>
      <c r="EU231">
        <v>0</v>
      </c>
      <c r="EV231">
        <v>0</v>
      </c>
      <c r="EW231" t="s">
        <v>334</v>
      </c>
      <c r="EX231" t="s">
        <v>335</v>
      </c>
      <c r="EY231" t="s">
        <v>336</v>
      </c>
      <c r="EZ231" t="s">
        <v>336</v>
      </c>
      <c r="FA231" t="s">
        <v>336</v>
      </c>
      <c r="FB231" t="s">
        <v>336</v>
      </c>
      <c r="FC231">
        <v>0</v>
      </c>
      <c r="FD231">
        <v>100</v>
      </c>
      <c r="FE231">
        <v>100</v>
      </c>
      <c r="FF231">
        <v>-1.0580000000000001</v>
      </c>
      <c r="FG231">
        <v>0.18279999999999999</v>
      </c>
      <c r="FH231">
        <v>-0.81947142863283695</v>
      </c>
      <c r="FI231">
        <v>-6.1462078757559423E-4</v>
      </c>
      <c r="FJ231">
        <v>-1.8861989874597051E-7</v>
      </c>
      <c r="FK231">
        <v>1.1980462299894961E-10</v>
      </c>
      <c r="FL231">
        <v>0.18283500000000069</v>
      </c>
      <c r="FM231">
        <v>0</v>
      </c>
      <c r="FN231">
        <v>0</v>
      </c>
      <c r="FO231">
        <v>0</v>
      </c>
      <c r="FP231">
        <v>3</v>
      </c>
      <c r="FQ231">
        <v>2158</v>
      </c>
      <c r="FR231">
        <v>1</v>
      </c>
      <c r="FS231">
        <v>19</v>
      </c>
      <c r="FT231">
        <v>43.5</v>
      </c>
      <c r="FU231">
        <v>43.5</v>
      </c>
      <c r="FV231">
        <v>1.7626999999999999</v>
      </c>
      <c r="FW231">
        <v>2.5647000000000002</v>
      </c>
      <c r="FX231">
        <v>1.5490699999999999</v>
      </c>
      <c r="FY231">
        <v>2.34253</v>
      </c>
      <c r="FZ231">
        <v>1.50146</v>
      </c>
      <c r="GA231">
        <v>2.3046899999999999</v>
      </c>
      <c r="GB231">
        <v>31.193899999999999</v>
      </c>
      <c r="GC231">
        <v>23.982399999999998</v>
      </c>
      <c r="GD231">
        <v>19</v>
      </c>
      <c r="GE231">
        <v>283.36799999999999</v>
      </c>
      <c r="GF231">
        <v>591.29999999999995</v>
      </c>
      <c r="GG231">
        <v>25.645399999999999</v>
      </c>
      <c r="GH231">
        <v>25.3552</v>
      </c>
      <c r="GI231">
        <v>30</v>
      </c>
      <c r="GJ231">
        <v>25.457899999999999</v>
      </c>
      <c r="GK231">
        <v>25.425599999999999</v>
      </c>
      <c r="GL231">
        <v>35.253599999999999</v>
      </c>
      <c r="GM231">
        <v>100</v>
      </c>
      <c r="GN231">
        <v>0</v>
      </c>
      <c r="GO231">
        <v>25.6448</v>
      </c>
      <c r="GP231">
        <v>800</v>
      </c>
      <c r="GQ231">
        <v>0</v>
      </c>
      <c r="GR231">
        <v>99.78</v>
      </c>
      <c r="GS231">
        <v>99.532300000000006</v>
      </c>
    </row>
    <row r="232" spans="1:201" x14ac:dyDescent="0.25">
      <c r="A232">
        <v>216</v>
      </c>
      <c r="B232">
        <v>1690376036.0999999</v>
      </c>
      <c r="C232">
        <v>2216.599999904633</v>
      </c>
      <c r="D232" t="s">
        <v>765</v>
      </c>
      <c r="E232" t="s">
        <v>766</v>
      </c>
      <c r="F232" t="s">
        <v>330</v>
      </c>
      <c r="H232">
        <v>1690376036.0999999</v>
      </c>
      <c r="I232">
        <f t="shared" si="90"/>
        <v>2.8305816291556807E-3</v>
      </c>
      <c r="J232">
        <f t="shared" si="91"/>
        <v>2.8305816291556805</v>
      </c>
      <c r="K232">
        <f t="shared" si="92"/>
        <v>43.417624696003024</v>
      </c>
      <c r="L232">
        <f t="shared" si="93"/>
        <v>355.84300000000002</v>
      </c>
      <c r="M232">
        <f t="shared" si="94"/>
        <v>95.598709592245001</v>
      </c>
      <c r="N232">
        <f t="shared" si="95"/>
        <v>9.4436257963216175</v>
      </c>
      <c r="O232">
        <f t="shared" si="96"/>
        <v>35.151605587290007</v>
      </c>
      <c r="P232">
        <f t="shared" si="97"/>
        <v>0.28726376480996652</v>
      </c>
      <c r="Q232">
        <f t="shared" si="98"/>
        <v>2.2462918077626006</v>
      </c>
      <c r="R232">
        <f t="shared" si="99"/>
        <v>0.26830422774563023</v>
      </c>
      <c r="S232">
        <f t="shared" si="100"/>
        <v>0.16928919336473328</v>
      </c>
      <c r="T232">
        <f t="shared" si="101"/>
        <v>276.11415</v>
      </c>
      <c r="U232">
        <f t="shared" si="102"/>
        <v>27.761417362564032</v>
      </c>
      <c r="V232">
        <f t="shared" si="103"/>
        <v>27.761417362564032</v>
      </c>
      <c r="W232">
        <f t="shared" si="104"/>
        <v>3.7423781121008477</v>
      </c>
      <c r="X232">
        <f t="shared" si="105"/>
        <v>78.118027495101018</v>
      </c>
      <c r="Y232">
        <f t="shared" si="106"/>
        <v>2.7343814640119999</v>
      </c>
      <c r="Z232">
        <f t="shared" si="107"/>
        <v>3.5003206707740797</v>
      </c>
      <c r="AA232">
        <f t="shared" si="108"/>
        <v>1.0079966480888478</v>
      </c>
      <c r="AB232">
        <f t="shared" si="109"/>
        <v>-124.82864984576551</v>
      </c>
      <c r="AC232">
        <f t="shared" si="110"/>
        <v>-138.0705885427916</v>
      </c>
      <c r="AD232">
        <f t="shared" si="111"/>
        <v>-13.290531104964478</v>
      </c>
      <c r="AE232">
        <f t="shared" si="112"/>
        <v>-7.5619493521600134E-2</v>
      </c>
      <c r="AF232">
        <v>0</v>
      </c>
      <c r="AG232">
        <v>0</v>
      </c>
      <c r="AH232">
        <f t="shared" si="113"/>
        <v>1</v>
      </c>
      <c r="AI232">
        <f t="shared" si="114"/>
        <v>0</v>
      </c>
      <c r="AJ232">
        <f t="shared" si="115"/>
        <v>52143.899705210984</v>
      </c>
      <c r="AK232">
        <f t="shared" si="116"/>
        <v>1800</v>
      </c>
      <c r="AL232">
        <f t="shared" si="117"/>
        <v>1499.1116849999999</v>
      </c>
      <c r="AM232">
        <f t="shared" si="118"/>
        <v>0.83283982499999998</v>
      </c>
      <c r="AN232">
        <f t="shared" si="119"/>
        <v>0.15339675</v>
      </c>
      <c r="AO232">
        <v>30</v>
      </c>
      <c r="AP232">
        <v>0.5</v>
      </c>
      <c r="AQ232" t="s">
        <v>331</v>
      </c>
      <c r="AR232">
        <v>2</v>
      </c>
      <c r="AS232">
        <v>1690376036.0999999</v>
      </c>
      <c r="AT232">
        <v>355.84300000000002</v>
      </c>
      <c r="AU232">
        <v>799.99099999999999</v>
      </c>
      <c r="AV232">
        <v>27.680399999999999</v>
      </c>
      <c r="AW232">
        <v>0.16433700000000001</v>
      </c>
      <c r="AX232">
        <v>356.9</v>
      </c>
      <c r="AY232">
        <v>27.497599999999998</v>
      </c>
      <c r="AZ232">
        <v>300.06799999999998</v>
      </c>
      <c r="BA232">
        <v>98.683999999999997</v>
      </c>
      <c r="BB232">
        <v>0.10002999999999999</v>
      </c>
      <c r="BC232">
        <v>26.621300000000002</v>
      </c>
      <c r="BD232">
        <v>26.995799999999999</v>
      </c>
      <c r="BE232">
        <v>27.771999999999998</v>
      </c>
      <c r="BF232">
        <v>0</v>
      </c>
      <c r="BG232">
        <v>0</v>
      </c>
      <c r="BH232">
        <v>9979.3799999999992</v>
      </c>
      <c r="BI232">
        <v>1085.53</v>
      </c>
      <c r="BJ232">
        <v>1.4016500000000001</v>
      </c>
      <c r="BK232">
        <v>-444.14800000000002</v>
      </c>
      <c r="BL232">
        <v>365.97300000000001</v>
      </c>
      <c r="BM232">
        <v>800.12199999999996</v>
      </c>
      <c r="BN232">
        <v>27.516100000000002</v>
      </c>
      <c r="BO232">
        <v>799.99099999999999</v>
      </c>
      <c r="BP232">
        <v>0.16433700000000001</v>
      </c>
      <c r="BQ232">
        <v>2.7316099999999999</v>
      </c>
      <c r="BR232">
        <v>1.62174E-2</v>
      </c>
      <c r="BS232">
        <v>22.476500000000001</v>
      </c>
      <c r="BT232">
        <v>-41.424700000000001</v>
      </c>
      <c r="BU232">
        <v>1800</v>
      </c>
      <c r="BV232">
        <v>0.91001399999999999</v>
      </c>
      <c r="BW232">
        <v>3.4004699999999999E-2</v>
      </c>
      <c r="BX232">
        <v>2.1992500000000002E-2</v>
      </c>
      <c r="BY232">
        <v>3.3988400000000002E-2</v>
      </c>
      <c r="BZ232">
        <v>25</v>
      </c>
      <c r="CA232">
        <v>33528.5</v>
      </c>
      <c r="CB232">
        <v>1690373417</v>
      </c>
      <c r="CC232" t="s">
        <v>332</v>
      </c>
      <c r="CD232">
        <v>1690373417</v>
      </c>
      <c r="CE232">
        <v>1690373415</v>
      </c>
      <c r="CF232">
        <v>1</v>
      </c>
      <c r="CG232">
        <v>-1.319</v>
      </c>
      <c r="CH232">
        <v>0.01</v>
      </c>
      <c r="CI232">
        <v>-1.371</v>
      </c>
      <c r="CJ232">
        <v>0.183</v>
      </c>
      <c r="CK232">
        <v>800</v>
      </c>
      <c r="CL232">
        <v>21</v>
      </c>
      <c r="CM232">
        <v>0.09</v>
      </c>
      <c r="CN232">
        <v>7.0000000000000007E-2</v>
      </c>
      <c r="CO232">
        <v>-443.82285365853659</v>
      </c>
      <c r="CP232">
        <v>-2.0237770034842049</v>
      </c>
      <c r="CQ232">
        <v>0.20114423425596831</v>
      </c>
      <c r="CR232">
        <v>-1</v>
      </c>
      <c r="CS232">
        <v>27.498402439024389</v>
      </c>
      <c r="CT232">
        <v>8.0598606271856138E-2</v>
      </c>
      <c r="CU232">
        <v>7.9941590812926504E-3</v>
      </c>
      <c r="CV232">
        <v>-1</v>
      </c>
      <c r="CW232">
        <v>0</v>
      </c>
      <c r="CX232">
        <v>0</v>
      </c>
      <c r="CY232" t="s">
        <v>333</v>
      </c>
      <c r="CZ232">
        <v>2.3652500000000001</v>
      </c>
      <c r="DA232">
        <v>2.7138</v>
      </c>
      <c r="DB232">
        <v>8.1798800000000005E-2</v>
      </c>
      <c r="DC232">
        <v>0.145699</v>
      </c>
      <c r="DD232">
        <v>0.12565899999999999</v>
      </c>
      <c r="DE232">
        <v>1.3817E-3</v>
      </c>
      <c r="DF232">
        <v>33546.699999999997</v>
      </c>
      <c r="DG232">
        <v>27532.6</v>
      </c>
      <c r="DH232">
        <v>31186.9</v>
      </c>
      <c r="DI232">
        <v>28080</v>
      </c>
      <c r="DJ232">
        <v>37003.800000000003</v>
      </c>
      <c r="DK232">
        <v>39863.4</v>
      </c>
      <c r="DL232">
        <v>44380.2</v>
      </c>
      <c r="DM232">
        <v>42538.9</v>
      </c>
      <c r="DN232">
        <v>1.48685</v>
      </c>
      <c r="DO232">
        <v>2.0588000000000002</v>
      </c>
      <c r="DP232">
        <v>0.109859</v>
      </c>
      <c r="DQ232">
        <v>0.16128999999999999</v>
      </c>
      <c r="DR232">
        <v>25.1965</v>
      </c>
      <c r="DS232">
        <v>25.131900000000002</v>
      </c>
      <c r="DT232">
        <v>28.9</v>
      </c>
      <c r="DU232">
        <v>26.1</v>
      </c>
      <c r="DV232">
        <v>9.9403199999999998</v>
      </c>
      <c r="DW232">
        <v>62.020099999999999</v>
      </c>
      <c r="DX232">
        <v>37.664299999999997</v>
      </c>
      <c r="DY232">
        <v>1</v>
      </c>
      <c r="DZ232">
        <v>-0.16519600000000001</v>
      </c>
      <c r="EA232">
        <v>-0.63014700000000001</v>
      </c>
      <c r="EB232">
        <v>20.189</v>
      </c>
      <c r="EC232">
        <v>5.2404999999999999</v>
      </c>
      <c r="ED232">
        <v>12.039899999999999</v>
      </c>
      <c r="EE232">
        <v>5.0136500000000002</v>
      </c>
      <c r="EF232">
        <v>3.2879999999999998</v>
      </c>
      <c r="EG232">
        <v>9999</v>
      </c>
      <c r="EH232">
        <v>9999</v>
      </c>
      <c r="EI232">
        <v>9999</v>
      </c>
      <c r="EJ232">
        <v>999.9</v>
      </c>
      <c r="EK232">
        <v>1.86876</v>
      </c>
      <c r="EL232">
        <v>1.8644700000000001</v>
      </c>
      <c r="EM232">
        <v>1.8691199999999999</v>
      </c>
      <c r="EN232">
        <v>1.8671199999999999</v>
      </c>
      <c r="EO232">
        <v>1.8632500000000001</v>
      </c>
      <c r="EP232">
        <v>1.8642700000000001</v>
      </c>
      <c r="EQ232">
        <v>1.8701000000000001</v>
      </c>
      <c r="ER232">
        <v>1.8693299999999999</v>
      </c>
      <c r="ES232">
        <v>0</v>
      </c>
      <c r="ET232">
        <v>0</v>
      </c>
      <c r="EU232">
        <v>0</v>
      </c>
      <c r="EV232">
        <v>0</v>
      </c>
      <c r="EW232" t="s">
        <v>334</v>
      </c>
      <c r="EX232" t="s">
        <v>335</v>
      </c>
      <c r="EY232" t="s">
        <v>336</v>
      </c>
      <c r="EZ232" t="s">
        <v>336</v>
      </c>
      <c r="FA232" t="s">
        <v>336</v>
      </c>
      <c r="FB232" t="s">
        <v>336</v>
      </c>
      <c r="FC232">
        <v>0</v>
      </c>
      <c r="FD232">
        <v>100</v>
      </c>
      <c r="FE232">
        <v>100</v>
      </c>
      <c r="FF232">
        <v>-1.0569999999999999</v>
      </c>
      <c r="FG232">
        <v>0.18279999999999999</v>
      </c>
      <c r="FH232">
        <v>-0.81947142863283695</v>
      </c>
      <c r="FI232">
        <v>-6.1462078757559423E-4</v>
      </c>
      <c r="FJ232">
        <v>-1.8861989874597051E-7</v>
      </c>
      <c r="FK232">
        <v>1.1980462299894961E-10</v>
      </c>
      <c r="FL232">
        <v>0.18283500000000069</v>
      </c>
      <c r="FM232">
        <v>0</v>
      </c>
      <c r="FN232">
        <v>0</v>
      </c>
      <c r="FO232">
        <v>0</v>
      </c>
      <c r="FP232">
        <v>3</v>
      </c>
      <c r="FQ232">
        <v>2158</v>
      </c>
      <c r="FR232">
        <v>1</v>
      </c>
      <c r="FS232">
        <v>19</v>
      </c>
      <c r="FT232">
        <v>43.7</v>
      </c>
      <c r="FU232">
        <v>43.7</v>
      </c>
      <c r="FV232">
        <v>1.7639199999999999</v>
      </c>
      <c r="FW232">
        <v>2.5634800000000002</v>
      </c>
      <c r="FX232">
        <v>1.5490699999999999</v>
      </c>
      <c r="FY232">
        <v>2.34253</v>
      </c>
      <c r="FZ232">
        <v>1.50146</v>
      </c>
      <c r="GA232">
        <v>2.36572</v>
      </c>
      <c r="GB232">
        <v>31.215599999999998</v>
      </c>
      <c r="GC232">
        <v>23.973700000000001</v>
      </c>
      <c r="GD232">
        <v>19</v>
      </c>
      <c r="GE232">
        <v>283.42399999999998</v>
      </c>
      <c r="GF232">
        <v>591.25800000000004</v>
      </c>
      <c r="GG232">
        <v>25.6447</v>
      </c>
      <c r="GH232">
        <v>25.355499999999999</v>
      </c>
      <c r="GI232">
        <v>30</v>
      </c>
      <c r="GJ232">
        <v>25.458600000000001</v>
      </c>
      <c r="GK232">
        <v>25.425599999999999</v>
      </c>
      <c r="GL232">
        <v>35.256900000000002</v>
      </c>
      <c r="GM232">
        <v>100</v>
      </c>
      <c r="GN232">
        <v>0</v>
      </c>
      <c r="GO232">
        <v>25.6447</v>
      </c>
      <c r="GP232">
        <v>800</v>
      </c>
      <c r="GQ232">
        <v>0</v>
      </c>
      <c r="GR232">
        <v>99.782499999999999</v>
      </c>
      <c r="GS232">
        <v>99.532499999999999</v>
      </c>
    </row>
    <row r="233" spans="1:201" x14ac:dyDescent="0.25">
      <c r="A233">
        <v>217</v>
      </c>
      <c r="B233">
        <v>1690376046.0999999</v>
      </c>
      <c r="C233">
        <v>2226.599999904633</v>
      </c>
      <c r="D233" t="s">
        <v>767</v>
      </c>
      <c r="E233" t="s">
        <v>768</v>
      </c>
      <c r="F233" t="s">
        <v>330</v>
      </c>
      <c r="H233">
        <v>1690376046.0999999</v>
      </c>
      <c r="I233">
        <f t="shared" si="90"/>
        <v>2.8317038271256268E-3</v>
      </c>
      <c r="J233">
        <f t="shared" si="91"/>
        <v>2.8317038271256267</v>
      </c>
      <c r="K233">
        <f t="shared" si="92"/>
        <v>43.455693988228326</v>
      </c>
      <c r="L233">
        <f t="shared" si="93"/>
        <v>355.55099999999999</v>
      </c>
      <c r="M233">
        <f t="shared" si="94"/>
        <v>95.50144112254074</v>
      </c>
      <c r="N233">
        <f t="shared" si="95"/>
        <v>9.4345411457982973</v>
      </c>
      <c r="O233">
        <f t="shared" si="96"/>
        <v>35.124711203316004</v>
      </c>
      <c r="P233">
        <f t="shared" si="97"/>
        <v>0.28775703339911707</v>
      </c>
      <c r="Q233">
        <f t="shared" si="98"/>
        <v>2.2457970795865361</v>
      </c>
      <c r="R233">
        <f t="shared" si="99"/>
        <v>0.26873074711446743</v>
      </c>
      <c r="S233">
        <f t="shared" si="100"/>
        <v>0.16956120841138211</v>
      </c>
      <c r="T233">
        <f t="shared" si="101"/>
        <v>276.11257744071435</v>
      </c>
      <c r="U233">
        <f t="shared" si="102"/>
        <v>27.761061889223768</v>
      </c>
      <c r="V233">
        <f t="shared" si="103"/>
        <v>27.761061889223768</v>
      </c>
      <c r="W233">
        <f t="shared" si="104"/>
        <v>3.7423004222052456</v>
      </c>
      <c r="X233">
        <f t="shared" si="105"/>
        <v>78.149533762005291</v>
      </c>
      <c r="Y233">
        <f t="shared" si="106"/>
        <v>2.7354520611852</v>
      </c>
      <c r="Z233">
        <f t="shared" si="107"/>
        <v>3.5002794380266939</v>
      </c>
      <c r="AA233">
        <f t="shared" si="108"/>
        <v>1.0068483610200456</v>
      </c>
      <c r="AB233">
        <f t="shared" si="109"/>
        <v>-124.87813877624014</v>
      </c>
      <c r="AC233">
        <f t="shared" si="110"/>
        <v>-138.02135557838341</v>
      </c>
      <c r="AD233">
        <f t="shared" si="111"/>
        <v>-13.288681830216531</v>
      </c>
      <c r="AE233">
        <f t="shared" si="112"/>
        <v>-7.5598744125727535E-2</v>
      </c>
      <c r="AF233">
        <v>0</v>
      </c>
      <c r="AG233">
        <v>0</v>
      </c>
      <c r="AH233">
        <f t="shared" si="113"/>
        <v>1</v>
      </c>
      <c r="AI233">
        <f t="shared" si="114"/>
        <v>0</v>
      </c>
      <c r="AJ233">
        <f t="shared" si="115"/>
        <v>52124.823038495299</v>
      </c>
      <c r="AK233">
        <f t="shared" si="116"/>
        <v>1799.99</v>
      </c>
      <c r="AL233">
        <f t="shared" si="117"/>
        <v>1499.1035114008901</v>
      </c>
      <c r="AM233">
        <f t="shared" si="118"/>
        <v>0.83283991099999999</v>
      </c>
      <c r="AN233">
        <f t="shared" si="119"/>
        <v>0.15339672855999997</v>
      </c>
      <c r="AO233">
        <v>30</v>
      </c>
      <c r="AP233">
        <v>0.5</v>
      </c>
      <c r="AQ233" t="s">
        <v>331</v>
      </c>
      <c r="AR233">
        <v>2</v>
      </c>
      <c r="AS233">
        <v>1690376046.0999999</v>
      </c>
      <c r="AT233">
        <v>355.55099999999999</v>
      </c>
      <c r="AU233">
        <v>800.06200000000001</v>
      </c>
      <c r="AV233">
        <v>27.689699999999998</v>
      </c>
      <c r="AW233">
        <v>0.16381699999999999</v>
      </c>
      <c r="AX233">
        <v>356.608</v>
      </c>
      <c r="AY233">
        <v>27.506900000000002</v>
      </c>
      <c r="AZ233">
        <v>300.077</v>
      </c>
      <c r="BA233">
        <v>98.689400000000006</v>
      </c>
      <c r="BB233">
        <v>0.100116</v>
      </c>
      <c r="BC233">
        <v>26.621099999999998</v>
      </c>
      <c r="BD233">
        <v>27.008099999999999</v>
      </c>
      <c r="BE233">
        <v>27.804500000000001</v>
      </c>
      <c r="BF233">
        <v>0</v>
      </c>
      <c r="BG233">
        <v>0</v>
      </c>
      <c r="BH233">
        <v>9975</v>
      </c>
      <c r="BI233">
        <v>1085.47</v>
      </c>
      <c r="BJ233">
        <v>1.1970099999999999</v>
      </c>
      <c r="BK233">
        <v>-444.51100000000002</v>
      </c>
      <c r="BL233">
        <v>365.67599999999999</v>
      </c>
      <c r="BM233">
        <v>800.19299999999998</v>
      </c>
      <c r="BN233">
        <v>27.5259</v>
      </c>
      <c r="BO233">
        <v>800.06200000000001</v>
      </c>
      <c r="BP233">
        <v>0.16381699999999999</v>
      </c>
      <c r="BQ233">
        <v>2.7326800000000002</v>
      </c>
      <c r="BR233">
        <v>1.6167000000000001E-2</v>
      </c>
      <c r="BS233">
        <v>22.483000000000001</v>
      </c>
      <c r="BT233">
        <v>-41.454099999999997</v>
      </c>
      <c r="BU233">
        <v>1799.99</v>
      </c>
      <c r="BV233">
        <v>0.91001500000000002</v>
      </c>
      <c r="BW233">
        <v>3.4004300000000001E-2</v>
      </c>
      <c r="BX233">
        <v>2.1992299999999999E-2</v>
      </c>
      <c r="BY233">
        <v>3.3987999999999997E-2</v>
      </c>
      <c r="BZ233">
        <v>25</v>
      </c>
      <c r="CA233">
        <v>33528.300000000003</v>
      </c>
      <c r="CB233">
        <v>1690373417</v>
      </c>
      <c r="CC233" t="s">
        <v>332</v>
      </c>
      <c r="CD233">
        <v>1690373417</v>
      </c>
      <c r="CE233">
        <v>1690373415</v>
      </c>
      <c r="CF233">
        <v>1</v>
      </c>
      <c r="CG233">
        <v>-1.319</v>
      </c>
      <c r="CH233">
        <v>0.01</v>
      </c>
      <c r="CI233">
        <v>-1.371</v>
      </c>
      <c r="CJ233">
        <v>0.183</v>
      </c>
      <c r="CK233">
        <v>800</v>
      </c>
      <c r="CL233">
        <v>21</v>
      </c>
      <c r="CM233">
        <v>0.09</v>
      </c>
      <c r="CN233">
        <v>7.0000000000000007E-2</v>
      </c>
      <c r="CO233">
        <v>-444.16022500000003</v>
      </c>
      <c r="CP233">
        <v>-1.722112570356044</v>
      </c>
      <c r="CQ233">
        <v>0.1688486730033712</v>
      </c>
      <c r="CR233">
        <v>-1</v>
      </c>
      <c r="CS233">
        <v>27.51392499999999</v>
      </c>
      <c r="CT233">
        <v>9.3298311444555346E-2</v>
      </c>
      <c r="CU233">
        <v>9.005852263945114E-3</v>
      </c>
      <c r="CV233">
        <v>-1</v>
      </c>
      <c r="CW233">
        <v>0</v>
      </c>
      <c r="CX233">
        <v>0</v>
      </c>
      <c r="CY233" t="s">
        <v>333</v>
      </c>
      <c r="CZ233">
        <v>2.3652700000000002</v>
      </c>
      <c r="DA233">
        <v>2.7138800000000001</v>
      </c>
      <c r="DB233">
        <v>8.1750400000000001E-2</v>
      </c>
      <c r="DC233">
        <v>0.14571500000000001</v>
      </c>
      <c r="DD233">
        <v>0.125694</v>
      </c>
      <c r="DE233">
        <v>1.37744E-3</v>
      </c>
      <c r="DF233">
        <v>33548.300000000003</v>
      </c>
      <c r="DG233">
        <v>27532</v>
      </c>
      <c r="DH233">
        <v>31186.7</v>
      </c>
      <c r="DI233">
        <v>28079.9</v>
      </c>
      <c r="DJ233">
        <v>37001.699999999997</v>
      </c>
      <c r="DK233">
        <v>39863.4</v>
      </c>
      <c r="DL233">
        <v>44379.6</v>
      </c>
      <c r="DM233">
        <v>42538.7</v>
      </c>
      <c r="DN233">
        <v>1.4870000000000001</v>
      </c>
      <c r="DO233">
        <v>2.0585800000000001</v>
      </c>
      <c r="DP233">
        <v>0.110514</v>
      </c>
      <c r="DQ233">
        <v>0.16306300000000001</v>
      </c>
      <c r="DR233">
        <v>25.1981</v>
      </c>
      <c r="DS233">
        <v>25.1355</v>
      </c>
      <c r="DT233">
        <v>28.9</v>
      </c>
      <c r="DU233">
        <v>26.2</v>
      </c>
      <c r="DV233">
        <v>9.9988499999999991</v>
      </c>
      <c r="DW233">
        <v>61.890099999999997</v>
      </c>
      <c r="DX233">
        <v>38.0809</v>
      </c>
      <c r="DY233">
        <v>1</v>
      </c>
      <c r="DZ233">
        <v>-0.164995</v>
      </c>
      <c r="EA233">
        <v>-0.64179200000000003</v>
      </c>
      <c r="EB233">
        <v>20.1889</v>
      </c>
      <c r="EC233">
        <v>5.2403500000000003</v>
      </c>
      <c r="ED233">
        <v>12.039899999999999</v>
      </c>
      <c r="EE233">
        <v>5.0136500000000002</v>
      </c>
      <c r="EF233">
        <v>3.2879999999999998</v>
      </c>
      <c r="EG233">
        <v>9999</v>
      </c>
      <c r="EH233">
        <v>9999</v>
      </c>
      <c r="EI233">
        <v>9999</v>
      </c>
      <c r="EJ233">
        <v>999.9</v>
      </c>
      <c r="EK233">
        <v>1.8687800000000001</v>
      </c>
      <c r="EL233">
        <v>1.8644700000000001</v>
      </c>
      <c r="EM233">
        <v>1.8691</v>
      </c>
      <c r="EN233">
        <v>1.8671</v>
      </c>
      <c r="EO233">
        <v>1.8632500000000001</v>
      </c>
      <c r="EP233">
        <v>1.86429</v>
      </c>
      <c r="EQ233">
        <v>1.8701099999999999</v>
      </c>
      <c r="ER233">
        <v>1.8693200000000001</v>
      </c>
      <c r="ES233">
        <v>0</v>
      </c>
      <c r="ET233">
        <v>0</v>
      </c>
      <c r="EU233">
        <v>0</v>
      </c>
      <c r="EV233">
        <v>0</v>
      </c>
      <c r="EW233" t="s">
        <v>334</v>
      </c>
      <c r="EX233" t="s">
        <v>335</v>
      </c>
      <c r="EY233" t="s">
        <v>336</v>
      </c>
      <c r="EZ233" t="s">
        <v>336</v>
      </c>
      <c r="FA233" t="s">
        <v>336</v>
      </c>
      <c r="FB233" t="s">
        <v>336</v>
      </c>
      <c r="FC233">
        <v>0</v>
      </c>
      <c r="FD233">
        <v>100</v>
      </c>
      <c r="FE233">
        <v>100</v>
      </c>
      <c r="FF233">
        <v>-1.0569999999999999</v>
      </c>
      <c r="FG233">
        <v>0.18279999999999999</v>
      </c>
      <c r="FH233">
        <v>-0.81947142863283695</v>
      </c>
      <c r="FI233">
        <v>-6.1462078757559423E-4</v>
      </c>
      <c r="FJ233">
        <v>-1.8861989874597051E-7</v>
      </c>
      <c r="FK233">
        <v>1.1980462299894961E-10</v>
      </c>
      <c r="FL233">
        <v>0.18283500000000069</v>
      </c>
      <c r="FM233">
        <v>0</v>
      </c>
      <c r="FN233">
        <v>0</v>
      </c>
      <c r="FO233">
        <v>0</v>
      </c>
      <c r="FP233">
        <v>3</v>
      </c>
      <c r="FQ233">
        <v>2158</v>
      </c>
      <c r="FR233">
        <v>1</v>
      </c>
      <c r="FS233">
        <v>19</v>
      </c>
      <c r="FT233">
        <v>43.8</v>
      </c>
      <c r="FU233">
        <v>43.9</v>
      </c>
      <c r="FV233">
        <v>1.7639199999999999</v>
      </c>
      <c r="FW233">
        <v>2.5622600000000002</v>
      </c>
      <c r="FX233">
        <v>1.5490699999999999</v>
      </c>
      <c r="FY233">
        <v>2.34253</v>
      </c>
      <c r="FZ233">
        <v>1.50146</v>
      </c>
      <c r="GA233">
        <v>2.33521</v>
      </c>
      <c r="GB233">
        <v>31.215599999999998</v>
      </c>
      <c r="GC233">
        <v>23.991199999999999</v>
      </c>
      <c r="GD233">
        <v>19</v>
      </c>
      <c r="GE233">
        <v>283.49400000000003</v>
      </c>
      <c r="GF233">
        <v>591.09500000000003</v>
      </c>
      <c r="GG233">
        <v>25.649100000000001</v>
      </c>
      <c r="GH233">
        <v>25.355499999999999</v>
      </c>
      <c r="GI233">
        <v>30.0002</v>
      </c>
      <c r="GJ233">
        <v>25.46</v>
      </c>
      <c r="GK233">
        <v>25.427700000000002</v>
      </c>
      <c r="GL233">
        <v>35.253100000000003</v>
      </c>
      <c r="GM233">
        <v>100</v>
      </c>
      <c r="GN233">
        <v>0</v>
      </c>
      <c r="GO233">
        <v>25.6464</v>
      </c>
      <c r="GP233">
        <v>800</v>
      </c>
      <c r="GQ233">
        <v>0</v>
      </c>
      <c r="GR233">
        <v>99.781499999999994</v>
      </c>
      <c r="GS233">
        <v>99.5321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2023-07-26T12:54:29Z</dcterms:created>
  <dcterms:modified xsi:type="dcterms:W3CDTF">2023-07-26T17:10:20Z</dcterms:modified>
</cp:coreProperties>
</file>