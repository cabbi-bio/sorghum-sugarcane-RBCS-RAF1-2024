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 07 25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7" i="1" l="1"/>
  <c r="AM227" i="1"/>
  <c r="AK227" i="1"/>
  <c r="AL227" i="1" s="1"/>
  <c r="AJ227" i="1"/>
  <c r="AH227" i="1"/>
  <c r="L227" i="1" s="1"/>
  <c r="Z227" i="1"/>
  <c r="Y227" i="1"/>
  <c r="X227" i="1"/>
  <c r="Q227" i="1"/>
  <c r="AN226" i="1"/>
  <c r="T226" i="1" s="1"/>
  <c r="AM226" i="1"/>
  <c r="AL226" i="1"/>
  <c r="AK226" i="1"/>
  <c r="AJ226" i="1"/>
  <c r="AH226" i="1"/>
  <c r="L226" i="1" s="1"/>
  <c r="Z226" i="1"/>
  <c r="Y226" i="1"/>
  <c r="X226" i="1"/>
  <c r="Q226" i="1"/>
  <c r="O226" i="1"/>
  <c r="AN225" i="1"/>
  <c r="AM225" i="1"/>
  <c r="AL225" i="1"/>
  <c r="AK225" i="1"/>
  <c r="AJ225" i="1"/>
  <c r="AH225" i="1"/>
  <c r="J225" i="1" s="1"/>
  <c r="Z225" i="1"/>
  <c r="Y225" i="1"/>
  <c r="X225" i="1"/>
  <c r="T225" i="1"/>
  <c r="Q225" i="1"/>
  <c r="O225" i="1"/>
  <c r="L225" i="1"/>
  <c r="I225" i="1"/>
  <c r="AB225" i="1" s="1"/>
  <c r="AN224" i="1"/>
  <c r="AM224" i="1"/>
  <c r="AK224" i="1"/>
  <c r="T224" i="1" s="1"/>
  <c r="AJ224" i="1"/>
  <c r="AH224" i="1" s="1"/>
  <c r="AI224" i="1" s="1"/>
  <c r="Z224" i="1"/>
  <c r="X224" i="1" s="1"/>
  <c r="Y224" i="1"/>
  <c r="Q224" i="1"/>
  <c r="J224" i="1"/>
  <c r="I224" i="1" s="1"/>
  <c r="AN223" i="1"/>
  <c r="AM223" i="1"/>
  <c r="AL223" i="1"/>
  <c r="AK223" i="1"/>
  <c r="AJ223" i="1"/>
  <c r="AH223" i="1"/>
  <c r="Z223" i="1"/>
  <c r="Y223" i="1"/>
  <c r="X223" i="1" s="1"/>
  <c r="T223" i="1"/>
  <c r="Q223" i="1"/>
  <c r="AN222" i="1"/>
  <c r="AM222" i="1"/>
  <c r="AK222" i="1"/>
  <c r="AJ222" i="1"/>
  <c r="AH222" i="1" s="1"/>
  <c r="K222" i="1" s="1"/>
  <c r="Z222" i="1"/>
  <c r="Y222" i="1"/>
  <c r="X222" i="1" s="1"/>
  <c r="Q222" i="1"/>
  <c r="AN221" i="1"/>
  <c r="AM221" i="1"/>
  <c r="AK221" i="1"/>
  <c r="AL221" i="1" s="1"/>
  <c r="AJ221" i="1"/>
  <c r="AI221" i="1"/>
  <c r="AH221" i="1"/>
  <c r="J221" i="1" s="1"/>
  <c r="I221" i="1" s="1"/>
  <c r="Z221" i="1"/>
  <c r="Y221" i="1"/>
  <c r="X221" i="1" s="1"/>
  <c r="Q221" i="1"/>
  <c r="O221" i="1"/>
  <c r="L221" i="1"/>
  <c r="AN220" i="1"/>
  <c r="AM220" i="1"/>
  <c r="AK220" i="1"/>
  <c r="AL220" i="1" s="1"/>
  <c r="AJ220" i="1"/>
  <c r="AH220" i="1" s="1"/>
  <c r="L220" i="1" s="1"/>
  <c r="AI220" i="1"/>
  <c r="Z220" i="1"/>
  <c r="Y220" i="1"/>
  <c r="T220" i="1"/>
  <c r="Q220" i="1"/>
  <c r="O220" i="1"/>
  <c r="K220" i="1"/>
  <c r="J220" i="1"/>
  <c r="I220" i="1" s="1"/>
  <c r="AN219" i="1"/>
  <c r="AM219" i="1"/>
  <c r="AL219" i="1"/>
  <c r="AK219" i="1"/>
  <c r="AJ219" i="1"/>
  <c r="AH219" i="1"/>
  <c r="Z219" i="1"/>
  <c r="Y219" i="1"/>
  <c r="X219" i="1"/>
  <c r="T219" i="1"/>
  <c r="Q219" i="1"/>
  <c r="AN218" i="1"/>
  <c r="AM218" i="1"/>
  <c r="AK218" i="1"/>
  <c r="AJ218" i="1"/>
  <c r="AH218" i="1" s="1"/>
  <c r="Z218" i="1"/>
  <c r="Y218" i="1"/>
  <c r="X218" i="1" s="1"/>
  <c r="Q218" i="1"/>
  <c r="K218" i="1"/>
  <c r="AN217" i="1"/>
  <c r="AM217" i="1"/>
  <c r="AK217" i="1"/>
  <c r="AJ217" i="1"/>
  <c r="AI217" i="1"/>
  <c r="AH217" i="1"/>
  <c r="J217" i="1" s="1"/>
  <c r="Z217" i="1"/>
  <c r="Y217" i="1"/>
  <c r="X217" i="1" s="1"/>
  <c r="Q217" i="1"/>
  <c r="O217" i="1"/>
  <c r="L217" i="1"/>
  <c r="K217" i="1"/>
  <c r="I217" i="1"/>
  <c r="AN216" i="1"/>
  <c r="AM216" i="1"/>
  <c r="AL216" i="1" s="1"/>
  <c r="AK216" i="1"/>
  <c r="AJ216" i="1"/>
  <c r="AH216" i="1" s="1"/>
  <c r="L216" i="1" s="1"/>
  <c r="AI216" i="1"/>
  <c r="AB216" i="1"/>
  <c r="Z216" i="1"/>
  <c r="Y216" i="1"/>
  <c r="X216" i="1" s="1"/>
  <c r="T216" i="1"/>
  <c r="Q216" i="1"/>
  <c r="O216" i="1"/>
  <c r="J216" i="1"/>
  <c r="I216" i="1" s="1"/>
  <c r="AN215" i="1"/>
  <c r="AM215" i="1"/>
  <c r="AL215" i="1"/>
  <c r="AK215" i="1"/>
  <c r="T215" i="1" s="1"/>
  <c r="AJ215" i="1"/>
  <c r="AH215" i="1"/>
  <c r="Z215" i="1"/>
  <c r="Y215" i="1"/>
  <c r="X215" i="1" s="1"/>
  <c r="Q215" i="1"/>
  <c r="AN214" i="1"/>
  <c r="AM214" i="1"/>
  <c r="AK214" i="1"/>
  <c r="AJ214" i="1"/>
  <c r="AH214" i="1" s="1"/>
  <c r="Z214" i="1"/>
  <c r="Y214" i="1"/>
  <c r="X214" i="1" s="1"/>
  <c r="Q214" i="1"/>
  <c r="K214" i="1"/>
  <c r="AN213" i="1"/>
  <c r="AM213" i="1"/>
  <c r="AK213" i="1"/>
  <c r="AJ213" i="1"/>
  <c r="AI213" i="1"/>
  <c r="AH213" i="1"/>
  <c r="J213" i="1" s="1"/>
  <c r="I213" i="1" s="1"/>
  <c r="Z213" i="1"/>
  <c r="Y213" i="1"/>
  <c r="X213" i="1" s="1"/>
  <c r="Q213" i="1"/>
  <c r="O213" i="1"/>
  <c r="L213" i="1"/>
  <c r="AN212" i="1"/>
  <c r="AM212" i="1"/>
  <c r="AK212" i="1"/>
  <c r="AJ212" i="1"/>
  <c r="AH212" i="1" s="1"/>
  <c r="L212" i="1" s="1"/>
  <c r="AI212" i="1"/>
  <c r="Z212" i="1"/>
  <c r="Y212" i="1"/>
  <c r="X212" i="1" s="1"/>
  <c r="T212" i="1"/>
  <c r="Q212" i="1"/>
  <c r="O212" i="1"/>
  <c r="K212" i="1"/>
  <c r="J212" i="1"/>
  <c r="I212" i="1" s="1"/>
  <c r="AN211" i="1"/>
  <c r="AM211" i="1"/>
  <c r="AL211" i="1"/>
  <c r="AK211" i="1"/>
  <c r="AJ211" i="1"/>
  <c r="AH211" i="1"/>
  <c r="Z211" i="1"/>
  <c r="Y211" i="1"/>
  <c r="X211" i="1"/>
  <c r="T211" i="1"/>
  <c r="Q211" i="1"/>
  <c r="AN210" i="1"/>
  <c r="AM210" i="1"/>
  <c r="AK210" i="1"/>
  <c r="AJ210" i="1"/>
  <c r="AH210" i="1" s="1"/>
  <c r="Z210" i="1"/>
  <c r="Y210" i="1"/>
  <c r="X210" i="1" s="1"/>
  <c r="Q210" i="1"/>
  <c r="AN209" i="1"/>
  <c r="AM209" i="1"/>
  <c r="AK209" i="1"/>
  <c r="AJ209" i="1"/>
  <c r="AI209" i="1"/>
  <c r="AH209" i="1"/>
  <c r="J209" i="1" s="1"/>
  <c r="Z209" i="1"/>
  <c r="Y209" i="1"/>
  <c r="X209" i="1" s="1"/>
  <c r="Q209" i="1"/>
  <c r="O209" i="1"/>
  <c r="L209" i="1"/>
  <c r="K209" i="1"/>
  <c r="I209" i="1"/>
  <c r="AN208" i="1"/>
  <c r="AM208" i="1"/>
  <c r="AL208" i="1" s="1"/>
  <c r="AK208" i="1"/>
  <c r="AJ208" i="1"/>
  <c r="AH208" i="1" s="1"/>
  <c r="AI208" i="1" s="1"/>
  <c r="Z208" i="1"/>
  <c r="Y208" i="1"/>
  <c r="X208" i="1" s="1"/>
  <c r="T208" i="1"/>
  <c r="Q208" i="1"/>
  <c r="J208" i="1"/>
  <c r="I208" i="1" s="1"/>
  <c r="AN207" i="1"/>
  <c r="AM207" i="1"/>
  <c r="AL207" i="1" s="1"/>
  <c r="AK207" i="1"/>
  <c r="T207" i="1" s="1"/>
  <c r="AJ207" i="1"/>
  <c r="AH207" i="1"/>
  <c r="Z207" i="1"/>
  <c r="Y207" i="1"/>
  <c r="X207" i="1"/>
  <c r="Q207" i="1"/>
  <c r="J207" i="1"/>
  <c r="I207" i="1"/>
  <c r="AN206" i="1"/>
  <c r="AM206" i="1"/>
  <c r="AK206" i="1"/>
  <c r="AJ206" i="1"/>
  <c r="AH206" i="1" s="1"/>
  <c r="Z206" i="1"/>
  <c r="Y206" i="1"/>
  <c r="X206" i="1" s="1"/>
  <c r="Q206" i="1"/>
  <c r="K206" i="1"/>
  <c r="AN205" i="1"/>
  <c r="AM205" i="1"/>
  <c r="AK205" i="1"/>
  <c r="AJ205" i="1"/>
  <c r="AI205" i="1"/>
  <c r="AH205" i="1"/>
  <c r="J205" i="1" s="1"/>
  <c r="I205" i="1" s="1"/>
  <c r="Z205" i="1"/>
  <c r="Y205" i="1"/>
  <c r="X205" i="1" s="1"/>
  <c r="Q205" i="1"/>
  <c r="O205" i="1"/>
  <c r="L205" i="1"/>
  <c r="AN204" i="1"/>
  <c r="T204" i="1" s="1"/>
  <c r="AM204" i="1"/>
  <c r="AK204" i="1"/>
  <c r="AL204" i="1" s="1"/>
  <c r="AJ204" i="1"/>
  <c r="AH204" i="1" s="1"/>
  <c r="L204" i="1" s="1"/>
  <c r="Z204" i="1"/>
  <c r="Y204" i="1"/>
  <c r="X204" i="1" s="1"/>
  <c r="Q204" i="1"/>
  <c r="J204" i="1"/>
  <c r="I204" i="1" s="1"/>
  <c r="AN203" i="1"/>
  <c r="AM203" i="1"/>
  <c r="AL203" i="1" s="1"/>
  <c r="AK203" i="1"/>
  <c r="AJ203" i="1"/>
  <c r="AI203" i="1"/>
  <c r="AH203" i="1"/>
  <c r="L203" i="1" s="1"/>
  <c r="Z203" i="1"/>
  <c r="Y203" i="1"/>
  <c r="X203" i="1"/>
  <c r="T203" i="1"/>
  <c r="Q203" i="1"/>
  <c r="O203" i="1"/>
  <c r="J203" i="1"/>
  <c r="I203" i="1" s="1"/>
  <c r="AN202" i="1"/>
  <c r="AM202" i="1"/>
  <c r="AK202" i="1"/>
  <c r="AJ202" i="1"/>
  <c r="AH202" i="1" s="1"/>
  <c r="Z202" i="1"/>
  <c r="Y202" i="1"/>
  <c r="X202" i="1" s="1"/>
  <c r="Q202" i="1"/>
  <c r="AN201" i="1"/>
  <c r="AM201" i="1"/>
  <c r="AK201" i="1"/>
  <c r="AJ201" i="1"/>
  <c r="AI201" i="1"/>
  <c r="AH201" i="1"/>
  <c r="J201" i="1" s="1"/>
  <c r="Z201" i="1"/>
  <c r="Y201" i="1"/>
  <c r="X201" i="1" s="1"/>
  <c r="Q201" i="1"/>
  <c r="O201" i="1"/>
  <c r="L201" i="1"/>
  <c r="K201" i="1"/>
  <c r="I201" i="1"/>
  <c r="AN200" i="1"/>
  <c r="AM200" i="1"/>
  <c r="AL200" i="1" s="1"/>
  <c r="AK200" i="1"/>
  <c r="AJ200" i="1"/>
  <c r="AH200" i="1" s="1"/>
  <c r="O200" i="1" s="1"/>
  <c r="AI200" i="1"/>
  <c r="Z200" i="1"/>
  <c r="Y200" i="1"/>
  <c r="X200" i="1" s="1"/>
  <c r="T200" i="1"/>
  <c r="Q200" i="1"/>
  <c r="L200" i="1"/>
  <c r="K200" i="1"/>
  <c r="J200" i="1"/>
  <c r="I200" i="1" s="1"/>
  <c r="AB200" i="1" s="1"/>
  <c r="AN199" i="1"/>
  <c r="AM199" i="1"/>
  <c r="AL199" i="1" s="1"/>
  <c r="AK199" i="1"/>
  <c r="T199" i="1" s="1"/>
  <c r="AJ199" i="1"/>
  <c r="AH199" i="1"/>
  <c r="J199" i="1" s="1"/>
  <c r="I199" i="1" s="1"/>
  <c r="Z199" i="1"/>
  <c r="Y199" i="1"/>
  <c r="X199" i="1" s="1"/>
  <c r="Q199" i="1"/>
  <c r="AN198" i="1"/>
  <c r="AM198" i="1"/>
  <c r="AL198" i="1" s="1"/>
  <c r="AK198" i="1"/>
  <c r="AJ198" i="1"/>
  <c r="AI198" i="1"/>
  <c r="AH198" i="1"/>
  <c r="Z198" i="1"/>
  <c r="Y198" i="1"/>
  <c r="X198" i="1" s="1"/>
  <c r="T198" i="1"/>
  <c r="Q198" i="1"/>
  <c r="L198" i="1"/>
  <c r="AN197" i="1"/>
  <c r="AM197" i="1"/>
  <c r="AK197" i="1"/>
  <c r="AL197" i="1" s="1"/>
  <c r="AJ197" i="1"/>
  <c r="AH197" i="1" s="1"/>
  <c r="AI197" i="1" s="1"/>
  <c r="Z197" i="1"/>
  <c r="X197" i="1" s="1"/>
  <c r="Y197" i="1"/>
  <c r="T197" i="1"/>
  <c r="Q197" i="1"/>
  <c r="O197" i="1"/>
  <c r="L197" i="1"/>
  <c r="K197" i="1"/>
  <c r="J197" i="1"/>
  <c r="I197" i="1" s="1"/>
  <c r="AN196" i="1"/>
  <c r="AM196" i="1"/>
  <c r="AL196" i="1" s="1"/>
  <c r="AK196" i="1"/>
  <c r="AJ196" i="1"/>
  <c r="AH196" i="1" s="1"/>
  <c r="AI196" i="1"/>
  <c r="Z196" i="1"/>
  <c r="Y196" i="1"/>
  <c r="X196" i="1"/>
  <c r="T196" i="1"/>
  <c r="Q196" i="1"/>
  <c r="J196" i="1"/>
  <c r="I196" i="1" s="1"/>
  <c r="AN195" i="1"/>
  <c r="AM195" i="1"/>
  <c r="AK195" i="1"/>
  <c r="AJ195" i="1"/>
  <c r="AH195" i="1" s="1"/>
  <c r="Z195" i="1"/>
  <c r="Y195" i="1"/>
  <c r="X195" i="1"/>
  <c r="Q195" i="1"/>
  <c r="AN194" i="1"/>
  <c r="AM194" i="1"/>
  <c r="AL194" i="1"/>
  <c r="AK194" i="1"/>
  <c r="AJ194" i="1"/>
  <c r="AI194" i="1"/>
  <c r="AH194" i="1"/>
  <c r="L194" i="1" s="1"/>
  <c r="Z194" i="1"/>
  <c r="Y194" i="1"/>
  <c r="X194" i="1" s="1"/>
  <c r="T194" i="1"/>
  <c r="Q194" i="1"/>
  <c r="O194" i="1"/>
  <c r="AN193" i="1"/>
  <c r="AM193" i="1"/>
  <c r="AK193" i="1"/>
  <c r="AJ193" i="1"/>
  <c r="AH193" i="1" s="1"/>
  <c r="J193" i="1" s="1"/>
  <c r="I193" i="1" s="1"/>
  <c r="Z193" i="1"/>
  <c r="Y193" i="1"/>
  <c r="X193" i="1" s="1"/>
  <c r="Q193" i="1"/>
  <c r="K193" i="1"/>
  <c r="AN192" i="1"/>
  <c r="AM192" i="1"/>
  <c r="AK192" i="1"/>
  <c r="AL192" i="1" s="1"/>
  <c r="AJ192" i="1"/>
  <c r="AH192" i="1"/>
  <c r="L192" i="1" s="1"/>
  <c r="Z192" i="1"/>
  <c r="Y192" i="1"/>
  <c r="X192" i="1"/>
  <c r="T192" i="1"/>
  <c r="Q192" i="1"/>
  <c r="K192" i="1"/>
  <c r="AN191" i="1"/>
  <c r="AM191" i="1"/>
  <c r="AK191" i="1"/>
  <c r="AJ191" i="1"/>
  <c r="AH191" i="1" s="1"/>
  <c r="L191" i="1" s="1"/>
  <c r="Z191" i="1"/>
  <c r="Y191" i="1"/>
  <c r="Q191" i="1"/>
  <c r="O191" i="1"/>
  <c r="K191" i="1"/>
  <c r="AN190" i="1"/>
  <c r="AM190" i="1"/>
  <c r="AL190" i="1"/>
  <c r="AK190" i="1"/>
  <c r="AJ190" i="1"/>
  <c r="AI190" i="1"/>
  <c r="AH190" i="1"/>
  <c r="Z190" i="1"/>
  <c r="Y190" i="1"/>
  <c r="X190" i="1" s="1"/>
  <c r="T190" i="1"/>
  <c r="Q190" i="1"/>
  <c r="O190" i="1"/>
  <c r="L190" i="1"/>
  <c r="AN189" i="1"/>
  <c r="AM189" i="1"/>
  <c r="AK189" i="1"/>
  <c r="T189" i="1" s="1"/>
  <c r="AJ189" i="1"/>
  <c r="AH189" i="1" s="1"/>
  <c r="AI189" i="1" s="1"/>
  <c r="Z189" i="1"/>
  <c r="Y189" i="1"/>
  <c r="X189" i="1" s="1"/>
  <c r="Q189" i="1"/>
  <c r="O189" i="1"/>
  <c r="AN188" i="1"/>
  <c r="AM188" i="1"/>
  <c r="AL188" i="1"/>
  <c r="AK188" i="1"/>
  <c r="T188" i="1" s="1"/>
  <c r="AJ188" i="1"/>
  <c r="AH188" i="1" s="1"/>
  <c r="Z188" i="1"/>
  <c r="Y188" i="1"/>
  <c r="X188" i="1" s="1"/>
  <c r="Q188" i="1"/>
  <c r="AN187" i="1"/>
  <c r="AM187" i="1"/>
  <c r="AK187" i="1"/>
  <c r="AJ187" i="1"/>
  <c r="AH187" i="1" s="1"/>
  <c r="Z187" i="1"/>
  <c r="Y187" i="1"/>
  <c r="X187" i="1" s="1"/>
  <c r="Q187" i="1"/>
  <c r="AN186" i="1"/>
  <c r="AM186" i="1"/>
  <c r="AL186" i="1" s="1"/>
  <c r="AK186" i="1"/>
  <c r="AJ186" i="1"/>
  <c r="AH186" i="1"/>
  <c r="L186" i="1" s="1"/>
  <c r="Z186" i="1"/>
  <c r="Y186" i="1"/>
  <c r="X186" i="1" s="1"/>
  <c r="T186" i="1"/>
  <c r="Q186" i="1"/>
  <c r="O186" i="1"/>
  <c r="AN185" i="1"/>
  <c r="AM185" i="1"/>
  <c r="AL185" i="1"/>
  <c r="AK185" i="1"/>
  <c r="AJ185" i="1"/>
  <c r="AH185" i="1" s="1"/>
  <c r="AI185" i="1" s="1"/>
  <c r="Z185" i="1"/>
  <c r="Y185" i="1"/>
  <c r="Q185" i="1"/>
  <c r="O185" i="1"/>
  <c r="K185" i="1"/>
  <c r="J185" i="1"/>
  <c r="I185" i="1" s="1"/>
  <c r="AB185" i="1" s="1"/>
  <c r="AN184" i="1"/>
  <c r="AM184" i="1"/>
  <c r="AL184" i="1" s="1"/>
  <c r="AK184" i="1"/>
  <c r="AJ184" i="1"/>
  <c r="AH184" i="1"/>
  <c r="O184" i="1" s="1"/>
  <c r="Z184" i="1"/>
  <c r="X184" i="1" s="1"/>
  <c r="Y184" i="1"/>
  <c r="T184" i="1"/>
  <c r="Q184" i="1"/>
  <c r="J184" i="1"/>
  <c r="I184" i="1"/>
  <c r="AN183" i="1"/>
  <c r="AM183" i="1"/>
  <c r="AK183" i="1"/>
  <c r="AJ183" i="1"/>
  <c r="AH183" i="1" s="1"/>
  <c r="Z183" i="1"/>
  <c r="Y183" i="1"/>
  <c r="X183" i="1" s="1"/>
  <c r="Q183" i="1"/>
  <c r="AN182" i="1"/>
  <c r="T182" i="1" s="1"/>
  <c r="AM182" i="1"/>
  <c r="AL182" i="1"/>
  <c r="AK182" i="1"/>
  <c r="AJ182" i="1"/>
  <c r="AI182" i="1"/>
  <c r="AH182" i="1"/>
  <c r="Z182" i="1"/>
  <c r="Y182" i="1"/>
  <c r="X182" i="1"/>
  <c r="Q182" i="1"/>
  <c r="O182" i="1"/>
  <c r="L182" i="1"/>
  <c r="AN181" i="1"/>
  <c r="AM181" i="1"/>
  <c r="AL181" i="1" s="1"/>
  <c r="AK181" i="1"/>
  <c r="AJ181" i="1"/>
  <c r="AH181" i="1" s="1"/>
  <c r="AI181" i="1" s="1"/>
  <c r="Z181" i="1"/>
  <c r="Y181" i="1"/>
  <c r="T181" i="1"/>
  <c r="Q181" i="1"/>
  <c r="L181" i="1"/>
  <c r="K181" i="1"/>
  <c r="J181" i="1"/>
  <c r="I181" i="1"/>
  <c r="AN180" i="1"/>
  <c r="AM180" i="1"/>
  <c r="AL180" i="1"/>
  <c r="AK180" i="1"/>
  <c r="AJ180" i="1"/>
  <c r="AI180" i="1"/>
  <c r="AH180" i="1"/>
  <c r="J180" i="1" s="1"/>
  <c r="I180" i="1" s="1"/>
  <c r="Z180" i="1"/>
  <c r="Y180" i="1"/>
  <c r="X180" i="1"/>
  <c r="T180" i="1"/>
  <c r="Q180" i="1"/>
  <c r="O180" i="1"/>
  <c r="L180" i="1"/>
  <c r="K180" i="1"/>
  <c r="AN179" i="1"/>
  <c r="AM179" i="1"/>
  <c r="AK179" i="1"/>
  <c r="AJ179" i="1"/>
  <c r="AI179" i="1"/>
  <c r="AH179" i="1"/>
  <c r="L179" i="1" s="1"/>
  <c r="Z179" i="1"/>
  <c r="Y179" i="1"/>
  <c r="X179" i="1"/>
  <c r="Q179" i="1"/>
  <c r="O179" i="1"/>
  <c r="AN178" i="1"/>
  <c r="AM178" i="1"/>
  <c r="AL178" i="1" s="1"/>
  <c r="AK178" i="1"/>
  <c r="AJ178" i="1"/>
  <c r="AH178" i="1"/>
  <c r="K178" i="1" s="1"/>
  <c r="Z178" i="1"/>
  <c r="Y178" i="1"/>
  <c r="X178" i="1"/>
  <c r="T178" i="1"/>
  <c r="Q178" i="1"/>
  <c r="O178" i="1"/>
  <c r="L178" i="1"/>
  <c r="AN177" i="1"/>
  <c r="AM177" i="1"/>
  <c r="AK177" i="1"/>
  <c r="AJ177" i="1"/>
  <c r="AH177" i="1" s="1"/>
  <c r="Z177" i="1"/>
  <c r="X177" i="1" s="1"/>
  <c r="Y177" i="1"/>
  <c r="Q177" i="1"/>
  <c r="AN176" i="1"/>
  <c r="AM176" i="1"/>
  <c r="AK176" i="1"/>
  <c r="AJ176" i="1"/>
  <c r="AI176" i="1"/>
  <c r="AH176" i="1"/>
  <c r="O176" i="1" s="1"/>
  <c r="Z176" i="1"/>
  <c r="Y176" i="1"/>
  <c r="X176" i="1" s="1"/>
  <c r="Q176" i="1"/>
  <c r="K176" i="1"/>
  <c r="AN175" i="1"/>
  <c r="T175" i="1" s="1"/>
  <c r="AM175" i="1"/>
  <c r="AL175" i="1"/>
  <c r="AK175" i="1"/>
  <c r="AJ175" i="1"/>
  <c r="AI175" i="1"/>
  <c r="AH175" i="1"/>
  <c r="L175" i="1" s="1"/>
  <c r="Z175" i="1"/>
  <c r="Y175" i="1"/>
  <c r="X175" i="1" s="1"/>
  <c r="Q175" i="1"/>
  <c r="O175" i="1"/>
  <c r="AN174" i="1"/>
  <c r="AM174" i="1"/>
  <c r="AL174" i="1" s="1"/>
  <c r="AK174" i="1"/>
  <c r="AJ174" i="1"/>
  <c r="AH174" i="1"/>
  <c r="K174" i="1" s="1"/>
  <c r="Z174" i="1"/>
  <c r="Y174" i="1"/>
  <c r="X174" i="1"/>
  <c r="T174" i="1"/>
  <c r="Q174" i="1"/>
  <c r="O174" i="1"/>
  <c r="L174" i="1"/>
  <c r="AN173" i="1"/>
  <c r="AM173" i="1"/>
  <c r="AK173" i="1"/>
  <c r="AJ173" i="1"/>
  <c r="AH173" i="1" s="1"/>
  <c r="Z173" i="1"/>
  <c r="X173" i="1" s="1"/>
  <c r="Y173" i="1"/>
  <c r="Q173" i="1"/>
  <c r="K173" i="1"/>
  <c r="AN172" i="1"/>
  <c r="AM172" i="1"/>
  <c r="AK172" i="1"/>
  <c r="AJ172" i="1"/>
  <c r="AI172" i="1"/>
  <c r="AH172" i="1"/>
  <c r="O172" i="1" s="1"/>
  <c r="Z172" i="1"/>
  <c r="Y172" i="1"/>
  <c r="X172" i="1" s="1"/>
  <c r="Q172" i="1"/>
  <c r="K172" i="1"/>
  <c r="AN171" i="1"/>
  <c r="T171" i="1" s="1"/>
  <c r="AM171" i="1"/>
  <c r="AL171" i="1"/>
  <c r="AK171" i="1"/>
  <c r="AJ171" i="1"/>
  <c r="AI171" i="1"/>
  <c r="AH171" i="1"/>
  <c r="L171" i="1" s="1"/>
  <c r="Z171" i="1"/>
  <c r="Y171" i="1"/>
  <c r="X171" i="1" s="1"/>
  <c r="Q171" i="1"/>
  <c r="O171" i="1"/>
  <c r="AN170" i="1"/>
  <c r="AM170" i="1"/>
  <c r="AL170" i="1" s="1"/>
  <c r="AK170" i="1"/>
  <c r="AJ170" i="1"/>
  <c r="AH170" i="1"/>
  <c r="K170" i="1" s="1"/>
  <c r="AB170" i="1"/>
  <c r="Z170" i="1"/>
  <c r="Y170" i="1"/>
  <c r="X170" i="1"/>
  <c r="T170" i="1"/>
  <c r="U170" i="1" s="1"/>
  <c r="V170" i="1" s="1"/>
  <c r="AC170" i="1" s="1"/>
  <c r="Q170" i="1"/>
  <c r="O170" i="1"/>
  <c r="L170" i="1"/>
  <c r="J170" i="1"/>
  <c r="I170" i="1" s="1"/>
  <c r="AN169" i="1"/>
  <c r="AM169" i="1"/>
  <c r="AK169" i="1"/>
  <c r="AL169" i="1" s="1"/>
  <c r="AJ169" i="1"/>
  <c r="AH169" i="1" s="1"/>
  <c r="Z169" i="1"/>
  <c r="X169" i="1" s="1"/>
  <c r="Y169" i="1"/>
  <c r="Q169" i="1"/>
  <c r="AN168" i="1"/>
  <c r="AM168" i="1"/>
  <c r="AK168" i="1"/>
  <c r="AJ168" i="1"/>
  <c r="AI168" i="1"/>
  <c r="AH168" i="1"/>
  <c r="K168" i="1" s="1"/>
  <c r="Z168" i="1"/>
  <c r="Y168" i="1"/>
  <c r="X168" i="1"/>
  <c r="Q168" i="1"/>
  <c r="AN167" i="1"/>
  <c r="T167" i="1" s="1"/>
  <c r="AM167" i="1"/>
  <c r="AL167" i="1"/>
  <c r="AK167" i="1"/>
  <c r="AJ167" i="1"/>
  <c r="AH167" i="1"/>
  <c r="Z167" i="1"/>
  <c r="Y167" i="1"/>
  <c r="X167" i="1"/>
  <c r="Q167" i="1"/>
  <c r="O167" i="1"/>
  <c r="AN166" i="1"/>
  <c r="AM166" i="1"/>
  <c r="AL166" i="1" s="1"/>
  <c r="AK166" i="1"/>
  <c r="AJ166" i="1"/>
  <c r="AH166" i="1" s="1"/>
  <c r="Z166" i="1"/>
  <c r="X166" i="1" s="1"/>
  <c r="Y166" i="1"/>
  <c r="T166" i="1"/>
  <c r="Q166" i="1"/>
  <c r="O166" i="1"/>
  <c r="L166" i="1"/>
  <c r="AN165" i="1"/>
  <c r="AM165" i="1"/>
  <c r="AL165" i="1"/>
  <c r="AK165" i="1"/>
  <c r="AJ165" i="1"/>
  <c r="AH165" i="1" s="1"/>
  <c r="Z165" i="1"/>
  <c r="X165" i="1" s="1"/>
  <c r="Y165" i="1"/>
  <c r="T165" i="1"/>
  <c r="Q165" i="1"/>
  <c r="AN164" i="1"/>
  <c r="AM164" i="1"/>
  <c r="AL164" i="1"/>
  <c r="AK164" i="1"/>
  <c r="AJ164" i="1"/>
  <c r="AH164" i="1" s="1"/>
  <c r="Z164" i="1"/>
  <c r="Y164" i="1"/>
  <c r="X164" i="1" s="1"/>
  <c r="T164" i="1"/>
  <c r="Q164" i="1"/>
  <c r="K164" i="1"/>
  <c r="AN163" i="1"/>
  <c r="T163" i="1" s="1"/>
  <c r="AM163" i="1"/>
  <c r="AL163" i="1"/>
  <c r="AK163" i="1"/>
  <c r="AJ163" i="1"/>
  <c r="AH163" i="1" s="1"/>
  <c r="AI163" i="1" s="1"/>
  <c r="Z163" i="1"/>
  <c r="Y163" i="1"/>
  <c r="X163" i="1" s="1"/>
  <c r="Q163" i="1"/>
  <c r="AN162" i="1"/>
  <c r="AM162" i="1"/>
  <c r="AL162" i="1" s="1"/>
  <c r="AK162" i="1"/>
  <c r="AJ162" i="1"/>
  <c r="AH162" i="1"/>
  <c r="K162" i="1" s="1"/>
  <c r="Z162" i="1"/>
  <c r="Y162" i="1"/>
  <c r="X162" i="1"/>
  <c r="T162" i="1"/>
  <c r="Q162" i="1"/>
  <c r="O162" i="1"/>
  <c r="L162" i="1"/>
  <c r="AN161" i="1"/>
  <c r="AM161" i="1"/>
  <c r="AK161" i="1"/>
  <c r="AL161" i="1" s="1"/>
  <c r="AJ161" i="1"/>
  <c r="AH161" i="1" s="1"/>
  <c r="Z161" i="1"/>
  <c r="X161" i="1" s="1"/>
  <c r="Y161" i="1"/>
  <c r="Q161" i="1"/>
  <c r="AN160" i="1"/>
  <c r="AM160" i="1"/>
  <c r="AK160" i="1"/>
  <c r="AJ160" i="1"/>
  <c r="AI160" i="1"/>
  <c r="AH160" i="1"/>
  <c r="O160" i="1" s="1"/>
  <c r="Z160" i="1"/>
  <c r="Y160" i="1"/>
  <c r="X160" i="1" s="1"/>
  <c r="Q160" i="1"/>
  <c r="K160" i="1"/>
  <c r="AN159" i="1"/>
  <c r="T159" i="1" s="1"/>
  <c r="AM159" i="1"/>
  <c r="AL159" i="1"/>
  <c r="AK159" i="1"/>
  <c r="AJ159" i="1"/>
  <c r="AH159" i="1" s="1"/>
  <c r="AI159" i="1" s="1"/>
  <c r="Z159" i="1"/>
  <c r="Y159" i="1"/>
  <c r="X159" i="1" s="1"/>
  <c r="Q159" i="1"/>
  <c r="AN158" i="1"/>
  <c r="AM158" i="1"/>
  <c r="AL158" i="1" s="1"/>
  <c r="AK158" i="1"/>
  <c r="AJ158" i="1"/>
  <c r="AH158" i="1"/>
  <c r="K158" i="1" s="1"/>
  <c r="Z158" i="1"/>
  <c r="Y158" i="1"/>
  <c r="X158" i="1"/>
  <c r="T158" i="1"/>
  <c r="Q158" i="1"/>
  <c r="O158" i="1"/>
  <c r="L158" i="1"/>
  <c r="AN157" i="1"/>
  <c r="AM157" i="1"/>
  <c r="AK157" i="1"/>
  <c r="AJ157" i="1"/>
  <c r="AH157" i="1" s="1"/>
  <c r="Z157" i="1"/>
  <c r="X157" i="1" s="1"/>
  <c r="Y157" i="1"/>
  <c r="Q157" i="1"/>
  <c r="AN156" i="1"/>
  <c r="AM156" i="1"/>
  <c r="AK156" i="1"/>
  <c r="AJ156" i="1"/>
  <c r="AI156" i="1"/>
  <c r="AH156" i="1"/>
  <c r="O156" i="1" s="1"/>
  <c r="Z156" i="1"/>
  <c r="Y156" i="1"/>
  <c r="X156" i="1" s="1"/>
  <c r="Q156" i="1"/>
  <c r="K156" i="1"/>
  <c r="AN155" i="1"/>
  <c r="AM155" i="1"/>
  <c r="AK155" i="1"/>
  <c r="AL155" i="1" s="1"/>
  <c r="AJ155" i="1"/>
  <c r="AH155" i="1" s="1"/>
  <c r="AI155" i="1"/>
  <c r="Z155" i="1"/>
  <c r="Y155" i="1"/>
  <c r="X155" i="1" s="1"/>
  <c r="Q155" i="1"/>
  <c r="O155" i="1"/>
  <c r="AN154" i="1"/>
  <c r="AM154" i="1"/>
  <c r="AL154" i="1" s="1"/>
  <c r="AK154" i="1"/>
  <c r="AJ154" i="1"/>
  <c r="AH154" i="1"/>
  <c r="K154" i="1" s="1"/>
  <c r="Z154" i="1"/>
  <c r="Y154" i="1"/>
  <c r="X154" i="1"/>
  <c r="T154" i="1"/>
  <c r="Q154" i="1"/>
  <c r="O154" i="1"/>
  <c r="L154" i="1"/>
  <c r="AN153" i="1"/>
  <c r="AM153" i="1"/>
  <c r="AK153" i="1"/>
  <c r="AJ153" i="1"/>
  <c r="AH153" i="1" s="1"/>
  <c r="K153" i="1" s="1"/>
  <c r="Z153" i="1"/>
  <c r="X153" i="1" s="1"/>
  <c r="Y153" i="1"/>
  <c r="Q153" i="1"/>
  <c r="AN152" i="1"/>
  <c r="AM152" i="1"/>
  <c r="AK152" i="1"/>
  <c r="AJ152" i="1"/>
  <c r="AI152" i="1"/>
  <c r="AH152" i="1"/>
  <c r="O152" i="1" s="1"/>
  <c r="Z152" i="1"/>
  <c r="Y152" i="1"/>
  <c r="X152" i="1" s="1"/>
  <c r="Q152" i="1"/>
  <c r="K152" i="1"/>
  <c r="AN151" i="1"/>
  <c r="AM151" i="1"/>
  <c r="AK151" i="1"/>
  <c r="AL151" i="1" s="1"/>
  <c r="AJ151" i="1"/>
  <c r="AH151" i="1" s="1"/>
  <c r="AI151" i="1" s="1"/>
  <c r="Z151" i="1"/>
  <c r="Y151" i="1"/>
  <c r="X151" i="1" s="1"/>
  <c r="Q151" i="1"/>
  <c r="O151" i="1"/>
  <c r="AN150" i="1"/>
  <c r="AM150" i="1"/>
  <c r="AL150" i="1" s="1"/>
  <c r="AK150" i="1"/>
  <c r="AJ150" i="1"/>
  <c r="AH150" i="1"/>
  <c r="K150" i="1" s="1"/>
  <c r="Z150" i="1"/>
  <c r="Y150" i="1"/>
  <c r="X150" i="1"/>
  <c r="T150" i="1"/>
  <c r="Q150" i="1"/>
  <c r="O150" i="1"/>
  <c r="L150" i="1"/>
  <c r="AN149" i="1"/>
  <c r="AM149" i="1"/>
  <c r="AK149" i="1"/>
  <c r="AJ149" i="1"/>
  <c r="AH149" i="1" s="1"/>
  <c r="K149" i="1" s="1"/>
  <c r="Z149" i="1"/>
  <c r="X149" i="1" s="1"/>
  <c r="Y149" i="1"/>
  <c r="Q149" i="1"/>
  <c r="AN148" i="1"/>
  <c r="AM148" i="1"/>
  <c r="AK148" i="1"/>
  <c r="AJ148" i="1"/>
  <c r="AI148" i="1"/>
  <c r="AH148" i="1"/>
  <c r="O148" i="1" s="1"/>
  <c r="Z148" i="1"/>
  <c r="Y148" i="1"/>
  <c r="X148" i="1" s="1"/>
  <c r="Q148" i="1"/>
  <c r="K148" i="1"/>
  <c r="AN147" i="1"/>
  <c r="AM147" i="1"/>
  <c r="AK147" i="1"/>
  <c r="AJ147" i="1"/>
  <c r="AH147" i="1" s="1"/>
  <c r="AI147" i="1"/>
  <c r="Z147" i="1"/>
  <c r="Y147" i="1"/>
  <c r="X147" i="1" s="1"/>
  <c r="Q147" i="1"/>
  <c r="O147" i="1"/>
  <c r="K147" i="1"/>
  <c r="AN146" i="1"/>
  <c r="AM146" i="1"/>
  <c r="AL146" i="1"/>
  <c r="AK146" i="1"/>
  <c r="AJ146" i="1"/>
  <c r="AI146" i="1"/>
  <c r="AH146" i="1"/>
  <c r="K146" i="1" s="1"/>
  <c r="Z146" i="1"/>
  <c r="Y146" i="1"/>
  <c r="X146" i="1" s="1"/>
  <c r="T146" i="1"/>
  <c r="Q146" i="1"/>
  <c r="O146" i="1"/>
  <c r="L146" i="1"/>
  <c r="AN145" i="1"/>
  <c r="AM145" i="1"/>
  <c r="AK145" i="1"/>
  <c r="AJ145" i="1"/>
  <c r="AH145" i="1" s="1"/>
  <c r="Z145" i="1"/>
  <c r="X145" i="1" s="1"/>
  <c r="Y145" i="1"/>
  <c r="Q145" i="1"/>
  <c r="O145" i="1"/>
  <c r="K145" i="1"/>
  <c r="J145" i="1"/>
  <c r="I145" i="1" s="1"/>
  <c r="AB145" i="1" s="1"/>
  <c r="AN144" i="1"/>
  <c r="AM144" i="1"/>
  <c r="AL144" i="1"/>
  <c r="AK144" i="1"/>
  <c r="T144" i="1" s="1"/>
  <c r="AJ144" i="1"/>
  <c r="AH144" i="1"/>
  <c r="Z144" i="1"/>
  <c r="Y144" i="1"/>
  <c r="X144" i="1" s="1"/>
  <c r="Q144" i="1"/>
  <c r="L144" i="1"/>
  <c r="AN143" i="1"/>
  <c r="AM143" i="1"/>
  <c r="AK143" i="1"/>
  <c r="AJ143" i="1"/>
  <c r="AH143" i="1" s="1"/>
  <c r="L143" i="1" s="1"/>
  <c r="AI143" i="1"/>
  <c r="Z143" i="1"/>
  <c r="Y143" i="1"/>
  <c r="X143" i="1" s="1"/>
  <c r="Q143" i="1"/>
  <c r="K143" i="1"/>
  <c r="J143" i="1"/>
  <c r="I143" i="1" s="1"/>
  <c r="AN142" i="1"/>
  <c r="AM142" i="1"/>
  <c r="AL142" i="1" s="1"/>
  <c r="AK142" i="1"/>
  <c r="AJ142" i="1"/>
  <c r="AH142" i="1"/>
  <c r="AI142" i="1" s="1"/>
  <c r="Z142" i="1"/>
  <c r="Y142" i="1"/>
  <c r="X142" i="1"/>
  <c r="T142" i="1"/>
  <c r="Q142" i="1"/>
  <c r="AN141" i="1"/>
  <c r="AM141" i="1"/>
  <c r="AK141" i="1"/>
  <c r="AL141" i="1" s="1"/>
  <c r="AJ141" i="1"/>
  <c r="AI141" i="1"/>
  <c r="AH141" i="1"/>
  <c r="L141" i="1" s="1"/>
  <c r="Z141" i="1"/>
  <c r="Y141" i="1"/>
  <c r="X141" i="1" s="1"/>
  <c r="Q141" i="1"/>
  <c r="K141" i="1"/>
  <c r="AN140" i="1"/>
  <c r="AM140" i="1"/>
  <c r="AK140" i="1"/>
  <c r="AL140" i="1" s="1"/>
  <c r="AJ140" i="1"/>
  <c r="AH140" i="1" s="1"/>
  <c r="Z140" i="1"/>
  <c r="Y140" i="1"/>
  <c r="X140" i="1" s="1"/>
  <c r="Q140" i="1"/>
  <c r="AN139" i="1"/>
  <c r="AM139" i="1"/>
  <c r="AL139" i="1" s="1"/>
  <c r="AK139" i="1"/>
  <c r="AJ139" i="1"/>
  <c r="AH139" i="1"/>
  <c r="K139" i="1" s="1"/>
  <c r="Z139" i="1"/>
  <c r="Y139" i="1"/>
  <c r="X139" i="1"/>
  <c r="T139" i="1"/>
  <c r="Q139" i="1"/>
  <c r="O139" i="1"/>
  <c r="L139" i="1"/>
  <c r="AN138" i="1"/>
  <c r="AM138" i="1"/>
  <c r="AK138" i="1"/>
  <c r="AL138" i="1" s="1"/>
  <c r="AJ138" i="1"/>
  <c r="AH138" i="1" s="1"/>
  <c r="Z138" i="1"/>
  <c r="Y138" i="1"/>
  <c r="X138" i="1" s="1"/>
  <c r="Q138" i="1"/>
  <c r="AN137" i="1"/>
  <c r="AM137" i="1"/>
  <c r="AK137" i="1"/>
  <c r="AJ137" i="1"/>
  <c r="AI137" i="1"/>
  <c r="AH137" i="1"/>
  <c r="L137" i="1" s="1"/>
  <c r="Z137" i="1"/>
  <c r="Y137" i="1"/>
  <c r="X137" i="1" s="1"/>
  <c r="Q137" i="1"/>
  <c r="K137" i="1"/>
  <c r="AN136" i="1"/>
  <c r="AM136" i="1"/>
  <c r="AK136" i="1"/>
  <c r="AL136" i="1" s="1"/>
  <c r="AJ136" i="1"/>
  <c r="AH136" i="1" s="1"/>
  <c r="Z136" i="1"/>
  <c r="Y136" i="1"/>
  <c r="X136" i="1" s="1"/>
  <c r="Q136" i="1"/>
  <c r="AN135" i="1"/>
  <c r="AM135" i="1"/>
  <c r="AL135" i="1" s="1"/>
  <c r="AK135" i="1"/>
  <c r="AJ135" i="1"/>
  <c r="AH135" i="1"/>
  <c r="K135" i="1" s="1"/>
  <c r="Z135" i="1"/>
  <c r="Y135" i="1"/>
  <c r="X135" i="1"/>
  <c r="T135" i="1"/>
  <c r="Q135" i="1"/>
  <c r="O135" i="1"/>
  <c r="L135" i="1"/>
  <c r="AN134" i="1"/>
  <c r="AM134" i="1"/>
  <c r="AK134" i="1"/>
  <c r="AJ134" i="1"/>
  <c r="AH134" i="1" s="1"/>
  <c r="Z134" i="1"/>
  <c r="Y134" i="1"/>
  <c r="X134" i="1" s="1"/>
  <c r="Q134" i="1"/>
  <c r="K134" i="1"/>
  <c r="AN133" i="1"/>
  <c r="AM133" i="1"/>
  <c r="AK133" i="1"/>
  <c r="AJ133" i="1"/>
  <c r="AI133" i="1"/>
  <c r="AH133" i="1"/>
  <c r="L133" i="1" s="1"/>
  <c r="Z133" i="1"/>
  <c r="Y133" i="1"/>
  <c r="X133" i="1" s="1"/>
  <c r="Q133" i="1"/>
  <c r="K133" i="1"/>
  <c r="AN132" i="1"/>
  <c r="AM132" i="1"/>
  <c r="AK132" i="1"/>
  <c r="AL132" i="1" s="1"/>
  <c r="AJ132" i="1"/>
  <c r="AH132" i="1" s="1"/>
  <c r="AI132" i="1" s="1"/>
  <c r="Z132" i="1"/>
  <c r="Y132" i="1"/>
  <c r="X132" i="1" s="1"/>
  <c r="Q132" i="1"/>
  <c r="O132" i="1"/>
  <c r="AN131" i="1"/>
  <c r="AM131" i="1"/>
  <c r="AL131" i="1" s="1"/>
  <c r="AK131" i="1"/>
  <c r="AJ131" i="1"/>
  <c r="AH131" i="1"/>
  <c r="K131" i="1" s="1"/>
  <c r="Z131" i="1"/>
  <c r="Y131" i="1"/>
  <c r="X131" i="1"/>
  <c r="T131" i="1"/>
  <c r="Q131" i="1"/>
  <c r="O131" i="1"/>
  <c r="L131" i="1"/>
  <c r="AN130" i="1"/>
  <c r="AM130" i="1"/>
  <c r="AK130" i="1"/>
  <c r="AJ130" i="1"/>
  <c r="AH130" i="1" s="1"/>
  <c r="K130" i="1" s="1"/>
  <c r="Z130" i="1"/>
  <c r="Y130" i="1"/>
  <c r="X130" i="1" s="1"/>
  <c r="Q130" i="1"/>
  <c r="AN129" i="1"/>
  <c r="AM129" i="1"/>
  <c r="AK129" i="1"/>
  <c r="AJ129" i="1"/>
  <c r="AI129" i="1"/>
  <c r="AH129" i="1"/>
  <c r="L129" i="1" s="1"/>
  <c r="Z129" i="1"/>
  <c r="Y129" i="1"/>
  <c r="X129" i="1" s="1"/>
  <c r="Q129" i="1"/>
  <c r="K129" i="1"/>
  <c r="AN128" i="1"/>
  <c r="AM128" i="1"/>
  <c r="AK128" i="1"/>
  <c r="AL128" i="1" s="1"/>
  <c r="AJ128" i="1"/>
  <c r="AH128" i="1" s="1"/>
  <c r="AI128" i="1" s="1"/>
  <c r="Z128" i="1"/>
  <c r="Y128" i="1"/>
  <c r="X128" i="1" s="1"/>
  <c r="Q128" i="1"/>
  <c r="AN127" i="1"/>
  <c r="AM127" i="1"/>
  <c r="AL127" i="1" s="1"/>
  <c r="AK127" i="1"/>
  <c r="AJ127" i="1"/>
  <c r="AH127" i="1"/>
  <c r="J127" i="1" s="1"/>
  <c r="I127" i="1" s="1"/>
  <c r="Z127" i="1"/>
  <c r="Y127" i="1"/>
  <c r="X127" i="1"/>
  <c r="U127" i="1"/>
  <c r="V127" i="1" s="1"/>
  <c r="AD127" i="1" s="1"/>
  <c r="T127" i="1"/>
  <c r="Q127" i="1"/>
  <c r="O127" i="1"/>
  <c r="L127" i="1"/>
  <c r="K127" i="1"/>
  <c r="AN126" i="1"/>
  <c r="AM126" i="1"/>
  <c r="AK126" i="1"/>
  <c r="AJ126" i="1"/>
  <c r="AH126" i="1" s="1"/>
  <c r="O126" i="1" s="1"/>
  <c r="Z126" i="1"/>
  <c r="Y126" i="1"/>
  <c r="Q126" i="1"/>
  <c r="AN125" i="1"/>
  <c r="AM125" i="1"/>
  <c r="AL125" i="1"/>
  <c r="AK125" i="1"/>
  <c r="AJ125" i="1"/>
  <c r="AH125" i="1"/>
  <c r="J125" i="1" s="1"/>
  <c r="I125" i="1" s="1"/>
  <c r="Z125" i="1"/>
  <c r="Y125" i="1"/>
  <c r="X125" i="1"/>
  <c r="T125" i="1"/>
  <c r="Q125" i="1"/>
  <c r="L125" i="1"/>
  <c r="AN124" i="1"/>
  <c r="AM124" i="1"/>
  <c r="AK124" i="1"/>
  <c r="AJ124" i="1"/>
  <c r="AH124" i="1" s="1"/>
  <c r="L124" i="1" s="1"/>
  <c r="Z124" i="1"/>
  <c r="Y124" i="1"/>
  <c r="Q124" i="1"/>
  <c r="O124" i="1"/>
  <c r="J124" i="1"/>
  <c r="I124" i="1" s="1"/>
  <c r="AN123" i="1"/>
  <c r="AM123" i="1"/>
  <c r="AL123" i="1"/>
  <c r="AK123" i="1"/>
  <c r="AJ123" i="1"/>
  <c r="AH123" i="1"/>
  <c r="J123" i="1" s="1"/>
  <c r="I123" i="1" s="1"/>
  <c r="Z123" i="1"/>
  <c r="Y123" i="1"/>
  <c r="X123" i="1" s="1"/>
  <c r="T123" i="1"/>
  <c r="Q123" i="1"/>
  <c r="L123" i="1"/>
  <c r="AN122" i="1"/>
  <c r="AM122" i="1"/>
  <c r="AK122" i="1"/>
  <c r="AJ122" i="1"/>
  <c r="AH122" i="1" s="1"/>
  <c r="L122" i="1" s="1"/>
  <c r="Z122" i="1"/>
  <c r="Y122" i="1"/>
  <c r="Q122" i="1"/>
  <c r="O122" i="1"/>
  <c r="J122" i="1"/>
  <c r="I122" i="1" s="1"/>
  <c r="AN121" i="1"/>
  <c r="AM121" i="1"/>
  <c r="AL121" i="1"/>
  <c r="AK121" i="1"/>
  <c r="AJ121" i="1"/>
  <c r="AH121" i="1"/>
  <c r="J121" i="1" s="1"/>
  <c r="I121" i="1" s="1"/>
  <c r="Z121" i="1"/>
  <c r="Y121" i="1"/>
  <c r="X121" i="1" s="1"/>
  <c r="T121" i="1"/>
  <c r="Q121" i="1"/>
  <c r="L121" i="1"/>
  <c r="AN120" i="1"/>
  <c r="AM120" i="1"/>
  <c r="AK120" i="1"/>
  <c r="AJ120" i="1"/>
  <c r="AH120" i="1" s="1"/>
  <c r="AI120" i="1" s="1"/>
  <c r="Z120" i="1"/>
  <c r="X120" i="1" s="1"/>
  <c r="Y120" i="1"/>
  <c r="T120" i="1"/>
  <c r="Q120" i="1"/>
  <c r="L120" i="1"/>
  <c r="K120" i="1"/>
  <c r="J120" i="1"/>
  <c r="I120" i="1" s="1"/>
  <c r="AN119" i="1"/>
  <c r="AM119" i="1"/>
  <c r="AL119" i="1"/>
  <c r="AK119" i="1"/>
  <c r="AJ119" i="1"/>
  <c r="AH119" i="1"/>
  <c r="L119" i="1" s="1"/>
  <c r="Z119" i="1"/>
  <c r="Y119" i="1"/>
  <c r="X119" i="1"/>
  <c r="T119" i="1"/>
  <c r="Q119" i="1"/>
  <c r="AN118" i="1"/>
  <c r="T118" i="1" s="1"/>
  <c r="AM118" i="1"/>
  <c r="AL118" i="1" s="1"/>
  <c r="AK118" i="1"/>
  <c r="AJ118" i="1"/>
  <c r="AH118" i="1" s="1"/>
  <c r="Z118" i="1"/>
  <c r="X118" i="1" s="1"/>
  <c r="Y118" i="1"/>
  <c r="Q118" i="1"/>
  <c r="AN117" i="1"/>
  <c r="AM117" i="1"/>
  <c r="AL117" i="1"/>
  <c r="AK117" i="1"/>
  <c r="AJ117" i="1"/>
  <c r="AH117" i="1"/>
  <c r="AI117" i="1" s="1"/>
  <c r="Z117" i="1"/>
  <c r="Y117" i="1"/>
  <c r="X117" i="1"/>
  <c r="T117" i="1"/>
  <c r="Q117" i="1"/>
  <c r="L117" i="1"/>
  <c r="AN116" i="1"/>
  <c r="T116" i="1" s="1"/>
  <c r="AM116" i="1"/>
  <c r="AL116" i="1"/>
  <c r="AK116" i="1"/>
  <c r="AJ116" i="1"/>
  <c r="AH116" i="1" s="1"/>
  <c r="Z116" i="1"/>
  <c r="Y116" i="1"/>
  <c r="X116" i="1" s="1"/>
  <c r="Q116" i="1"/>
  <c r="AN115" i="1"/>
  <c r="AM115" i="1"/>
  <c r="AL115" i="1"/>
  <c r="AK115" i="1"/>
  <c r="AJ115" i="1"/>
  <c r="AH115" i="1"/>
  <c r="L115" i="1" s="1"/>
  <c r="Z115" i="1"/>
  <c r="Y115" i="1"/>
  <c r="X115" i="1"/>
  <c r="T115" i="1"/>
  <c r="Q115" i="1"/>
  <c r="AN114" i="1"/>
  <c r="T114" i="1" s="1"/>
  <c r="AM114" i="1"/>
  <c r="AL114" i="1" s="1"/>
  <c r="AK114" i="1"/>
  <c r="AJ114" i="1"/>
  <c r="AH114" i="1" s="1"/>
  <c r="Z114" i="1"/>
  <c r="X114" i="1" s="1"/>
  <c r="Y114" i="1"/>
  <c r="Q114" i="1"/>
  <c r="AN113" i="1"/>
  <c r="AM113" i="1"/>
  <c r="AL113" i="1"/>
  <c r="AK113" i="1"/>
  <c r="AJ113" i="1"/>
  <c r="AH113" i="1"/>
  <c r="AI113" i="1" s="1"/>
  <c r="Z113" i="1"/>
  <c r="Y113" i="1"/>
  <c r="X113" i="1"/>
  <c r="T113" i="1"/>
  <c r="Q113" i="1"/>
  <c r="L113" i="1"/>
  <c r="AN112" i="1"/>
  <c r="AM112" i="1"/>
  <c r="AK112" i="1"/>
  <c r="AL112" i="1" s="1"/>
  <c r="AJ112" i="1"/>
  <c r="AH112" i="1" s="1"/>
  <c r="Z112" i="1"/>
  <c r="Y112" i="1"/>
  <c r="X112" i="1" s="1"/>
  <c r="Q112" i="1"/>
  <c r="AN111" i="1"/>
  <c r="AM111" i="1"/>
  <c r="AL111" i="1"/>
  <c r="AK111" i="1"/>
  <c r="AJ111" i="1"/>
  <c r="AH111" i="1"/>
  <c r="L111" i="1" s="1"/>
  <c r="Z111" i="1"/>
  <c r="Y111" i="1"/>
  <c r="X111" i="1"/>
  <c r="T111" i="1"/>
  <c r="Q111" i="1"/>
  <c r="AN110" i="1"/>
  <c r="T110" i="1" s="1"/>
  <c r="AM110" i="1"/>
  <c r="AL110" i="1" s="1"/>
  <c r="AK110" i="1"/>
  <c r="AJ110" i="1"/>
  <c r="AH110" i="1" s="1"/>
  <c r="Z110" i="1"/>
  <c r="X110" i="1" s="1"/>
  <c r="Y110" i="1"/>
  <c r="Q110" i="1"/>
  <c r="AN109" i="1"/>
  <c r="AM109" i="1"/>
  <c r="AL109" i="1"/>
  <c r="AK109" i="1"/>
  <c r="AJ109" i="1"/>
  <c r="AH109" i="1"/>
  <c r="AI109" i="1" s="1"/>
  <c r="Z109" i="1"/>
  <c r="Y109" i="1"/>
  <c r="X109" i="1"/>
  <c r="T109" i="1"/>
  <c r="Q109" i="1"/>
  <c r="L109" i="1"/>
  <c r="AN108" i="1"/>
  <c r="AM108" i="1"/>
  <c r="AK108" i="1"/>
  <c r="AL108" i="1" s="1"/>
  <c r="AJ108" i="1"/>
  <c r="AH108" i="1" s="1"/>
  <c r="Z108" i="1"/>
  <c r="Y108" i="1"/>
  <c r="X108" i="1" s="1"/>
  <c r="Q108" i="1"/>
  <c r="AN107" i="1"/>
  <c r="AM107" i="1"/>
  <c r="AL107" i="1"/>
  <c r="AK107" i="1"/>
  <c r="AJ107" i="1"/>
  <c r="AH107" i="1"/>
  <c r="L107" i="1" s="1"/>
  <c r="Z107" i="1"/>
  <c r="Y107" i="1"/>
  <c r="X107" i="1"/>
  <c r="T107" i="1"/>
  <c r="Q107" i="1"/>
  <c r="AN106" i="1"/>
  <c r="T106" i="1" s="1"/>
  <c r="AM106" i="1"/>
  <c r="AK106" i="1"/>
  <c r="AL106" i="1" s="1"/>
  <c r="AJ106" i="1"/>
  <c r="AH106" i="1" s="1"/>
  <c r="Z106" i="1"/>
  <c r="X106" i="1" s="1"/>
  <c r="Y106" i="1"/>
  <c r="Q106" i="1"/>
  <c r="AN105" i="1"/>
  <c r="AM105" i="1"/>
  <c r="AL105" i="1"/>
  <c r="AK105" i="1"/>
  <c r="AJ105" i="1"/>
  <c r="AH105" i="1"/>
  <c r="AI105" i="1" s="1"/>
  <c r="Z105" i="1"/>
  <c r="Y105" i="1"/>
  <c r="X105" i="1"/>
  <c r="T105" i="1"/>
  <c r="Q105" i="1"/>
  <c r="L105" i="1"/>
  <c r="AN104" i="1"/>
  <c r="AM104" i="1"/>
  <c r="AK104" i="1"/>
  <c r="AL104" i="1" s="1"/>
  <c r="AJ104" i="1"/>
  <c r="AH104" i="1" s="1"/>
  <c r="Z104" i="1"/>
  <c r="Y104" i="1"/>
  <c r="Q104" i="1"/>
  <c r="AN103" i="1"/>
  <c r="AM103" i="1"/>
  <c r="AL103" i="1"/>
  <c r="AK103" i="1"/>
  <c r="AJ103" i="1"/>
  <c r="AH103" i="1"/>
  <c r="Z103" i="1"/>
  <c r="Y103" i="1"/>
  <c r="X103" i="1"/>
  <c r="T103" i="1"/>
  <c r="Q103" i="1"/>
  <c r="AN102" i="1"/>
  <c r="AM102" i="1"/>
  <c r="AK102" i="1"/>
  <c r="AL102" i="1" s="1"/>
  <c r="AJ102" i="1"/>
  <c r="AH102" i="1" s="1"/>
  <c r="Z102" i="1"/>
  <c r="X102" i="1" s="1"/>
  <c r="Y102" i="1"/>
  <c r="Q102" i="1"/>
  <c r="O102" i="1"/>
  <c r="AN101" i="1"/>
  <c r="AM101" i="1"/>
  <c r="AL101" i="1" s="1"/>
  <c r="AK101" i="1"/>
  <c r="AJ101" i="1"/>
  <c r="AH101" i="1"/>
  <c r="AI101" i="1" s="1"/>
  <c r="Z101" i="1"/>
  <c r="Y101" i="1"/>
  <c r="X101" i="1"/>
  <c r="T101" i="1"/>
  <c r="Q101" i="1"/>
  <c r="L101" i="1"/>
  <c r="AN100" i="1"/>
  <c r="AM100" i="1"/>
  <c r="AK100" i="1"/>
  <c r="AJ100" i="1"/>
  <c r="AH100" i="1" s="1"/>
  <c r="K100" i="1" s="1"/>
  <c r="Z100" i="1"/>
  <c r="Y100" i="1"/>
  <c r="X100" i="1" s="1"/>
  <c r="Q100" i="1"/>
  <c r="AN99" i="1"/>
  <c r="AM99" i="1"/>
  <c r="AL99" i="1"/>
  <c r="AK99" i="1"/>
  <c r="AJ99" i="1"/>
  <c r="AI99" i="1"/>
  <c r="AH99" i="1"/>
  <c r="Z99" i="1"/>
  <c r="Y99" i="1"/>
  <c r="X99" i="1" s="1"/>
  <c r="T99" i="1"/>
  <c r="Q99" i="1"/>
  <c r="L99" i="1"/>
  <c r="AN98" i="1"/>
  <c r="AM98" i="1"/>
  <c r="AK98" i="1"/>
  <c r="AL98" i="1" s="1"/>
  <c r="AJ98" i="1"/>
  <c r="AH98" i="1" s="1"/>
  <c r="O98" i="1" s="1"/>
  <c r="Z98" i="1"/>
  <c r="X98" i="1" s="1"/>
  <c r="Y98" i="1"/>
  <c r="Q98" i="1"/>
  <c r="AN97" i="1"/>
  <c r="T97" i="1" s="1"/>
  <c r="AM97" i="1"/>
  <c r="AL97" i="1" s="1"/>
  <c r="AK97" i="1"/>
  <c r="AJ97" i="1"/>
  <c r="AI97" i="1"/>
  <c r="AH97" i="1"/>
  <c r="Z97" i="1"/>
  <c r="Y97" i="1"/>
  <c r="X97" i="1" s="1"/>
  <c r="Q97" i="1"/>
  <c r="L97" i="1"/>
  <c r="AN96" i="1"/>
  <c r="AM96" i="1"/>
  <c r="AL96" i="1"/>
  <c r="AK96" i="1"/>
  <c r="AJ96" i="1"/>
  <c r="AH96" i="1" s="1"/>
  <c r="AI96" i="1" s="1"/>
  <c r="Z96" i="1"/>
  <c r="Y96" i="1"/>
  <c r="X96" i="1" s="1"/>
  <c r="T96" i="1"/>
  <c r="Q96" i="1"/>
  <c r="O96" i="1"/>
  <c r="L96" i="1"/>
  <c r="K96" i="1"/>
  <c r="J96" i="1"/>
  <c r="I96" i="1" s="1"/>
  <c r="AN95" i="1"/>
  <c r="AM95" i="1"/>
  <c r="AL95" i="1" s="1"/>
  <c r="AK95" i="1"/>
  <c r="AJ95" i="1"/>
  <c r="AH95" i="1"/>
  <c r="AI95" i="1" s="1"/>
  <c r="Z95" i="1"/>
  <c r="Y95" i="1"/>
  <c r="X95" i="1" s="1"/>
  <c r="T95" i="1"/>
  <c r="Q95" i="1"/>
  <c r="AN94" i="1"/>
  <c r="T94" i="1" s="1"/>
  <c r="AM94" i="1"/>
  <c r="AK94" i="1"/>
  <c r="AJ94" i="1"/>
  <c r="AH94" i="1" s="1"/>
  <c r="Z94" i="1"/>
  <c r="Y94" i="1"/>
  <c r="X94" i="1" s="1"/>
  <c r="Q94" i="1"/>
  <c r="AN93" i="1"/>
  <c r="AM93" i="1"/>
  <c r="AK93" i="1"/>
  <c r="AL93" i="1" s="1"/>
  <c r="AJ93" i="1"/>
  <c r="AH93" i="1"/>
  <c r="AI93" i="1" s="1"/>
  <c r="Z93" i="1"/>
  <c r="Y93" i="1"/>
  <c r="X93" i="1"/>
  <c r="Q93" i="1"/>
  <c r="K93" i="1"/>
  <c r="AN92" i="1"/>
  <c r="T92" i="1" s="1"/>
  <c r="AM92" i="1"/>
  <c r="AL92" i="1" s="1"/>
  <c r="AK92" i="1"/>
  <c r="AJ92" i="1"/>
  <c r="AI92" i="1"/>
  <c r="AH92" i="1"/>
  <c r="O92" i="1" s="1"/>
  <c r="Z92" i="1"/>
  <c r="Y92" i="1"/>
  <c r="X92" i="1" s="1"/>
  <c r="Q92" i="1"/>
  <c r="AN91" i="1"/>
  <c r="AM91" i="1"/>
  <c r="AL91" i="1"/>
  <c r="AK91" i="1"/>
  <c r="AJ91" i="1"/>
  <c r="AH91" i="1" s="1"/>
  <c r="Z91" i="1"/>
  <c r="X91" i="1" s="1"/>
  <c r="Y91" i="1"/>
  <c r="T91" i="1"/>
  <c r="Q91" i="1"/>
  <c r="AN90" i="1"/>
  <c r="AM90" i="1"/>
  <c r="AL90" i="1" s="1"/>
  <c r="AK90" i="1"/>
  <c r="AJ90" i="1"/>
  <c r="AH90" i="1" s="1"/>
  <c r="Z90" i="1"/>
  <c r="Y90" i="1"/>
  <c r="X90" i="1" s="1"/>
  <c r="T90" i="1"/>
  <c r="Q90" i="1"/>
  <c r="AN89" i="1"/>
  <c r="AM89" i="1"/>
  <c r="AK89" i="1"/>
  <c r="AL89" i="1" s="1"/>
  <c r="AJ89" i="1"/>
  <c r="AH89" i="1"/>
  <c r="AI89" i="1" s="1"/>
  <c r="Z89" i="1"/>
  <c r="Y89" i="1"/>
  <c r="X89" i="1"/>
  <c r="Q89" i="1"/>
  <c r="K89" i="1"/>
  <c r="AN88" i="1"/>
  <c r="AM88" i="1"/>
  <c r="AK88" i="1"/>
  <c r="AL88" i="1" s="1"/>
  <c r="AJ88" i="1"/>
  <c r="AI88" i="1"/>
  <c r="AH88" i="1"/>
  <c r="O88" i="1" s="1"/>
  <c r="Z88" i="1"/>
  <c r="Y88" i="1"/>
  <c r="X88" i="1" s="1"/>
  <c r="Q88" i="1"/>
  <c r="AN87" i="1"/>
  <c r="AM87" i="1"/>
  <c r="AL87" i="1"/>
  <c r="AK87" i="1"/>
  <c r="AJ87" i="1"/>
  <c r="AH87" i="1" s="1"/>
  <c r="Z87" i="1"/>
  <c r="Y87" i="1"/>
  <c r="X87" i="1" s="1"/>
  <c r="T87" i="1"/>
  <c r="Q87" i="1"/>
  <c r="AN86" i="1"/>
  <c r="AM86" i="1"/>
  <c r="AL86" i="1" s="1"/>
  <c r="AK86" i="1"/>
  <c r="AJ86" i="1"/>
  <c r="AH86" i="1" s="1"/>
  <c r="Z86" i="1"/>
  <c r="Y86" i="1"/>
  <c r="X86" i="1" s="1"/>
  <c r="T86" i="1"/>
  <c r="Q86" i="1"/>
  <c r="AN85" i="1"/>
  <c r="AM85" i="1"/>
  <c r="AK85" i="1"/>
  <c r="AL85" i="1" s="1"/>
  <c r="AJ85" i="1"/>
  <c r="AH85" i="1"/>
  <c r="AI85" i="1" s="1"/>
  <c r="Z85" i="1"/>
  <c r="Y85" i="1"/>
  <c r="X85" i="1"/>
  <c r="Q85" i="1"/>
  <c r="K85" i="1"/>
  <c r="AN84" i="1"/>
  <c r="AM84" i="1"/>
  <c r="AK84" i="1"/>
  <c r="AL84" i="1" s="1"/>
  <c r="AJ84" i="1"/>
  <c r="AI84" i="1"/>
  <c r="AH84" i="1"/>
  <c r="O84" i="1" s="1"/>
  <c r="Z84" i="1"/>
  <c r="Y84" i="1"/>
  <c r="X84" i="1" s="1"/>
  <c r="Q84" i="1"/>
  <c r="AN83" i="1"/>
  <c r="AM83" i="1"/>
  <c r="AL83" i="1"/>
  <c r="AK83" i="1"/>
  <c r="AJ83" i="1"/>
  <c r="AH83" i="1" s="1"/>
  <c r="Z83" i="1"/>
  <c r="Y83" i="1"/>
  <c r="X83" i="1" s="1"/>
  <c r="T83" i="1"/>
  <c r="Q83" i="1"/>
  <c r="AN82" i="1"/>
  <c r="AM82" i="1"/>
  <c r="AL82" i="1" s="1"/>
  <c r="AK82" i="1"/>
  <c r="AJ82" i="1"/>
  <c r="AH82" i="1" s="1"/>
  <c r="Z82" i="1"/>
  <c r="Y82" i="1"/>
  <c r="X82" i="1" s="1"/>
  <c r="T82" i="1"/>
  <c r="Q82" i="1"/>
  <c r="AN81" i="1"/>
  <c r="AM81" i="1"/>
  <c r="AK81" i="1"/>
  <c r="AL81" i="1" s="1"/>
  <c r="AJ81" i="1"/>
  <c r="AH81" i="1"/>
  <c r="AI81" i="1" s="1"/>
  <c r="Z81" i="1"/>
  <c r="Y81" i="1"/>
  <c r="X81" i="1"/>
  <c r="Q81" i="1"/>
  <c r="K81" i="1"/>
  <c r="AN80" i="1"/>
  <c r="AM80" i="1"/>
  <c r="AK80" i="1"/>
  <c r="AL80" i="1" s="1"/>
  <c r="AJ80" i="1"/>
  <c r="AI80" i="1"/>
  <c r="AH80" i="1"/>
  <c r="O80" i="1" s="1"/>
  <c r="Z80" i="1"/>
  <c r="Y80" i="1"/>
  <c r="X80" i="1" s="1"/>
  <c r="Q80" i="1"/>
  <c r="AN79" i="1"/>
  <c r="AM79" i="1"/>
  <c r="AL79" i="1"/>
  <c r="AK79" i="1"/>
  <c r="AJ79" i="1"/>
  <c r="AH79" i="1" s="1"/>
  <c r="Z79" i="1"/>
  <c r="Y79" i="1"/>
  <c r="X79" i="1" s="1"/>
  <c r="T79" i="1"/>
  <c r="Q79" i="1"/>
  <c r="AN78" i="1"/>
  <c r="AM78" i="1"/>
  <c r="AL78" i="1" s="1"/>
  <c r="AK78" i="1"/>
  <c r="AJ78" i="1"/>
  <c r="AH78" i="1" s="1"/>
  <c r="Z78" i="1"/>
  <c r="Y78" i="1"/>
  <c r="X78" i="1" s="1"/>
  <c r="T78" i="1"/>
  <c r="Q78" i="1"/>
  <c r="AN77" i="1"/>
  <c r="AM77" i="1"/>
  <c r="AK77" i="1"/>
  <c r="AL77" i="1" s="1"/>
  <c r="AJ77" i="1"/>
  <c r="AH77" i="1"/>
  <c r="AI77" i="1" s="1"/>
  <c r="Z77" i="1"/>
  <c r="Y77" i="1"/>
  <c r="X77" i="1"/>
  <c r="Q77" i="1"/>
  <c r="K77" i="1"/>
  <c r="AN76" i="1"/>
  <c r="AM76" i="1"/>
  <c r="AK76" i="1"/>
  <c r="AL76" i="1" s="1"/>
  <c r="AJ76" i="1"/>
  <c r="AI76" i="1"/>
  <c r="AH76" i="1"/>
  <c r="L76" i="1" s="1"/>
  <c r="Z76" i="1"/>
  <c r="Y76" i="1"/>
  <c r="X76" i="1" s="1"/>
  <c r="Q76" i="1"/>
  <c r="O76" i="1"/>
  <c r="K76" i="1"/>
  <c r="AN75" i="1"/>
  <c r="AM75" i="1"/>
  <c r="AL75" i="1"/>
  <c r="AK75" i="1"/>
  <c r="AJ75" i="1"/>
  <c r="AI75" i="1"/>
  <c r="AH75" i="1"/>
  <c r="J75" i="1" s="1"/>
  <c r="I75" i="1" s="1"/>
  <c r="Z75" i="1"/>
  <c r="Y75" i="1"/>
  <c r="X75" i="1" s="1"/>
  <c r="T75" i="1"/>
  <c r="U75" i="1" s="1"/>
  <c r="V75" i="1" s="1"/>
  <c r="AD75" i="1" s="1"/>
  <c r="Q75" i="1"/>
  <c r="O75" i="1"/>
  <c r="L75" i="1"/>
  <c r="K75" i="1"/>
  <c r="AN74" i="1"/>
  <c r="AM74" i="1"/>
  <c r="AK74" i="1"/>
  <c r="AJ74" i="1"/>
  <c r="AH74" i="1" s="1"/>
  <c r="Z74" i="1"/>
  <c r="Y74" i="1"/>
  <c r="X74" i="1" s="1"/>
  <c r="Q74" i="1"/>
  <c r="AN73" i="1"/>
  <c r="AM73" i="1"/>
  <c r="AK73" i="1"/>
  <c r="AJ73" i="1"/>
  <c r="AH73" i="1"/>
  <c r="AI73" i="1" s="1"/>
  <c r="Z73" i="1"/>
  <c r="Y73" i="1"/>
  <c r="X73" i="1"/>
  <c r="Q73" i="1"/>
  <c r="K73" i="1"/>
  <c r="AN72" i="1"/>
  <c r="AM72" i="1"/>
  <c r="AK72" i="1"/>
  <c r="AL72" i="1" s="1"/>
  <c r="AJ72" i="1"/>
  <c r="AI72" i="1"/>
  <c r="AH72" i="1"/>
  <c r="L72" i="1" s="1"/>
  <c r="Z72" i="1"/>
  <c r="Y72" i="1"/>
  <c r="X72" i="1" s="1"/>
  <c r="Q72" i="1"/>
  <c r="O72" i="1"/>
  <c r="K72" i="1"/>
  <c r="AN71" i="1"/>
  <c r="AM71" i="1"/>
  <c r="AL71" i="1"/>
  <c r="AK71" i="1"/>
  <c r="AJ71" i="1"/>
  <c r="AI71" i="1"/>
  <c r="AH71" i="1"/>
  <c r="J71" i="1" s="1"/>
  <c r="I71" i="1" s="1"/>
  <c r="Z71" i="1"/>
  <c r="Y71" i="1"/>
  <c r="X71" i="1" s="1"/>
  <c r="T71" i="1"/>
  <c r="U71" i="1" s="1"/>
  <c r="V71" i="1" s="1"/>
  <c r="AD71" i="1" s="1"/>
  <c r="Q71" i="1"/>
  <c r="O71" i="1"/>
  <c r="L71" i="1"/>
  <c r="K71" i="1"/>
  <c r="AN70" i="1"/>
  <c r="AM70" i="1"/>
  <c r="AK70" i="1"/>
  <c r="AJ70" i="1"/>
  <c r="AH70" i="1" s="1"/>
  <c r="Z70" i="1"/>
  <c r="Y70" i="1"/>
  <c r="X70" i="1" s="1"/>
  <c r="Q70" i="1"/>
  <c r="AN69" i="1"/>
  <c r="AM69" i="1"/>
  <c r="AK69" i="1"/>
  <c r="AJ69" i="1"/>
  <c r="AH69" i="1"/>
  <c r="AI69" i="1" s="1"/>
  <c r="Z69" i="1"/>
  <c r="Y69" i="1"/>
  <c r="X69" i="1"/>
  <c r="Q69" i="1"/>
  <c r="K69" i="1"/>
  <c r="AN68" i="1"/>
  <c r="AM68" i="1"/>
  <c r="AK68" i="1"/>
  <c r="AL68" i="1" s="1"/>
  <c r="AJ68" i="1"/>
  <c r="AI68" i="1"/>
  <c r="AH68" i="1"/>
  <c r="L68" i="1" s="1"/>
  <c r="Z68" i="1"/>
  <c r="Y68" i="1"/>
  <c r="X68" i="1" s="1"/>
  <c r="Q68" i="1"/>
  <c r="O68" i="1"/>
  <c r="K68" i="1"/>
  <c r="AN67" i="1"/>
  <c r="AM67" i="1"/>
  <c r="AL67" i="1"/>
  <c r="AK67" i="1"/>
  <c r="AJ67" i="1"/>
  <c r="AI67" i="1"/>
  <c r="AH67" i="1"/>
  <c r="J67" i="1" s="1"/>
  <c r="I67" i="1" s="1"/>
  <c r="AB67" i="1"/>
  <c r="Z67" i="1"/>
  <c r="Y67" i="1"/>
  <c r="X67" i="1" s="1"/>
  <c r="T67" i="1"/>
  <c r="Q67" i="1"/>
  <c r="O67" i="1"/>
  <c r="L67" i="1"/>
  <c r="K67" i="1"/>
  <c r="AN66" i="1"/>
  <c r="AM66" i="1"/>
  <c r="AK66" i="1"/>
  <c r="AL66" i="1" s="1"/>
  <c r="AJ66" i="1"/>
  <c r="AH66" i="1" s="1"/>
  <c r="Z66" i="1"/>
  <c r="Y66" i="1"/>
  <c r="X66" i="1" s="1"/>
  <c r="Q66" i="1"/>
  <c r="J66" i="1"/>
  <c r="I66" i="1" s="1"/>
  <c r="AB66" i="1" s="1"/>
  <c r="AN65" i="1"/>
  <c r="AM65" i="1"/>
  <c r="AK65" i="1"/>
  <c r="AJ65" i="1"/>
  <c r="AH65" i="1"/>
  <c r="Z65" i="1"/>
  <c r="Y65" i="1"/>
  <c r="X65" i="1"/>
  <c r="Q65" i="1"/>
  <c r="K65" i="1"/>
  <c r="AN64" i="1"/>
  <c r="AM64" i="1"/>
  <c r="AK64" i="1"/>
  <c r="AL64" i="1" s="1"/>
  <c r="AJ64" i="1"/>
  <c r="AI64" i="1"/>
  <c r="AH64" i="1"/>
  <c r="L64" i="1" s="1"/>
  <c r="Z64" i="1"/>
  <c r="Y64" i="1"/>
  <c r="X64" i="1" s="1"/>
  <c r="Q64" i="1"/>
  <c r="O64" i="1"/>
  <c r="K64" i="1"/>
  <c r="J64" i="1"/>
  <c r="I64" i="1"/>
  <c r="AN63" i="1"/>
  <c r="AM63" i="1"/>
  <c r="AL63" i="1"/>
  <c r="AK63" i="1"/>
  <c r="AJ63" i="1"/>
  <c r="AI63" i="1"/>
  <c r="AH63" i="1"/>
  <c r="J63" i="1" s="1"/>
  <c r="I63" i="1" s="1"/>
  <c r="AB63" i="1" s="1"/>
  <c r="Z63" i="1"/>
  <c r="Y63" i="1"/>
  <c r="X63" i="1" s="1"/>
  <c r="T63" i="1"/>
  <c r="Q63" i="1"/>
  <c r="O63" i="1"/>
  <c r="L63" i="1"/>
  <c r="K63" i="1"/>
  <c r="AN62" i="1"/>
  <c r="AM62" i="1"/>
  <c r="AK62" i="1"/>
  <c r="AL62" i="1" s="1"/>
  <c r="AJ62" i="1"/>
  <c r="AH62" i="1" s="1"/>
  <c r="Z62" i="1"/>
  <c r="Y62" i="1"/>
  <c r="X62" i="1" s="1"/>
  <c r="Q62" i="1"/>
  <c r="J62" i="1"/>
  <c r="I62" i="1" s="1"/>
  <c r="AB62" i="1" s="1"/>
  <c r="AN61" i="1"/>
  <c r="AM61" i="1"/>
  <c r="AK61" i="1"/>
  <c r="AJ61" i="1"/>
  <c r="AH61" i="1"/>
  <c r="Z61" i="1"/>
  <c r="Y61" i="1"/>
  <c r="X61" i="1"/>
  <c r="Q61" i="1"/>
  <c r="K61" i="1"/>
  <c r="AN60" i="1"/>
  <c r="AM60" i="1"/>
  <c r="AK60" i="1"/>
  <c r="AL60" i="1" s="1"/>
  <c r="AJ60" i="1"/>
  <c r="AH60" i="1" s="1"/>
  <c r="Z60" i="1"/>
  <c r="Y60" i="1"/>
  <c r="X60" i="1" s="1"/>
  <c r="Q60" i="1"/>
  <c r="AN59" i="1"/>
  <c r="AM59" i="1"/>
  <c r="AL59" i="1"/>
  <c r="AK59" i="1"/>
  <c r="AJ59" i="1"/>
  <c r="AI59" i="1"/>
  <c r="AH59" i="1"/>
  <c r="J59" i="1" s="1"/>
  <c r="I59" i="1" s="1"/>
  <c r="AE59" i="1"/>
  <c r="AB59" i="1"/>
  <c r="Z59" i="1"/>
  <c r="Y59" i="1"/>
  <c r="X59" i="1" s="1"/>
  <c r="T59" i="1"/>
  <c r="U59" i="1" s="1"/>
  <c r="V59" i="1" s="1"/>
  <c r="AD59" i="1" s="1"/>
  <c r="Q59" i="1"/>
  <c r="AC59" i="1" s="1"/>
  <c r="O59" i="1"/>
  <c r="L59" i="1"/>
  <c r="K59" i="1"/>
  <c r="AN58" i="1"/>
  <c r="AM58" i="1"/>
  <c r="AK58" i="1"/>
  <c r="AL58" i="1" s="1"/>
  <c r="AJ58" i="1"/>
  <c r="AH58" i="1" s="1"/>
  <c r="AI58" i="1"/>
  <c r="Z58" i="1"/>
  <c r="Y58" i="1"/>
  <c r="Q58" i="1"/>
  <c r="J58" i="1"/>
  <c r="I58" i="1" s="1"/>
  <c r="AN57" i="1"/>
  <c r="AM57" i="1"/>
  <c r="AK57" i="1"/>
  <c r="AJ57" i="1"/>
  <c r="AH57" i="1"/>
  <c r="K57" i="1" s="1"/>
  <c r="Z57" i="1"/>
  <c r="Y57" i="1"/>
  <c r="X57" i="1"/>
  <c r="Q57" i="1"/>
  <c r="O57" i="1"/>
  <c r="AN56" i="1"/>
  <c r="AM56" i="1"/>
  <c r="AK56" i="1"/>
  <c r="AL56" i="1" s="1"/>
  <c r="AJ56" i="1"/>
  <c r="AH56" i="1" s="1"/>
  <c r="AI56" i="1"/>
  <c r="Z56" i="1"/>
  <c r="Y56" i="1"/>
  <c r="X56" i="1" s="1"/>
  <c r="Q56" i="1"/>
  <c r="AN55" i="1"/>
  <c r="AM55" i="1"/>
  <c r="AK55" i="1"/>
  <c r="AL55" i="1" s="1"/>
  <c r="AJ55" i="1"/>
  <c r="AI55" i="1"/>
  <c r="AH55" i="1"/>
  <c r="J55" i="1" s="1"/>
  <c r="Z55" i="1"/>
  <c r="Y55" i="1"/>
  <c r="X55" i="1" s="1"/>
  <c r="Q55" i="1"/>
  <c r="O55" i="1"/>
  <c r="L55" i="1"/>
  <c r="K55" i="1"/>
  <c r="I55" i="1"/>
  <c r="AB55" i="1" s="1"/>
  <c r="AN54" i="1"/>
  <c r="AM54" i="1"/>
  <c r="AK54" i="1"/>
  <c r="AL54" i="1" s="1"/>
  <c r="AJ54" i="1"/>
  <c r="AH54" i="1" s="1"/>
  <c r="L54" i="1" s="1"/>
  <c r="Z54" i="1"/>
  <c r="Y54" i="1"/>
  <c r="Q54" i="1"/>
  <c r="O54" i="1"/>
  <c r="AN53" i="1"/>
  <c r="AM53" i="1"/>
  <c r="AK53" i="1"/>
  <c r="AJ53" i="1"/>
  <c r="AH53" i="1"/>
  <c r="Z53" i="1"/>
  <c r="Y53" i="1"/>
  <c r="X53" i="1"/>
  <c r="Q53" i="1"/>
  <c r="O53" i="1"/>
  <c r="K53" i="1"/>
  <c r="AN52" i="1"/>
  <c r="AM52" i="1"/>
  <c r="AK52" i="1"/>
  <c r="AJ52" i="1"/>
  <c r="AH52" i="1" s="1"/>
  <c r="AI52" i="1"/>
  <c r="Z52" i="1"/>
  <c r="Y52" i="1"/>
  <c r="X52" i="1" s="1"/>
  <c r="Q52" i="1"/>
  <c r="O52" i="1"/>
  <c r="K52" i="1"/>
  <c r="AN51" i="1"/>
  <c r="AM51" i="1"/>
  <c r="AK51" i="1"/>
  <c r="AL51" i="1" s="1"/>
  <c r="AJ51" i="1"/>
  <c r="AI51" i="1"/>
  <c r="AH51" i="1"/>
  <c r="J51" i="1" s="1"/>
  <c r="AB51" i="1"/>
  <c r="Z51" i="1"/>
  <c r="Y51" i="1"/>
  <c r="X51" i="1" s="1"/>
  <c r="T51" i="1"/>
  <c r="U51" i="1" s="1"/>
  <c r="V51" i="1" s="1"/>
  <c r="Q51" i="1"/>
  <c r="AC51" i="1" s="1"/>
  <c r="O51" i="1"/>
  <c r="L51" i="1"/>
  <c r="K51" i="1"/>
  <c r="I51" i="1"/>
  <c r="AN50" i="1"/>
  <c r="AM50" i="1"/>
  <c r="AK50" i="1"/>
  <c r="AJ50" i="1"/>
  <c r="AH50" i="1" s="1"/>
  <c r="L50" i="1" s="1"/>
  <c r="AI50" i="1"/>
  <c r="Z50" i="1"/>
  <c r="Y50" i="1"/>
  <c r="Q50" i="1"/>
  <c r="O50" i="1"/>
  <c r="J50" i="1"/>
  <c r="I50" i="1" s="1"/>
  <c r="AN49" i="1"/>
  <c r="AM49" i="1"/>
  <c r="AK49" i="1"/>
  <c r="AJ49" i="1"/>
  <c r="AI49" i="1"/>
  <c r="AH49" i="1"/>
  <c r="Z49" i="1"/>
  <c r="Y49" i="1"/>
  <c r="X49" i="1"/>
  <c r="Q49" i="1"/>
  <c r="K49" i="1"/>
  <c r="AN48" i="1"/>
  <c r="AM48" i="1"/>
  <c r="AK48" i="1"/>
  <c r="AJ48" i="1"/>
  <c r="AH48" i="1" s="1"/>
  <c r="L48" i="1" s="1"/>
  <c r="Z48" i="1"/>
  <c r="Y48" i="1"/>
  <c r="Q48" i="1"/>
  <c r="O48" i="1"/>
  <c r="AN47" i="1"/>
  <c r="AM47" i="1"/>
  <c r="AL47" i="1"/>
  <c r="AK47" i="1"/>
  <c r="AJ47" i="1"/>
  <c r="AH47" i="1"/>
  <c r="J47" i="1" s="1"/>
  <c r="Z47" i="1"/>
  <c r="Y47" i="1"/>
  <c r="X47" i="1" s="1"/>
  <c r="T47" i="1"/>
  <c r="Q47" i="1"/>
  <c r="O47" i="1"/>
  <c r="L47" i="1"/>
  <c r="K47" i="1"/>
  <c r="I47" i="1"/>
  <c r="AB47" i="1" s="1"/>
  <c r="AN46" i="1"/>
  <c r="AM46" i="1"/>
  <c r="AK46" i="1"/>
  <c r="AJ46" i="1"/>
  <c r="AH46" i="1" s="1"/>
  <c r="L46" i="1" s="1"/>
  <c r="Z46" i="1"/>
  <c r="Y46" i="1"/>
  <c r="Q46" i="1"/>
  <c r="O46" i="1"/>
  <c r="AN45" i="1"/>
  <c r="AM45" i="1"/>
  <c r="AL45" i="1"/>
  <c r="AK45" i="1"/>
  <c r="AJ45" i="1"/>
  <c r="AH45" i="1"/>
  <c r="J45" i="1" s="1"/>
  <c r="Z45" i="1"/>
  <c r="Y45" i="1"/>
  <c r="X45" i="1" s="1"/>
  <c r="T45" i="1"/>
  <c r="Q45" i="1"/>
  <c r="O45" i="1"/>
  <c r="L45" i="1"/>
  <c r="K45" i="1"/>
  <c r="I45" i="1"/>
  <c r="AB45" i="1" s="1"/>
  <c r="AN44" i="1"/>
  <c r="AM44" i="1"/>
  <c r="AK44" i="1"/>
  <c r="AJ44" i="1"/>
  <c r="AH44" i="1" s="1"/>
  <c r="AI44" i="1" s="1"/>
  <c r="Z44" i="1"/>
  <c r="Y44" i="1"/>
  <c r="Q44" i="1"/>
  <c r="O44" i="1"/>
  <c r="AN43" i="1"/>
  <c r="AM43" i="1"/>
  <c r="AK43" i="1"/>
  <c r="AL43" i="1" s="1"/>
  <c r="AJ43" i="1"/>
  <c r="AH43" i="1"/>
  <c r="L43" i="1" s="1"/>
  <c r="Z43" i="1"/>
  <c r="Y43" i="1"/>
  <c r="X43" i="1"/>
  <c r="Q43" i="1"/>
  <c r="O43" i="1"/>
  <c r="K43" i="1"/>
  <c r="AN42" i="1"/>
  <c r="AM42" i="1"/>
  <c r="AK42" i="1"/>
  <c r="AL42" i="1" s="1"/>
  <c r="AJ42" i="1"/>
  <c r="AH42" i="1" s="1"/>
  <c r="Z42" i="1"/>
  <c r="Y42" i="1"/>
  <c r="X42" i="1" s="1"/>
  <c r="Q42" i="1"/>
  <c r="AN41" i="1"/>
  <c r="AM41" i="1"/>
  <c r="AK41" i="1"/>
  <c r="AL41" i="1" s="1"/>
  <c r="AJ41" i="1"/>
  <c r="AI41" i="1"/>
  <c r="AH41" i="1"/>
  <c r="J41" i="1" s="1"/>
  <c r="I41" i="1" s="1"/>
  <c r="Z41" i="1"/>
  <c r="Y41" i="1"/>
  <c r="X41" i="1" s="1"/>
  <c r="Q41" i="1"/>
  <c r="O41" i="1"/>
  <c r="L41" i="1"/>
  <c r="K41" i="1"/>
  <c r="AN40" i="1"/>
  <c r="AM40" i="1"/>
  <c r="AK40" i="1"/>
  <c r="AL40" i="1" s="1"/>
  <c r="AJ40" i="1"/>
  <c r="AH40" i="1" s="1"/>
  <c r="Z40" i="1"/>
  <c r="Y40" i="1"/>
  <c r="X40" i="1" s="1"/>
  <c r="Q40" i="1"/>
  <c r="AN39" i="1"/>
  <c r="AM39" i="1"/>
  <c r="AK39" i="1"/>
  <c r="AL39" i="1" s="1"/>
  <c r="AJ39" i="1"/>
  <c r="AH39" i="1"/>
  <c r="L39" i="1" s="1"/>
  <c r="Z39" i="1"/>
  <c r="Y39" i="1"/>
  <c r="X39" i="1"/>
  <c r="Q39" i="1"/>
  <c r="O39" i="1"/>
  <c r="K39" i="1"/>
  <c r="AN38" i="1"/>
  <c r="AM38" i="1"/>
  <c r="AK38" i="1"/>
  <c r="AL38" i="1" s="1"/>
  <c r="AJ38" i="1"/>
  <c r="AH38" i="1" s="1"/>
  <c r="Z38" i="1"/>
  <c r="Y38" i="1"/>
  <c r="X38" i="1" s="1"/>
  <c r="Q38" i="1"/>
  <c r="AN37" i="1"/>
  <c r="AM37" i="1"/>
  <c r="AK37" i="1"/>
  <c r="AL37" i="1" s="1"/>
  <c r="AJ37" i="1"/>
  <c r="AI37" i="1"/>
  <c r="AH37" i="1"/>
  <c r="J37" i="1" s="1"/>
  <c r="I37" i="1" s="1"/>
  <c r="Z37" i="1"/>
  <c r="Y37" i="1"/>
  <c r="X37" i="1" s="1"/>
  <c r="Q37" i="1"/>
  <c r="O37" i="1"/>
  <c r="L37" i="1"/>
  <c r="K37" i="1"/>
  <c r="AN36" i="1"/>
  <c r="AM36" i="1"/>
  <c r="AK36" i="1"/>
  <c r="AL36" i="1" s="1"/>
  <c r="AJ36" i="1"/>
  <c r="AH36" i="1" s="1"/>
  <c r="Z36" i="1"/>
  <c r="Y36" i="1"/>
  <c r="X36" i="1" s="1"/>
  <c r="Q36" i="1"/>
  <c r="AN35" i="1"/>
  <c r="AM35" i="1"/>
  <c r="AK35" i="1"/>
  <c r="AL35" i="1" s="1"/>
  <c r="AJ35" i="1"/>
  <c r="AH35" i="1"/>
  <c r="L35" i="1" s="1"/>
  <c r="Z35" i="1"/>
  <c r="Y35" i="1"/>
  <c r="X35" i="1"/>
  <c r="Q35" i="1"/>
  <c r="O35" i="1"/>
  <c r="K35" i="1"/>
  <c r="AN34" i="1"/>
  <c r="AM34" i="1"/>
  <c r="AK34" i="1"/>
  <c r="AL34" i="1" s="1"/>
  <c r="AJ34" i="1"/>
  <c r="AH34" i="1" s="1"/>
  <c r="Z34" i="1"/>
  <c r="Y34" i="1"/>
  <c r="X34" i="1" s="1"/>
  <c r="Q34" i="1"/>
  <c r="AN33" i="1"/>
  <c r="AM33" i="1"/>
  <c r="AK33" i="1"/>
  <c r="AL33" i="1" s="1"/>
  <c r="AJ33" i="1"/>
  <c r="AI33" i="1"/>
  <c r="AH33" i="1"/>
  <c r="J33" i="1" s="1"/>
  <c r="I33" i="1" s="1"/>
  <c r="Z33" i="1"/>
  <c r="Y33" i="1"/>
  <c r="X33" i="1" s="1"/>
  <c r="Q33" i="1"/>
  <c r="O33" i="1"/>
  <c r="L33" i="1"/>
  <c r="K33" i="1"/>
  <c r="AN32" i="1"/>
  <c r="AM32" i="1"/>
  <c r="AK32" i="1"/>
  <c r="AL32" i="1" s="1"/>
  <c r="AJ32" i="1"/>
  <c r="AH32" i="1" s="1"/>
  <c r="Z32" i="1"/>
  <c r="Y32" i="1"/>
  <c r="X32" i="1" s="1"/>
  <c r="Q32" i="1"/>
  <c r="AN31" i="1"/>
  <c r="AM31" i="1"/>
  <c r="AK31" i="1"/>
  <c r="AL31" i="1" s="1"/>
  <c r="AJ31" i="1"/>
  <c r="AH31" i="1"/>
  <c r="L31" i="1" s="1"/>
  <c r="Z31" i="1"/>
  <c r="Y31" i="1"/>
  <c r="X31" i="1"/>
  <c r="Q31" i="1"/>
  <c r="AN30" i="1"/>
  <c r="AM30" i="1"/>
  <c r="AK30" i="1"/>
  <c r="AL30" i="1" s="1"/>
  <c r="AJ30" i="1"/>
  <c r="AH30" i="1" s="1"/>
  <c r="Z30" i="1"/>
  <c r="Y30" i="1"/>
  <c r="X30" i="1" s="1"/>
  <c r="Q30" i="1"/>
  <c r="AN29" i="1"/>
  <c r="AM29" i="1"/>
  <c r="AL29" i="1"/>
  <c r="AK29" i="1"/>
  <c r="AJ29" i="1"/>
  <c r="AI29" i="1"/>
  <c r="AH29" i="1"/>
  <c r="J29" i="1" s="1"/>
  <c r="I29" i="1" s="1"/>
  <c r="Z29" i="1"/>
  <c r="Y29" i="1"/>
  <c r="X29" i="1" s="1"/>
  <c r="T29" i="1"/>
  <c r="Q29" i="1"/>
  <c r="O29" i="1"/>
  <c r="L29" i="1"/>
  <c r="K29" i="1"/>
  <c r="AN28" i="1"/>
  <c r="AM28" i="1"/>
  <c r="AK28" i="1"/>
  <c r="AL28" i="1" s="1"/>
  <c r="AJ28" i="1"/>
  <c r="AH28" i="1" s="1"/>
  <c r="Z28" i="1"/>
  <c r="Y28" i="1"/>
  <c r="X28" i="1" s="1"/>
  <c r="Q28" i="1"/>
  <c r="AN27" i="1"/>
  <c r="AM27" i="1"/>
  <c r="AK27" i="1"/>
  <c r="AL27" i="1" s="1"/>
  <c r="AJ27" i="1"/>
  <c r="AH27" i="1"/>
  <c r="L27" i="1" s="1"/>
  <c r="Z27" i="1"/>
  <c r="Y27" i="1"/>
  <c r="X27" i="1"/>
  <c r="Q27" i="1"/>
  <c r="O27" i="1"/>
  <c r="K27" i="1"/>
  <c r="AN26" i="1"/>
  <c r="AM26" i="1"/>
  <c r="AK26" i="1"/>
  <c r="AL26" i="1" s="1"/>
  <c r="AJ26" i="1"/>
  <c r="AH26" i="1" s="1"/>
  <c r="Z26" i="1"/>
  <c r="Y26" i="1"/>
  <c r="X26" i="1" s="1"/>
  <c r="Q26" i="1"/>
  <c r="AN25" i="1"/>
  <c r="AM25" i="1"/>
  <c r="AK25" i="1"/>
  <c r="AL25" i="1" s="1"/>
  <c r="AJ25" i="1"/>
  <c r="AI25" i="1"/>
  <c r="AH25" i="1"/>
  <c r="J25" i="1" s="1"/>
  <c r="I25" i="1" s="1"/>
  <c r="Z25" i="1"/>
  <c r="Y25" i="1"/>
  <c r="X25" i="1" s="1"/>
  <c r="Q25" i="1"/>
  <c r="O25" i="1"/>
  <c r="L25" i="1"/>
  <c r="K25" i="1"/>
  <c r="AN24" i="1"/>
  <c r="AM24" i="1"/>
  <c r="AK24" i="1"/>
  <c r="AL24" i="1" s="1"/>
  <c r="AJ24" i="1"/>
  <c r="AH24" i="1" s="1"/>
  <c r="Z24" i="1"/>
  <c r="Y24" i="1"/>
  <c r="X24" i="1" s="1"/>
  <c r="Q24" i="1"/>
  <c r="AN23" i="1"/>
  <c r="AM23" i="1"/>
  <c r="AK23" i="1"/>
  <c r="AL23" i="1" s="1"/>
  <c r="AJ23" i="1"/>
  <c r="AH23" i="1"/>
  <c r="L23" i="1" s="1"/>
  <c r="Z23" i="1"/>
  <c r="Y23" i="1"/>
  <c r="X23" i="1"/>
  <c r="Q23" i="1"/>
  <c r="O23" i="1"/>
  <c r="K23" i="1"/>
  <c r="AN22" i="1"/>
  <c r="AM22" i="1"/>
  <c r="AK22" i="1"/>
  <c r="AL22" i="1" s="1"/>
  <c r="AJ22" i="1"/>
  <c r="AH22" i="1" s="1"/>
  <c r="Z22" i="1"/>
  <c r="Y22" i="1"/>
  <c r="X22" i="1" s="1"/>
  <c r="Q22" i="1"/>
  <c r="AN21" i="1"/>
  <c r="AM21" i="1"/>
  <c r="AK21" i="1"/>
  <c r="AL21" i="1" s="1"/>
  <c r="AJ21" i="1"/>
  <c r="AI21" i="1"/>
  <c r="AH21" i="1"/>
  <c r="J21" i="1" s="1"/>
  <c r="I21" i="1" s="1"/>
  <c r="Z21" i="1"/>
  <c r="Y21" i="1"/>
  <c r="X21" i="1" s="1"/>
  <c r="Q21" i="1"/>
  <c r="O21" i="1"/>
  <c r="L21" i="1"/>
  <c r="K21" i="1"/>
  <c r="AN20" i="1"/>
  <c r="AM20" i="1"/>
  <c r="AK20" i="1"/>
  <c r="AL20" i="1" s="1"/>
  <c r="AJ20" i="1"/>
  <c r="AH20" i="1" s="1"/>
  <c r="Z20" i="1"/>
  <c r="Y20" i="1"/>
  <c r="X20" i="1" s="1"/>
  <c r="Q20" i="1"/>
  <c r="AN19" i="1"/>
  <c r="AM19" i="1"/>
  <c r="AK19" i="1"/>
  <c r="AL19" i="1" s="1"/>
  <c r="AJ19" i="1"/>
  <c r="AH19" i="1"/>
  <c r="L19" i="1" s="1"/>
  <c r="Z19" i="1"/>
  <c r="Y19" i="1"/>
  <c r="X19" i="1"/>
  <c r="Q19" i="1"/>
  <c r="O19" i="1"/>
  <c r="K19" i="1"/>
  <c r="AN18" i="1"/>
  <c r="AM18" i="1"/>
  <c r="AK18" i="1"/>
  <c r="AL18" i="1" s="1"/>
  <c r="AJ18" i="1"/>
  <c r="AH18" i="1" s="1"/>
  <c r="Z18" i="1"/>
  <c r="Y18" i="1"/>
  <c r="X18" i="1" s="1"/>
  <c r="Q18" i="1"/>
  <c r="AN17" i="1"/>
  <c r="AM17" i="1"/>
  <c r="AK17" i="1"/>
  <c r="AL17" i="1" s="1"/>
  <c r="AJ17" i="1"/>
  <c r="AI17" i="1"/>
  <c r="AH17" i="1"/>
  <c r="J17" i="1" s="1"/>
  <c r="Z17" i="1"/>
  <c r="Y17" i="1"/>
  <c r="X17" i="1" s="1"/>
  <c r="Q17" i="1"/>
  <c r="O17" i="1"/>
  <c r="L17" i="1"/>
  <c r="K17" i="1"/>
  <c r="I17" i="1"/>
  <c r="O20" i="1" l="1"/>
  <c r="L20" i="1"/>
  <c r="K20" i="1"/>
  <c r="J20" i="1"/>
  <c r="I20" i="1" s="1"/>
  <c r="AI20" i="1"/>
  <c r="J26" i="1"/>
  <c r="I26" i="1" s="1"/>
  <c r="AI26" i="1"/>
  <c r="K26" i="1"/>
  <c r="O26" i="1"/>
  <c r="L26" i="1"/>
  <c r="AB21" i="1"/>
  <c r="L28" i="1"/>
  <c r="K28" i="1"/>
  <c r="J28" i="1"/>
  <c r="I28" i="1" s="1"/>
  <c r="O28" i="1"/>
  <c r="AI28" i="1"/>
  <c r="U29" i="1"/>
  <c r="V29" i="1" s="1"/>
  <c r="R29" i="1" s="1"/>
  <c r="P29" i="1" s="1"/>
  <c r="S29" i="1" s="1"/>
  <c r="M29" i="1" s="1"/>
  <c r="N29" i="1" s="1"/>
  <c r="J34" i="1"/>
  <c r="I34" i="1" s="1"/>
  <c r="AI34" i="1"/>
  <c r="O34" i="1"/>
  <c r="K34" i="1"/>
  <c r="L34" i="1"/>
  <c r="AB50" i="1"/>
  <c r="L36" i="1"/>
  <c r="K36" i="1"/>
  <c r="J36" i="1"/>
  <c r="I36" i="1" s="1"/>
  <c r="O36" i="1"/>
  <c r="AI36" i="1"/>
  <c r="J42" i="1"/>
  <c r="I42" i="1" s="1"/>
  <c r="AI42" i="1"/>
  <c r="O42" i="1"/>
  <c r="L42" i="1"/>
  <c r="K42" i="1"/>
  <c r="AB17" i="1"/>
  <c r="AB29" i="1"/>
  <c r="J18" i="1"/>
  <c r="I18" i="1" s="1"/>
  <c r="AI18" i="1"/>
  <c r="O18" i="1"/>
  <c r="L18" i="1"/>
  <c r="K18" i="1"/>
  <c r="AB37" i="1"/>
  <c r="L24" i="1"/>
  <c r="K24" i="1"/>
  <c r="AI24" i="1"/>
  <c r="J24" i="1"/>
  <c r="I24" i="1" s="1"/>
  <c r="O24" i="1"/>
  <c r="AB25" i="1"/>
  <c r="J30" i="1"/>
  <c r="I30" i="1" s="1"/>
  <c r="AI30" i="1"/>
  <c r="K30" i="1"/>
  <c r="O30" i="1"/>
  <c r="L30" i="1"/>
  <c r="L32" i="1"/>
  <c r="K32" i="1"/>
  <c r="O32" i="1"/>
  <c r="J32" i="1"/>
  <c r="I32" i="1" s="1"/>
  <c r="AI32" i="1"/>
  <c r="J38" i="1"/>
  <c r="I38" i="1" s="1"/>
  <c r="AI38" i="1"/>
  <c r="O38" i="1"/>
  <c r="L38" i="1"/>
  <c r="K38" i="1"/>
  <c r="AB58" i="1"/>
  <c r="J22" i="1"/>
  <c r="I22" i="1" s="1"/>
  <c r="AI22" i="1"/>
  <c r="O22" i="1"/>
  <c r="K22" i="1"/>
  <c r="L22" i="1"/>
  <c r="AB41" i="1"/>
  <c r="AB33" i="1"/>
  <c r="L40" i="1"/>
  <c r="K40" i="1"/>
  <c r="J40" i="1"/>
  <c r="I40" i="1" s="1"/>
  <c r="AI40" i="1"/>
  <c r="O40" i="1"/>
  <c r="AD51" i="1"/>
  <c r="W51" i="1"/>
  <c r="AA51" i="1" s="1"/>
  <c r="AC63" i="1"/>
  <c r="K86" i="1"/>
  <c r="J86" i="1"/>
  <c r="I86" i="1" s="1"/>
  <c r="AI86" i="1"/>
  <c r="O86" i="1"/>
  <c r="L86" i="1"/>
  <c r="L87" i="1"/>
  <c r="K87" i="1"/>
  <c r="J87" i="1"/>
  <c r="I87" i="1" s="1"/>
  <c r="AI87" i="1"/>
  <c r="O87" i="1"/>
  <c r="T18" i="1"/>
  <c r="T22" i="1"/>
  <c r="T26" i="1"/>
  <c r="T30" i="1"/>
  <c r="T34" i="1"/>
  <c r="T38" i="1"/>
  <c r="T42" i="1"/>
  <c r="L49" i="1"/>
  <c r="J49" i="1"/>
  <c r="I49" i="1" s="1"/>
  <c r="K50" i="1"/>
  <c r="X50" i="1"/>
  <c r="AL53" i="1"/>
  <c r="T53" i="1"/>
  <c r="AI54" i="1"/>
  <c r="R59" i="1"/>
  <c r="P59" i="1" s="1"/>
  <c r="S59" i="1" s="1"/>
  <c r="M59" i="1" s="1"/>
  <c r="N59" i="1" s="1"/>
  <c r="K62" i="1"/>
  <c r="AI62" i="1"/>
  <c r="O62" i="1"/>
  <c r="L62" i="1"/>
  <c r="U63" i="1"/>
  <c r="V63" i="1" s="1"/>
  <c r="AL70" i="1"/>
  <c r="W71" i="1"/>
  <c r="AA71" i="1" s="1"/>
  <c r="AL73" i="1"/>
  <c r="T73" i="1"/>
  <c r="AC75" i="1"/>
  <c r="AL50" i="1"/>
  <c r="T50" i="1"/>
  <c r="L79" i="1"/>
  <c r="K79" i="1"/>
  <c r="J79" i="1"/>
  <c r="I79" i="1" s="1"/>
  <c r="AI79" i="1"/>
  <c r="O79" i="1"/>
  <c r="O31" i="1"/>
  <c r="R47" i="1"/>
  <c r="P47" i="1" s="1"/>
  <c r="S47" i="1" s="1"/>
  <c r="M47" i="1" s="1"/>
  <c r="N47" i="1" s="1"/>
  <c r="AE51" i="1"/>
  <c r="AC67" i="1"/>
  <c r="K74" i="1"/>
  <c r="J74" i="1"/>
  <c r="I74" i="1" s="1"/>
  <c r="AI74" i="1"/>
  <c r="O74" i="1"/>
  <c r="L74" i="1"/>
  <c r="K78" i="1"/>
  <c r="J78" i="1"/>
  <c r="I78" i="1" s="1"/>
  <c r="AI78" i="1"/>
  <c r="O78" i="1"/>
  <c r="L78" i="1"/>
  <c r="T21" i="1"/>
  <c r="T33" i="1"/>
  <c r="T37" i="1"/>
  <c r="T41" i="1"/>
  <c r="J44" i="1"/>
  <c r="I44" i="1" s="1"/>
  <c r="U45" i="1"/>
  <c r="V45" i="1" s="1"/>
  <c r="U47" i="1"/>
  <c r="V47" i="1" s="1"/>
  <c r="R51" i="1"/>
  <c r="P51" i="1" s="1"/>
  <c r="S51" i="1" s="1"/>
  <c r="M51" i="1" s="1"/>
  <c r="N51" i="1" s="1"/>
  <c r="L52" i="1"/>
  <c r="J52" i="1"/>
  <c r="I52" i="1" s="1"/>
  <c r="K58" i="1"/>
  <c r="O58" i="1"/>
  <c r="L58" i="1"/>
  <c r="K66" i="1"/>
  <c r="AI66" i="1"/>
  <c r="O66" i="1"/>
  <c r="L66" i="1"/>
  <c r="U67" i="1"/>
  <c r="V67" i="1" s="1"/>
  <c r="R67" i="1" s="1"/>
  <c r="P67" i="1" s="1"/>
  <c r="S67" i="1" s="1"/>
  <c r="M67" i="1" s="1"/>
  <c r="N67" i="1" s="1"/>
  <c r="AL74" i="1"/>
  <c r="W75" i="1"/>
  <c r="AA75" i="1" s="1"/>
  <c r="T17" i="1"/>
  <c r="T25" i="1"/>
  <c r="AI19" i="1"/>
  <c r="AI23" i="1"/>
  <c r="AI27" i="1"/>
  <c r="AI31" i="1"/>
  <c r="AI35" i="1"/>
  <c r="AI39" i="1"/>
  <c r="AI43" i="1"/>
  <c r="K44" i="1"/>
  <c r="J46" i="1"/>
  <c r="I46" i="1" s="1"/>
  <c r="J48" i="1"/>
  <c r="I48" i="1" s="1"/>
  <c r="AL49" i="1"/>
  <c r="T49" i="1"/>
  <c r="AL52" i="1"/>
  <c r="T52" i="1"/>
  <c r="T55" i="1"/>
  <c r="AI57" i="1"/>
  <c r="L57" i="1"/>
  <c r="J57" i="1"/>
  <c r="I57" i="1" s="1"/>
  <c r="W59" i="1"/>
  <c r="AA59" i="1" s="1"/>
  <c r="AI61" i="1"/>
  <c r="O61" i="1"/>
  <c r="L61" i="1"/>
  <c r="J61" i="1"/>
  <c r="I61" i="1" s="1"/>
  <c r="K82" i="1"/>
  <c r="J82" i="1"/>
  <c r="I82" i="1" s="1"/>
  <c r="AI82" i="1"/>
  <c r="O82" i="1"/>
  <c r="L82" i="1"/>
  <c r="L83" i="1"/>
  <c r="K83" i="1"/>
  <c r="J83" i="1"/>
  <c r="I83" i="1" s="1"/>
  <c r="AI83" i="1"/>
  <c r="O83" i="1"/>
  <c r="AC87" i="1"/>
  <c r="K90" i="1"/>
  <c r="J90" i="1"/>
  <c r="I90" i="1" s="1"/>
  <c r="AI90" i="1"/>
  <c r="O90" i="1"/>
  <c r="L90" i="1"/>
  <c r="L91" i="1"/>
  <c r="K91" i="1"/>
  <c r="J91" i="1"/>
  <c r="I91" i="1" s="1"/>
  <c r="AI91" i="1"/>
  <c r="O91" i="1"/>
  <c r="AB96" i="1"/>
  <c r="R96" i="1"/>
  <c r="P96" i="1" s="1"/>
  <c r="S96" i="1" s="1"/>
  <c r="M96" i="1" s="1"/>
  <c r="N96" i="1" s="1"/>
  <c r="O60" i="1"/>
  <c r="L60" i="1"/>
  <c r="K60" i="1"/>
  <c r="J60" i="1"/>
  <c r="I60" i="1" s="1"/>
  <c r="AL65" i="1"/>
  <c r="T65" i="1"/>
  <c r="K70" i="1"/>
  <c r="J70" i="1"/>
  <c r="I70" i="1" s="1"/>
  <c r="AI70" i="1"/>
  <c r="O70" i="1"/>
  <c r="L70" i="1"/>
  <c r="J19" i="1"/>
  <c r="I19" i="1" s="1"/>
  <c r="T20" i="1"/>
  <c r="J23" i="1"/>
  <c r="I23" i="1" s="1"/>
  <c r="T24" i="1"/>
  <c r="J27" i="1"/>
  <c r="I27" i="1" s="1"/>
  <c r="T28" i="1"/>
  <c r="J31" i="1"/>
  <c r="I31" i="1" s="1"/>
  <c r="T32" i="1"/>
  <c r="J35" i="1"/>
  <c r="I35" i="1" s="1"/>
  <c r="T36" i="1"/>
  <c r="J39" i="1"/>
  <c r="I39" i="1" s="1"/>
  <c r="T40" i="1"/>
  <c r="J43" i="1"/>
  <c r="I43" i="1" s="1"/>
  <c r="L44" i="1"/>
  <c r="AI45" i="1"/>
  <c r="K46" i="1"/>
  <c r="AI46" i="1"/>
  <c r="AI47" i="1"/>
  <c r="K48" i="1"/>
  <c r="AI48" i="1"/>
  <c r="O49" i="1"/>
  <c r="J54" i="1"/>
  <c r="I54" i="1" s="1"/>
  <c r="X54" i="1"/>
  <c r="O56" i="1"/>
  <c r="L56" i="1"/>
  <c r="K56" i="1"/>
  <c r="J56" i="1"/>
  <c r="I56" i="1" s="1"/>
  <c r="AB71" i="1"/>
  <c r="AE71" i="1" s="1"/>
  <c r="R71" i="1"/>
  <c r="P71" i="1" s="1"/>
  <c r="S71" i="1" s="1"/>
  <c r="M71" i="1" s="1"/>
  <c r="N71" i="1" s="1"/>
  <c r="U79" i="1"/>
  <c r="V79" i="1" s="1"/>
  <c r="AC79" i="1" s="1"/>
  <c r="U87" i="1"/>
  <c r="V87" i="1" s="1"/>
  <c r="L53" i="1"/>
  <c r="J53" i="1"/>
  <c r="I53" i="1" s="1"/>
  <c r="K54" i="1"/>
  <c r="AL57" i="1"/>
  <c r="T57" i="1"/>
  <c r="AL61" i="1"/>
  <c r="T61" i="1"/>
  <c r="AB64" i="1"/>
  <c r="AI65" i="1"/>
  <c r="O65" i="1"/>
  <c r="L65" i="1"/>
  <c r="J65" i="1"/>
  <c r="I65" i="1" s="1"/>
  <c r="K31" i="1"/>
  <c r="T19" i="1"/>
  <c r="T23" i="1"/>
  <c r="T27" i="1"/>
  <c r="T31" i="1"/>
  <c r="T35" i="1"/>
  <c r="T39" i="1"/>
  <c r="T43" i="1"/>
  <c r="X44" i="1"/>
  <c r="AL44" i="1"/>
  <c r="T44" i="1"/>
  <c r="X46" i="1"/>
  <c r="AL46" i="1"/>
  <c r="T46" i="1"/>
  <c r="X48" i="1"/>
  <c r="AL48" i="1"/>
  <c r="T48" i="1"/>
  <c r="AI53" i="1"/>
  <c r="X58" i="1"/>
  <c r="AI60" i="1"/>
  <c r="R63" i="1"/>
  <c r="P63" i="1" s="1"/>
  <c r="S63" i="1" s="1"/>
  <c r="M63" i="1" s="1"/>
  <c r="N63" i="1" s="1"/>
  <c r="AL69" i="1"/>
  <c r="T69" i="1"/>
  <c r="AC71" i="1"/>
  <c r="AB75" i="1"/>
  <c r="AE75" i="1" s="1"/>
  <c r="R75" i="1"/>
  <c r="P75" i="1" s="1"/>
  <c r="S75" i="1" s="1"/>
  <c r="M75" i="1" s="1"/>
  <c r="N75" i="1" s="1"/>
  <c r="K94" i="1"/>
  <c r="J94" i="1"/>
  <c r="I94" i="1" s="1"/>
  <c r="U94" i="1" s="1"/>
  <c r="V94" i="1" s="1"/>
  <c r="AI94" i="1"/>
  <c r="O94" i="1"/>
  <c r="L94" i="1"/>
  <c r="T54" i="1"/>
  <c r="T58" i="1"/>
  <c r="T62" i="1"/>
  <c r="T66" i="1"/>
  <c r="J69" i="1"/>
  <c r="I69" i="1" s="1"/>
  <c r="T70" i="1"/>
  <c r="J73" i="1"/>
  <c r="I73" i="1" s="1"/>
  <c r="T74" i="1"/>
  <c r="J77" i="1"/>
  <c r="I77" i="1" s="1"/>
  <c r="J81" i="1"/>
  <c r="I81" i="1" s="1"/>
  <c r="J85" i="1"/>
  <c r="I85" i="1" s="1"/>
  <c r="J89" i="1"/>
  <c r="I89" i="1" s="1"/>
  <c r="J93" i="1"/>
  <c r="I93" i="1" s="1"/>
  <c r="K106" i="1"/>
  <c r="J106" i="1"/>
  <c r="I106" i="1" s="1"/>
  <c r="AI106" i="1"/>
  <c r="O106" i="1"/>
  <c r="L106" i="1"/>
  <c r="O112" i="1"/>
  <c r="L112" i="1"/>
  <c r="K112" i="1"/>
  <c r="J112" i="1"/>
  <c r="I112" i="1" s="1"/>
  <c r="AI112" i="1"/>
  <c r="AB120" i="1"/>
  <c r="R121" i="1"/>
  <c r="P121" i="1" s="1"/>
  <c r="S121" i="1" s="1"/>
  <c r="M121" i="1" s="1"/>
  <c r="N121" i="1" s="1"/>
  <c r="AB121" i="1"/>
  <c r="O104" i="1"/>
  <c r="L104" i="1"/>
  <c r="K104" i="1"/>
  <c r="AI104" i="1"/>
  <c r="U110" i="1"/>
  <c r="V110" i="1" s="1"/>
  <c r="K118" i="1"/>
  <c r="J118" i="1"/>
  <c r="I118" i="1" s="1"/>
  <c r="AI118" i="1"/>
  <c r="O118" i="1"/>
  <c r="L118" i="1"/>
  <c r="AB125" i="1"/>
  <c r="J68" i="1"/>
  <c r="I68" i="1" s="1"/>
  <c r="L69" i="1"/>
  <c r="J72" i="1"/>
  <c r="I72" i="1" s="1"/>
  <c r="L73" i="1"/>
  <c r="J76" i="1"/>
  <c r="I76" i="1" s="1"/>
  <c r="L77" i="1"/>
  <c r="T77" i="1"/>
  <c r="J80" i="1"/>
  <c r="I80" i="1" s="1"/>
  <c r="L81" i="1"/>
  <c r="T81" i="1"/>
  <c r="J84" i="1"/>
  <c r="I84" i="1" s="1"/>
  <c r="L85" i="1"/>
  <c r="T85" i="1"/>
  <c r="J88" i="1"/>
  <c r="I88" i="1" s="1"/>
  <c r="L89" i="1"/>
  <c r="T89" i="1"/>
  <c r="J92" i="1"/>
  <c r="I92" i="1" s="1"/>
  <c r="L93" i="1"/>
  <c r="T93" i="1"/>
  <c r="J98" i="1"/>
  <c r="I98" i="1" s="1"/>
  <c r="J100" i="1"/>
  <c r="I100" i="1" s="1"/>
  <c r="U103" i="1"/>
  <c r="V103" i="1" s="1"/>
  <c r="AC103" i="1" s="1"/>
  <c r="AB124" i="1"/>
  <c r="K80" i="1"/>
  <c r="K84" i="1"/>
  <c r="K88" i="1"/>
  <c r="K92" i="1"/>
  <c r="J95" i="1"/>
  <c r="I95" i="1" s="1"/>
  <c r="O97" i="1"/>
  <c r="K97" i="1"/>
  <c r="J97" i="1"/>
  <c r="I97" i="1" s="1"/>
  <c r="K98" i="1"/>
  <c r="K99" i="1"/>
  <c r="J99" i="1"/>
  <c r="I99" i="1" s="1"/>
  <c r="O99" i="1"/>
  <c r="K102" i="1"/>
  <c r="J102" i="1"/>
  <c r="I102" i="1" s="1"/>
  <c r="AI102" i="1"/>
  <c r="L102" i="1"/>
  <c r="O108" i="1"/>
  <c r="L108" i="1"/>
  <c r="K108" i="1"/>
  <c r="J108" i="1"/>
  <c r="I108" i="1" s="1"/>
  <c r="AI108" i="1"/>
  <c r="K114" i="1"/>
  <c r="J114" i="1"/>
  <c r="I114" i="1" s="1"/>
  <c r="AI114" i="1"/>
  <c r="O114" i="1"/>
  <c r="L114" i="1"/>
  <c r="T56" i="1"/>
  <c r="T60" i="1"/>
  <c r="T64" i="1"/>
  <c r="T68" i="1"/>
  <c r="T72" i="1"/>
  <c r="T76" i="1"/>
  <c r="L80" i="1"/>
  <c r="T80" i="1"/>
  <c r="L84" i="1"/>
  <c r="T84" i="1"/>
  <c r="L88" i="1"/>
  <c r="T88" i="1"/>
  <c r="L92" i="1"/>
  <c r="K95" i="1"/>
  <c r="J104" i="1"/>
  <c r="I104" i="1" s="1"/>
  <c r="U118" i="1"/>
  <c r="V118" i="1" s="1"/>
  <c r="U120" i="1"/>
  <c r="V120" i="1" s="1"/>
  <c r="AC121" i="1"/>
  <c r="AB123" i="1"/>
  <c r="O69" i="1"/>
  <c r="O73" i="1"/>
  <c r="O77" i="1"/>
  <c r="O81" i="1"/>
  <c r="O85" i="1"/>
  <c r="O89" i="1"/>
  <c r="O93" i="1"/>
  <c r="L95" i="1"/>
  <c r="O100" i="1"/>
  <c r="L100" i="1"/>
  <c r="AI100" i="1"/>
  <c r="O116" i="1"/>
  <c r="L116" i="1"/>
  <c r="K116" i="1"/>
  <c r="J116" i="1"/>
  <c r="I116" i="1" s="1"/>
  <c r="U116" i="1" s="1"/>
  <c r="V116" i="1" s="1"/>
  <c r="AI116" i="1"/>
  <c r="U96" i="1"/>
  <c r="V96" i="1" s="1"/>
  <c r="AI98" i="1"/>
  <c r="L98" i="1"/>
  <c r="U99" i="1"/>
  <c r="V99" i="1" s="1"/>
  <c r="AC99" i="1" s="1"/>
  <c r="AL100" i="1"/>
  <c r="T100" i="1"/>
  <c r="L103" i="1"/>
  <c r="K103" i="1"/>
  <c r="J103" i="1"/>
  <c r="I103" i="1" s="1"/>
  <c r="AI103" i="1"/>
  <c r="O103" i="1"/>
  <c r="K110" i="1"/>
  <c r="J110" i="1"/>
  <c r="I110" i="1" s="1"/>
  <c r="AI110" i="1"/>
  <c r="O110" i="1"/>
  <c r="L110" i="1"/>
  <c r="U114" i="1"/>
  <c r="V114" i="1" s="1"/>
  <c r="U119" i="1"/>
  <c r="V119" i="1" s="1"/>
  <c r="AB122" i="1"/>
  <c r="AL94" i="1"/>
  <c r="O95" i="1"/>
  <c r="X104" i="1"/>
  <c r="T98" i="1"/>
  <c r="J101" i="1"/>
  <c r="I101" i="1" s="1"/>
  <c r="T102" i="1"/>
  <c r="J105" i="1"/>
  <c r="I105" i="1" s="1"/>
  <c r="U105" i="1" s="1"/>
  <c r="V105" i="1" s="1"/>
  <c r="J109" i="1"/>
  <c r="I109" i="1" s="1"/>
  <c r="J113" i="1"/>
  <c r="I113" i="1" s="1"/>
  <c r="J117" i="1"/>
  <c r="I117" i="1" s="1"/>
  <c r="O121" i="1"/>
  <c r="O123" i="1"/>
  <c r="O125" i="1"/>
  <c r="X126" i="1"/>
  <c r="AL129" i="1"/>
  <c r="T129" i="1"/>
  <c r="J136" i="1"/>
  <c r="I136" i="1" s="1"/>
  <c r="L136" i="1"/>
  <c r="K136" i="1"/>
  <c r="K101" i="1"/>
  <c r="K105" i="1"/>
  <c r="O107" i="1"/>
  <c r="K109" i="1"/>
  <c r="O111" i="1"/>
  <c r="K113" i="1"/>
  <c r="O115" i="1"/>
  <c r="K117" i="1"/>
  <c r="O119" i="1"/>
  <c r="AL120" i="1"/>
  <c r="X122" i="1"/>
  <c r="AL122" i="1"/>
  <c r="T122" i="1"/>
  <c r="X124" i="1"/>
  <c r="AL124" i="1"/>
  <c r="T124" i="1"/>
  <c r="J132" i="1"/>
  <c r="I132" i="1" s="1"/>
  <c r="L132" i="1"/>
  <c r="K132" i="1"/>
  <c r="O136" i="1"/>
  <c r="J128" i="1"/>
  <c r="I128" i="1" s="1"/>
  <c r="L128" i="1"/>
  <c r="K128" i="1"/>
  <c r="AI107" i="1"/>
  <c r="AI111" i="1"/>
  <c r="U113" i="1"/>
  <c r="V113" i="1" s="1"/>
  <c r="AI115" i="1"/>
  <c r="U117" i="1"/>
  <c r="V117" i="1" s="1"/>
  <c r="AI119" i="1"/>
  <c r="AC127" i="1"/>
  <c r="O128" i="1"/>
  <c r="L134" i="1"/>
  <c r="J134" i="1"/>
  <c r="I134" i="1" s="1"/>
  <c r="AI134" i="1"/>
  <c r="O134" i="1"/>
  <c r="T104" i="1"/>
  <c r="J107" i="1"/>
  <c r="I107" i="1" s="1"/>
  <c r="T108" i="1"/>
  <c r="J111" i="1"/>
  <c r="I111" i="1" s="1"/>
  <c r="U111" i="1" s="1"/>
  <c r="V111" i="1" s="1"/>
  <c r="T112" i="1"/>
  <c r="J115" i="1"/>
  <c r="I115" i="1" s="1"/>
  <c r="U115" i="1" s="1"/>
  <c r="V115" i="1" s="1"/>
  <c r="J119" i="1"/>
  <c r="I119" i="1" s="1"/>
  <c r="L126" i="1"/>
  <c r="AI126" i="1"/>
  <c r="L130" i="1"/>
  <c r="J130" i="1"/>
  <c r="I130" i="1" s="1"/>
  <c r="AI130" i="1"/>
  <c r="O130" i="1"/>
  <c r="AL134" i="1"/>
  <c r="T134" i="1"/>
  <c r="O101" i="1"/>
  <c r="O105" i="1"/>
  <c r="K107" i="1"/>
  <c r="O109" i="1"/>
  <c r="K111" i="1"/>
  <c r="O113" i="1"/>
  <c r="K115" i="1"/>
  <c r="O117" i="1"/>
  <c r="K119" i="1"/>
  <c r="K121" i="1"/>
  <c r="U121" i="1"/>
  <c r="V121" i="1" s="1"/>
  <c r="K123" i="1"/>
  <c r="U123" i="1"/>
  <c r="V123" i="1" s="1"/>
  <c r="R123" i="1" s="1"/>
  <c r="P123" i="1" s="1"/>
  <c r="S123" i="1" s="1"/>
  <c r="M123" i="1" s="1"/>
  <c r="N123" i="1" s="1"/>
  <c r="K125" i="1"/>
  <c r="U125" i="1"/>
  <c r="V125" i="1" s="1"/>
  <c r="R125" i="1" s="1"/>
  <c r="P125" i="1" s="1"/>
  <c r="S125" i="1" s="1"/>
  <c r="M125" i="1" s="1"/>
  <c r="N125" i="1" s="1"/>
  <c r="AL126" i="1"/>
  <c r="T126" i="1"/>
  <c r="AB127" i="1"/>
  <c r="AE127" i="1" s="1"/>
  <c r="R127" i="1"/>
  <c r="P127" i="1" s="1"/>
  <c r="S127" i="1" s="1"/>
  <c r="M127" i="1" s="1"/>
  <c r="N127" i="1" s="1"/>
  <c r="AL130" i="1"/>
  <c r="T130" i="1"/>
  <c r="J140" i="1"/>
  <c r="I140" i="1" s="1"/>
  <c r="AI140" i="1"/>
  <c r="O140" i="1"/>
  <c r="L140" i="1"/>
  <c r="K140" i="1"/>
  <c r="AB143" i="1"/>
  <c r="J126" i="1"/>
  <c r="I126" i="1" s="1"/>
  <c r="AL137" i="1"/>
  <c r="T137" i="1"/>
  <c r="O120" i="1"/>
  <c r="AI121" i="1"/>
  <c r="K122" i="1"/>
  <c r="AI122" i="1"/>
  <c r="AI123" i="1"/>
  <c r="K124" i="1"/>
  <c r="AI124" i="1"/>
  <c r="AI125" i="1"/>
  <c r="K126" i="1"/>
  <c r="W127" i="1"/>
  <c r="AA127" i="1" s="1"/>
  <c r="AL133" i="1"/>
  <c r="T133" i="1"/>
  <c r="AI136" i="1"/>
  <c r="L138" i="1"/>
  <c r="K138" i="1"/>
  <c r="J138" i="1"/>
  <c r="I138" i="1" s="1"/>
  <c r="AI138" i="1"/>
  <c r="O138" i="1"/>
  <c r="AI127" i="1"/>
  <c r="AI131" i="1"/>
  <c r="AI135" i="1"/>
  <c r="AI139" i="1"/>
  <c r="O142" i="1"/>
  <c r="O144" i="1"/>
  <c r="J144" i="1"/>
  <c r="I144" i="1" s="1"/>
  <c r="AI145" i="1"/>
  <c r="L145" i="1"/>
  <c r="L147" i="1"/>
  <c r="J147" i="1"/>
  <c r="I147" i="1" s="1"/>
  <c r="AL148" i="1"/>
  <c r="T148" i="1"/>
  <c r="L155" i="1"/>
  <c r="K155" i="1"/>
  <c r="J155" i="1"/>
  <c r="I155" i="1" s="1"/>
  <c r="AL157" i="1"/>
  <c r="AI164" i="1"/>
  <c r="O164" i="1"/>
  <c r="L164" i="1"/>
  <c r="J164" i="1"/>
  <c r="I164" i="1" s="1"/>
  <c r="T128" i="1"/>
  <c r="J131" i="1"/>
  <c r="I131" i="1" s="1"/>
  <c r="T132" i="1"/>
  <c r="J135" i="1"/>
  <c r="I135" i="1" s="1"/>
  <c r="T136" i="1"/>
  <c r="J139" i="1"/>
  <c r="I139" i="1" s="1"/>
  <c r="T140" i="1"/>
  <c r="O143" i="1"/>
  <c r="AI144" i="1"/>
  <c r="AL145" i="1"/>
  <c r="T145" i="1"/>
  <c r="AL147" i="1"/>
  <c r="T147" i="1"/>
  <c r="L151" i="1"/>
  <c r="K151" i="1"/>
  <c r="J151" i="1"/>
  <c r="I151" i="1" s="1"/>
  <c r="O129" i="1"/>
  <c r="O133" i="1"/>
  <c r="O137" i="1"/>
  <c r="O141" i="1"/>
  <c r="K144" i="1"/>
  <c r="U159" i="1"/>
  <c r="V159" i="1" s="1"/>
  <c r="AC159" i="1" s="1"/>
  <c r="AI165" i="1"/>
  <c r="O165" i="1"/>
  <c r="L165" i="1"/>
  <c r="K165" i="1"/>
  <c r="J165" i="1"/>
  <c r="I165" i="1" s="1"/>
  <c r="U166" i="1"/>
  <c r="V166" i="1" s="1"/>
  <c r="AB199" i="1"/>
  <c r="J142" i="1"/>
  <c r="I142" i="1" s="1"/>
  <c r="U142" i="1" s="1"/>
  <c r="V142" i="1" s="1"/>
  <c r="J153" i="1"/>
  <c r="I153" i="1" s="1"/>
  <c r="AI153" i="1"/>
  <c r="O153" i="1"/>
  <c r="L153" i="1"/>
  <c r="O188" i="1"/>
  <c r="L188" i="1"/>
  <c r="AI188" i="1"/>
  <c r="K188" i="1"/>
  <c r="J188" i="1"/>
  <c r="I188" i="1" s="1"/>
  <c r="K142" i="1"/>
  <c r="J149" i="1"/>
  <c r="I149" i="1" s="1"/>
  <c r="AI149" i="1"/>
  <c r="O149" i="1"/>
  <c r="L149" i="1"/>
  <c r="AL153" i="1"/>
  <c r="T153" i="1"/>
  <c r="AL160" i="1"/>
  <c r="T160" i="1"/>
  <c r="O163" i="1"/>
  <c r="L163" i="1"/>
  <c r="K163" i="1"/>
  <c r="J163" i="1"/>
  <c r="I163" i="1" s="1"/>
  <c r="U171" i="1"/>
  <c r="V171" i="1" s="1"/>
  <c r="AL173" i="1"/>
  <c r="T173" i="1"/>
  <c r="J129" i="1"/>
  <c r="I129" i="1" s="1"/>
  <c r="J133" i="1"/>
  <c r="I133" i="1" s="1"/>
  <c r="J137" i="1"/>
  <c r="I137" i="1" s="1"/>
  <c r="T138" i="1"/>
  <c r="J141" i="1"/>
  <c r="I141" i="1" s="1"/>
  <c r="L142" i="1"/>
  <c r="AL149" i="1"/>
  <c r="T149" i="1"/>
  <c r="K161" i="1"/>
  <c r="J161" i="1"/>
  <c r="I161" i="1" s="1"/>
  <c r="AI161" i="1"/>
  <c r="O161" i="1"/>
  <c r="L161" i="1"/>
  <c r="AI169" i="1"/>
  <c r="O169" i="1"/>
  <c r="L169" i="1"/>
  <c r="K169" i="1"/>
  <c r="J169" i="1"/>
  <c r="I169" i="1" s="1"/>
  <c r="AD170" i="1"/>
  <c r="W170" i="1"/>
  <c r="AA170" i="1" s="1"/>
  <c r="AL143" i="1"/>
  <c r="T143" i="1"/>
  <c r="AL156" i="1"/>
  <c r="T156" i="1"/>
  <c r="O159" i="1"/>
  <c r="L159" i="1"/>
  <c r="K159" i="1"/>
  <c r="J159" i="1"/>
  <c r="I159" i="1" s="1"/>
  <c r="AL168" i="1"/>
  <c r="T168" i="1"/>
  <c r="J177" i="1"/>
  <c r="I177" i="1" s="1"/>
  <c r="AI177" i="1"/>
  <c r="O177" i="1"/>
  <c r="L177" i="1"/>
  <c r="K177" i="1"/>
  <c r="T141" i="1"/>
  <c r="AL152" i="1"/>
  <c r="T152" i="1"/>
  <c r="K157" i="1"/>
  <c r="J157" i="1"/>
  <c r="I157" i="1" s="1"/>
  <c r="AI157" i="1"/>
  <c r="O157" i="1"/>
  <c r="L157" i="1"/>
  <c r="J148" i="1"/>
  <c r="I148" i="1" s="1"/>
  <c r="J152" i="1"/>
  <c r="I152" i="1" s="1"/>
  <c r="J156" i="1"/>
  <c r="I156" i="1" s="1"/>
  <c r="T157" i="1"/>
  <c r="J160" i="1"/>
  <c r="I160" i="1" s="1"/>
  <c r="T161" i="1"/>
  <c r="J173" i="1"/>
  <c r="I173" i="1" s="1"/>
  <c r="AI173" i="1"/>
  <c r="O173" i="1"/>
  <c r="L173" i="1"/>
  <c r="L187" i="1"/>
  <c r="O187" i="1"/>
  <c r="AI187" i="1"/>
  <c r="K187" i="1"/>
  <c r="J187" i="1"/>
  <c r="I187" i="1" s="1"/>
  <c r="AB193" i="1"/>
  <c r="U197" i="1"/>
  <c r="V197" i="1" s="1"/>
  <c r="L148" i="1"/>
  <c r="L152" i="1"/>
  <c r="L156" i="1"/>
  <c r="L160" i="1"/>
  <c r="AE170" i="1"/>
  <c r="AL177" i="1"/>
  <c r="T177" i="1"/>
  <c r="U180" i="1"/>
  <c r="V180" i="1" s="1"/>
  <c r="AB180" i="1"/>
  <c r="R180" i="1"/>
  <c r="P180" i="1" s="1"/>
  <c r="S180" i="1" s="1"/>
  <c r="M180" i="1" s="1"/>
  <c r="N180" i="1" s="1"/>
  <c r="U188" i="1"/>
  <c r="V188" i="1" s="1"/>
  <c r="AC188" i="1" s="1"/>
  <c r="AI150" i="1"/>
  <c r="AI154" i="1"/>
  <c r="AI158" i="1"/>
  <c r="AI162" i="1"/>
  <c r="K166" i="1"/>
  <c r="J166" i="1"/>
  <c r="I166" i="1" s="1"/>
  <c r="AI166" i="1"/>
  <c r="T169" i="1"/>
  <c r="L183" i="1"/>
  <c r="O183" i="1"/>
  <c r="AI183" i="1"/>
  <c r="K183" i="1"/>
  <c r="J183" i="1"/>
  <c r="I183" i="1" s="1"/>
  <c r="U186" i="1"/>
  <c r="V186" i="1" s="1"/>
  <c r="U204" i="1"/>
  <c r="V204" i="1" s="1"/>
  <c r="J146" i="1"/>
  <c r="I146" i="1" s="1"/>
  <c r="J150" i="1"/>
  <c r="I150" i="1" s="1"/>
  <c r="T151" i="1"/>
  <c r="J154" i="1"/>
  <c r="I154" i="1" s="1"/>
  <c r="T155" i="1"/>
  <c r="J158" i="1"/>
  <c r="I158" i="1" s="1"/>
  <c r="J162" i="1"/>
  <c r="I162" i="1" s="1"/>
  <c r="L167" i="1"/>
  <c r="K167" i="1"/>
  <c r="J167" i="1"/>
  <c r="I167" i="1" s="1"/>
  <c r="J168" i="1"/>
  <c r="I168" i="1" s="1"/>
  <c r="AL172" i="1"/>
  <c r="T172" i="1"/>
  <c r="R204" i="1"/>
  <c r="P204" i="1" s="1"/>
  <c r="S204" i="1" s="1"/>
  <c r="AB204" i="1"/>
  <c r="AI167" i="1"/>
  <c r="R170" i="1"/>
  <c r="P170" i="1" s="1"/>
  <c r="S170" i="1" s="1"/>
  <c r="M170" i="1" s="1"/>
  <c r="N170" i="1" s="1"/>
  <c r="AL176" i="1"/>
  <c r="T176" i="1"/>
  <c r="T185" i="1"/>
  <c r="U189" i="1"/>
  <c r="V189" i="1" s="1"/>
  <c r="O168" i="1"/>
  <c r="L168" i="1"/>
  <c r="U181" i="1"/>
  <c r="V181" i="1" s="1"/>
  <c r="R181" i="1" s="1"/>
  <c r="P181" i="1" s="1"/>
  <c r="S181" i="1" s="1"/>
  <c r="M181" i="1" s="1"/>
  <c r="N181" i="1" s="1"/>
  <c r="AL179" i="1"/>
  <c r="T179" i="1"/>
  <c r="AB184" i="1"/>
  <c r="L199" i="1"/>
  <c r="O199" i="1"/>
  <c r="K199" i="1"/>
  <c r="AI199" i="1"/>
  <c r="J172" i="1"/>
  <c r="I172" i="1" s="1"/>
  <c r="J176" i="1"/>
  <c r="I176" i="1" s="1"/>
  <c r="AB181" i="1"/>
  <c r="AL189" i="1"/>
  <c r="AI192" i="1"/>
  <c r="AL193" i="1"/>
  <c r="T193" i="1"/>
  <c r="AB196" i="1"/>
  <c r="K196" i="1"/>
  <c r="O196" i="1"/>
  <c r="L196" i="1"/>
  <c r="AB203" i="1"/>
  <c r="R203" i="1"/>
  <c r="P203" i="1" s="1"/>
  <c r="S203" i="1" s="1"/>
  <c r="M203" i="1" s="1"/>
  <c r="N203" i="1" s="1"/>
  <c r="J171" i="1"/>
  <c r="I171" i="1" s="1"/>
  <c r="L172" i="1"/>
  <c r="J175" i="1"/>
  <c r="I175" i="1" s="1"/>
  <c r="L176" i="1"/>
  <c r="J179" i="1"/>
  <c r="I179" i="1" s="1"/>
  <c r="J189" i="1"/>
  <c r="I189" i="1" s="1"/>
  <c r="O193" i="1"/>
  <c r="U196" i="1"/>
  <c r="V196" i="1" s="1"/>
  <c r="AC196" i="1" s="1"/>
  <c r="AB208" i="1"/>
  <c r="AI170" i="1"/>
  <c r="K171" i="1"/>
  <c r="AI174" i="1"/>
  <c r="K175" i="1"/>
  <c r="AI178" i="1"/>
  <c r="K179" i="1"/>
  <c r="K182" i="1"/>
  <c r="J182" i="1"/>
  <c r="I182" i="1" s="1"/>
  <c r="K184" i="1"/>
  <c r="U184" i="1"/>
  <c r="V184" i="1" s="1"/>
  <c r="R184" i="1" s="1"/>
  <c r="P184" i="1" s="1"/>
  <c r="S184" i="1" s="1"/>
  <c r="M184" i="1" s="1"/>
  <c r="N184" i="1" s="1"/>
  <c r="AI184" i="1"/>
  <c r="L185" i="1"/>
  <c r="K189" i="1"/>
  <c r="AI191" i="1"/>
  <c r="U200" i="1"/>
  <c r="V200" i="1" s="1"/>
  <c r="J174" i="1"/>
  <c r="I174" i="1" s="1"/>
  <c r="J178" i="1"/>
  <c r="I178" i="1" s="1"/>
  <c r="L184" i="1"/>
  <c r="K186" i="1"/>
  <c r="J186" i="1"/>
  <c r="I186" i="1" s="1"/>
  <c r="L189" i="1"/>
  <c r="AI195" i="1"/>
  <c r="L195" i="1"/>
  <c r="O195" i="1"/>
  <c r="K195" i="1"/>
  <c r="J195" i="1"/>
  <c r="I195" i="1" s="1"/>
  <c r="AB197" i="1"/>
  <c r="R197" i="1"/>
  <c r="P197" i="1" s="1"/>
  <c r="S197" i="1" s="1"/>
  <c r="M197" i="1" s="1"/>
  <c r="N197" i="1" s="1"/>
  <c r="L202" i="1"/>
  <c r="AI202" i="1"/>
  <c r="O202" i="1"/>
  <c r="J202" i="1"/>
  <c r="I202" i="1" s="1"/>
  <c r="R207" i="1"/>
  <c r="P207" i="1" s="1"/>
  <c r="S207" i="1" s="1"/>
  <c r="M207" i="1" s="1"/>
  <c r="N207" i="1" s="1"/>
  <c r="AB207" i="1"/>
  <c r="O181" i="1"/>
  <c r="X181" i="1"/>
  <c r="AI186" i="1"/>
  <c r="K190" i="1"/>
  <c r="J190" i="1"/>
  <c r="I190" i="1" s="1"/>
  <c r="J191" i="1"/>
  <c r="I191" i="1" s="1"/>
  <c r="AL191" i="1"/>
  <c r="T191" i="1"/>
  <c r="AL195" i="1"/>
  <c r="T195" i="1"/>
  <c r="K202" i="1"/>
  <c r="AL202" i="1"/>
  <c r="T202" i="1"/>
  <c r="AL183" i="1"/>
  <c r="T183" i="1"/>
  <c r="X185" i="1"/>
  <c r="X191" i="1"/>
  <c r="AB213" i="1"/>
  <c r="AL187" i="1"/>
  <c r="T187" i="1"/>
  <c r="J192" i="1"/>
  <c r="I192" i="1" s="1"/>
  <c r="U192" i="1" s="1"/>
  <c r="V192" i="1" s="1"/>
  <c r="O192" i="1"/>
  <c r="L193" i="1"/>
  <c r="AI193" i="1"/>
  <c r="U207" i="1"/>
  <c r="V207" i="1" s="1"/>
  <c r="L211" i="1"/>
  <c r="K211" i="1"/>
  <c r="J211" i="1"/>
  <c r="I211" i="1" s="1"/>
  <c r="AI211" i="1"/>
  <c r="O211" i="1"/>
  <c r="U203" i="1"/>
  <c r="V203" i="1" s="1"/>
  <c r="K204" i="1"/>
  <c r="AL209" i="1"/>
  <c r="U216" i="1"/>
  <c r="V216" i="1" s="1"/>
  <c r="R216" i="1"/>
  <c r="P216" i="1" s="1"/>
  <c r="S216" i="1" s="1"/>
  <c r="J223" i="1"/>
  <c r="I223" i="1" s="1"/>
  <c r="U223" i="1" s="1"/>
  <c r="V223" i="1" s="1"/>
  <c r="AI223" i="1"/>
  <c r="O223" i="1"/>
  <c r="L223" i="1"/>
  <c r="K223" i="1"/>
  <c r="O198" i="1"/>
  <c r="K198" i="1"/>
  <c r="J198" i="1"/>
  <c r="I198" i="1" s="1"/>
  <c r="U199" i="1"/>
  <c r="V199" i="1" s="1"/>
  <c r="AC199" i="1" s="1"/>
  <c r="AB201" i="1"/>
  <c r="K203" i="1"/>
  <c r="O204" i="1"/>
  <c r="AC207" i="1"/>
  <c r="L210" i="1"/>
  <c r="AI210" i="1"/>
  <c r="O210" i="1"/>
  <c r="J210" i="1"/>
  <c r="I210" i="1" s="1"/>
  <c r="AB212" i="1"/>
  <c r="J215" i="1"/>
  <c r="I215" i="1" s="1"/>
  <c r="AI215" i="1"/>
  <c r="O215" i="1"/>
  <c r="L215" i="1"/>
  <c r="K215" i="1"/>
  <c r="R220" i="1"/>
  <c r="P220" i="1" s="1"/>
  <c r="S220" i="1" s="1"/>
  <c r="M220" i="1" s="1"/>
  <c r="N220" i="1" s="1"/>
  <c r="AB221" i="1"/>
  <c r="K194" i="1"/>
  <c r="J194" i="1"/>
  <c r="I194" i="1" s="1"/>
  <c r="AI204" i="1"/>
  <c r="AB205" i="1"/>
  <c r="L206" i="1"/>
  <c r="J206" i="1"/>
  <c r="I206" i="1" s="1"/>
  <c r="AI206" i="1"/>
  <c r="O206" i="1"/>
  <c r="AI207" i="1"/>
  <c r="O207" i="1"/>
  <c r="L207" i="1"/>
  <c r="K207" i="1"/>
  <c r="O208" i="1"/>
  <c r="K210" i="1"/>
  <c r="AL210" i="1"/>
  <c r="T210" i="1"/>
  <c r="U224" i="1"/>
  <c r="V224" i="1" s="1"/>
  <c r="R224" i="1" s="1"/>
  <c r="P224" i="1" s="1"/>
  <c r="S224" i="1" s="1"/>
  <c r="M224" i="1" s="1"/>
  <c r="N224" i="1" s="1"/>
  <c r="AL201" i="1"/>
  <c r="T201" i="1"/>
  <c r="L208" i="1"/>
  <c r="K208" i="1"/>
  <c r="AL213" i="1"/>
  <c r="AL217" i="1"/>
  <c r="AI219" i="1"/>
  <c r="O219" i="1"/>
  <c r="L219" i="1"/>
  <c r="K219" i="1"/>
  <c r="J219" i="1"/>
  <c r="I219" i="1" s="1"/>
  <c r="U219" i="1" s="1"/>
  <c r="V219" i="1" s="1"/>
  <c r="AB220" i="1"/>
  <c r="R200" i="1"/>
  <c r="P200" i="1" s="1"/>
  <c r="S200" i="1" s="1"/>
  <c r="M200" i="1" s="1"/>
  <c r="N200" i="1" s="1"/>
  <c r="AL205" i="1"/>
  <c r="U212" i="1"/>
  <c r="V212" i="1" s="1"/>
  <c r="R212" i="1" s="1"/>
  <c r="P212" i="1" s="1"/>
  <c r="S212" i="1" s="1"/>
  <c r="M212" i="1" s="1"/>
  <c r="N212" i="1" s="1"/>
  <c r="AL212" i="1"/>
  <c r="L214" i="1"/>
  <c r="J214" i="1"/>
  <c r="I214" i="1" s="1"/>
  <c r="AI214" i="1"/>
  <c r="O214" i="1"/>
  <c r="L218" i="1"/>
  <c r="AI218" i="1"/>
  <c r="O218" i="1"/>
  <c r="J218" i="1"/>
  <c r="I218" i="1" s="1"/>
  <c r="AC220" i="1"/>
  <c r="L222" i="1"/>
  <c r="J222" i="1"/>
  <c r="I222" i="1" s="1"/>
  <c r="AI222" i="1"/>
  <c r="O222" i="1"/>
  <c r="AB224" i="1"/>
  <c r="U220" i="1"/>
  <c r="V220" i="1" s="1"/>
  <c r="AL224" i="1"/>
  <c r="K205" i="1"/>
  <c r="T205" i="1"/>
  <c r="K213" i="1"/>
  <c r="T213" i="1"/>
  <c r="K221" i="1"/>
  <c r="T221" i="1"/>
  <c r="AL206" i="1"/>
  <c r="T206" i="1"/>
  <c r="AL214" i="1"/>
  <c r="T214" i="1"/>
  <c r="K216" i="1"/>
  <c r="X220" i="1"/>
  <c r="AL222" i="1"/>
  <c r="T222" i="1"/>
  <c r="K224" i="1"/>
  <c r="U225" i="1"/>
  <c r="V225" i="1" s="1"/>
  <c r="R225" i="1" s="1"/>
  <c r="P225" i="1" s="1"/>
  <c r="S225" i="1" s="1"/>
  <c r="M225" i="1" s="1"/>
  <c r="N225" i="1" s="1"/>
  <c r="U208" i="1"/>
  <c r="V208" i="1" s="1"/>
  <c r="R208" i="1" s="1"/>
  <c r="P208" i="1" s="1"/>
  <c r="S208" i="1" s="1"/>
  <c r="M208" i="1" s="1"/>
  <c r="N208" i="1" s="1"/>
  <c r="L224" i="1"/>
  <c r="T209" i="1"/>
  <c r="AB209" i="1"/>
  <c r="U211" i="1"/>
  <c r="V211" i="1" s="1"/>
  <c r="T217" i="1"/>
  <c r="AB217" i="1"/>
  <c r="AL218" i="1"/>
  <c r="T218" i="1"/>
  <c r="O224" i="1"/>
  <c r="K225" i="1"/>
  <c r="O227" i="1"/>
  <c r="AI227" i="1"/>
  <c r="J227" i="1"/>
  <c r="I227" i="1" s="1"/>
  <c r="AI226" i="1"/>
  <c r="K227" i="1"/>
  <c r="J226" i="1"/>
  <c r="I226" i="1" s="1"/>
  <c r="T227" i="1"/>
  <c r="AI225" i="1"/>
  <c r="K226" i="1"/>
  <c r="AD219" i="1" l="1"/>
  <c r="AC219" i="1"/>
  <c r="W219" i="1"/>
  <c r="AA219" i="1" s="1"/>
  <c r="W192" i="1"/>
  <c r="AA192" i="1" s="1"/>
  <c r="AD192" i="1"/>
  <c r="AC192" i="1"/>
  <c r="W115" i="1"/>
  <c r="AA115" i="1" s="1"/>
  <c r="AD115" i="1"/>
  <c r="AC115" i="1"/>
  <c r="AD223" i="1"/>
  <c r="W223" i="1"/>
  <c r="AA223" i="1" s="1"/>
  <c r="AC223" i="1"/>
  <c r="W111" i="1"/>
  <c r="AA111" i="1" s="1"/>
  <c r="AD111" i="1"/>
  <c r="AC111" i="1"/>
  <c r="W94" i="1"/>
  <c r="AA94" i="1" s="1"/>
  <c r="AD94" i="1"/>
  <c r="AC94" i="1"/>
  <c r="AD142" i="1"/>
  <c r="W142" i="1"/>
  <c r="AA142" i="1" s="1"/>
  <c r="AC142" i="1"/>
  <c r="W105" i="1"/>
  <c r="AA105" i="1" s="1"/>
  <c r="AD105" i="1"/>
  <c r="AC105" i="1"/>
  <c r="W116" i="1"/>
  <c r="AA116" i="1" s="1"/>
  <c r="AD116" i="1"/>
  <c r="AC116" i="1"/>
  <c r="AB148" i="1"/>
  <c r="AB163" i="1"/>
  <c r="W113" i="1"/>
  <c r="AA113" i="1" s="1"/>
  <c r="AD113" i="1"/>
  <c r="AC113" i="1"/>
  <c r="U88" i="1"/>
  <c r="V88" i="1" s="1"/>
  <c r="AB31" i="1"/>
  <c r="AB57" i="1"/>
  <c r="AD45" i="1"/>
  <c r="W45" i="1"/>
  <c r="AA45" i="1" s="1"/>
  <c r="AB226" i="1"/>
  <c r="U206" i="1"/>
  <c r="V206" i="1" s="1"/>
  <c r="AB191" i="1"/>
  <c r="U209" i="1"/>
  <c r="V209" i="1" s="1"/>
  <c r="AD200" i="1"/>
  <c r="AE200" i="1" s="1"/>
  <c r="AC200" i="1"/>
  <c r="W200" i="1"/>
  <c r="AA200" i="1" s="1"/>
  <c r="AD180" i="1"/>
  <c r="AC180" i="1"/>
  <c r="W180" i="1"/>
  <c r="AA180" i="1" s="1"/>
  <c r="AB130" i="1"/>
  <c r="U218" i="1"/>
  <c r="V218" i="1" s="1"/>
  <c r="U226" i="1"/>
  <c r="V226" i="1" s="1"/>
  <c r="U222" i="1"/>
  <c r="V222" i="1" s="1"/>
  <c r="AB215" i="1"/>
  <c r="AB182" i="1"/>
  <c r="U182" i="1"/>
  <c r="V182" i="1" s="1"/>
  <c r="AB179" i="1"/>
  <c r="M204" i="1"/>
  <c r="N204" i="1" s="1"/>
  <c r="AB168" i="1"/>
  <c r="AB154" i="1"/>
  <c r="R154" i="1"/>
  <c r="P154" i="1" s="1"/>
  <c r="S154" i="1" s="1"/>
  <c r="M154" i="1" s="1"/>
  <c r="N154" i="1" s="1"/>
  <c r="U154" i="1"/>
  <c r="V154" i="1" s="1"/>
  <c r="U177" i="1"/>
  <c r="V177" i="1" s="1"/>
  <c r="U161" i="1"/>
  <c r="V161" i="1" s="1"/>
  <c r="AB159" i="1"/>
  <c r="R159" i="1"/>
  <c r="P159" i="1" s="1"/>
  <c r="S159" i="1" s="1"/>
  <c r="M159" i="1" s="1"/>
  <c r="N159" i="1" s="1"/>
  <c r="U143" i="1"/>
  <c r="V143" i="1" s="1"/>
  <c r="U173" i="1"/>
  <c r="V173" i="1" s="1"/>
  <c r="W166" i="1"/>
  <c r="AA166" i="1" s="1"/>
  <c r="AC166" i="1"/>
  <c r="AD166" i="1"/>
  <c r="U128" i="1"/>
  <c r="V128" i="1" s="1"/>
  <c r="AB147" i="1"/>
  <c r="U108" i="1"/>
  <c r="V108" i="1" s="1"/>
  <c r="U101" i="1"/>
  <c r="V101" i="1" s="1"/>
  <c r="R101" i="1" s="1"/>
  <c r="P101" i="1" s="1"/>
  <c r="S101" i="1" s="1"/>
  <c r="M101" i="1" s="1"/>
  <c r="N101" i="1" s="1"/>
  <c r="AB101" i="1"/>
  <c r="U56" i="1"/>
  <c r="V56" i="1" s="1"/>
  <c r="AB108" i="1"/>
  <c r="R102" i="1"/>
  <c r="P102" i="1" s="1"/>
  <c r="S102" i="1" s="1"/>
  <c r="M102" i="1" s="1"/>
  <c r="N102" i="1" s="1"/>
  <c r="AB102" i="1"/>
  <c r="AB92" i="1"/>
  <c r="AB68" i="1"/>
  <c r="AB77" i="1"/>
  <c r="U54" i="1"/>
  <c r="V54" i="1" s="1"/>
  <c r="AB227" i="1"/>
  <c r="U221" i="1"/>
  <c r="V221" i="1" s="1"/>
  <c r="AB218" i="1"/>
  <c r="R218" i="1"/>
  <c r="P218" i="1" s="1"/>
  <c r="S218" i="1" s="1"/>
  <c r="M218" i="1" s="1"/>
  <c r="N218" i="1" s="1"/>
  <c r="U215" i="1"/>
  <c r="V215" i="1" s="1"/>
  <c r="U187" i="1"/>
  <c r="V187" i="1" s="1"/>
  <c r="U176" i="1"/>
  <c r="V176" i="1" s="1"/>
  <c r="AB167" i="1"/>
  <c r="U151" i="1"/>
  <c r="V151" i="1" s="1"/>
  <c r="AB183" i="1"/>
  <c r="AB160" i="1"/>
  <c r="R160" i="1"/>
  <c r="P160" i="1" s="1"/>
  <c r="S160" i="1" s="1"/>
  <c r="M160" i="1" s="1"/>
  <c r="N160" i="1" s="1"/>
  <c r="U160" i="1"/>
  <c r="V160" i="1" s="1"/>
  <c r="AB149" i="1"/>
  <c r="AB151" i="1"/>
  <c r="U133" i="1"/>
  <c r="V133" i="1" s="1"/>
  <c r="U126" i="1"/>
  <c r="V126" i="1" s="1"/>
  <c r="AB107" i="1"/>
  <c r="R107" i="1"/>
  <c r="P107" i="1" s="1"/>
  <c r="S107" i="1" s="1"/>
  <c r="M107" i="1" s="1"/>
  <c r="N107" i="1" s="1"/>
  <c r="U98" i="1"/>
  <c r="V98" i="1" s="1"/>
  <c r="AD96" i="1"/>
  <c r="W96" i="1"/>
  <c r="AA96" i="1" s="1"/>
  <c r="U80" i="1"/>
  <c r="V80" i="1" s="1"/>
  <c r="AC96" i="1"/>
  <c r="U89" i="1"/>
  <c r="V89" i="1" s="1"/>
  <c r="AB80" i="1"/>
  <c r="R80" i="1"/>
  <c r="P80" i="1" s="1"/>
  <c r="S80" i="1" s="1"/>
  <c r="M80" i="1" s="1"/>
  <c r="N80" i="1" s="1"/>
  <c r="U74" i="1"/>
  <c r="V74" i="1" s="1"/>
  <c r="U19" i="1"/>
  <c r="V19" i="1" s="1"/>
  <c r="U61" i="1"/>
  <c r="V61" i="1" s="1"/>
  <c r="AB56" i="1"/>
  <c r="R56" i="1"/>
  <c r="P56" i="1" s="1"/>
  <c r="S56" i="1" s="1"/>
  <c r="M56" i="1" s="1"/>
  <c r="N56" i="1" s="1"/>
  <c r="AB39" i="1"/>
  <c r="AB23" i="1"/>
  <c r="U65" i="1"/>
  <c r="V65" i="1" s="1"/>
  <c r="U90" i="1"/>
  <c r="V90" i="1" s="1"/>
  <c r="AB90" i="1"/>
  <c r="U52" i="1"/>
  <c r="V52" i="1" s="1"/>
  <c r="AB52" i="1"/>
  <c r="R52" i="1"/>
  <c r="P52" i="1" s="1"/>
  <c r="S52" i="1" s="1"/>
  <c r="M52" i="1" s="1"/>
  <c r="N52" i="1" s="1"/>
  <c r="U33" i="1"/>
  <c r="V33" i="1" s="1"/>
  <c r="U26" i="1"/>
  <c r="V26" i="1" s="1"/>
  <c r="AC29" i="1"/>
  <c r="U66" i="1"/>
  <c r="V66" i="1" s="1"/>
  <c r="M216" i="1"/>
  <c r="N216" i="1" s="1"/>
  <c r="AB202" i="1"/>
  <c r="AB189" i="1"/>
  <c r="R189" i="1"/>
  <c r="P189" i="1" s="1"/>
  <c r="S189" i="1" s="1"/>
  <c r="M189" i="1" s="1"/>
  <c r="N189" i="1" s="1"/>
  <c r="R192" i="1"/>
  <c r="P192" i="1" s="1"/>
  <c r="S192" i="1" s="1"/>
  <c r="M192" i="1" s="1"/>
  <c r="N192" i="1" s="1"/>
  <c r="AB192" i="1"/>
  <c r="AB190" i="1"/>
  <c r="AD212" i="1"/>
  <c r="W212" i="1"/>
  <c r="AA212" i="1" s="1"/>
  <c r="AC212" i="1"/>
  <c r="W224" i="1"/>
  <c r="AA224" i="1" s="1"/>
  <c r="AD224" i="1"/>
  <c r="AE224" i="1" s="1"/>
  <c r="AC224" i="1"/>
  <c r="AB210" i="1"/>
  <c r="R210" i="1"/>
  <c r="P210" i="1" s="1"/>
  <c r="S210" i="1" s="1"/>
  <c r="M210" i="1" s="1"/>
  <c r="N210" i="1" s="1"/>
  <c r="AD207" i="1"/>
  <c r="AE207" i="1" s="1"/>
  <c r="W207" i="1"/>
  <c r="AA207" i="1" s="1"/>
  <c r="U195" i="1"/>
  <c r="V195" i="1" s="1"/>
  <c r="R186" i="1"/>
  <c r="P186" i="1" s="1"/>
  <c r="S186" i="1" s="1"/>
  <c r="M186" i="1" s="1"/>
  <c r="N186" i="1" s="1"/>
  <c r="AB186" i="1"/>
  <c r="U190" i="1"/>
  <c r="V190" i="1" s="1"/>
  <c r="AB175" i="1"/>
  <c r="AB176" i="1"/>
  <c r="R176" i="1"/>
  <c r="P176" i="1" s="1"/>
  <c r="S176" i="1" s="1"/>
  <c r="M176" i="1" s="1"/>
  <c r="N176" i="1" s="1"/>
  <c r="U179" i="1"/>
  <c r="V179" i="1" s="1"/>
  <c r="R179" i="1" s="1"/>
  <c r="P179" i="1" s="1"/>
  <c r="S179" i="1" s="1"/>
  <c r="M179" i="1" s="1"/>
  <c r="N179" i="1" s="1"/>
  <c r="AB150" i="1"/>
  <c r="U150" i="1"/>
  <c r="V150" i="1" s="1"/>
  <c r="R150" i="1" s="1"/>
  <c r="P150" i="1" s="1"/>
  <c r="S150" i="1" s="1"/>
  <c r="M150" i="1" s="1"/>
  <c r="N150" i="1" s="1"/>
  <c r="R166" i="1"/>
  <c r="P166" i="1" s="1"/>
  <c r="S166" i="1" s="1"/>
  <c r="M166" i="1" s="1"/>
  <c r="N166" i="1" s="1"/>
  <c r="AB166" i="1"/>
  <c r="U175" i="1"/>
  <c r="V175" i="1" s="1"/>
  <c r="R175" i="1" s="1"/>
  <c r="P175" i="1" s="1"/>
  <c r="S175" i="1" s="1"/>
  <c r="M175" i="1" s="1"/>
  <c r="N175" i="1" s="1"/>
  <c r="AC197" i="1"/>
  <c r="AD197" i="1"/>
  <c r="W197" i="1"/>
  <c r="AA197" i="1" s="1"/>
  <c r="U157" i="1"/>
  <c r="V157" i="1" s="1"/>
  <c r="R157" i="1" s="1"/>
  <c r="P157" i="1" s="1"/>
  <c r="S157" i="1" s="1"/>
  <c r="M157" i="1" s="1"/>
  <c r="N157" i="1" s="1"/>
  <c r="AB157" i="1"/>
  <c r="U165" i="1"/>
  <c r="V165" i="1" s="1"/>
  <c r="R165" i="1" s="1"/>
  <c r="P165" i="1" s="1"/>
  <c r="S165" i="1" s="1"/>
  <c r="M165" i="1" s="1"/>
  <c r="N165" i="1" s="1"/>
  <c r="AB165" i="1"/>
  <c r="U140" i="1"/>
  <c r="V140" i="1" s="1"/>
  <c r="AB164" i="1"/>
  <c r="AB155" i="1"/>
  <c r="AB126" i="1"/>
  <c r="R126" i="1"/>
  <c r="P126" i="1" s="1"/>
  <c r="S126" i="1" s="1"/>
  <c r="M126" i="1" s="1"/>
  <c r="N126" i="1" s="1"/>
  <c r="U104" i="1"/>
  <c r="V104" i="1" s="1"/>
  <c r="R132" i="1"/>
  <c r="P132" i="1" s="1"/>
  <c r="S132" i="1" s="1"/>
  <c r="M132" i="1" s="1"/>
  <c r="N132" i="1" s="1"/>
  <c r="AB132" i="1"/>
  <c r="R110" i="1"/>
  <c r="P110" i="1" s="1"/>
  <c r="S110" i="1" s="1"/>
  <c r="M110" i="1" s="1"/>
  <c r="N110" i="1" s="1"/>
  <c r="AB110" i="1"/>
  <c r="U100" i="1"/>
  <c r="V100" i="1" s="1"/>
  <c r="AB104" i="1"/>
  <c r="R104" i="1"/>
  <c r="P104" i="1" s="1"/>
  <c r="S104" i="1" s="1"/>
  <c r="M104" i="1" s="1"/>
  <c r="N104" i="1" s="1"/>
  <c r="U95" i="1"/>
  <c r="V95" i="1" s="1"/>
  <c r="AB95" i="1"/>
  <c r="U77" i="1"/>
  <c r="V77" i="1" s="1"/>
  <c r="R77" i="1" s="1"/>
  <c r="P77" i="1" s="1"/>
  <c r="S77" i="1" s="1"/>
  <c r="M77" i="1" s="1"/>
  <c r="N77" i="1" s="1"/>
  <c r="AB112" i="1"/>
  <c r="AB106" i="1"/>
  <c r="AB73" i="1"/>
  <c r="R73" i="1"/>
  <c r="P73" i="1" s="1"/>
  <c r="S73" i="1" s="1"/>
  <c r="M73" i="1" s="1"/>
  <c r="N73" i="1" s="1"/>
  <c r="U48" i="1"/>
  <c r="V48" i="1" s="1"/>
  <c r="W87" i="1"/>
  <c r="AA87" i="1" s="1"/>
  <c r="AD87" i="1"/>
  <c r="U36" i="1"/>
  <c r="V36" i="1" s="1"/>
  <c r="U20" i="1"/>
  <c r="V20" i="1" s="1"/>
  <c r="U21" i="1"/>
  <c r="V21" i="1" s="1"/>
  <c r="U73" i="1"/>
  <c r="V73" i="1" s="1"/>
  <c r="U22" i="1"/>
  <c r="V22" i="1" s="1"/>
  <c r="R22" i="1" s="1"/>
  <c r="P22" i="1" s="1"/>
  <c r="S22" i="1" s="1"/>
  <c r="M22" i="1" s="1"/>
  <c r="N22" i="1" s="1"/>
  <c r="AB22" i="1"/>
  <c r="AB28" i="1"/>
  <c r="R26" i="1"/>
  <c r="P26" i="1" s="1"/>
  <c r="S26" i="1" s="1"/>
  <c r="M26" i="1" s="1"/>
  <c r="N26" i="1" s="1"/>
  <c r="AB26" i="1"/>
  <c r="U227" i="1"/>
  <c r="V227" i="1" s="1"/>
  <c r="U205" i="1"/>
  <c r="V205" i="1" s="1"/>
  <c r="W189" i="1"/>
  <c r="AA189" i="1" s="1"/>
  <c r="AD189" i="1"/>
  <c r="AE189" i="1" s="1"/>
  <c r="AC189" i="1"/>
  <c r="U213" i="1"/>
  <c r="V213" i="1" s="1"/>
  <c r="AB219" i="1"/>
  <c r="R219" i="1"/>
  <c r="P219" i="1" s="1"/>
  <c r="S219" i="1" s="1"/>
  <c r="M219" i="1" s="1"/>
  <c r="N219" i="1" s="1"/>
  <c r="AD203" i="1"/>
  <c r="W203" i="1"/>
  <c r="AA203" i="1" s="1"/>
  <c r="AC203" i="1"/>
  <c r="AB172" i="1"/>
  <c r="W188" i="1"/>
  <c r="AA188" i="1" s="1"/>
  <c r="AD188" i="1"/>
  <c r="AE188" i="1" s="1"/>
  <c r="AB156" i="1"/>
  <c r="AB141" i="1"/>
  <c r="R188" i="1"/>
  <c r="P188" i="1" s="1"/>
  <c r="S188" i="1" s="1"/>
  <c r="M188" i="1" s="1"/>
  <c r="N188" i="1" s="1"/>
  <c r="AB188" i="1"/>
  <c r="U134" i="1"/>
  <c r="V134" i="1" s="1"/>
  <c r="U124" i="1"/>
  <c r="V124" i="1" s="1"/>
  <c r="AB136" i="1"/>
  <c r="AB117" i="1"/>
  <c r="R117" i="1"/>
  <c r="P117" i="1" s="1"/>
  <c r="S117" i="1" s="1"/>
  <c r="M117" i="1" s="1"/>
  <c r="N117" i="1" s="1"/>
  <c r="W119" i="1"/>
  <c r="AA119" i="1" s="1"/>
  <c r="AD119" i="1"/>
  <c r="U76" i="1"/>
  <c r="V76" i="1" s="1"/>
  <c r="R99" i="1"/>
  <c r="P99" i="1" s="1"/>
  <c r="S99" i="1" s="1"/>
  <c r="M99" i="1" s="1"/>
  <c r="N99" i="1" s="1"/>
  <c r="AB99" i="1"/>
  <c r="W103" i="1"/>
  <c r="AA103" i="1" s="1"/>
  <c r="AD103" i="1"/>
  <c r="AB88" i="1"/>
  <c r="R88" i="1"/>
  <c r="P88" i="1" s="1"/>
  <c r="S88" i="1" s="1"/>
  <c r="M88" i="1" s="1"/>
  <c r="N88" i="1" s="1"/>
  <c r="W110" i="1"/>
  <c r="AA110" i="1" s="1"/>
  <c r="AD110" i="1"/>
  <c r="AC110" i="1"/>
  <c r="AC123" i="1"/>
  <c r="U70" i="1"/>
  <c r="V70" i="1" s="1"/>
  <c r="U43" i="1"/>
  <c r="V43" i="1" s="1"/>
  <c r="R43" i="1" s="1"/>
  <c r="P43" i="1" s="1"/>
  <c r="S43" i="1" s="1"/>
  <c r="M43" i="1" s="1"/>
  <c r="N43" i="1" s="1"/>
  <c r="AB65" i="1"/>
  <c r="R65" i="1"/>
  <c r="P65" i="1" s="1"/>
  <c r="S65" i="1" s="1"/>
  <c r="M65" i="1" s="1"/>
  <c r="N65" i="1" s="1"/>
  <c r="U57" i="1"/>
  <c r="V57" i="1" s="1"/>
  <c r="R57" i="1" s="1"/>
  <c r="P57" i="1" s="1"/>
  <c r="S57" i="1" s="1"/>
  <c r="M57" i="1" s="1"/>
  <c r="N57" i="1" s="1"/>
  <c r="AB35" i="1"/>
  <c r="AB19" i="1"/>
  <c r="R19" i="1"/>
  <c r="P19" i="1" s="1"/>
  <c r="S19" i="1" s="1"/>
  <c r="M19" i="1" s="1"/>
  <c r="N19" i="1" s="1"/>
  <c r="AB60" i="1"/>
  <c r="AB91" i="1"/>
  <c r="R91" i="1"/>
  <c r="P91" i="1" s="1"/>
  <c r="S91" i="1" s="1"/>
  <c r="M91" i="1" s="1"/>
  <c r="N91" i="1" s="1"/>
  <c r="U49" i="1"/>
  <c r="V49" i="1" s="1"/>
  <c r="AB79" i="1"/>
  <c r="R79" i="1"/>
  <c r="P79" i="1" s="1"/>
  <c r="S79" i="1" s="1"/>
  <c r="M79" i="1" s="1"/>
  <c r="N79" i="1" s="1"/>
  <c r="U91" i="1"/>
  <c r="V91" i="1" s="1"/>
  <c r="AB49" i="1"/>
  <c r="R49" i="1"/>
  <c r="P49" i="1" s="1"/>
  <c r="S49" i="1" s="1"/>
  <c r="M49" i="1" s="1"/>
  <c r="N49" i="1" s="1"/>
  <c r="U18" i="1"/>
  <c r="V18" i="1" s="1"/>
  <c r="R18" i="1" s="1"/>
  <c r="P18" i="1" s="1"/>
  <c r="S18" i="1" s="1"/>
  <c r="M18" i="1" s="1"/>
  <c r="N18" i="1" s="1"/>
  <c r="AB18" i="1"/>
  <c r="AB36" i="1"/>
  <c r="R36" i="1"/>
  <c r="P36" i="1" s="1"/>
  <c r="S36" i="1" s="1"/>
  <c r="M36" i="1" s="1"/>
  <c r="N36" i="1" s="1"/>
  <c r="AD211" i="1"/>
  <c r="AC211" i="1"/>
  <c r="W211" i="1"/>
  <c r="AA211" i="1" s="1"/>
  <c r="AB198" i="1"/>
  <c r="AB178" i="1"/>
  <c r="R178" i="1"/>
  <c r="P178" i="1" s="1"/>
  <c r="S178" i="1" s="1"/>
  <c r="M178" i="1" s="1"/>
  <c r="N178" i="1" s="1"/>
  <c r="U178" i="1"/>
  <c r="V178" i="1" s="1"/>
  <c r="AD199" i="1"/>
  <c r="AE199" i="1" s="1"/>
  <c r="W199" i="1"/>
  <c r="AA199" i="1" s="1"/>
  <c r="U183" i="1"/>
  <c r="V183" i="1" s="1"/>
  <c r="W196" i="1"/>
  <c r="AA196" i="1" s="1"/>
  <c r="AD196" i="1"/>
  <c r="AE196" i="1" s="1"/>
  <c r="R196" i="1"/>
  <c r="P196" i="1" s="1"/>
  <c r="S196" i="1" s="1"/>
  <c r="M196" i="1" s="1"/>
  <c r="N196" i="1" s="1"/>
  <c r="R146" i="1"/>
  <c r="P146" i="1" s="1"/>
  <c r="S146" i="1" s="1"/>
  <c r="M146" i="1" s="1"/>
  <c r="N146" i="1" s="1"/>
  <c r="U146" i="1"/>
  <c r="V146" i="1" s="1"/>
  <c r="AB146" i="1"/>
  <c r="W171" i="1"/>
  <c r="AA171" i="1" s="1"/>
  <c r="AD171" i="1"/>
  <c r="AB153" i="1"/>
  <c r="U139" i="1"/>
  <c r="V139" i="1" s="1"/>
  <c r="AB139" i="1"/>
  <c r="AD125" i="1"/>
  <c r="AE125" i="1" s="1"/>
  <c r="W125" i="1"/>
  <c r="AA125" i="1" s="1"/>
  <c r="AC125" i="1"/>
  <c r="W117" i="1"/>
  <c r="AA117" i="1" s="1"/>
  <c r="AD117" i="1"/>
  <c r="AC117" i="1"/>
  <c r="U217" i="1"/>
  <c r="V217" i="1" s="1"/>
  <c r="AD208" i="1"/>
  <c r="AE208" i="1" s="1"/>
  <c r="AC208" i="1"/>
  <c r="W208" i="1"/>
  <c r="AA208" i="1" s="1"/>
  <c r="U214" i="1"/>
  <c r="V214" i="1" s="1"/>
  <c r="AB223" i="1"/>
  <c r="R223" i="1"/>
  <c r="P223" i="1" s="1"/>
  <c r="S223" i="1" s="1"/>
  <c r="M223" i="1" s="1"/>
  <c r="N223" i="1" s="1"/>
  <c r="U191" i="1"/>
  <c r="V191" i="1" s="1"/>
  <c r="R191" i="1" s="1"/>
  <c r="P191" i="1" s="1"/>
  <c r="S191" i="1" s="1"/>
  <c r="M191" i="1" s="1"/>
  <c r="N191" i="1" s="1"/>
  <c r="AB195" i="1"/>
  <c r="R195" i="1"/>
  <c r="P195" i="1" s="1"/>
  <c r="S195" i="1" s="1"/>
  <c r="M195" i="1" s="1"/>
  <c r="N195" i="1" s="1"/>
  <c r="AB171" i="1"/>
  <c r="R171" i="1"/>
  <c r="P171" i="1" s="1"/>
  <c r="S171" i="1" s="1"/>
  <c r="M171" i="1" s="1"/>
  <c r="N171" i="1" s="1"/>
  <c r="U193" i="1"/>
  <c r="V193" i="1" s="1"/>
  <c r="U172" i="1"/>
  <c r="V172" i="1" s="1"/>
  <c r="R172" i="1" s="1"/>
  <c r="P172" i="1" s="1"/>
  <c r="S172" i="1" s="1"/>
  <c r="M172" i="1" s="1"/>
  <c r="N172" i="1" s="1"/>
  <c r="AD204" i="1"/>
  <c r="AE204" i="1" s="1"/>
  <c r="W204" i="1"/>
  <c r="AA204" i="1" s="1"/>
  <c r="AC204" i="1"/>
  <c r="U164" i="1"/>
  <c r="V164" i="1" s="1"/>
  <c r="R164" i="1" s="1"/>
  <c r="P164" i="1" s="1"/>
  <c r="S164" i="1" s="1"/>
  <c r="M164" i="1" s="1"/>
  <c r="N164" i="1" s="1"/>
  <c r="U167" i="1"/>
  <c r="V167" i="1" s="1"/>
  <c r="AB152" i="1"/>
  <c r="U152" i="1"/>
  <c r="V152" i="1" s="1"/>
  <c r="U156" i="1"/>
  <c r="V156" i="1" s="1"/>
  <c r="AB169" i="1"/>
  <c r="R169" i="1"/>
  <c r="P169" i="1" s="1"/>
  <c r="S169" i="1" s="1"/>
  <c r="M169" i="1" s="1"/>
  <c r="N169" i="1" s="1"/>
  <c r="R161" i="1"/>
  <c r="P161" i="1" s="1"/>
  <c r="S161" i="1" s="1"/>
  <c r="M161" i="1" s="1"/>
  <c r="N161" i="1" s="1"/>
  <c r="AB161" i="1"/>
  <c r="U138" i="1"/>
  <c r="V138" i="1" s="1"/>
  <c r="U153" i="1"/>
  <c r="V153" i="1" s="1"/>
  <c r="U147" i="1"/>
  <c r="V147" i="1" s="1"/>
  <c r="U136" i="1"/>
  <c r="V136" i="1" s="1"/>
  <c r="R144" i="1"/>
  <c r="P144" i="1" s="1"/>
  <c r="S144" i="1" s="1"/>
  <c r="M144" i="1" s="1"/>
  <c r="N144" i="1" s="1"/>
  <c r="AB144" i="1"/>
  <c r="U144" i="1"/>
  <c r="V144" i="1" s="1"/>
  <c r="R140" i="1"/>
  <c r="P140" i="1" s="1"/>
  <c r="S140" i="1" s="1"/>
  <c r="M140" i="1" s="1"/>
  <c r="N140" i="1" s="1"/>
  <c r="AB140" i="1"/>
  <c r="AB119" i="1"/>
  <c r="R119" i="1"/>
  <c r="P119" i="1" s="1"/>
  <c r="S119" i="1" s="1"/>
  <c r="M119" i="1" s="1"/>
  <c r="N119" i="1" s="1"/>
  <c r="U129" i="1"/>
  <c r="V129" i="1" s="1"/>
  <c r="R129" i="1" s="1"/>
  <c r="P129" i="1" s="1"/>
  <c r="S129" i="1" s="1"/>
  <c r="M129" i="1" s="1"/>
  <c r="N129" i="1" s="1"/>
  <c r="AB113" i="1"/>
  <c r="R113" i="1"/>
  <c r="P113" i="1" s="1"/>
  <c r="S113" i="1" s="1"/>
  <c r="M113" i="1" s="1"/>
  <c r="N113" i="1" s="1"/>
  <c r="W114" i="1"/>
  <c r="AA114" i="1" s="1"/>
  <c r="AD114" i="1"/>
  <c r="AC114" i="1"/>
  <c r="U107" i="1"/>
  <c r="V107" i="1" s="1"/>
  <c r="AC119" i="1"/>
  <c r="U72" i="1"/>
  <c r="V72" i="1" s="1"/>
  <c r="R114" i="1"/>
  <c r="P114" i="1" s="1"/>
  <c r="S114" i="1" s="1"/>
  <c r="M114" i="1" s="1"/>
  <c r="N114" i="1" s="1"/>
  <c r="AB114" i="1"/>
  <c r="U106" i="1"/>
  <c r="V106" i="1" s="1"/>
  <c r="AB100" i="1"/>
  <c r="R100" i="1"/>
  <c r="P100" i="1" s="1"/>
  <c r="S100" i="1" s="1"/>
  <c r="M100" i="1" s="1"/>
  <c r="N100" i="1" s="1"/>
  <c r="U85" i="1"/>
  <c r="V85" i="1" s="1"/>
  <c r="AB76" i="1"/>
  <c r="R76" i="1"/>
  <c r="P76" i="1" s="1"/>
  <c r="S76" i="1" s="1"/>
  <c r="M76" i="1" s="1"/>
  <c r="N76" i="1" s="1"/>
  <c r="AB93" i="1"/>
  <c r="AB69" i="1"/>
  <c r="R69" i="1"/>
  <c r="P69" i="1" s="1"/>
  <c r="S69" i="1" s="1"/>
  <c r="M69" i="1" s="1"/>
  <c r="N69" i="1" s="1"/>
  <c r="R94" i="1"/>
  <c r="P94" i="1" s="1"/>
  <c r="S94" i="1" s="1"/>
  <c r="M94" i="1" s="1"/>
  <c r="N94" i="1" s="1"/>
  <c r="AB94" i="1"/>
  <c r="U69" i="1"/>
  <c r="V69" i="1" s="1"/>
  <c r="U39" i="1"/>
  <c r="V39" i="1" s="1"/>
  <c r="U32" i="1"/>
  <c r="V32" i="1" s="1"/>
  <c r="U82" i="1"/>
  <c r="V82" i="1" s="1"/>
  <c r="AB82" i="1"/>
  <c r="AD47" i="1"/>
  <c r="W47" i="1"/>
  <c r="AA47" i="1" s="1"/>
  <c r="AB38" i="1"/>
  <c r="AC47" i="1"/>
  <c r="AB20" i="1"/>
  <c r="R20" i="1"/>
  <c r="P20" i="1" s="1"/>
  <c r="S20" i="1" s="1"/>
  <c r="M20" i="1" s="1"/>
  <c r="N20" i="1" s="1"/>
  <c r="U42" i="1"/>
  <c r="V42" i="1" s="1"/>
  <c r="U86" i="1"/>
  <c r="V86" i="1" s="1"/>
  <c r="AB86" i="1"/>
  <c r="AB40" i="1"/>
  <c r="AB222" i="1"/>
  <c r="U198" i="1"/>
  <c r="V198" i="1" s="1"/>
  <c r="U162" i="1"/>
  <c r="V162" i="1" s="1"/>
  <c r="AB162" i="1"/>
  <c r="R162" i="1"/>
  <c r="P162" i="1" s="1"/>
  <c r="S162" i="1" s="1"/>
  <c r="M162" i="1" s="1"/>
  <c r="N162" i="1" s="1"/>
  <c r="AB137" i="1"/>
  <c r="AD123" i="1"/>
  <c r="AE123" i="1" s="1"/>
  <c r="W123" i="1"/>
  <c r="AA123" i="1" s="1"/>
  <c r="W99" i="1"/>
  <c r="AA99" i="1" s="1"/>
  <c r="AD99" i="1"/>
  <c r="AE99" i="1" s="1"/>
  <c r="AB98" i="1"/>
  <c r="R98" i="1"/>
  <c r="P98" i="1" s="1"/>
  <c r="S98" i="1" s="1"/>
  <c r="M98" i="1" s="1"/>
  <c r="N98" i="1" s="1"/>
  <c r="U35" i="1"/>
  <c r="V35" i="1" s="1"/>
  <c r="R35" i="1" s="1"/>
  <c r="P35" i="1" s="1"/>
  <c r="S35" i="1" s="1"/>
  <c r="M35" i="1" s="1"/>
  <c r="N35" i="1" s="1"/>
  <c r="AB48" i="1"/>
  <c r="R48" i="1"/>
  <c r="P48" i="1" s="1"/>
  <c r="S48" i="1" s="1"/>
  <c r="M48" i="1" s="1"/>
  <c r="N48" i="1" s="1"/>
  <c r="W184" i="1"/>
  <c r="AA184" i="1" s="1"/>
  <c r="AD184" i="1"/>
  <c r="AC184" i="1"/>
  <c r="U158" i="1"/>
  <c r="V158" i="1" s="1"/>
  <c r="AB158" i="1"/>
  <c r="AB187" i="1"/>
  <c r="R187" i="1"/>
  <c r="P187" i="1" s="1"/>
  <c r="S187" i="1" s="1"/>
  <c r="M187" i="1" s="1"/>
  <c r="N187" i="1" s="1"/>
  <c r="U168" i="1"/>
  <c r="V168" i="1" s="1"/>
  <c r="U149" i="1"/>
  <c r="V149" i="1" s="1"/>
  <c r="AB133" i="1"/>
  <c r="R133" i="1"/>
  <c r="P133" i="1" s="1"/>
  <c r="S133" i="1" s="1"/>
  <c r="M133" i="1" s="1"/>
  <c r="N133" i="1" s="1"/>
  <c r="R199" i="1"/>
  <c r="P199" i="1" s="1"/>
  <c r="S199" i="1" s="1"/>
  <c r="M199" i="1" s="1"/>
  <c r="N199" i="1" s="1"/>
  <c r="U145" i="1"/>
  <c r="V145" i="1" s="1"/>
  <c r="U132" i="1"/>
  <c r="V132" i="1" s="1"/>
  <c r="U163" i="1"/>
  <c r="V163" i="1" s="1"/>
  <c r="R163" i="1" s="1"/>
  <c r="P163" i="1" s="1"/>
  <c r="S163" i="1" s="1"/>
  <c r="M163" i="1" s="1"/>
  <c r="N163" i="1" s="1"/>
  <c r="U112" i="1"/>
  <c r="V112" i="1" s="1"/>
  <c r="R112" i="1" s="1"/>
  <c r="P112" i="1" s="1"/>
  <c r="S112" i="1" s="1"/>
  <c r="M112" i="1" s="1"/>
  <c r="N112" i="1" s="1"/>
  <c r="R128" i="1"/>
  <c r="P128" i="1" s="1"/>
  <c r="S128" i="1" s="1"/>
  <c r="M128" i="1" s="1"/>
  <c r="N128" i="1" s="1"/>
  <c r="AB128" i="1"/>
  <c r="U122" i="1"/>
  <c r="V122" i="1" s="1"/>
  <c r="R105" i="1"/>
  <c r="P105" i="1" s="1"/>
  <c r="S105" i="1" s="1"/>
  <c r="M105" i="1" s="1"/>
  <c r="N105" i="1" s="1"/>
  <c r="AB105" i="1"/>
  <c r="AB116" i="1"/>
  <c r="R116" i="1"/>
  <c r="P116" i="1" s="1"/>
  <c r="S116" i="1" s="1"/>
  <c r="M116" i="1" s="1"/>
  <c r="N116" i="1" s="1"/>
  <c r="W120" i="1"/>
  <c r="AA120" i="1" s="1"/>
  <c r="AD120" i="1"/>
  <c r="AC120" i="1"/>
  <c r="U64" i="1"/>
  <c r="V64" i="1" s="1"/>
  <c r="R97" i="1"/>
  <c r="P97" i="1" s="1"/>
  <c r="S97" i="1" s="1"/>
  <c r="M97" i="1" s="1"/>
  <c r="N97" i="1" s="1"/>
  <c r="AB97" i="1"/>
  <c r="U93" i="1"/>
  <c r="V93" i="1" s="1"/>
  <c r="R93" i="1" s="1"/>
  <c r="P93" i="1" s="1"/>
  <c r="S93" i="1" s="1"/>
  <c r="M93" i="1" s="1"/>
  <c r="N93" i="1" s="1"/>
  <c r="AB84" i="1"/>
  <c r="R84" i="1"/>
  <c r="P84" i="1" s="1"/>
  <c r="S84" i="1" s="1"/>
  <c r="M84" i="1" s="1"/>
  <c r="N84" i="1" s="1"/>
  <c r="AB72" i="1"/>
  <c r="R72" i="1"/>
  <c r="P72" i="1" s="1"/>
  <c r="S72" i="1" s="1"/>
  <c r="M72" i="1" s="1"/>
  <c r="N72" i="1" s="1"/>
  <c r="R120" i="1"/>
  <c r="P120" i="1" s="1"/>
  <c r="S120" i="1" s="1"/>
  <c r="M120" i="1" s="1"/>
  <c r="N120" i="1" s="1"/>
  <c r="AB85" i="1"/>
  <c r="U62" i="1"/>
  <c r="V62" i="1" s="1"/>
  <c r="U31" i="1"/>
  <c r="V31" i="1" s="1"/>
  <c r="R31" i="1" s="1"/>
  <c r="P31" i="1" s="1"/>
  <c r="S31" i="1" s="1"/>
  <c r="M31" i="1" s="1"/>
  <c r="N31" i="1" s="1"/>
  <c r="AB54" i="1"/>
  <c r="R54" i="1"/>
  <c r="P54" i="1" s="1"/>
  <c r="S54" i="1" s="1"/>
  <c r="M54" i="1" s="1"/>
  <c r="N54" i="1" s="1"/>
  <c r="U28" i="1"/>
  <c r="V28" i="1" s="1"/>
  <c r="AB83" i="1"/>
  <c r="R83" i="1"/>
  <c r="P83" i="1" s="1"/>
  <c r="S83" i="1" s="1"/>
  <c r="M83" i="1" s="1"/>
  <c r="N83" i="1" s="1"/>
  <c r="AB46" i="1"/>
  <c r="AB44" i="1"/>
  <c r="R44" i="1"/>
  <c r="P44" i="1" s="1"/>
  <c r="S44" i="1" s="1"/>
  <c r="M44" i="1" s="1"/>
  <c r="N44" i="1" s="1"/>
  <c r="R78" i="1"/>
  <c r="P78" i="1" s="1"/>
  <c r="S78" i="1" s="1"/>
  <c r="M78" i="1" s="1"/>
  <c r="N78" i="1" s="1"/>
  <c r="U78" i="1"/>
  <c r="V78" i="1" s="1"/>
  <c r="AB78" i="1"/>
  <c r="U50" i="1"/>
  <c r="V50" i="1" s="1"/>
  <c r="U83" i="1"/>
  <c r="V83" i="1" s="1"/>
  <c r="U38" i="1"/>
  <c r="V38" i="1" s="1"/>
  <c r="R38" i="1" s="1"/>
  <c r="P38" i="1" s="1"/>
  <c r="S38" i="1" s="1"/>
  <c r="M38" i="1" s="1"/>
  <c r="N38" i="1" s="1"/>
  <c r="AB24" i="1"/>
  <c r="AB34" i="1"/>
  <c r="W225" i="1"/>
  <c r="AA225" i="1" s="1"/>
  <c r="AD225" i="1"/>
  <c r="AC225" i="1"/>
  <c r="R177" i="1"/>
  <c r="P177" i="1" s="1"/>
  <c r="S177" i="1" s="1"/>
  <c r="M177" i="1" s="1"/>
  <c r="N177" i="1" s="1"/>
  <c r="AB177" i="1"/>
  <c r="R142" i="1"/>
  <c r="P142" i="1" s="1"/>
  <c r="S142" i="1" s="1"/>
  <c r="M142" i="1" s="1"/>
  <c r="N142" i="1" s="1"/>
  <c r="AB142" i="1"/>
  <c r="U148" i="1"/>
  <c r="V148" i="1" s="1"/>
  <c r="R148" i="1" s="1"/>
  <c r="P148" i="1" s="1"/>
  <c r="S148" i="1" s="1"/>
  <c r="M148" i="1" s="1"/>
  <c r="N148" i="1" s="1"/>
  <c r="U130" i="1"/>
  <c r="V130" i="1" s="1"/>
  <c r="AB115" i="1"/>
  <c r="R115" i="1"/>
  <c r="P115" i="1" s="1"/>
  <c r="S115" i="1" s="1"/>
  <c r="M115" i="1" s="1"/>
  <c r="N115" i="1" s="1"/>
  <c r="AB109" i="1"/>
  <c r="W79" i="1"/>
  <c r="AA79" i="1" s="1"/>
  <c r="AD79" i="1"/>
  <c r="AE79" i="1" s="1"/>
  <c r="U194" i="1"/>
  <c r="V194" i="1" s="1"/>
  <c r="AB194" i="1"/>
  <c r="U202" i="1"/>
  <c r="V202" i="1" s="1"/>
  <c r="AB174" i="1"/>
  <c r="U174" i="1"/>
  <c r="V174" i="1" s="1"/>
  <c r="AD216" i="1"/>
  <c r="AC216" i="1"/>
  <c r="W216" i="1"/>
  <c r="AA216" i="1" s="1"/>
  <c r="W181" i="1"/>
  <c r="AA181" i="1" s="1"/>
  <c r="AD181" i="1"/>
  <c r="AC181" i="1"/>
  <c r="U185" i="1"/>
  <c r="V185" i="1" s="1"/>
  <c r="AC171" i="1"/>
  <c r="U155" i="1"/>
  <c r="V155" i="1" s="1"/>
  <c r="U169" i="1"/>
  <c r="V169" i="1" s="1"/>
  <c r="U141" i="1"/>
  <c r="V141" i="1" s="1"/>
  <c r="AB129" i="1"/>
  <c r="AB131" i="1"/>
  <c r="R131" i="1"/>
  <c r="P131" i="1" s="1"/>
  <c r="S131" i="1" s="1"/>
  <c r="M131" i="1" s="1"/>
  <c r="N131" i="1" s="1"/>
  <c r="U131" i="1"/>
  <c r="V131" i="1" s="1"/>
  <c r="AD121" i="1"/>
  <c r="AE121" i="1" s="1"/>
  <c r="W121" i="1"/>
  <c r="AA121" i="1" s="1"/>
  <c r="AB111" i="1"/>
  <c r="R111" i="1"/>
  <c r="P111" i="1" s="1"/>
  <c r="S111" i="1" s="1"/>
  <c r="M111" i="1" s="1"/>
  <c r="N111" i="1" s="1"/>
  <c r="U102" i="1"/>
  <c r="V102" i="1" s="1"/>
  <c r="AB103" i="1"/>
  <c r="R103" i="1"/>
  <c r="P103" i="1" s="1"/>
  <c r="S103" i="1" s="1"/>
  <c r="M103" i="1" s="1"/>
  <c r="N103" i="1" s="1"/>
  <c r="W118" i="1"/>
  <c r="AA118" i="1" s="1"/>
  <c r="AD118" i="1"/>
  <c r="AE118" i="1" s="1"/>
  <c r="AC118" i="1"/>
  <c r="U84" i="1"/>
  <c r="V84" i="1" s="1"/>
  <c r="U60" i="1"/>
  <c r="V60" i="1" s="1"/>
  <c r="U81" i="1"/>
  <c r="V81" i="1" s="1"/>
  <c r="R81" i="1" s="1"/>
  <c r="P81" i="1" s="1"/>
  <c r="S81" i="1" s="1"/>
  <c r="M81" i="1" s="1"/>
  <c r="N81" i="1" s="1"/>
  <c r="R118" i="1"/>
  <c r="P118" i="1" s="1"/>
  <c r="S118" i="1" s="1"/>
  <c r="M118" i="1" s="1"/>
  <c r="N118" i="1" s="1"/>
  <c r="AB118" i="1"/>
  <c r="AB81" i="1"/>
  <c r="U58" i="1"/>
  <c r="V58" i="1" s="1"/>
  <c r="U27" i="1"/>
  <c r="V27" i="1" s="1"/>
  <c r="AB53" i="1"/>
  <c r="AB43" i="1"/>
  <c r="AB27" i="1"/>
  <c r="R27" i="1"/>
  <c r="P27" i="1" s="1"/>
  <c r="S27" i="1" s="1"/>
  <c r="M27" i="1" s="1"/>
  <c r="N27" i="1" s="1"/>
  <c r="R70" i="1"/>
  <c r="P70" i="1" s="1"/>
  <c r="S70" i="1" s="1"/>
  <c r="M70" i="1" s="1"/>
  <c r="N70" i="1" s="1"/>
  <c r="AB70" i="1"/>
  <c r="U25" i="1"/>
  <c r="V25" i="1" s="1"/>
  <c r="U41" i="1"/>
  <c r="V41" i="1" s="1"/>
  <c r="R45" i="1"/>
  <c r="P45" i="1" s="1"/>
  <c r="S45" i="1" s="1"/>
  <c r="M45" i="1" s="1"/>
  <c r="N45" i="1" s="1"/>
  <c r="U53" i="1"/>
  <c r="V53" i="1" s="1"/>
  <c r="U34" i="1"/>
  <c r="V34" i="1" s="1"/>
  <c r="AB87" i="1"/>
  <c r="R87" i="1"/>
  <c r="P87" i="1" s="1"/>
  <c r="S87" i="1" s="1"/>
  <c r="M87" i="1" s="1"/>
  <c r="N87" i="1" s="1"/>
  <c r="AC45" i="1"/>
  <c r="AB32" i="1"/>
  <c r="R32" i="1"/>
  <c r="P32" i="1" s="1"/>
  <c r="S32" i="1" s="1"/>
  <c r="M32" i="1" s="1"/>
  <c r="N32" i="1" s="1"/>
  <c r="R30" i="1"/>
  <c r="P30" i="1" s="1"/>
  <c r="S30" i="1" s="1"/>
  <c r="M30" i="1" s="1"/>
  <c r="N30" i="1" s="1"/>
  <c r="AB30" i="1"/>
  <c r="R42" i="1"/>
  <c r="P42" i="1" s="1"/>
  <c r="S42" i="1" s="1"/>
  <c r="M42" i="1" s="1"/>
  <c r="N42" i="1" s="1"/>
  <c r="AB42" i="1"/>
  <c r="W29" i="1"/>
  <c r="AA29" i="1" s="1"/>
  <c r="AD29" i="1"/>
  <c r="AE29" i="1" s="1"/>
  <c r="AB135" i="1"/>
  <c r="U135" i="1"/>
  <c r="V135" i="1" s="1"/>
  <c r="R135" i="1" s="1"/>
  <c r="P135" i="1" s="1"/>
  <c r="S135" i="1" s="1"/>
  <c r="M135" i="1" s="1"/>
  <c r="N135" i="1" s="1"/>
  <c r="AB138" i="1"/>
  <c r="R138" i="1"/>
  <c r="P138" i="1" s="1"/>
  <c r="S138" i="1" s="1"/>
  <c r="M138" i="1" s="1"/>
  <c r="N138" i="1" s="1"/>
  <c r="AB134" i="1"/>
  <c r="U68" i="1"/>
  <c r="V68" i="1" s="1"/>
  <c r="AB89" i="1"/>
  <c r="R89" i="1"/>
  <c r="P89" i="1" s="1"/>
  <c r="S89" i="1" s="1"/>
  <c r="M89" i="1" s="1"/>
  <c r="N89" i="1" s="1"/>
  <c r="U46" i="1"/>
  <c r="V46" i="1" s="1"/>
  <c r="R46" i="1" s="1"/>
  <c r="P46" i="1" s="1"/>
  <c r="S46" i="1" s="1"/>
  <c r="M46" i="1" s="1"/>
  <c r="N46" i="1" s="1"/>
  <c r="U210" i="1"/>
  <c r="V210" i="1" s="1"/>
  <c r="AB214" i="1"/>
  <c r="R214" i="1"/>
  <c r="P214" i="1" s="1"/>
  <c r="S214" i="1" s="1"/>
  <c r="M214" i="1" s="1"/>
  <c r="N214" i="1" s="1"/>
  <c r="AB211" i="1"/>
  <c r="R211" i="1"/>
  <c r="P211" i="1" s="1"/>
  <c r="S211" i="1" s="1"/>
  <c r="M211" i="1" s="1"/>
  <c r="N211" i="1" s="1"/>
  <c r="W186" i="1"/>
  <c r="AA186" i="1" s="1"/>
  <c r="AD186" i="1"/>
  <c r="AE186" i="1" s="1"/>
  <c r="AC186" i="1"/>
  <c r="R173" i="1"/>
  <c r="P173" i="1" s="1"/>
  <c r="S173" i="1" s="1"/>
  <c r="M173" i="1" s="1"/>
  <c r="N173" i="1" s="1"/>
  <c r="AB173" i="1"/>
  <c r="W159" i="1"/>
  <c r="AA159" i="1" s="1"/>
  <c r="AD159" i="1"/>
  <c r="AE159" i="1" s="1"/>
  <c r="U137" i="1"/>
  <c r="V137" i="1" s="1"/>
  <c r="U109" i="1"/>
  <c r="V109" i="1" s="1"/>
  <c r="AD220" i="1"/>
  <c r="AE220" i="1" s="1"/>
  <c r="W220" i="1"/>
  <c r="AA220" i="1" s="1"/>
  <c r="U201" i="1"/>
  <c r="V201" i="1" s="1"/>
  <c r="AB206" i="1"/>
  <c r="R206" i="1"/>
  <c r="P206" i="1" s="1"/>
  <c r="S206" i="1" s="1"/>
  <c r="M206" i="1" s="1"/>
  <c r="N206" i="1" s="1"/>
  <c r="U44" i="1"/>
  <c r="V44" i="1" s="1"/>
  <c r="U23" i="1"/>
  <c r="V23" i="1" s="1"/>
  <c r="R23" i="1" s="1"/>
  <c r="P23" i="1" s="1"/>
  <c r="S23" i="1" s="1"/>
  <c r="M23" i="1" s="1"/>
  <c r="N23" i="1" s="1"/>
  <c r="U40" i="1"/>
  <c r="V40" i="1" s="1"/>
  <c r="U24" i="1"/>
  <c r="V24" i="1" s="1"/>
  <c r="AB61" i="1"/>
  <c r="R61" i="1"/>
  <c r="P61" i="1" s="1"/>
  <c r="S61" i="1" s="1"/>
  <c r="M61" i="1" s="1"/>
  <c r="N61" i="1" s="1"/>
  <c r="U55" i="1"/>
  <c r="V55" i="1" s="1"/>
  <c r="U17" i="1"/>
  <c r="V17" i="1" s="1"/>
  <c r="AD67" i="1"/>
  <c r="AE67" i="1" s="1"/>
  <c r="W67" i="1"/>
  <c r="AA67" i="1" s="1"/>
  <c r="U37" i="1"/>
  <c r="V37" i="1" s="1"/>
  <c r="U97" i="1"/>
  <c r="V97" i="1" s="1"/>
  <c r="R74" i="1"/>
  <c r="P74" i="1" s="1"/>
  <c r="S74" i="1" s="1"/>
  <c r="M74" i="1" s="1"/>
  <c r="N74" i="1" s="1"/>
  <c r="AB74" i="1"/>
  <c r="U92" i="1"/>
  <c r="V92" i="1" s="1"/>
  <c r="AD63" i="1"/>
  <c r="AE63" i="1" s="1"/>
  <c r="W63" i="1"/>
  <c r="AA63" i="1" s="1"/>
  <c r="U30" i="1"/>
  <c r="V30" i="1" s="1"/>
  <c r="AD131" i="1" l="1"/>
  <c r="AE131" i="1" s="1"/>
  <c r="W131" i="1"/>
  <c r="AA131" i="1" s="1"/>
  <c r="AC131" i="1"/>
  <c r="W202" i="1"/>
  <c r="AA202" i="1" s="1"/>
  <c r="AD202" i="1"/>
  <c r="AC202" i="1"/>
  <c r="AD28" i="1"/>
  <c r="W28" i="1"/>
  <c r="AA28" i="1" s="1"/>
  <c r="AC28" i="1"/>
  <c r="W107" i="1"/>
  <c r="AA107" i="1" s="1"/>
  <c r="AD107" i="1"/>
  <c r="AC107" i="1"/>
  <c r="AD136" i="1"/>
  <c r="W136" i="1"/>
  <c r="AA136" i="1" s="1"/>
  <c r="AC136" i="1"/>
  <c r="AD193" i="1"/>
  <c r="AC193" i="1"/>
  <c r="W193" i="1"/>
  <c r="AA193" i="1" s="1"/>
  <c r="R193" i="1"/>
  <c r="P193" i="1" s="1"/>
  <c r="S193" i="1" s="1"/>
  <c r="M193" i="1" s="1"/>
  <c r="N193" i="1" s="1"/>
  <c r="AD178" i="1"/>
  <c r="AE178" i="1" s="1"/>
  <c r="AC178" i="1"/>
  <c r="W178" i="1"/>
  <c r="AA178" i="1" s="1"/>
  <c r="W91" i="1"/>
  <c r="AA91" i="1" s="1"/>
  <c r="AD91" i="1"/>
  <c r="AC91" i="1"/>
  <c r="AD20" i="1"/>
  <c r="W20" i="1"/>
  <c r="AA20" i="1" s="1"/>
  <c r="AC20" i="1"/>
  <c r="AE212" i="1"/>
  <c r="W65" i="1"/>
  <c r="AA65" i="1" s="1"/>
  <c r="AD65" i="1"/>
  <c r="AC65" i="1"/>
  <c r="W61" i="1"/>
  <c r="AA61" i="1" s="1"/>
  <c r="AD61" i="1"/>
  <c r="AE61" i="1" s="1"/>
  <c r="AC61" i="1"/>
  <c r="W89" i="1"/>
  <c r="AA89" i="1" s="1"/>
  <c r="AD89" i="1"/>
  <c r="AC89" i="1"/>
  <c r="AC98" i="1"/>
  <c r="AD98" i="1"/>
  <c r="AE98" i="1" s="1"/>
  <c r="W98" i="1"/>
  <c r="AA98" i="1" s="1"/>
  <c r="W187" i="1"/>
  <c r="AA187" i="1" s="1"/>
  <c r="AD187" i="1"/>
  <c r="AC187" i="1"/>
  <c r="AD54" i="1"/>
  <c r="AC54" i="1"/>
  <c r="W54" i="1"/>
  <c r="AA54" i="1" s="1"/>
  <c r="W161" i="1"/>
  <c r="AA161" i="1" s="1"/>
  <c r="AD161" i="1"/>
  <c r="AC161" i="1"/>
  <c r="AE115" i="1"/>
  <c r="W149" i="1"/>
  <c r="AA149" i="1" s="1"/>
  <c r="AD149" i="1"/>
  <c r="AC149" i="1"/>
  <c r="AD32" i="1"/>
  <c r="AC32" i="1"/>
  <c r="W32" i="1"/>
  <c r="AA32" i="1" s="1"/>
  <c r="W167" i="1"/>
  <c r="AA167" i="1" s="1"/>
  <c r="AD167" i="1"/>
  <c r="AC167" i="1"/>
  <c r="AD139" i="1"/>
  <c r="AC139" i="1"/>
  <c r="W139" i="1"/>
  <c r="AA139" i="1" s="1"/>
  <c r="AD215" i="1"/>
  <c r="W215" i="1"/>
  <c r="AA215" i="1" s="1"/>
  <c r="AC215" i="1"/>
  <c r="W108" i="1"/>
  <c r="AA108" i="1" s="1"/>
  <c r="AD108" i="1"/>
  <c r="AE108" i="1" s="1"/>
  <c r="AC108" i="1"/>
  <c r="AE105" i="1"/>
  <c r="W92" i="1"/>
  <c r="AA92" i="1" s="1"/>
  <c r="AD92" i="1"/>
  <c r="AC92" i="1"/>
  <c r="W17" i="1"/>
  <c r="AA17" i="1" s="1"/>
  <c r="AD17" i="1"/>
  <c r="AE17" i="1" s="1"/>
  <c r="R17" i="1"/>
  <c r="P17" i="1" s="1"/>
  <c r="S17" i="1" s="1"/>
  <c r="M17" i="1" s="1"/>
  <c r="N17" i="1" s="1"/>
  <c r="AC17" i="1"/>
  <c r="W201" i="1"/>
  <c r="AA201" i="1" s="1"/>
  <c r="AD201" i="1"/>
  <c r="AC201" i="1"/>
  <c r="R201" i="1"/>
  <c r="P201" i="1" s="1"/>
  <c r="S201" i="1" s="1"/>
  <c r="M201" i="1" s="1"/>
  <c r="N201" i="1" s="1"/>
  <c r="AD155" i="1"/>
  <c r="W155" i="1"/>
  <c r="AA155" i="1" s="1"/>
  <c r="AC155" i="1"/>
  <c r="W194" i="1"/>
  <c r="AA194" i="1" s="1"/>
  <c r="AD194" i="1"/>
  <c r="AE194" i="1" s="1"/>
  <c r="AC194" i="1"/>
  <c r="AD130" i="1"/>
  <c r="W130" i="1"/>
  <c r="AA130" i="1" s="1"/>
  <c r="AC130" i="1"/>
  <c r="W64" i="1"/>
  <c r="AA64" i="1" s="1"/>
  <c r="AD64" i="1"/>
  <c r="AE64" i="1" s="1"/>
  <c r="R64" i="1"/>
  <c r="P64" i="1" s="1"/>
  <c r="S64" i="1" s="1"/>
  <c r="M64" i="1" s="1"/>
  <c r="N64" i="1" s="1"/>
  <c r="AC64" i="1"/>
  <c r="W86" i="1"/>
  <c r="AA86" i="1" s="1"/>
  <c r="AD86" i="1"/>
  <c r="AC86" i="1"/>
  <c r="AC39" i="1"/>
  <c r="W39" i="1"/>
  <c r="AA39" i="1" s="1"/>
  <c r="AD39" i="1"/>
  <c r="AE39" i="1" s="1"/>
  <c r="W106" i="1"/>
  <c r="AA106" i="1" s="1"/>
  <c r="AC106" i="1"/>
  <c r="AD106" i="1"/>
  <c r="AE114" i="1"/>
  <c r="AD147" i="1"/>
  <c r="AE147" i="1" s="1"/>
  <c r="W147" i="1"/>
  <c r="AA147" i="1" s="1"/>
  <c r="AC147" i="1"/>
  <c r="W164" i="1"/>
  <c r="AA164" i="1" s="1"/>
  <c r="AD164" i="1"/>
  <c r="AC164" i="1"/>
  <c r="W214" i="1"/>
  <c r="AA214" i="1" s="1"/>
  <c r="AD214" i="1"/>
  <c r="AC214" i="1"/>
  <c r="AE117" i="1"/>
  <c r="W213" i="1"/>
  <c r="AA213" i="1" s="1"/>
  <c r="AD213" i="1"/>
  <c r="AE213" i="1" s="1"/>
  <c r="AC213" i="1"/>
  <c r="R213" i="1"/>
  <c r="P213" i="1" s="1"/>
  <c r="S213" i="1" s="1"/>
  <c r="M213" i="1" s="1"/>
  <c r="N213" i="1" s="1"/>
  <c r="AD227" i="1"/>
  <c r="W227" i="1"/>
  <c r="AA227" i="1" s="1"/>
  <c r="AC227" i="1"/>
  <c r="AD36" i="1"/>
  <c r="AE36" i="1" s="1"/>
  <c r="AC36" i="1"/>
  <c r="W36" i="1"/>
  <c r="AA36" i="1" s="1"/>
  <c r="R106" i="1"/>
  <c r="P106" i="1" s="1"/>
  <c r="S106" i="1" s="1"/>
  <c r="M106" i="1" s="1"/>
  <c r="N106" i="1" s="1"/>
  <c r="W104" i="1"/>
  <c r="AA104" i="1" s="1"/>
  <c r="AD104" i="1"/>
  <c r="AC104" i="1"/>
  <c r="W140" i="1"/>
  <c r="AA140" i="1" s="1"/>
  <c r="AD140" i="1"/>
  <c r="AE140" i="1" s="1"/>
  <c r="AC140" i="1"/>
  <c r="W190" i="1"/>
  <c r="AA190" i="1" s="1"/>
  <c r="AD190" i="1"/>
  <c r="AC190" i="1"/>
  <c r="R190" i="1"/>
  <c r="P190" i="1" s="1"/>
  <c r="S190" i="1" s="1"/>
  <c r="M190" i="1" s="1"/>
  <c r="N190" i="1" s="1"/>
  <c r="W66" i="1"/>
  <c r="AA66" i="1" s="1"/>
  <c r="AD66" i="1"/>
  <c r="AE66" i="1" s="1"/>
  <c r="R66" i="1"/>
  <c r="P66" i="1" s="1"/>
  <c r="S66" i="1" s="1"/>
  <c r="M66" i="1" s="1"/>
  <c r="N66" i="1" s="1"/>
  <c r="AC66" i="1"/>
  <c r="W19" i="1"/>
  <c r="AA19" i="1" s="1"/>
  <c r="AC19" i="1"/>
  <c r="AD19" i="1"/>
  <c r="AE19" i="1" s="1"/>
  <c r="R149" i="1"/>
  <c r="P149" i="1" s="1"/>
  <c r="S149" i="1" s="1"/>
  <c r="M149" i="1" s="1"/>
  <c r="N149" i="1" s="1"/>
  <c r="AD151" i="1"/>
  <c r="W151" i="1"/>
  <c r="AA151" i="1" s="1"/>
  <c r="AC151" i="1"/>
  <c r="R108" i="1"/>
  <c r="P108" i="1" s="1"/>
  <c r="S108" i="1" s="1"/>
  <c r="M108" i="1" s="1"/>
  <c r="N108" i="1" s="1"/>
  <c r="W173" i="1"/>
  <c r="AA173" i="1" s="1"/>
  <c r="AD173" i="1"/>
  <c r="AC173" i="1"/>
  <c r="W177" i="1"/>
  <c r="AA177" i="1" s="1"/>
  <c r="AD177" i="1"/>
  <c r="AC177" i="1"/>
  <c r="AE180" i="1"/>
  <c r="W206" i="1"/>
  <c r="AA206" i="1" s="1"/>
  <c r="AD206" i="1"/>
  <c r="AE206" i="1" s="1"/>
  <c r="AC206" i="1"/>
  <c r="AE111" i="1"/>
  <c r="W157" i="1"/>
  <c r="AA157" i="1" s="1"/>
  <c r="AD157" i="1"/>
  <c r="AC157" i="1"/>
  <c r="AD222" i="1"/>
  <c r="AE222" i="1" s="1"/>
  <c r="AC222" i="1"/>
  <c r="W222" i="1"/>
  <c r="AA222" i="1" s="1"/>
  <c r="W68" i="1"/>
  <c r="AA68" i="1" s="1"/>
  <c r="AD68" i="1"/>
  <c r="AE68" i="1" s="1"/>
  <c r="AC68" i="1"/>
  <c r="AD40" i="1"/>
  <c r="W40" i="1"/>
  <c r="AA40" i="1" s="1"/>
  <c r="AC40" i="1"/>
  <c r="W41" i="1"/>
  <c r="AA41" i="1" s="1"/>
  <c r="AD41" i="1"/>
  <c r="AE41" i="1" s="1"/>
  <c r="AC41" i="1"/>
  <c r="R41" i="1"/>
  <c r="P41" i="1" s="1"/>
  <c r="S41" i="1" s="1"/>
  <c r="M41" i="1" s="1"/>
  <c r="N41" i="1" s="1"/>
  <c r="W84" i="1"/>
  <c r="AA84" i="1" s="1"/>
  <c r="AD84" i="1"/>
  <c r="AC84" i="1"/>
  <c r="AC102" i="1"/>
  <c r="W102" i="1"/>
  <c r="AA102" i="1" s="1"/>
  <c r="AD102" i="1"/>
  <c r="AE102" i="1" s="1"/>
  <c r="AE216" i="1"/>
  <c r="R194" i="1"/>
  <c r="P194" i="1" s="1"/>
  <c r="S194" i="1" s="1"/>
  <c r="M194" i="1" s="1"/>
  <c r="N194" i="1" s="1"/>
  <c r="AE225" i="1"/>
  <c r="W83" i="1"/>
  <c r="AA83" i="1" s="1"/>
  <c r="AD83" i="1"/>
  <c r="AC83" i="1"/>
  <c r="AD122" i="1"/>
  <c r="AC122" i="1"/>
  <c r="W122" i="1"/>
  <c r="AA122" i="1" s="1"/>
  <c r="R122" i="1"/>
  <c r="P122" i="1" s="1"/>
  <c r="S122" i="1" s="1"/>
  <c r="M122" i="1" s="1"/>
  <c r="N122" i="1" s="1"/>
  <c r="AD132" i="1"/>
  <c r="W132" i="1"/>
  <c r="AA132" i="1" s="1"/>
  <c r="AC132" i="1"/>
  <c r="W168" i="1"/>
  <c r="AA168" i="1" s="1"/>
  <c r="AD168" i="1"/>
  <c r="AC168" i="1"/>
  <c r="AE184" i="1"/>
  <c r="AC162" i="1"/>
  <c r="AD162" i="1"/>
  <c r="W162" i="1"/>
  <c r="AA162" i="1" s="1"/>
  <c r="R86" i="1"/>
  <c r="P86" i="1" s="1"/>
  <c r="S86" i="1" s="1"/>
  <c r="M86" i="1" s="1"/>
  <c r="N86" i="1" s="1"/>
  <c r="W153" i="1"/>
  <c r="AA153" i="1" s="1"/>
  <c r="AD153" i="1"/>
  <c r="AC153" i="1"/>
  <c r="W156" i="1"/>
  <c r="AA156" i="1" s="1"/>
  <c r="AD156" i="1"/>
  <c r="AE156" i="1" s="1"/>
  <c r="AC156" i="1"/>
  <c r="R153" i="1"/>
  <c r="P153" i="1" s="1"/>
  <c r="S153" i="1" s="1"/>
  <c r="M153" i="1" s="1"/>
  <c r="N153" i="1" s="1"/>
  <c r="AD49" i="1"/>
  <c r="AE49" i="1" s="1"/>
  <c r="W49" i="1"/>
  <c r="AA49" i="1" s="1"/>
  <c r="AC49" i="1"/>
  <c r="W70" i="1"/>
  <c r="AA70" i="1" s="1"/>
  <c r="AD70" i="1"/>
  <c r="AC70" i="1"/>
  <c r="AE103" i="1"/>
  <c r="W73" i="1"/>
  <c r="AA73" i="1" s="1"/>
  <c r="AD73" i="1"/>
  <c r="AE73" i="1" s="1"/>
  <c r="AC73" i="1"/>
  <c r="AE87" i="1"/>
  <c r="W52" i="1"/>
  <c r="AA52" i="1" s="1"/>
  <c r="AD52" i="1"/>
  <c r="AC52" i="1"/>
  <c r="W80" i="1"/>
  <c r="AA80" i="1" s="1"/>
  <c r="AD80" i="1"/>
  <c r="AC80" i="1"/>
  <c r="AD126" i="1"/>
  <c r="W126" i="1"/>
  <c r="AA126" i="1" s="1"/>
  <c r="AC126" i="1"/>
  <c r="W160" i="1"/>
  <c r="AA160" i="1" s="1"/>
  <c r="AD160" i="1"/>
  <c r="AE160" i="1" s="1"/>
  <c r="AC160" i="1"/>
  <c r="R167" i="1"/>
  <c r="P167" i="1" s="1"/>
  <c r="S167" i="1" s="1"/>
  <c r="M167" i="1" s="1"/>
  <c r="N167" i="1" s="1"/>
  <c r="R147" i="1"/>
  <c r="P147" i="1" s="1"/>
  <c r="S147" i="1" s="1"/>
  <c r="M147" i="1" s="1"/>
  <c r="N147" i="1" s="1"/>
  <c r="AD226" i="1"/>
  <c r="W226" i="1"/>
  <c r="AA226" i="1" s="1"/>
  <c r="AC226" i="1"/>
  <c r="AE192" i="1"/>
  <c r="AD24" i="1"/>
  <c r="AE24" i="1" s="1"/>
  <c r="W24" i="1"/>
  <c r="AA24" i="1" s="1"/>
  <c r="AC24" i="1"/>
  <c r="AD53" i="1"/>
  <c r="AE53" i="1" s="1"/>
  <c r="W53" i="1"/>
  <c r="AA53" i="1" s="1"/>
  <c r="AC53" i="1"/>
  <c r="AD134" i="1"/>
  <c r="W134" i="1"/>
  <c r="AA134" i="1" s="1"/>
  <c r="AC134" i="1"/>
  <c r="AD95" i="1"/>
  <c r="W95" i="1"/>
  <c r="AA95" i="1" s="1"/>
  <c r="AC95" i="1"/>
  <c r="AD150" i="1"/>
  <c r="W150" i="1"/>
  <c r="AA150" i="1" s="1"/>
  <c r="AC150" i="1"/>
  <c r="W185" i="1"/>
  <c r="AA185" i="1" s="1"/>
  <c r="AD185" i="1"/>
  <c r="AE185" i="1" s="1"/>
  <c r="AC185" i="1"/>
  <c r="R185" i="1"/>
  <c r="P185" i="1" s="1"/>
  <c r="S185" i="1" s="1"/>
  <c r="M185" i="1" s="1"/>
  <c r="N185" i="1" s="1"/>
  <c r="W148" i="1"/>
  <c r="AA148" i="1" s="1"/>
  <c r="AD148" i="1"/>
  <c r="AE148" i="1" s="1"/>
  <c r="AC148" i="1"/>
  <c r="AD145" i="1"/>
  <c r="AE145" i="1" s="1"/>
  <c r="AC145" i="1"/>
  <c r="W145" i="1"/>
  <c r="AA145" i="1" s="1"/>
  <c r="R145" i="1"/>
  <c r="P145" i="1" s="1"/>
  <c r="S145" i="1" s="1"/>
  <c r="M145" i="1" s="1"/>
  <c r="N145" i="1" s="1"/>
  <c r="W198" i="1"/>
  <c r="AA198" i="1" s="1"/>
  <c r="AD198" i="1"/>
  <c r="AE198" i="1" s="1"/>
  <c r="AC198" i="1"/>
  <c r="W42" i="1"/>
  <c r="AA42" i="1" s="1"/>
  <c r="AD42" i="1"/>
  <c r="AE42" i="1" s="1"/>
  <c r="AC42" i="1"/>
  <c r="AE47" i="1"/>
  <c r="W69" i="1"/>
  <c r="AA69" i="1" s="1"/>
  <c r="AD69" i="1"/>
  <c r="AC69" i="1"/>
  <c r="W144" i="1"/>
  <c r="AA144" i="1" s="1"/>
  <c r="AD144" i="1"/>
  <c r="AC144" i="1"/>
  <c r="AE171" i="1"/>
  <c r="R198" i="1"/>
  <c r="P198" i="1" s="1"/>
  <c r="S198" i="1" s="1"/>
  <c r="M198" i="1" s="1"/>
  <c r="N198" i="1" s="1"/>
  <c r="W18" i="1"/>
  <c r="AA18" i="1" s="1"/>
  <c r="AD18" i="1"/>
  <c r="AC18" i="1"/>
  <c r="W100" i="1"/>
  <c r="AA100" i="1" s="1"/>
  <c r="AD100" i="1"/>
  <c r="AC100" i="1"/>
  <c r="AE197" i="1"/>
  <c r="W179" i="1"/>
  <c r="AA179" i="1" s="1"/>
  <c r="AD179" i="1"/>
  <c r="AC179" i="1"/>
  <c r="R39" i="1"/>
  <c r="P39" i="1" s="1"/>
  <c r="S39" i="1" s="1"/>
  <c r="M39" i="1" s="1"/>
  <c r="N39" i="1" s="1"/>
  <c r="W74" i="1"/>
  <c r="AA74" i="1" s="1"/>
  <c r="AD74" i="1"/>
  <c r="AC74" i="1"/>
  <c r="W221" i="1"/>
  <c r="AA221" i="1" s="1"/>
  <c r="AD221" i="1"/>
  <c r="AE221" i="1" s="1"/>
  <c r="AC221" i="1"/>
  <c r="R221" i="1"/>
  <c r="P221" i="1" s="1"/>
  <c r="S221" i="1" s="1"/>
  <c r="M221" i="1" s="1"/>
  <c r="N221" i="1" s="1"/>
  <c r="R68" i="1"/>
  <c r="P68" i="1" s="1"/>
  <c r="S68" i="1" s="1"/>
  <c r="M68" i="1" s="1"/>
  <c r="N68" i="1" s="1"/>
  <c r="W56" i="1"/>
  <c r="AA56" i="1" s="1"/>
  <c r="AD56" i="1"/>
  <c r="AC56" i="1"/>
  <c r="AD154" i="1"/>
  <c r="AE154" i="1" s="1"/>
  <c r="W154" i="1"/>
  <c r="AA154" i="1" s="1"/>
  <c r="AC154" i="1"/>
  <c r="W182" i="1"/>
  <c r="AA182" i="1" s="1"/>
  <c r="AD182" i="1"/>
  <c r="AE182" i="1" s="1"/>
  <c r="AC182" i="1"/>
  <c r="W218" i="1"/>
  <c r="AA218" i="1" s="1"/>
  <c r="AD218" i="1"/>
  <c r="AE218" i="1" s="1"/>
  <c r="AC218" i="1"/>
  <c r="R226" i="1"/>
  <c r="P226" i="1" s="1"/>
  <c r="S226" i="1" s="1"/>
  <c r="M226" i="1" s="1"/>
  <c r="N226" i="1" s="1"/>
  <c r="W88" i="1"/>
  <c r="AA88" i="1" s="1"/>
  <c r="AD88" i="1"/>
  <c r="AC88" i="1"/>
  <c r="W58" i="1"/>
  <c r="AA58" i="1" s="1"/>
  <c r="AD58" i="1"/>
  <c r="AC58" i="1"/>
  <c r="R58" i="1"/>
  <c r="P58" i="1" s="1"/>
  <c r="S58" i="1" s="1"/>
  <c r="M58" i="1" s="1"/>
  <c r="N58" i="1" s="1"/>
  <c r="AC43" i="1"/>
  <c r="W43" i="1"/>
  <c r="AA43" i="1" s="1"/>
  <c r="AD43" i="1"/>
  <c r="AE119" i="1"/>
  <c r="W22" i="1"/>
  <c r="AA22" i="1" s="1"/>
  <c r="AD22" i="1"/>
  <c r="AC22" i="1"/>
  <c r="AC23" i="1"/>
  <c r="W23" i="1"/>
  <c r="AA23" i="1" s="1"/>
  <c r="AD23" i="1"/>
  <c r="W210" i="1"/>
  <c r="AA210" i="1" s="1"/>
  <c r="AD210" i="1"/>
  <c r="AE210" i="1" s="1"/>
  <c r="AC210" i="1"/>
  <c r="R134" i="1"/>
  <c r="P134" i="1" s="1"/>
  <c r="S134" i="1" s="1"/>
  <c r="M134" i="1" s="1"/>
  <c r="N134" i="1" s="1"/>
  <c r="AD174" i="1"/>
  <c r="AE174" i="1" s="1"/>
  <c r="AC174" i="1"/>
  <c r="W174" i="1"/>
  <c r="AA174" i="1" s="1"/>
  <c r="W31" i="1"/>
  <c r="AA31" i="1" s="1"/>
  <c r="AD31" i="1"/>
  <c r="AC31" i="1"/>
  <c r="W97" i="1"/>
  <c r="AA97" i="1" s="1"/>
  <c r="AD97" i="1"/>
  <c r="AC97" i="1"/>
  <c r="AD55" i="1"/>
  <c r="W55" i="1"/>
  <c r="AA55" i="1" s="1"/>
  <c r="R55" i="1"/>
  <c r="P55" i="1" s="1"/>
  <c r="S55" i="1" s="1"/>
  <c r="M55" i="1" s="1"/>
  <c r="N55" i="1" s="1"/>
  <c r="AC55" i="1"/>
  <c r="W25" i="1"/>
  <c r="AA25" i="1" s="1"/>
  <c r="AD25" i="1"/>
  <c r="AE25" i="1" s="1"/>
  <c r="AC25" i="1"/>
  <c r="R25" i="1"/>
  <c r="P25" i="1" s="1"/>
  <c r="S25" i="1" s="1"/>
  <c r="M25" i="1" s="1"/>
  <c r="N25" i="1" s="1"/>
  <c r="R53" i="1"/>
  <c r="P53" i="1" s="1"/>
  <c r="S53" i="1" s="1"/>
  <c r="M53" i="1" s="1"/>
  <c r="N53" i="1" s="1"/>
  <c r="W141" i="1"/>
  <c r="AA141" i="1" s="1"/>
  <c r="AD141" i="1"/>
  <c r="AC141" i="1"/>
  <c r="R174" i="1"/>
  <c r="P174" i="1" s="1"/>
  <c r="S174" i="1" s="1"/>
  <c r="M174" i="1" s="1"/>
  <c r="N174" i="1" s="1"/>
  <c r="AD50" i="1"/>
  <c r="AE50" i="1" s="1"/>
  <c r="W50" i="1"/>
  <c r="AA50" i="1" s="1"/>
  <c r="R50" i="1"/>
  <c r="P50" i="1" s="1"/>
  <c r="S50" i="1" s="1"/>
  <c r="M50" i="1" s="1"/>
  <c r="N50" i="1" s="1"/>
  <c r="AC50" i="1"/>
  <c r="W62" i="1"/>
  <c r="AA62" i="1" s="1"/>
  <c r="AD62" i="1"/>
  <c r="R62" i="1"/>
  <c r="P62" i="1" s="1"/>
  <c r="S62" i="1" s="1"/>
  <c r="M62" i="1" s="1"/>
  <c r="N62" i="1" s="1"/>
  <c r="AC62" i="1"/>
  <c r="AE120" i="1"/>
  <c r="R222" i="1"/>
  <c r="P222" i="1" s="1"/>
  <c r="S222" i="1" s="1"/>
  <c r="M222" i="1" s="1"/>
  <c r="N222" i="1" s="1"/>
  <c r="W72" i="1"/>
  <c r="AA72" i="1" s="1"/>
  <c r="AD72" i="1"/>
  <c r="AC72" i="1"/>
  <c r="AD138" i="1"/>
  <c r="W138" i="1"/>
  <c r="AA138" i="1" s="1"/>
  <c r="AC138" i="1"/>
  <c r="W152" i="1"/>
  <c r="AA152" i="1" s="1"/>
  <c r="AD152" i="1"/>
  <c r="AC152" i="1"/>
  <c r="W183" i="1"/>
  <c r="AA183" i="1" s="1"/>
  <c r="AD183" i="1"/>
  <c r="AE183" i="1" s="1"/>
  <c r="AC183" i="1"/>
  <c r="R141" i="1"/>
  <c r="P141" i="1" s="1"/>
  <c r="S141" i="1" s="1"/>
  <c r="M141" i="1" s="1"/>
  <c r="N141" i="1" s="1"/>
  <c r="R28" i="1"/>
  <c r="P28" i="1" s="1"/>
  <c r="S28" i="1" s="1"/>
  <c r="M28" i="1" s="1"/>
  <c r="N28" i="1" s="1"/>
  <c r="W21" i="1"/>
  <c r="AA21" i="1" s="1"/>
  <c r="AD21" i="1"/>
  <c r="R21" i="1"/>
  <c r="P21" i="1" s="1"/>
  <c r="S21" i="1" s="1"/>
  <c r="M21" i="1" s="1"/>
  <c r="N21" i="1" s="1"/>
  <c r="AC21" i="1"/>
  <c r="W48" i="1"/>
  <c r="AA48" i="1" s="1"/>
  <c r="AD48" i="1"/>
  <c r="AC48" i="1"/>
  <c r="W77" i="1"/>
  <c r="AA77" i="1" s="1"/>
  <c r="AD77" i="1"/>
  <c r="AE77" i="1" s="1"/>
  <c r="AC77" i="1"/>
  <c r="W26" i="1"/>
  <c r="AA26" i="1" s="1"/>
  <c r="AD26" i="1"/>
  <c r="AC26" i="1"/>
  <c r="W133" i="1"/>
  <c r="AA133" i="1" s="1"/>
  <c r="AD133" i="1"/>
  <c r="AC133" i="1"/>
  <c r="W176" i="1"/>
  <c r="AA176" i="1" s="1"/>
  <c r="AD176" i="1"/>
  <c r="AC176" i="1"/>
  <c r="W143" i="1"/>
  <c r="AA143" i="1" s="1"/>
  <c r="AD143" i="1"/>
  <c r="AE143" i="1" s="1"/>
  <c r="R143" i="1"/>
  <c r="P143" i="1" s="1"/>
  <c r="S143" i="1" s="1"/>
  <c r="M143" i="1" s="1"/>
  <c r="N143" i="1" s="1"/>
  <c r="AC143" i="1"/>
  <c r="AE142" i="1"/>
  <c r="W60" i="1"/>
  <c r="AA60" i="1" s="1"/>
  <c r="AD60" i="1"/>
  <c r="AC60" i="1"/>
  <c r="W38" i="1"/>
  <c r="AA38" i="1" s="1"/>
  <c r="AD38" i="1"/>
  <c r="AE38" i="1" s="1"/>
  <c r="AC38" i="1"/>
  <c r="W37" i="1"/>
  <c r="AA37" i="1" s="1"/>
  <c r="AD37" i="1"/>
  <c r="AE37" i="1" s="1"/>
  <c r="AC37" i="1"/>
  <c r="R37" i="1"/>
  <c r="P37" i="1" s="1"/>
  <c r="S37" i="1" s="1"/>
  <c r="M37" i="1" s="1"/>
  <c r="N37" i="1" s="1"/>
  <c r="W44" i="1"/>
  <c r="AA44" i="1" s="1"/>
  <c r="AD44" i="1"/>
  <c r="AC44" i="1"/>
  <c r="W34" i="1"/>
  <c r="AA34" i="1" s="1"/>
  <c r="AD34" i="1"/>
  <c r="AC34" i="1"/>
  <c r="R34" i="1"/>
  <c r="P34" i="1" s="1"/>
  <c r="S34" i="1" s="1"/>
  <c r="M34" i="1" s="1"/>
  <c r="N34" i="1" s="1"/>
  <c r="W82" i="1"/>
  <c r="AA82" i="1" s="1"/>
  <c r="AD82" i="1"/>
  <c r="AE82" i="1" s="1"/>
  <c r="AC82" i="1"/>
  <c r="W85" i="1"/>
  <c r="AA85" i="1" s="1"/>
  <c r="AD85" i="1"/>
  <c r="AC85" i="1"/>
  <c r="W129" i="1"/>
  <c r="AA129" i="1" s="1"/>
  <c r="AD129" i="1"/>
  <c r="AE129" i="1" s="1"/>
  <c r="AC129" i="1"/>
  <c r="W172" i="1"/>
  <c r="AA172" i="1" s="1"/>
  <c r="AD172" i="1"/>
  <c r="AC172" i="1"/>
  <c r="AD57" i="1"/>
  <c r="AC57" i="1"/>
  <c r="W57" i="1"/>
  <c r="AA57" i="1" s="1"/>
  <c r="R136" i="1"/>
  <c r="P136" i="1" s="1"/>
  <c r="S136" i="1" s="1"/>
  <c r="M136" i="1" s="1"/>
  <c r="N136" i="1" s="1"/>
  <c r="R155" i="1"/>
  <c r="P155" i="1" s="1"/>
  <c r="S155" i="1" s="1"/>
  <c r="M155" i="1" s="1"/>
  <c r="N155" i="1" s="1"/>
  <c r="W165" i="1"/>
  <c r="AA165" i="1" s="1"/>
  <c r="AD165" i="1"/>
  <c r="AC165" i="1"/>
  <c r="AD175" i="1"/>
  <c r="W175" i="1"/>
  <c r="AA175" i="1" s="1"/>
  <c r="AC175" i="1"/>
  <c r="W195" i="1"/>
  <c r="AA195" i="1" s="1"/>
  <c r="AD195" i="1"/>
  <c r="AC195" i="1"/>
  <c r="W90" i="1"/>
  <c r="AA90" i="1" s="1"/>
  <c r="AD90" i="1"/>
  <c r="AE90" i="1" s="1"/>
  <c r="AC90" i="1"/>
  <c r="AE96" i="1"/>
  <c r="R227" i="1"/>
  <c r="P227" i="1" s="1"/>
  <c r="S227" i="1" s="1"/>
  <c r="M227" i="1" s="1"/>
  <c r="N227" i="1" s="1"/>
  <c r="R92" i="1"/>
  <c r="P92" i="1" s="1"/>
  <c r="S92" i="1" s="1"/>
  <c r="M92" i="1" s="1"/>
  <c r="N92" i="1" s="1"/>
  <c r="AD128" i="1"/>
  <c r="W128" i="1"/>
  <c r="AA128" i="1" s="1"/>
  <c r="AC128" i="1"/>
  <c r="R182" i="1"/>
  <c r="P182" i="1" s="1"/>
  <c r="S182" i="1" s="1"/>
  <c r="M182" i="1" s="1"/>
  <c r="N182" i="1" s="1"/>
  <c r="R130" i="1"/>
  <c r="P130" i="1" s="1"/>
  <c r="S130" i="1" s="1"/>
  <c r="M130" i="1" s="1"/>
  <c r="N130" i="1" s="1"/>
  <c r="W209" i="1"/>
  <c r="AA209" i="1" s="1"/>
  <c r="AD209" i="1"/>
  <c r="AE209" i="1" s="1"/>
  <c r="AC209" i="1"/>
  <c r="R209" i="1"/>
  <c r="P209" i="1" s="1"/>
  <c r="S209" i="1" s="1"/>
  <c r="M209" i="1" s="1"/>
  <c r="N209" i="1" s="1"/>
  <c r="AE116" i="1"/>
  <c r="AE223" i="1"/>
  <c r="AD135" i="1"/>
  <c r="AE135" i="1" s="1"/>
  <c r="W135" i="1"/>
  <c r="AA135" i="1" s="1"/>
  <c r="AC135" i="1"/>
  <c r="W163" i="1"/>
  <c r="AA163" i="1" s="1"/>
  <c r="AD163" i="1"/>
  <c r="AE163" i="1" s="1"/>
  <c r="AC163" i="1"/>
  <c r="AC158" i="1"/>
  <c r="AD158" i="1"/>
  <c r="W158" i="1"/>
  <c r="AA158" i="1" s="1"/>
  <c r="AD30" i="1"/>
  <c r="W30" i="1"/>
  <c r="AA30" i="1" s="1"/>
  <c r="AC30" i="1"/>
  <c r="W109" i="1"/>
  <c r="AA109" i="1" s="1"/>
  <c r="AD109" i="1"/>
  <c r="AC109" i="1"/>
  <c r="W46" i="1"/>
  <c r="AA46" i="1" s="1"/>
  <c r="AD46" i="1"/>
  <c r="AE46" i="1" s="1"/>
  <c r="AC46" i="1"/>
  <c r="R109" i="1"/>
  <c r="P109" i="1" s="1"/>
  <c r="S109" i="1" s="1"/>
  <c r="M109" i="1" s="1"/>
  <c r="N109" i="1" s="1"/>
  <c r="W93" i="1"/>
  <c r="AA93" i="1" s="1"/>
  <c r="AD93" i="1"/>
  <c r="AE93" i="1" s="1"/>
  <c r="AC93" i="1"/>
  <c r="W137" i="1"/>
  <c r="AA137" i="1" s="1"/>
  <c r="AD137" i="1"/>
  <c r="AC137" i="1"/>
  <c r="AC27" i="1"/>
  <c r="W27" i="1"/>
  <c r="AA27" i="1" s="1"/>
  <c r="AD27" i="1"/>
  <c r="AE27" i="1" s="1"/>
  <c r="W81" i="1"/>
  <c r="AA81" i="1" s="1"/>
  <c r="AD81" i="1"/>
  <c r="AC81" i="1"/>
  <c r="W169" i="1"/>
  <c r="AA169" i="1" s="1"/>
  <c r="AD169" i="1"/>
  <c r="AE169" i="1" s="1"/>
  <c r="AC169" i="1"/>
  <c r="AE181" i="1"/>
  <c r="R24" i="1"/>
  <c r="P24" i="1" s="1"/>
  <c r="S24" i="1" s="1"/>
  <c r="M24" i="1" s="1"/>
  <c r="N24" i="1" s="1"/>
  <c r="W78" i="1"/>
  <c r="AA78" i="1" s="1"/>
  <c r="AD78" i="1"/>
  <c r="AC78" i="1"/>
  <c r="R85" i="1"/>
  <c r="P85" i="1" s="1"/>
  <c r="S85" i="1" s="1"/>
  <c r="M85" i="1" s="1"/>
  <c r="N85" i="1" s="1"/>
  <c r="W112" i="1"/>
  <c r="AA112" i="1" s="1"/>
  <c r="AD112" i="1"/>
  <c r="AC112" i="1"/>
  <c r="R158" i="1"/>
  <c r="P158" i="1" s="1"/>
  <c r="S158" i="1" s="1"/>
  <c r="M158" i="1" s="1"/>
  <c r="N158" i="1" s="1"/>
  <c r="AC35" i="1"/>
  <c r="W35" i="1"/>
  <c r="AA35" i="1" s="1"/>
  <c r="AD35" i="1"/>
  <c r="R137" i="1"/>
  <c r="P137" i="1" s="1"/>
  <c r="S137" i="1" s="1"/>
  <c r="M137" i="1" s="1"/>
  <c r="N137" i="1" s="1"/>
  <c r="R40" i="1"/>
  <c r="P40" i="1" s="1"/>
  <c r="S40" i="1" s="1"/>
  <c r="M40" i="1" s="1"/>
  <c r="N40" i="1" s="1"/>
  <c r="R82" i="1"/>
  <c r="P82" i="1" s="1"/>
  <c r="S82" i="1" s="1"/>
  <c r="M82" i="1" s="1"/>
  <c r="N82" i="1" s="1"/>
  <c r="R152" i="1"/>
  <c r="P152" i="1" s="1"/>
  <c r="S152" i="1" s="1"/>
  <c r="M152" i="1" s="1"/>
  <c r="N152" i="1" s="1"/>
  <c r="W191" i="1"/>
  <c r="AA191" i="1" s="1"/>
  <c r="AD191" i="1"/>
  <c r="AE191" i="1" s="1"/>
  <c r="AC191" i="1"/>
  <c r="AD217" i="1"/>
  <c r="W217" i="1"/>
  <c r="AA217" i="1" s="1"/>
  <c r="AC217" i="1"/>
  <c r="R217" i="1"/>
  <c r="P217" i="1" s="1"/>
  <c r="S217" i="1" s="1"/>
  <c r="M217" i="1" s="1"/>
  <c r="N217" i="1" s="1"/>
  <c r="R139" i="1"/>
  <c r="P139" i="1" s="1"/>
  <c r="S139" i="1" s="1"/>
  <c r="M139" i="1" s="1"/>
  <c r="N139" i="1" s="1"/>
  <c r="AD146" i="1"/>
  <c r="AE146" i="1" s="1"/>
  <c r="W146" i="1"/>
  <c r="AA146" i="1" s="1"/>
  <c r="AC146" i="1"/>
  <c r="AE211" i="1"/>
  <c r="R60" i="1"/>
  <c r="P60" i="1" s="1"/>
  <c r="S60" i="1" s="1"/>
  <c r="M60" i="1" s="1"/>
  <c r="N60" i="1" s="1"/>
  <c r="AE110" i="1"/>
  <c r="W76" i="1"/>
  <c r="AA76" i="1" s="1"/>
  <c r="AD76" i="1"/>
  <c r="AC76" i="1"/>
  <c r="AD124" i="1"/>
  <c r="AE124" i="1" s="1"/>
  <c r="AC124" i="1"/>
  <c r="W124" i="1"/>
  <c r="AA124" i="1" s="1"/>
  <c r="R124" i="1"/>
  <c r="P124" i="1" s="1"/>
  <c r="S124" i="1" s="1"/>
  <c r="M124" i="1" s="1"/>
  <c r="N124" i="1" s="1"/>
  <c r="R156" i="1"/>
  <c r="P156" i="1" s="1"/>
  <c r="S156" i="1" s="1"/>
  <c r="M156" i="1" s="1"/>
  <c r="N156" i="1" s="1"/>
  <c r="AE203" i="1"/>
  <c r="W205" i="1"/>
  <c r="AA205" i="1" s="1"/>
  <c r="AD205" i="1"/>
  <c r="AE205" i="1" s="1"/>
  <c r="AC205" i="1"/>
  <c r="R205" i="1"/>
  <c r="P205" i="1" s="1"/>
  <c r="S205" i="1" s="1"/>
  <c r="M205" i="1" s="1"/>
  <c r="N205" i="1" s="1"/>
  <c r="R95" i="1"/>
  <c r="P95" i="1" s="1"/>
  <c r="S95" i="1" s="1"/>
  <c r="M95" i="1" s="1"/>
  <c r="N95" i="1" s="1"/>
  <c r="R202" i="1"/>
  <c r="P202" i="1" s="1"/>
  <c r="S202" i="1" s="1"/>
  <c r="M202" i="1" s="1"/>
  <c r="N202" i="1" s="1"/>
  <c r="W33" i="1"/>
  <c r="AA33" i="1" s="1"/>
  <c r="AD33" i="1"/>
  <c r="R33" i="1"/>
  <c r="P33" i="1" s="1"/>
  <c r="S33" i="1" s="1"/>
  <c r="M33" i="1" s="1"/>
  <c r="N33" i="1" s="1"/>
  <c r="AC33" i="1"/>
  <c r="R90" i="1"/>
  <c r="P90" i="1" s="1"/>
  <c r="S90" i="1" s="1"/>
  <c r="M90" i="1" s="1"/>
  <c r="N90" i="1" s="1"/>
  <c r="R151" i="1"/>
  <c r="P151" i="1" s="1"/>
  <c r="S151" i="1" s="1"/>
  <c r="M151" i="1" s="1"/>
  <c r="N151" i="1" s="1"/>
  <c r="R183" i="1"/>
  <c r="P183" i="1" s="1"/>
  <c r="S183" i="1" s="1"/>
  <c r="M183" i="1" s="1"/>
  <c r="N183" i="1" s="1"/>
  <c r="W101" i="1"/>
  <c r="AA101" i="1" s="1"/>
  <c r="AD101" i="1"/>
  <c r="AE101" i="1" s="1"/>
  <c r="AC101" i="1"/>
  <c r="AE166" i="1"/>
  <c r="R168" i="1"/>
  <c r="P168" i="1" s="1"/>
  <c r="S168" i="1" s="1"/>
  <c r="M168" i="1" s="1"/>
  <c r="N168" i="1" s="1"/>
  <c r="R215" i="1"/>
  <c r="P215" i="1" s="1"/>
  <c r="S215" i="1" s="1"/>
  <c r="M215" i="1" s="1"/>
  <c r="N215" i="1" s="1"/>
  <c r="AE45" i="1"/>
  <c r="AE113" i="1"/>
  <c r="AE94" i="1"/>
  <c r="AE219" i="1"/>
  <c r="AE34" i="1" l="1"/>
  <c r="AE133" i="1"/>
  <c r="AE31" i="1"/>
  <c r="AE43" i="1"/>
  <c r="AE88" i="1"/>
  <c r="AE18" i="1"/>
  <c r="AE69" i="1"/>
  <c r="AE80" i="1"/>
  <c r="AE84" i="1"/>
  <c r="AE40" i="1"/>
  <c r="AE157" i="1"/>
  <c r="AE177" i="1"/>
  <c r="AE151" i="1"/>
  <c r="AE214" i="1"/>
  <c r="AE86" i="1"/>
  <c r="AE130" i="1"/>
  <c r="AE92" i="1"/>
  <c r="AE215" i="1"/>
  <c r="AE91" i="1"/>
  <c r="AE193" i="1"/>
  <c r="AE76" i="1"/>
  <c r="AE33" i="1"/>
  <c r="AE112" i="1"/>
  <c r="AE30" i="1"/>
  <c r="AE175" i="1"/>
  <c r="AE57" i="1"/>
  <c r="AE85" i="1"/>
  <c r="AE48" i="1"/>
  <c r="AE138" i="1"/>
  <c r="AE62" i="1"/>
  <c r="AE141" i="1"/>
  <c r="AE23" i="1"/>
  <c r="AE179" i="1"/>
  <c r="AE95" i="1"/>
  <c r="AE162" i="1"/>
  <c r="AE132" i="1"/>
  <c r="AE104" i="1"/>
  <c r="AE227" i="1"/>
  <c r="AE106" i="1"/>
  <c r="AE201" i="1"/>
  <c r="AE32" i="1"/>
  <c r="AE65" i="1"/>
  <c r="AE28" i="1"/>
  <c r="AE137" i="1"/>
  <c r="AE158" i="1"/>
  <c r="AE165" i="1"/>
  <c r="AE172" i="1"/>
  <c r="AE44" i="1"/>
  <c r="AE26" i="1"/>
  <c r="AE72" i="1"/>
  <c r="AE55" i="1"/>
  <c r="AE52" i="1"/>
  <c r="AE70" i="1"/>
  <c r="AE173" i="1"/>
  <c r="AE190" i="1"/>
  <c r="AE164" i="1"/>
  <c r="AE139" i="1"/>
  <c r="AE149" i="1"/>
  <c r="AE54" i="1"/>
  <c r="AE89" i="1"/>
  <c r="AE136" i="1"/>
  <c r="AE202" i="1"/>
  <c r="AE217" i="1"/>
  <c r="AE35" i="1"/>
  <c r="AE134" i="1"/>
  <c r="AE78" i="1"/>
  <c r="AE81" i="1"/>
  <c r="AE109" i="1"/>
  <c r="AE128" i="1"/>
  <c r="AE195" i="1"/>
  <c r="AE60" i="1"/>
  <c r="AE176" i="1"/>
  <c r="AE21" i="1"/>
  <c r="AE152" i="1"/>
  <c r="AE97" i="1"/>
  <c r="AE22" i="1"/>
  <c r="AE58" i="1"/>
  <c r="AE56" i="1"/>
  <c r="AE74" i="1"/>
  <c r="AE100" i="1"/>
  <c r="AE144" i="1"/>
  <c r="AE153" i="1"/>
  <c r="AE168" i="1"/>
  <c r="AE122" i="1"/>
  <c r="AE167" i="1"/>
  <c r="AE187" i="1"/>
  <c r="AE107" i="1"/>
  <c r="AE150" i="1"/>
  <c r="AE226" i="1"/>
  <c r="AE126" i="1"/>
  <c r="AE155" i="1"/>
  <c r="AE20" i="1"/>
  <c r="AE83" i="1"/>
  <c r="AE161" i="1"/>
</calcChain>
</file>

<file path=xl/sharedStrings.xml><?xml version="1.0" encoding="utf-8"?>
<sst xmlns="http://schemas.openxmlformats.org/spreadsheetml/2006/main" count="3177" uniqueCount="755">
  <si>
    <t>File opened</t>
  </si>
  <si>
    <t>2023-07-25 10:51:45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</si>
  <si>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</si>
  <si>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</si>
  <si>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</si>
  <si>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</si>
  <si>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</si>
  <si>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</si>
  <si>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</si>
  <si>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</si>
  <si>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</si>
  <si>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</si>
  <si>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</si>
  <si>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</si>
  <si>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</si>
  <si>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</si>
  <si>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</si>
  <si>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</si>
  <si>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</si>
  <si>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</si>
  <si>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</si>
  <si>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</si>
  <si>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</si>
  <si>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</si>
  <si>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</si>
  <si>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</si>
  <si>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</si>
  <si>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</si>
  <si>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</si>
  <si>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</si>
  <si>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</si>
  <si>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</si>
  <si>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</si>
  <si>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</si>
  <si>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10:51:45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</si>
  <si>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</si>
  <si>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</si>
  <si>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</si>
  <si>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</si>
  <si>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</si>
  <si>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</si>
  <si>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</si>
  <si>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</si>
  <si>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</si>
  <si>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</si>
  <si>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</si>
  <si>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</si>
  <si>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</si>
  <si>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</si>
  <si>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</si>
  <si>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</si>
  <si>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</si>
  <si>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</si>
  <si>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</si>
  <si>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</si>
  <si>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</si>
  <si>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</si>
  <si>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</si>
  <si>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</si>
  <si>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</si>
  <si>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</si>
  <si>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</si>
  <si>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</si>
  <si>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</si>
  <si>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</si>
  <si>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</si>
  <si>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</si>
  <si>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</si>
  <si>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</si>
  <si>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</si>
  <si>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</si>
  <si>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</si>
  <si>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</si>
  <si>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</si>
  <si>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</si>
  <si>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</si>
  <si>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</si>
  <si>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</si>
  <si>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</si>
  <si>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</si>
  <si>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</si>
  <si>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</si>
  <si>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</si>
  <si>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</si>
  <si>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</si>
  <si>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</si>
  <si>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</si>
  <si>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6.54938 89.3494 374.933 613.769 849.664 1063.48 1249.76 1429.91</t>
  </si>
  <si>
    <t>Fs_true</t>
  </si>
  <si>
    <t>-0.0309868 101.653 401.58 600.757 801.064 1000.98 1202.25 1400.63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</si>
  <si>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</si>
  <si>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</si>
  <si>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</si>
  <si>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</si>
  <si>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</si>
  <si>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</si>
  <si>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</si>
  <si>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</si>
  <si>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</si>
  <si>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</si>
  <si>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</si>
  <si>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</si>
  <si>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</si>
  <si>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</si>
  <si>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</si>
  <si>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</si>
  <si>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</si>
  <si>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</si>
  <si>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</si>
  <si>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</si>
  <si>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</si>
  <si>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</si>
  <si>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</si>
  <si>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</si>
  <si>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</si>
  <si>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</si>
  <si>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</si>
  <si>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</si>
  <si>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</si>
  <si>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</si>
  <si>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</si>
  <si>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</si>
  <si>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</si>
  <si>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</si>
  <si>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</si>
  <si>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</si>
  <si>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</si>
  <si>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</si>
  <si>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</si>
  <si>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</si>
  <si>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</si>
  <si>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</si>
  <si>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</si>
  <si>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</si>
  <si>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</si>
  <si>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</si>
  <si>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</si>
  <si>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</si>
  <si>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</si>
  <si>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</si>
  <si>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</si>
  <si>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</si>
  <si>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</si>
  <si>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</si>
  <si>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</si>
  <si>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</si>
  <si>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</si>
  <si>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</si>
  <si>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</si>
  <si>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</si>
  <si>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</si>
  <si>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</si>
  <si>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</si>
  <si>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</si>
  <si>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</si>
  <si>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</si>
  <si>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</si>
  <si>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</si>
  <si>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</si>
  <si>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</si>
  <si>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</si>
  <si>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</si>
  <si>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</si>
  <si>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</si>
  <si>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</si>
  <si>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</si>
  <si>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</si>
  <si>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</si>
  <si>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</si>
  <si>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</si>
  <si>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</si>
  <si>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</si>
  <si>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</si>
  <si>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</si>
  <si>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</si>
  <si>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</si>
  <si>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</si>
  <si>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</si>
  <si>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</si>
  <si>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</si>
  <si>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</si>
  <si>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</si>
  <si>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</si>
  <si>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</si>
  <si>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</si>
  <si>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</si>
  <si>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</si>
  <si>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</si>
  <si>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</si>
  <si>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</si>
  <si>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</si>
  <si>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</si>
  <si>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</si>
  <si>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</si>
  <si>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</si>
  <si>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</si>
  <si>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</si>
  <si>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</si>
  <si>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</si>
  <si>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</si>
  <si>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</si>
  <si>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</si>
  <si>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</si>
  <si>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</si>
  <si>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</si>
  <si>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</si>
  <si>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</si>
  <si>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</si>
  <si>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</si>
  <si>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</si>
  <si>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</si>
  <si>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</si>
  <si>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</si>
  <si>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</si>
  <si>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</si>
  <si>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</si>
  <si>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</si>
  <si>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</si>
  <si>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</si>
  <si>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</si>
  <si>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</si>
  <si>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</si>
  <si>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</si>
  <si>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</si>
  <si>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</si>
  <si>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</si>
  <si>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</si>
  <si>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</si>
  <si>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</si>
  <si>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</si>
  <si>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</si>
  <si>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</si>
  <si>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</si>
  <si>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</si>
  <si>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</si>
  <si>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</si>
  <si>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</si>
  <si>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</si>
  <si>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</si>
  <si>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</si>
  <si>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</si>
  <si>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</si>
  <si>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</si>
  <si>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</si>
  <si>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</si>
  <si>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</si>
  <si>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</si>
  <si>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</si>
  <si>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</si>
  <si>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</si>
  <si>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</si>
  <si>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</si>
  <si>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</si>
  <si>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</si>
  <si>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</si>
  <si>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</si>
  <si>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</si>
  <si>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</si>
  <si>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</si>
  <si>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</si>
  <si>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</si>
  <si>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</si>
  <si>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</si>
  <si>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</si>
  <si>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</si>
  <si>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</si>
  <si>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</si>
  <si>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</si>
  <si>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</si>
  <si>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</si>
  <si>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</si>
  <si>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</si>
  <si>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</si>
  <si>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</si>
  <si>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</si>
  <si>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</si>
  <si>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</si>
  <si>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</si>
  <si>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</si>
  <si>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</si>
  <si>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</si>
  <si>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</si>
  <si>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</si>
  <si>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</si>
  <si>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</si>
  <si>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</si>
  <si>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</si>
  <si>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</si>
  <si>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</si>
  <si>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</si>
  <si>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</si>
  <si>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</si>
  <si>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</si>
  <si>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</si>
  <si>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</si>
  <si>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</si>
  <si>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</si>
  <si>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</si>
  <si>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</si>
  <si>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</si>
  <si>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</si>
  <si>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</si>
  <si>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</si>
  <si>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</si>
  <si>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</si>
  <si>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</si>
  <si>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</si>
  <si>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</si>
  <si>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</si>
  <si>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</si>
  <si>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</si>
  <si>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</si>
  <si>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</si>
  <si>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</si>
  <si>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</si>
  <si>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</si>
  <si>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</si>
  <si>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</si>
  <si>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</si>
  <si>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</si>
  <si>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</si>
  <si>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</si>
  <si>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</si>
  <si>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</si>
  <si>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</si>
  <si>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</si>
  <si>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</si>
  <si>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</si>
  <si>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20230725 11:01:44</t>
  </si>
  <si>
    <t>11:01:44</t>
  </si>
  <si>
    <t>none</t>
  </si>
  <si>
    <t>0: Broadleaf</t>
  </si>
  <si>
    <t>10:54:37</t>
  </si>
  <si>
    <t>0/0</t>
  </si>
  <si>
    <t>00000000</t>
  </si>
  <si>
    <t>iiiiiiii</t>
  </si>
  <si>
    <t>off</t>
  </si>
  <si>
    <t>20230725 11:01:45</t>
  </si>
  <si>
    <t>11:01:45</t>
  </si>
  <si>
    <t>20230725 11:01:46</t>
  </si>
  <si>
    <t>11:01:46</t>
  </si>
  <si>
    <t>20230725 11:01:47</t>
  </si>
  <si>
    <t>11:01:47</t>
  </si>
  <si>
    <t>20230725 11:04:49</t>
  </si>
  <si>
    <t>11:04:49</t>
  </si>
  <si>
    <t>20230725 11:04:59</t>
  </si>
  <si>
    <t>11:04:59</t>
  </si>
  <si>
    <t>20230725 11:05:09</t>
  </si>
  <si>
    <t>11:05:09</t>
  </si>
  <si>
    <t>20230725 11:05:19</t>
  </si>
  <si>
    <t>11:05:19</t>
  </si>
  <si>
    <t>20230725 11:05:29</t>
  </si>
  <si>
    <t>11:05:29</t>
  </si>
  <si>
    <t>20230725 11:05:39</t>
  </si>
  <si>
    <t>11:05:39</t>
  </si>
  <si>
    <t>20230725 11:05:49</t>
  </si>
  <si>
    <t>11:05:49</t>
  </si>
  <si>
    <t>20230725 11:05:59</t>
  </si>
  <si>
    <t>11:05:59</t>
  </si>
  <si>
    <t>20230725 11:06:09</t>
  </si>
  <si>
    <t>11:06:09</t>
  </si>
  <si>
    <t>20230725 11:06:19</t>
  </si>
  <si>
    <t>11:06:19</t>
  </si>
  <si>
    <t>20230725 11:06:29</t>
  </si>
  <si>
    <t>11:06:29</t>
  </si>
  <si>
    <t>20230725 11:06:39</t>
  </si>
  <si>
    <t>11:06:39</t>
  </si>
  <si>
    <t>20230725 11:06:49</t>
  </si>
  <si>
    <t>11:06:49</t>
  </si>
  <si>
    <t>20230725 11:06:59</t>
  </si>
  <si>
    <t>11:06:59</t>
  </si>
  <si>
    <t>20230725 11:07:09</t>
  </si>
  <si>
    <t>11:07:09</t>
  </si>
  <si>
    <t>20230725 11:07:19</t>
  </si>
  <si>
    <t>11:07:19</t>
  </si>
  <si>
    <t>20230725 11:07:29</t>
  </si>
  <si>
    <t>11:07:29</t>
  </si>
  <si>
    <t>20230725 11:07:39</t>
  </si>
  <si>
    <t>11:07:39</t>
  </si>
  <si>
    <t>20230725 11:07:49</t>
  </si>
  <si>
    <t>11:07:49</t>
  </si>
  <si>
    <t>20230725 11:07:59</t>
  </si>
  <si>
    <t>11:07:59</t>
  </si>
  <si>
    <t>20230725 11:08:09</t>
  </si>
  <si>
    <t>11:08:09</t>
  </si>
  <si>
    <t>20230725 11:08:19</t>
  </si>
  <si>
    <t>11:08:19</t>
  </si>
  <si>
    <t>20230725 11:08:29</t>
  </si>
  <si>
    <t>11:08:29</t>
  </si>
  <si>
    <t>20230725 11:08:39</t>
  </si>
  <si>
    <t>11:08:39</t>
  </si>
  <si>
    <t>20230725 11:08:49</t>
  </si>
  <si>
    <t>11:08:49</t>
  </si>
  <si>
    <t>20230725 11:08:59</t>
  </si>
  <si>
    <t>11:08:59</t>
  </si>
  <si>
    <t>20230725 11:09:09</t>
  </si>
  <si>
    <t>11:09:09</t>
  </si>
  <si>
    <t>20230725 11:09:19</t>
  </si>
  <si>
    <t>11:09:19</t>
  </si>
  <si>
    <t>20230725 11:09:29</t>
  </si>
  <si>
    <t>11:09:29</t>
  </si>
  <si>
    <t>20230725 11:09:39</t>
  </si>
  <si>
    <t>11:09:39</t>
  </si>
  <si>
    <t>20230725 11:09:49</t>
  </si>
  <si>
    <t>11:09:49</t>
  </si>
  <si>
    <t>20230725 11:09:59</t>
  </si>
  <si>
    <t>11:09:59</t>
  </si>
  <si>
    <t>20230725 11:10:09</t>
  </si>
  <si>
    <t>11:10:09</t>
  </si>
  <si>
    <t>20230725 11:10:19</t>
  </si>
  <si>
    <t>11:10:19</t>
  </si>
  <si>
    <t>20230725 11:10:29</t>
  </si>
  <si>
    <t>11:10:29</t>
  </si>
  <si>
    <t>20230725 11:10:39</t>
  </si>
  <si>
    <t>11:10:39</t>
  </si>
  <si>
    <t>20230725 11:10:49</t>
  </si>
  <si>
    <t>11:10:49</t>
  </si>
  <si>
    <t>20230725 11:10:59</t>
  </si>
  <si>
    <t>11:10:59</t>
  </si>
  <si>
    <t>20230725 11:11:09</t>
  </si>
  <si>
    <t>11:11:09</t>
  </si>
  <si>
    <t>20230725 11:11:19</t>
  </si>
  <si>
    <t>11:11:19</t>
  </si>
  <si>
    <t>20230725 11:11:29</t>
  </si>
  <si>
    <t>11:11:29</t>
  </si>
  <si>
    <t>20230725 11:11:39</t>
  </si>
  <si>
    <t>11:11:39</t>
  </si>
  <si>
    <t>20230725 11:11:49</t>
  </si>
  <si>
    <t>11:11:49</t>
  </si>
  <si>
    <t>20230725 11:11:59</t>
  </si>
  <si>
    <t>11:11:59</t>
  </si>
  <si>
    <t>20230725 11:12:09</t>
  </si>
  <si>
    <t>11:12:09</t>
  </si>
  <si>
    <t>20230725 11:12:19</t>
  </si>
  <si>
    <t>11:12:19</t>
  </si>
  <si>
    <t>20230725 11:12:29</t>
  </si>
  <si>
    <t>11:12:29</t>
  </si>
  <si>
    <t>20230725 11:12:39</t>
  </si>
  <si>
    <t>11:12:39</t>
  </si>
  <si>
    <t>20230725 11:12:49</t>
  </si>
  <si>
    <t>11:12:49</t>
  </si>
  <si>
    <t>20230725 11:12:59</t>
  </si>
  <si>
    <t>11:12:59</t>
  </si>
  <si>
    <t>20230725 11:13:09</t>
  </si>
  <si>
    <t>11:13:09</t>
  </si>
  <si>
    <t>20230725 11:13:19</t>
  </si>
  <si>
    <t>11:13:19</t>
  </si>
  <si>
    <t>20230725 11:13:29</t>
  </si>
  <si>
    <t>11:13:29</t>
  </si>
  <si>
    <t>20230725 11:13:39</t>
  </si>
  <si>
    <t>11:13:39</t>
  </si>
  <si>
    <t>20230725 11:13:49</t>
  </si>
  <si>
    <t>11:13:49</t>
  </si>
  <si>
    <t>20230725 11:13:59</t>
  </si>
  <si>
    <t>11:13:59</t>
  </si>
  <si>
    <t>20230725 11:14:09</t>
  </si>
  <si>
    <t>11:14:09</t>
  </si>
  <si>
    <t>20230725 11:14:19</t>
  </si>
  <si>
    <t>11:14:19</t>
  </si>
  <si>
    <t>20230725 11:14:29</t>
  </si>
  <si>
    <t>11:14:29</t>
  </si>
  <si>
    <t>20230725 11:14:39</t>
  </si>
  <si>
    <t>11:14:39</t>
  </si>
  <si>
    <t>20230725 11:14:49</t>
  </si>
  <si>
    <t>11:14:49</t>
  </si>
  <si>
    <t>20230725 11:14:59</t>
  </si>
  <si>
    <t>11:14:59</t>
  </si>
  <si>
    <t>20230725 11:15:09</t>
  </si>
  <si>
    <t>11:15:09</t>
  </si>
  <si>
    <t>20230725 11:15:19</t>
  </si>
  <si>
    <t>11:15:19</t>
  </si>
  <si>
    <t>20230725 11:15:29</t>
  </si>
  <si>
    <t>11:15:29</t>
  </si>
  <si>
    <t>20230725 11:15:39</t>
  </si>
  <si>
    <t>11:15:39</t>
  </si>
  <si>
    <t>20230725 11:15:49</t>
  </si>
  <si>
    <t>11:15:49</t>
  </si>
  <si>
    <t>20230725 11:15:59</t>
  </si>
  <si>
    <t>11:15:59</t>
  </si>
  <si>
    <t>20230725 11:16:09</t>
  </si>
  <si>
    <t>11:16:09</t>
  </si>
  <si>
    <t>20230725 11:16:19</t>
  </si>
  <si>
    <t>11:16:19</t>
  </si>
  <si>
    <t>20230725 11:16:29</t>
  </si>
  <si>
    <t>11:16:29</t>
  </si>
  <si>
    <t>20230725 11:16:39</t>
  </si>
  <si>
    <t>11:16:39</t>
  </si>
  <si>
    <t>20230725 11:16:49</t>
  </si>
  <si>
    <t>11:16:49</t>
  </si>
  <si>
    <t>20230725 11:16:59</t>
  </si>
  <si>
    <t>11:16:59</t>
  </si>
  <si>
    <t>20230725 11:17:09</t>
  </si>
  <si>
    <t>11:17:09</t>
  </si>
  <si>
    <t>20230725 11:17:19</t>
  </si>
  <si>
    <t>11:17:19</t>
  </si>
  <si>
    <t>20230725 11:17:29</t>
  </si>
  <si>
    <t>11:17:29</t>
  </si>
  <si>
    <t>20230725 11:17:39</t>
  </si>
  <si>
    <t>11:17:39</t>
  </si>
  <si>
    <t>20230725 11:17:49</t>
  </si>
  <si>
    <t>11:17:49</t>
  </si>
  <si>
    <t>20230725 11:17:59</t>
  </si>
  <si>
    <t>11:17:59</t>
  </si>
  <si>
    <t>20230725 11:18:09</t>
  </si>
  <si>
    <t>11:18:09</t>
  </si>
  <si>
    <t>20230725 11:18:19</t>
  </si>
  <si>
    <t>11:18:19</t>
  </si>
  <si>
    <t>20230725 11:18:29</t>
  </si>
  <si>
    <t>11:18:29</t>
  </si>
  <si>
    <t>20230725 11:18:39</t>
  </si>
  <si>
    <t>11:18:39</t>
  </si>
  <si>
    <t>20230725 11:18:49</t>
  </si>
  <si>
    <t>11:18:49</t>
  </si>
  <si>
    <t>20230725 11:18:59</t>
  </si>
  <si>
    <t>11:18:59</t>
  </si>
  <si>
    <t>20230725 11:19:09</t>
  </si>
  <si>
    <t>11:19:09</t>
  </si>
  <si>
    <t>20230725 11:19:19</t>
  </si>
  <si>
    <t>11:19:19</t>
  </si>
  <si>
    <t>20230725 11:19:29</t>
  </si>
  <si>
    <t>11:19:29</t>
  </si>
  <si>
    <t>20230725 11:19:39</t>
  </si>
  <si>
    <t>11:19:39</t>
  </si>
  <si>
    <t>20230725 11:19:49</t>
  </si>
  <si>
    <t>11:19:49</t>
  </si>
  <si>
    <t>20230725 11:19:59</t>
  </si>
  <si>
    <t>11:19:59</t>
  </si>
  <si>
    <t>20230725 11:20:09</t>
  </si>
  <si>
    <t>11:20:09</t>
  </si>
  <si>
    <t>20230725 11:20:19</t>
  </si>
  <si>
    <t>11:20:19</t>
  </si>
  <si>
    <t>20230725 11:20:29</t>
  </si>
  <si>
    <t>11:20:29</t>
  </si>
  <si>
    <t>20230725 11:20:39</t>
  </si>
  <si>
    <t>11:20:39</t>
  </si>
  <si>
    <t>20230725 11:20:49</t>
  </si>
  <si>
    <t>11:20:49</t>
  </si>
  <si>
    <t>20230725 11:20:59</t>
  </si>
  <si>
    <t>11:20:59</t>
  </si>
  <si>
    <t>20230725 11:21:09</t>
  </si>
  <si>
    <t>11:21:09</t>
  </si>
  <si>
    <t>20230725 11:21:19</t>
  </si>
  <si>
    <t>11:21:19</t>
  </si>
  <si>
    <t>20230725 11:21:29</t>
  </si>
  <si>
    <t>11:21:29</t>
  </si>
  <si>
    <t>20230725 11:21:39</t>
  </si>
  <si>
    <t>11:21:39</t>
  </si>
  <si>
    <t>20230725 11:21:49</t>
  </si>
  <si>
    <t>11:21:49</t>
  </si>
  <si>
    <t>20230725 11:21:59</t>
  </si>
  <si>
    <t>11:21:59</t>
  </si>
  <si>
    <t>20230725 11:22:09</t>
  </si>
  <si>
    <t>11:22:09</t>
  </si>
  <si>
    <t>20230725 11:22:19</t>
  </si>
  <si>
    <t>11:22:19</t>
  </si>
  <si>
    <t>20230725 11:22:29</t>
  </si>
  <si>
    <t>11:22:29</t>
  </si>
  <si>
    <t>20230725 11:22:39</t>
  </si>
  <si>
    <t>11:22:39</t>
  </si>
  <si>
    <t>20230725 11:22:49</t>
  </si>
  <si>
    <t>11:22:49</t>
  </si>
  <si>
    <t>20230725 11:22:59</t>
  </si>
  <si>
    <t>11:22:59</t>
  </si>
  <si>
    <t>20230725 11:23:09</t>
  </si>
  <si>
    <t>11:23:09</t>
  </si>
  <si>
    <t>20230725 11:23:19</t>
  </si>
  <si>
    <t>11:23:19</t>
  </si>
  <si>
    <t>20230725 11:23:29</t>
  </si>
  <si>
    <t>11:23:29</t>
  </si>
  <si>
    <t>20230725 11:23:39</t>
  </si>
  <si>
    <t>11:23:39</t>
  </si>
  <si>
    <t>20230725 11:23:49</t>
  </si>
  <si>
    <t>11:23:49</t>
  </si>
  <si>
    <t>20230725 11:23:59</t>
  </si>
  <si>
    <t>11:23:59</t>
  </si>
  <si>
    <t>20230725 11:24:09</t>
  </si>
  <si>
    <t>11:24:09</t>
  </si>
  <si>
    <t>20230725 11:24:19</t>
  </si>
  <si>
    <t>11:24:19</t>
  </si>
  <si>
    <t>20230725 11:24:29</t>
  </si>
  <si>
    <t>11:24:29</t>
  </si>
  <si>
    <t>20230725 11:24:39</t>
  </si>
  <si>
    <t>11:24:39</t>
  </si>
  <si>
    <t>20230725 11:24:49</t>
  </si>
  <si>
    <t>11:24:49</t>
  </si>
  <si>
    <t>20230725 11:24:59</t>
  </si>
  <si>
    <t>11:24:59</t>
  </si>
  <si>
    <t>20230725 11:25:09</t>
  </si>
  <si>
    <t>11:25:09</t>
  </si>
  <si>
    <t>20230725 11:25:19</t>
  </si>
  <si>
    <t>11:25:19</t>
  </si>
  <si>
    <t>20230725 11:25:29</t>
  </si>
  <si>
    <t>11:25:29</t>
  </si>
  <si>
    <t>20230725 11:25:39</t>
  </si>
  <si>
    <t>11:25:39</t>
  </si>
  <si>
    <t>20230725 11:25:49</t>
  </si>
  <si>
    <t>11:25:49</t>
  </si>
  <si>
    <t>20230725 11:25:59</t>
  </si>
  <si>
    <t>11:25:59</t>
  </si>
  <si>
    <t>20230725 11:26:09</t>
  </si>
  <si>
    <t>11:26:09</t>
  </si>
  <si>
    <t>20230725 11:26:19</t>
  </si>
  <si>
    <t>11:26:19</t>
  </si>
  <si>
    <t>20230725 11:26:29</t>
  </si>
  <si>
    <t>11:26:29</t>
  </si>
  <si>
    <t>20230725 11:26:39</t>
  </si>
  <si>
    <t>11:26:39</t>
  </si>
  <si>
    <t>20230725 11:26:49</t>
  </si>
  <si>
    <t>11:26:49</t>
  </si>
  <si>
    <t>20230725 11:26:59</t>
  </si>
  <si>
    <t>11:26:59</t>
  </si>
  <si>
    <t>20230725 11:27:09</t>
  </si>
  <si>
    <t>11:27:09</t>
  </si>
  <si>
    <t>20230725 11:27:19</t>
  </si>
  <si>
    <t>11:27:19</t>
  </si>
  <si>
    <t>20230725 11:27:29</t>
  </si>
  <si>
    <t>11:27:29</t>
  </si>
  <si>
    <t>20230725 11:27:39</t>
  </si>
  <si>
    <t>11:27:39</t>
  </si>
  <si>
    <t>20230725 11:27:49</t>
  </si>
  <si>
    <t>11:27:49</t>
  </si>
  <si>
    <t>20230725 11:27:59</t>
  </si>
  <si>
    <t>11:27:59</t>
  </si>
  <si>
    <t>20230725 11:28:09</t>
  </si>
  <si>
    <t>11:28:09</t>
  </si>
  <si>
    <t>20230725 11:28:19</t>
  </si>
  <si>
    <t>11:28:19</t>
  </si>
  <si>
    <t>20230725 11:28:29</t>
  </si>
  <si>
    <t>11:28:29</t>
  </si>
  <si>
    <t>20230725 11:28:39</t>
  </si>
  <si>
    <t>11:28:39</t>
  </si>
  <si>
    <t>20230725 11:28:49</t>
  </si>
  <si>
    <t>11:28:49</t>
  </si>
  <si>
    <t>20230725 11:28:59</t>
  </si>
  <si>
    <t>11:28:59</t>
  </si>
  <si>
    <t>20230725 11:29:09</t>
  </si>
  <si>
    <t>11:29:09</t>
  </si>
  <si>
    <t>20230725 11:29:19</t>
  </si>
  <si>
    <t>11:29:19</t>
  </si>
  <si>
    <t>20230725 11:29:29</t>
  </si>
  <si>
    <t>11:29:29</t>
  </si>
  <si>
    <t>20230725 11:29:39</t>
  </si>
  <si>
    <t>11:29:39</t>
  </si>
  <si>
    <t>20230725 11:29:49</t>
  </si>
  <si>
    <t>11:29:49</t>
  </si>
  <si>
    <t>20230725 11:29:59</t>
  </si>
  <si>
    <t>11:29:59</t>
  </si>
  <si>
    <t>20230725 11:30:09</t>
  </si>
  <si>
    <t>11:30:09</t>
  </si>
  <si>
    <t>20230725 11:30:19</t>
  </si>
  <si>
    <t>11:30:19</t>
  </si>
  <si>
    <t>20230725 11:30:29</t>
  </si>
  <si>
    <t>11:30:29</t>
  </si>
  <si>
    <t>20230725 11:30:39</t>
  </si>
  <si>
    <t>11:30:39</t>
  </si>
  <si>
    <t>20230725 11:30:49</t>
  </si>
  <si>
    <t>11:30:49</t>
  </si>
  <si>
    <t>20230725 11:30:59</t>
  </si>
  <si>
    <t>11:30:59</t>
  </si>
  <si>
    <t>20230725 11:31:09</t>
  </si>
  <si>
    <t>11:31:09</t>
  </si>
  <si>
    <t>20230725 11:31:19</t>
  </si>
  <si>
    <t>11:31:19</t>
  </si>
  <si>
    <t>20230725 11:31:29</t>
  </si>
  <si>
    <t>11:31:29</t>
  </si>
  <si>
    <t>20230725 11:31:39</t>
  </si>
  <si>
    <t>11:31:39</t>
  </si>
  <si>
    <t>20230725 11:31:49</t>
  </si>
  <si>
    <t>11:31:49</t>
  </si>
  <si>
    <t>20230725 11:31:59</t>
  </si>
  <si>
    <t>11:31:59</t>
  </si>
  <si>
    <t>20230725 11:32:09</t>
  </si>
  <si>
    <t>11:32:09</t>
  </si>
  <si>
    <t>20230725 11:32:19</t>
  </si>
  <si>
    <t>11:32:19</t>
  </si>
  <si>
    <t>20230725 11:32:29</t>
  </si>
  <si>
    <t>11:32:29</t>
  </si>
  <si>
    <t>20230725 11:32:39</t>
  </si>
  <si>
    <t>11:32:39</t>
  </si>
  <si>
    <t>20230725 11:32:49</t>
  </si>
  <si>
    <t>11:32:49</t>
  </si>
  <si>
    <t>20230725 11:32:59</t>
  </si>
  <si>
    <t>11:32:59</t>
  </si>
  <si>
    <t>20230725 11:33:09</t>
  </si>
  <si>
    <t>11:33:09</t>
  </si>
  <si>
    <t>20230725 11:33:19</t>
  </si>
  <si>
    <t>11:33:19</t>
  </si>
  <si>
    <t>20230725 11:33:29</t>
  </si>
  <si>
    <t>11:33:29</t>
  </si>
  <si>
    <t>20230725 11:33:39</t>
  </si>
  <si>
    <t>11:33:39</t>
  </si>
  <si>
    <t>20230725 11:33:49</t>
  </si>
  <si>
    <t>11:33:49</t>
  </si>
  <si>
    <t>20230725 11:33:59</t>
  </si>
  <si>
    <t>11:33:59</t>
  </si>
  <si>
    <t>20230725 11:34:09</t>
  </si>
  <si>
    <t>11:34:09</t>
  </si>
  <si>
    <t>20230725 11:34:19</t>
  </si>
  <si>
    <t>11:34:19</t>
  </si>
  <si>
    <t>20230725 11:34:29</t>
  </si>
  <si>
    <t>11:34:29</t>
  </si>
  <si>
    <t>20230725 11:34:39</t>
  </si>
  <si>
    <t>11:34:39</t>
  </si>
  <si>
    <t>20230725 11:34:49</t>
  </si>
  <si>
    <t>11:34:49</t>
  </si>
  <si>
    <t>20230725 11:34:59</t>
  </si>
  <si>
    <t>11:34:59</t>
  </si>
  <si>
    <t>20230725 11:35:09</t>
  </si>
  <si>
    <t>11:35:09</t>
  </si>
  <si>
    <t>20230725 11:35:19</t>
  </si>
  <si>
    <t>11:35:19</t>
  </si>
  <si>
    <t>20230725 11:35:29</t>
  </si>
  <si>
    <t>11:35:29</t>
  </si>
  <si>
    <t>20230725 11:35:39</t>
  </si>
  <si>
    <t>11:35:39</t>
  </si>
  <si>
    <t>20230725 11:35:49</t>
  </si>
  <si>
    <t>11:35:49</t>
  </si>
  <si>
    <t>20230725 11:35:59</t>
  </si>
  <si>
    <t>11:35:59</t>
  </si>
  <si>
    <t>20230725 11:36:09</t>
  </si>
  <si>
    <t>11:36:09</t>
  </si>
  <si>
    <t>20230725 11:36:19</t>
  </si>
  <si>
    <t>11:36:19</t>
  </si>
  <si>
    <t>20230725 11:36:29</t>
  </si>
  <si>
    <t>11:36:29</t>
  </si>
  <si>
    <t>20230725 11:36:39</t>
  </si>
  <si>
    <t>11:36:39</t>
  </si>
  <si>
    <t>20230725 11:36:49</t>
  </si>
  <si>
    <t>11:36:49</t>
  </si>
  <si>
    <t>20230725 11:36:59</t>
  </si>
  <si>
    <t>11:36:59</t>
  </si>
  <si>
    <t>20230725 11:37:09</t>
  </si>
  <si>
    <t>11:37:09</t>
  </si>
  <si>
    <t>20230725 11:37:19</t>
  </si>
  <si>
    <t>11:37:19</t>
  </si>
  <si>
    <t>20230725 11:37:29</t>
  </si>
  <si>
    <t>11:37:29</t>
  </si>
  <si>
    <t>20230725 11:37:39</t>
  </si>
  <si>
    <t>11:37:39</t>
  </si>
  <si>
    <t>20230725 11:37:49</t>
  </si>
  <si>
    <t>11:37:49</t>
  </si>
  <si>
    <t>20230725 11:37:59</t>
  </si>
  <si>
    <t>11:37:59</t>
  </si>
  <si>
    <t>20230725 11:38:09</t>
  </si>
  <si>
    <t>11:38:09</t>
  </si>
  <si>
    <t>20230725 11:38:19</t>
  </si>
  <si>
    <t>11:38:19</t>
  </si>
  <si>
    <t>20230725 11:38:29</t>
  </si>
  <si>
    <t>11:38:29</t>
  </si>
  <si>
    <t>20230725 11:38:39</t>
  </si>
  <si>
    <t>11:38:39</t>
  </si>
  <si>
    <t>20230725 11:38:49</t>
  </si>
  <si>
    <t>11:38:49</t>
  </si>
  <si>
    <t>20230725 11:38:59</t>
  </si>
  <si>
    <t>11:38:59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</si>
</sst>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7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1690300904</v>
      </c>
      <c r="C17">
        <v>0</v>
      </c>
      <c r="D17" t="s">
        <v>328</v>
      </c>
      <c r="E17" t="s">
        <v>329</v>
      </c>
      <c r="F17" t="s">
        <v>330</v>
      </c>
      <c r="H17">
        <v>1690300904</v>
      </c>
      <c r="I17">
        <f t="shared" ref="I17:I80" si="0">(J17)/1000</f>
        <v>1.3951246065819356E-4</v>
      </c>
      <c r="J17">
        <f t="shared" ref="J17:J80" si="1">1000*AZ17*AH17*(AV17-AW17)/(100*AO17*(1000-AH17*AV17))</f>
        <v>0.13951246065819356</v>
      </c>
      <c r="K17">
        <f t="shared" ref="K17:K80" si="2">AZ17*AH17*(AU17-AT17*(1000-AH17*AW17)/(1000-AH17*AV17))/(100*AO17)</f>
        <v>-0.84516089163480712</v>
      </c>
      <c r="L17">
        <f t="shared" ref="L17:L80" si="3">AT17 - IF(AH17&gt;1, K17*AO17*100/(AJ17*BH17), 0)</f>
        <v>807.96400000000006</v>
      </c>
      <c r="M17">
        <f t="shared" ref="M17:M80" si="4">((S17-I17/2)*L17-K17)/(S17+I17/2)</f>
        <v>914.14946706136993</v>
      </c>
      <c r="N17">
        <f t="shared" ref="N17:N80" si="5">M17*(BA17+BB17)/1000</f>
        <v>90.879543075521156</v>
      </c>
      <c r="O17">
        <f t="shared" ref="O17:O80" si="6">(AT17 - IF(AH17&gt;1, K17*AO17*100/(AJ17*BH17), 0))*(BA17+BB17)/1000</f>
        <v>80.323187604660006</v>
      </c>
      <c r="P17">
        <f t="shared" ref="P17:P80" si="7">2/((1/R17-1/Q17)+SIGN(R17)*SQRT((1/R17-1/Q17)*(1/R17-1/Q17) + 4*AP17/((AP17+1)*(AP17+1))*(2*1/R17*1/Q17-1/Q17*1/Q17)))</f>
        <v>1.0951656849867472E-2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2.1168261420617833</v>
      </c>
      <c r="R17">
        <f t="shared" ref="R17:R80" si="9">I17*(1000-(1000*0.61365*EXP(17.502*V17/(240.97+V17))/(BA17+BB17)+AV17)/2)/(1000*0.61365*EXP(17.502*V17/(240.97+V17))/(BA17+BB17)-AV17)</f>
        <v>1.0920276619446329E-2</v>
      </c>
      <c r="S17">
        <f t="shared" ref="S17:S80" si="10">1/((AP17+1)/(P17/1.6)+1/(Q17/1.37)) + AP17/((AP17+1)/(P17/1.6) + AP17/(Q17/1.37))</f>
        <v>6.8279847331142018E-3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26.864172419845705</v>
      </c>
      <c r="V17">
        <f t="shared" ref="V17:V80" si="13">($C$7*BD17+$D$7*BE17+$E$7*U17)</f>
        <v>26.864172419845705</v>
      </c>
      <c r="W17">
        <f t="shared" ref="W17:W80" si="14">0.61365*EXP(17.502*V17/(240.97+V17))</f>
        <v>3.5507062044285154</v>
      </c>
      <c r="X17">
        <f t="shared" ref="X17:X80" si="15">(Y17/Z17*100)</f>
        <v>65.09875986814319</v>
      </c>
      <c r="Y17">
        <f t="shared" ref="Y17:Y80" si="16">AV17*(BA17+BB17)/1000</f>
        <v>2.3181231143069998</v>
      </c>
      <c r="Z17">
        <f t="shared" ref="Z17:Z80" si="17">0.61365*EXP(17.502*BC17/(240.97+BC17))</f>
        <v>3.5609328334400407</v>
      </c>
      <c r="AA17">
        <f t="shared" ref="AA17:AA80" si="18">(W17-AV17*(BA17+BB17)/1000)</f>
        <v>1.2325830901215156</v>
      </c>
      <c r="AB17">
        <f t="shared" ref="AB17:AB80" si="19">(-I17*44100)</f>
        <v>-6.152499515026336</v>
      </c>
      <c r="AC17">
        <f t="shared" ref="AC17:AC80" si="20">2*29.3*Q17*0.92*(BC17-V17)</f>
        <v>5.5837294959705304</v>
      </c>
      <c r="AD17">
        <f t="shared" ref="AD17:AD80" si="21">2*0.95*0.0000000567*(((BC17+$B$7)+273)^4-(V17+273)^4)</f>
        <v>0.56863085117200085</v>
      </c>
      <c r="AE17">
        <f t="shared" ref="AE17:AE80" si="22">T17+AD17+AB17+AC17</f>
        <v>-1.3916788380452516E-4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52510.914202960186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32.700000000000003</v>
      </c>
      <c r="AP17">
        <v>0.5</v>
      </c>
      <c r="AQ17" t="s">
        <v>331</v>
      </c>
      <c r="AR17">
        <v>2</v>
      </c>
      <c r="AS17">
        <v>1690300904</v>
      </c>
      <c r="AT17">
        <v>807.96400000000006</v>
      </c>
      <c r="AU17">
        <v>799.98699999999997</v>
      </c>
      <c r="AV17">
        <v>23.317799999999998</v>
      </c>
      <c r="AW17">
        <v>21.8338</v>
      </c>
      <c r="AX17">
        <v>808.28499999999997</v>
      </c>
      <c r="AY17">
        <v>23.036200000000001</v>
      </c>
      <c r="AZ17">
        <v>300.24799999999999</v>
      </c>
      <c r="BA17">
        <v>99.314300000000003</v>
      </c>
      <c r="BB17">
        <v>0.10001500000000001</v>
      </c>
      <c r="BC17">
        <v>26.9131</v>
      </c>
      <c r="BD17">
        <v>27.085100000000001</v>
      </c>
      <c r="BE17">
        <v>26.935099999999998</v>
      </c>
      <c r="BF17">
        <v>0</v>
      </c>
      <c r="BG17">
        <v>0</v>
      </c>
      <c r="BH17">
        <v>9996.25</v>
      </c>
      <c r="BI17">
        <v>0.66420599999999996</v>
      </c>
      <c r="BJ17">
        <v>1.7380500000000001</v>
      </c>
      <c r="BK17">
        <v>7.9775999999999998</v>
      </c>
      <c r="BL17">
        <v>827.25400000000002</v>
      </c>
      <c r="BM17">
        <v>817.84299999999996</v>
      </c>
      <c r="BN17">
        <v>1.4839199999999999</v>
      </c>
      <c r="BO17">
        <v>799.98699999999997</v>
      </c>
      <c r="BP17">
        <v>21.8338</v>
      </c>
      <c r="BQ17">
        <v>2.3157899999999998</v>
      </c>
      <c r="BR17">
        <v>2.1684100000000002</v>
      </c>
      <c r="BS17">
        <v>19.7866</v>
      </c>
      <c r="BT17">
        <v>18.730799999999999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1690300477.5</v>
      </c>
      <c r="CC17" t="s">
        <v>332</v>
      </c>
      <c r="CD17">
        <v>1690300477.5</v>
      </c>
      <c r="CE17">
        <v>1690300465.5</v>
      </c>
      <c r="CF17">
        <v>7</v>
      </c>
      <c r="CG17">
        <v>5.0999999999999997E-2</v>
      </c>
      <c r="CH17">
        <v>-8.0000000000000002E-3</v>
      </c>
      <c r="CI17">
        <v>-0.316</v>
      </c>
      <c r="CJ17">
        <v>0.28199999999999997</v>
      </c>
      <c r="CK17">
        <v>800</v>
      </c>
      <c r="CL17">
        <v>24</v>
      </c>
      <c r="CM17">
        <v>0.25</v>
      </c>
      <c r="CN17">
        <v>0.13</v>
      </c>
      <c r="CO17">
        <v>7.91807675</v>
      </c>
      <c r="CP17">
        <v>0.4741723452157442</v>
      </c>
      <c r="CQ17">
        <v>6.3024639562138773E-2</v>
      </c>
      <c r="CR17">
        <v>-1</v>
      </c>
      <c r="CS17">
        <v>1.4983967499999999</v>
      </c>
      <c r="CT17">
        <v>-5.0442213883679712E-2</v>
      </c>
      <c r="CU17">
        <v>6.4360226023142597E-3</v>
      </c>
      <c r="CV17">
        <v>-1</v>
      </c>
      <c r="CW17">
        <v>0</v>
      </c>
      <c r="CX17">
        <v>0</v>
      </c>
      <c r="CY17" t="s">
        <v>333</v>
      </c>
      <c r="CZ17">
        <v>2.3647200000000002</v>
      </c>
      <c r="DA17">
        <v>2.7138</v>
      </c>
      <c r="DB17">
        <v>0.148119</v>
      </c>
      <c r="DC17">
        <v>0.14677100000000001</v>
      </c>
      <c r="DD17">
        <v>0.11156099999999999</v>
      </c>
      <c r="DE17">
        <v>0.10526000000000001</v>
      </c>
      <c r="DF17">
        <v>31114.5</v>
      </c>
      <c r="DG17">
        <v>27511.200000000001</v>
      </c>
      <c r="DH17">
        <v>31180.5</v>
      </c>
      <c r="DI17">
        <v>28095.200000000001</v>
      </c>
      <c r="DJ17">
        <v>37612.6</v>
      </c>
      <c r="DK17">
        <v>35744.9</v>
      </c>
      <c r="DL17">
        <v>44374.9</v>
      </c>
      <c r="DM17">
        <v>42585.1</v>
      </c>
      <c r="DN17">
        <v>1.46767</v>
      </c>
      <c r="DO17">
        <v>2.0657999999999999</v>
      </c>
      <c r="DP17">
        <v>8.6627899999999994E-2</v>
      </c>
      <c r="DQ17">
        <v>7.2359999999999994E-2</v>
      </c>
      <c r="DR17">
        <v>25.666899999999998</v>
      </c>
      <c r="DS17">
        <v>25.750399999999999</v>
      </c>
      <c r="DT17">
        <v>56.3</v>
      </c>
      <c r="DU17">
        <v>29.2</v>
      </c>
      <c r="DV17">
        <v>23.0639</v>
      </c>
      <c r="DW17">
        <v>61.384700000000002</v>
      </c>
      <c r="DX17">
        <v>34.8718</v>
      </c>
      <c r="DY17">
        <v>1</v>
      </c>
      <c r="DZ17">
        <v>-9.4438499999999995E-2</v>
      </c>
      <c r="EA17">
        <v>-0.81797900000000001</v>
      </c>
      <c r="EB17">
        <v>20.302399999999999</v>
      </c>
      <c r="EC17">
        <v>5.2411000000000003</v>
      </c>
      <c r="ED17">
        <v>12.039899999999999</v>
      </c>
      <c r="EE17">
        <v>5.0174000000000003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</v>
      </c>
      <c r="EM17">
        <v>1.8691899999999999</v>
      </c>
      <c r="EN17">
        <v>1.8672200000000001</v>
      </c>
      <c r="EO17">
        <v>1.86331</v>
      </c>
      <c r="EP17">
        <v>1.86446</v>
      </c>
      <c r="EQ17">
        <v>1.8701300000000001</v>
      </c>
      <c r="ER17">
        <v>1.86937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-0.32100000000000001</v>
      </c>
      <c r="FG17">
        <v>0.28160000000000002</v>
      </c>
      <c r="FH17">
        <v>0.23539598422606861</v>
      </c>
      <c r="FI17">
        <v>-6.1462078757559423E-4</v>
      </c>
      <c r="FJ17">
        <v>-1.8861989874597051E-7</v>
      </c>
      <c r="FK17">
        <v>1.1980462299894961E-10</v>
      </c>
      <c r="FL17">
        <v>0.28151999999999688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7.1</v>
      </c>
      <c r="FU17">
        <v>7.3</v>
      </c>
      <c r="FV17">
        <v>1.79565</v>
      </c>
      <c r="FW17">
        <v>2.5878899999999998</v>
      </c>
      <c r="FX17">
        <v>1.5490699999999999</v>
      </c>
      <c r="FY17">
        <v>2.3290999999999999</v>
      </c>
      <c r="FZ17">
        <v>1.50146</v>
      </c>
      <c r="GA17">
        <v>2.32422</v>
      </c>
      <c r="GB17">
        <v>33.580399999999997</v>
      </c>
      <c r="GC17">
        <v>24.017499999999998</v>
      </c>
      <c r="GD17">
        <v>19</v>
      </c>
      <c r="GE17">
        <v>278.98399999999998</v>
      </c>
      <c r="GF17">
        <v>606.91200000000003</v>
      </c>
      <c r="GG17">
        <v>28.336600000000001</v>
      </c>
      <c r="GH17">
        <v>26.230599999999999</v>
      </c>
      <c r="GI17">
        <v>30.0002</v>
      </c>
      <c r="GJ17">
        <v>26.287400000000002</v>
      </c>
      <c r="GK17">
        <v>26.2577</v>
      </c>
      <c r="GL17">
        <v>35.892600000000002</v>
      </c>
      <c r="GM17">
        <v>14.8149</v>
      </c>
      <c r="GN17">
        <v>100</v>
      </c>
      <c r="GO17">
        <v>28.29</v>
      </c>
      <c r="GP17">
        <v>800</v>
      </c>
      <c r="GQ17">
        <v>21.796500000000002</v>
      </c>
      <c r="GR17">
        <v>99.767099999999999</v>
      </c>
      <c r="GS17">
        <v>99.619100000000003</v>
      </c>
    </row>
    <row r="18" spans="1:201" x14ac:dyDescent="0.25">
      <c r="A18">
        <v>2</v>
      </c>
      <c r="B18">
        <v>1690300905</v>
      </c>
      <c r="C18">
        <v>1</v>
      </c>
      <c r="D18" t="s">
        <v>337</v>
      </c>
      <c r="E18" t="s">
        <v>338</v>
      </c>
      <c r="F18" t="s">
        <v>330</v>
      </c>
      <c r="H18">
        <v>1690300905</v>
      </c>
      <c r="I18">
        <f t="shared" si="0"/>
        <v>1.3943662181747747E-4</v>
      </c>
      <c r="J18">
        <f t="shared" si="1"/>
        <v>0.13943662181747746</v>
      </c>
      <c r="K18">
        <f t="shared" si="2"/>
        <v>-0.84830111457463042</v>
      </c>
      <c r="L18">
        <f t="shared" si="3"/>
        <v>808.00099999999998</v>
      </c>
      <c r="M18">
        <f t="shared" si="4"/>
        <v>914.64329185026759</v>
      </c>
      <c r="N18">
        <f t="shared" si="5"/>
        <v>90.928265898106247</v>
      </c>
      <c r="O18">
        <f t="shared" si="6"/>
        <v>80.326538693909995</v>
      </c>
      <c r="P18">
        <f t="shared" si="7"/>
        <v>1.0952430836235882E-2</v>
      </c>
      <c r="Q18">
        <f t="shared" si="8"/>
        <v>2.114447131461457</v>
      </c>
      <c r="R18">
        <f t="shared" si="9"/>
        <v>1.0921010974856257E-2</v>
      </c>
      <c r="S18">
        <f t="shared" si="10"/>
        <v>6.8284472474830962E-3</v>
      </c>
      <c r="T18">
        <f t="shared" si="11"/>
        <v>0</v>
      </c>
      <c r="U18">
        <f t="shared" si="12"/>
        <v>26.860048902986836</v>
      </c>
      <c r="V18">
        <f t="shared" si="13"/>
        <v>26.860048902986836</v>
      </c>
      <c r="W18">
        <f t="shared" si="14"/>
        <v>3.5498454976161655</v>
      </c>
      <c r="X18">
        <f t="shared" si="15"/>
        <v>65.11139042276416</v>
      </c>
      <c r="Y18">
        <f t="shared" si="16"/>
        <v>2.318014256688</v>
      </c>
      <c r="Z18">
        <f t="shared" si="17"/>
        <v>3.5600748834225153</v>
      </c>
      <c r="AA18">
        <f t="shared" si="18"/>
        <v>1.2318312409281655</v>
      </c>
      <c r="AB18">
        <f t="shared" si="19"/>
        <v>-6.1491550221507563</v>
      </c>
      <c r="AC18">
        <f t="shared" si="20"/>
        <v>5.5801349631279482</v>
      </c>
      <c r="AD18">
        <f t="shared" si="21"/>
        <v>0.56888076114277597</v>
      </c>
      <c r="AE18">
        <f t="shared" si="22"/>
        <v>-1.3929788003252952E-4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52407.437219867265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32.700000000000003</v>
      </c>
      <c r="AP18">
        <v>0.5</v>
      </c>
      <c r="AQ18" t="s">
        <v>331</v>
      </c>
      <c r="AR18">
        <v>2</v>
      </c>
      <c r="AS18">
        <v>1690300905</v>
      </c>
      <c r="AT18">
        <v>808.00099999999998</v>
      </c>
      <c r="AU18">
        <v>799.98699999999997</v>
      </c>
      <c r="AV18">
        <v>23.316800000000001</v>
      </c>
      <c r="AW18">
        <v>21.833200000000001</v>
      </c>
      <c r="AX18">
        <v>808.32299999999998</v>
      </c>
      <c r="AY18">
        <v>23.035299999999999</v>
      </c>
      <c r="AZ18">
        <v>300.166</v>
      </c>
      <c r="BA18">
        <v>99.313900000000004</v>
      </c>
      <c r="BB18">
        <v>0.10001</v>
      </c>
      <c r="BC18">
        <v>26.908999999999999</v>
      </c>
      <c r="BD18">
        <v>27.0807</v>
      </c>
      <c r="BE18">
        <v>26.9283</v>
      </c>
      <c r="BF18">
        <v>0</v>
      </c>
      <c r="BG18">
        <v>0</v>
      </c>
      <c r="BH18">
        <v>9975.6200000000008</v>
      </c>
      <c r="BI18">
        <v>0.65207899999999996</v>
      </c>
      <c r="BJ18">
        <v>1.7100200000000001</v>
      </c>
      <c r="BK18">
        <v>8.0138499999999997</v>
      </c>
      <c r="BL18">
        <v>827.29100000000005</v>
      </c>
      <c r="BM18">
        <v>817.84400000000005</v>
      </c>
      <c r="BN18">
        <v>1.4835799999999999</v>
      </c>
      <c r="BO18">
        <v>799.98699999999997</v>
      </c>
      <c r="BP18">
        <v>21.833200000000001</v>
      </c>
      <c r="BQ18">
        <v>2.31568</v>
      </c>
      <c r="BR18">
        <v>2.1683400000000002</v>
      </c>
      <c r="BS18">
        <v>19.785900000000002</v>
      </c>
      <c r="BT18">
        <v>18.7303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1690300477.5</v>
      </c>
      <c r="CC18" t="s">
        <v>332</v>
      </c>
      <c r="CD18">
        <v>1690300477.5</v>
      </c>
      <c r="CE18">
        <v>1690300465.5</v>
      </c>
      <c r="CF18">
        <v>7</v>
      </c>
      <c r="CG18">
        <v>5.0999999999999997E-2</v>
      </c>
      <c r="CH18">
        <v>-8.0000000000000002E-3</v>
      </c>
      <c r="CI18">
        <v>-0.316</v>
      </c>
      <c r="CJ18">
        <v>0.28199999999999997</v>
      </c>
      <c r="CK18">
        <v>800</v>
      </c>
      <c r="CL18">
        <v>24</v>
      </c>
      <c r="CM18">
        <v>0.25</v>
      </c>
      <c r="CN18">
        <v>0.13</v>
      </c>
      <c r="CO18">
        <v>7.9284435000000002</v>
      </c>
      <c r="CP18">
        <v>0.38617643527201462</v>
      </c>
      <c r="CQ18">
        <v>5.4313744418425132E-2</v>
      </c>
      <c r="CR18">
        <v>-1</v>
      </c>
      <c r="CS18">
        <v>1.4979122499999999</v>
      </c>
      <c r="CT18">
        <v>-6.7006041275803299E-2</v>
      </c>
      <c r="CU18">
        <v>7.0849825290892569E-3</v>
      </c>
      <c r="CV18">
        <v>-1</v>
      </c>
      <c r="CW18">
        <v>0</v>
      </c>
      <c r="CX18">
        <v>0</v>
      </c>
      <c r="CY18" t="s">
        <v>333</v>
      </c>
      <c r="CZ18">
        <v>2.3644599999999998</v>
      </c>
      <c r="DA18">
        <v>2.7137799999999999</v>
      </c>
      <c r="DB18">
        <v>0.148122</v>
      </c>
      <c r="DC18">
        <v>0.14677000000000001</v>
      </c>
      <c r="DD18">
        <v>0.111558</v>
      </c>
      <c r="DE18">
        <v>0.105257</v>
      </c>
      <c r="DF18">
        <v>31114.400000000001</v>
      </c>
      <c r="DG18">
        <v>27511.200000000001</v>
      </c>
      <c r="DH18">
        <v>31180.6</v>
      </c>
      <c r="DI18">
        <v>28095.200000000001</v>
      </c>
      <c r="DJ18">
        <v>37612.800000000003</v>
      </c>
      <c r="DK18">
        <v>35744.9</v>
      </c>
      <c r="DL18">
        <v>44375</v>
      </c>
      <c r="DM18">
        <v>42585</v>
      </c>
      <c r="DN18">
        <v>1.4678</v>
      </c>
      <c r="DO18">
        <v>2.06568</v>
      </c>
      <c r="DP18">
        <v>8.6329900000000001E-2</v>
      </c>
      <c r="DQ18">
        <v>7.1883199999999994E-2</v>
      </c>
      <c r="DR18">
        <v>25.6675</v>
      </c>
      <c r="DS18">
        <v>25.7515</v>
      </c>
      <c r="DT18">
        <v>56.3</v>
      </c>
      <c r="DU18">
        <v>29.2</v>
      </c>
      <c r="DV18">
        <v>23.065100000000001</v>
      </c>
      <c r="DW18">
        <v>61.674700000000001</v>
      </c>
      <c r="DX18">
        <v>36.157899999999998</v>
      </c>
      <c r="DY18">
        <v>1</v>
      </c>
      <c r="DZ18">
        <v>-9.4364799999999999E-2</v>
      </c>
      <c r="EA18">
        <v>-0.79370099999999999</v>
      </c>
      <c r="EB18">
        <v>20.302499999999998</v>
      </c>
      <c r="EC18">
        <v>5.2411000000000003</v>
      </c>
      <c r="ED18">
        <v>12.039899999999999</v>
      </c>
      <c r="EE18">
        <v>5.0174500000000002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</v>
      </c>
      <c r="EM18">
        <v>1.8691899999999999</v>
      </c>
      <c r="EN18">
        <v>1.8672200000000001</v>
      </c>
      <c r="EO18">
        <v>1.8633299999999999</v>
      </c>
      <c r="EP18">
        <v>1.86446</v>
      </c>
      <c r="EQ18">
        <v>1.8701399999999999</v>
      </c>
      <c r="ER18">
        <v>1.86938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-0.32200000000000001</v>
      </c>
      <c r="FG18">
        <v>0.28149999999999997</v>
      </c>
      <c r="FH18">
        <v>0.23539598422606861</v>
      </c>
      <c r="FI18">
        <v>-6.1462078757559423E-4</v>
      </c>
      <c r="FJ18">
        <v>-1.8861989874597051E-7</v>
      </c>
      <c r="FK18">
        <v>1.1980462299894961E-10</v>
      </c>
      <c r="FL18">
        <v>0.28151999999999688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7.1</v>
      </c>
      <c r="FU18">
        <v>7.3</v>
      </c>
      <c r="FV18">
        <v>1.79565</v>
      </c>
      <c r="FW18">
        <v>2.5842299999999998</v>
      </c>
      <c r="FX18">
        <v>1.5490699999999999</v>
      </c>
      <c r="FY18">
        <v>2.3290999999999999</v>
      </c>
      <c r="FZ18">
        <v>1.50146</v>
      </c>
      <c r="GA18">
        <v>2.3925800000000002</v>
      </c>
      <c r="GB18">
        <v>33.580399999999997</v>
      </c>
      <c r="GC18">
        <v>24.017499999999998</v>
      </c>
      <c r="GD18">
        <v>19</v>
      </c>
      <c r="GE18">
        <v>279.03899999999999</v>
      </c>
      <c r="GF18">
        <v>606.80600000000004</v>
      </c>
      <c r="GG18">
        <v>28.317699999999999</v>
      </c>
      <c r="GH18">
        <v>26.231000000000002</v>
      </c>
      <c r="GI18">
        <v>30.0002</v>
      </c>
      <c r="GJ18">
        <v>26.288</v>
      </c>
      <c r="GK18">
        <v>26.2577</v>
      </c>
      <c r="GL18">
        <v>35.892400000000002</v>
      </c>
      <c r="GM18">
        <v>14.8149</v>
      </c>
      <c r="GN18">
        <v>100</v>
      </c>
      <c r="GO18">
        <v>28.29</v>
      </c>
      <c r="GP18">
        <v>800</v>
      </c>
      <c r="GQ18">
        <v>21.796700000000001</v>
      </c>
      <c r="GR18">
        <v>99.767399999999995</v>
      </c>
      <c r="GS18">
        <v>99.618899999999996</v>
      </c>
    </row>
    <row r="19" spans="1:201" x14ac:dyDescent="0.25">
      <c r="A19">
        <v>3</v>
      </c>
      <c r="B19">
        <v>1690300905.5</v>
      </c>
      <c r="C19">
        <v>1.5</v>
      </c>
      <c r="D19" t="s">
        <v>337</v>
      </c>
      <c r="E19" t="s">
        <v>338</v>
      </c>
      <c r="F19" t="s">
        <v>330</v>
      </c>
      <c r="H19">
        <v>1690300905.5</v>
      </c>
      <c r="I19">
        <f t="shared" si="0"/>
        <v>1.3942642111595065E-4</v>
      </c>
      <c r="J19">
        <f t="shared" si="1"/>
        <v>0.13942642111595066</v>
      </c>
      <c r="K19">
        <f t="shared" si="2"/>
        <v>-0.84821768984665913</v>
      </c>
      <c r="L19">
        <f t="shared" si="3"/>
        <v>807.98699999999997</v>
      </c>
      <c r="M19">
        <f t="shared" si="4"/>
        <v>914.61116017854772</v>
      </c>
      <c r="N19">
        <f t="shared" si="5"/>
        <v>90.925632219626905</v>
      </c>
      <c r="O19">
        <f t="shared" si="6"/>
        <v>80.325642195200984</v>
      </c>
      <c r="P19">
        <f t="shared" si="7"/>
        <v>1.0953205157317748E-2</v>
      </c>
      <c r="Q19">
        <f t="shared" si="8"/>
        <v>2.115678091834166</v>
      </c>
      <c r="R19">
        <f t="shared" si="9"/>
        <v>1.0921799086913878E-2</v>
      </c>
      <c r="S19">
        <f t="shared" si="10"/>
        <v>6.82893858558941E-3</v>
      </c>
      <c r="T19">
        <f t="shared" si="11"/>
        <v>0</v>
      </c>
      <c r="U19">
        <f t="shared" si="12"/>
        <v>26.858878274842223</v>
      </c>
      <c r="V19">
        <f t="shared" si="13"/>
        <v>26.858878274842223</v>
      </c>
      <c r="W19">
        <f t="shared" si="14"/>
        <v>3.5496011841408182</v>
      </c>
      <c r="X19">
        <f t="shared" si="15"/>
        <v>65.113870808678612</v>
      </c>
      <c r="Y19">
        <f t="shared" si="16"/>
        <v>2.3179390768156996</v>
      </c>
      <c r="Z19">
        <f t="shared" si="17"/>
        <v>3.5598238102391488</v>
      </c>
      <c r="AA19">
        <f t="shared" si="18"/>
        <v>1.2316621073251186</v>
      </c>
      <c r="AB19">
        <f t="shared" si="19"/>
        <v>-6.1487051712134235</v>
      </c>
      <c r="AC19">
        <f t="shared" si="20"/>
        <v>5.5800333643289362</v>
      </c>
      <c r="AD19">
        <f t="shared" si="21"/>
        <v>0.56853267722284184</v>
      </c>
      <c r="AE19">
        <f t="shared" si="22"/>
        <v>-1.391296616457538E-4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52461.551293346682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32.700000000000003</v>
      </c>
      <c r="AP19">
        <v>0.5</v>
      </c>
      <c r="AQ19" t="s">
        <v>331</v>
      </c>
      <c r="AR19">
        <v>2</v>
      </c>
      <c r="AS19">
        <v>1690300905.5</v>
      </c>
      <c r="AT19">
        <v>807.98699999999997</v>
      </c>
      <c r="AU19">
        <v>799.97699999999998</v>
      </c>
      <c r="AV19">
        <v>23.315899999999999</v>
      </c>
      <c r="AW19">
        <v>21.832999999999998</v>
      </c>
      <c r="AX19">
        <v>808.30899999999997</v>
      </c>
      <c r="AY19">
        <v>23.034400000000002</v>
      </c>
      <c r="AZ19">
        <v>300.286</v>
      </c>
      <c r="BA19">
        <v>99.314499999999995</v>
      </c>
      <c r="BB19">
        <v>0.100023</v>
      </c>
      <c r="BC19">
        <v>26.907800000000002</v>
      </c>
      <c r="BD19">
        <v>27.078600000000002</v>
      </c>
      <c r="BE19">
        <v>26.925000000000001</v>
      </c>
      <c r="BF19">
        <v>0</v>
      </c>
      <c r="BG19">
        <v>0</v>
      </c>
      <c r="BH19">
        <v>9986.25</v>
      </c>
      <c r="BI19">
        <v>0.64601799999999998</v>
      </c>
      <c r="BJ19">
        <v>1.68899</v>
      </c>
      <c r="BK19">
        <v>8.0099499999999999</v>
      </c>
      <c r="BL19">
        <v>827.27599999999995</v>
      </c>
      <c r="BM19">
        <v>817.83299999999997</v>
      </c>
      <c r="BN19">
        <v>1.48289</v>
      </c>
      <c r="BO19">
        <v>799.97699999999998</v>
      </c>
      <c r="BP19">
        <v>21.832999999999998</v>
      </c>
      <c r="BQ19">
        <v>2.3156099999999999</v>
      </c>
      <c r="BR19">
        <v>2.1683400000000002</v>
      </c>
      <c r="BS19">
        <v>19.785399999999999</v>
      </c>
      <c r="BT19">
        <v>18.7303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1690300477.5</v>
      </c>
      <c r="CC19" t="s">
        <v>332</v>
      </c>
      <c r="CD19">
        <v>1690300477.5</v>
      </c>
      <c r="CE19">
        <v>1690300465.5</v>
      </c>
      <c r="CF19">
        <v>7</v>
      </c>
      <c r="CG19">
        <v>5.0999999999999997E-2</v>
      </c>
      <c r="CH19">
        <v>-8.0000000000000002E-3</v>
      </c>
      <c r="CI19">
        <v>-0.316</v>
      </c>
      <c r="CJ19">
        <v>0.28199999999999997</v>
      </c>
      <c r="CK19">
        <v>800</v>
      </c>
      <c r="CL19">
        <v>24</v>
      </c>
      <c r="CM19">
        <v>0.25</v>
      </c>
      <c r="CN19">
        <v>0.13</v>
      </c>
      <c r="CO19">
        <v>7.9284435000000002</v>
      </c>
      <c r="CP19">
        <v>0.38617643527201462</v>
      </c>
      <c r="CQ19">
        <v>5.4313744418425132E-2</v>
      </c>
      <c r="CR19">
        <v>-1</v>
      </c>
      <c r="CS19">
        <v>1.4979122499999999</v>
      </c>
      <c r="CT19">
        <v>-6.7006041275803299E-2</v>
      </c>
      <c r="CU19">
        <v>7.0849825290892569E-3</v>
      </c>
      <c r="CV19">
        <v>-1</v>
      </c>
      <c r="CW19">
        <v>0</v>
      </c>
      <c r="CX19">
        <v>0</v>
      </c>
      <c r="CY19" t="s">
        <v>333</v>
      </c>
      <c r="CZ19">
        <v>2.3648400000000001</v>
      </c>
      <c r="DA19">
        <v>2.7138</v>
      </c>
      <c r="DB19">
        <v>0.148121</v>
      </c>
      <c r="DC19">
        <v>0.14677000000000001</v>
      </c>
      <c r="DD19">
        <v>0.111555</v>
      </c>
      <c r="DE19">
        <v>0.105257</v>
      </c>
      <c r="DF19">
        <v>31114.400000000001</v>
      </c>
      <c r="DG19">
        <v>27511.200000000001</v>
      </c>
      <c r="DH19">
        <v>31180.5</v>
      </c>
      <c r="DI19">
        <v>28095.1</v>
      </c>
      <c r="DJ19">
        <v>37612.9</v>
      </c>
      <c r="DK19">
        <v>35744.800000000003</v>
      </c>
      <c r="DL19">
        <v>44375</v>
      </c>
      <c r="DM19">
        <v>42585</v>
      </c>
      <c r="DN19">
        <v>1.4679199999999999</v>
      </c>
      <c r="DO19">
        <v>2.06562</v>
      </c>
      <c r="DP19">
        <v>8.6180900000000005E-2</v>
      </c>
      <c r="DQ19">
        <v>7.1659700000000007E-2</v>
      </c>
      <c r="DR19">
        <v>25.6678</v>
      </c>
      <c r="DS19">
        <v>25.751799999999999</v>
      </c>
      <c r="DT19">
        <v>56.3</v>
      </c>
      <c r="DU19">
        <v>29.2</v>
      </c>
      <c r="DV19">
        <v>23.064499999999999</v>
      </c>
      <c r="DW19">
        <v>61.674700000000001</v>
      </c>
      <c r="DX19">
        <v>35.084099999999999</v>
      </c>
      <c r="DY19">
        <v>1</v>
      </c>
      <c r="DZ19">
        <v>-9.4273399999999993E-2</v>
      </c>
      <c r="EA19">
        <v>-0.78306100000000001</v>
      </c>
      <c r="EB19">
        <v>20.302600000000002</v>
      </c>
      <c r="EC19">
        <v>5.2409499999999998</v>
      </c>
      <c r="ED19">
        <v>12.039899999999999</v>
      </c>
      <c r="EE19">
        <v>5.0175000000000001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</v>
      </c>
      <c r="EM19">
        <v>1.8691899999999999</v>
      </c>
      <c r="EN19">
        <v>1.8672200000000001</v>
      </c>
      <c r="EO19">
        <v>1.8633299999999999</v>
      </c>
      <c r="EP19">
        <v>1.86446</v>
      </c>
      <c r="EQ19">
        <v>1.8701399999999999</v>
      </c>
      <c r="ER19">
        <v>1.86938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-0.32200000000000001</v>
      </c>
      <c r="FG19">
        <v>0.28149999999999997</v>
      </c>
      <c r="FH19">
        <v>0.23539598422606861</v>
      </c>
      <c r="FI19">
        <v>-6.1462078757559423E-4</v>
      </c>
      <c r="FJ19">
        <v>-1.8861989874597051E-7</v>
      </c>
      <c r="FK19">
        <v>1.1980462299894961E-10</v>
      </c>
      <c r="FL19">
        <v>0.28151999999999688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7.1</v>
      </c>
      <c r="FU19">
        <v>7.3</v>
      </c>
      <c r="FV19">
        <v>1.79565</v>
      </c>
      <c r="FW19">
        <v>2.5842299999999998</v>
      </c>
      <c r="FX19">
        <v>1.5490699999999999</v>
      </c>
      <c r="FY19">
        <v>2.3290999999999999</v>
      </c>
      <c r="FZ19">
        <v>1.50146</v>
      </c>
      <c r="GA19">
        <v>2.3925800000000002</v>
      </c>
      <c r="GB19">
        <v>33.580399999999997</v>
      </c>
      <c r="GC19">
        <v>24.017499999999998</v>
      </c>
      <c r="GD19">
        <v>19</v>
      </c>
      <c r="GE19">
        <v>279.09300000000002</v>
      </c>
      <c r="GF19">
        <v>606.76499999999999</v>
      </c>
      <c r="GG19">
        <v>28.307600000000001</v>
      </c>
      <c r="GH19">
        <v>26.231000000000002</v>
      </c>
      <c r="GI19">
        <v>30.0002</v>
      </c>
      <c r="GJ19">
        <v>26.2883</v>
      </c>
      <c r="GK19">
        <v>26.257899999999999</v>
      </c>
      <c r="GL19">
        <v>35.892299999999999</v>
      </c>
      <c r="GM19">
        <v>14.8149</v>
      </c>
      <c r="GN19">
        <v>100</v>
      </c>
      <c r="GO19">
        <v>28.29</v>
      </c>
      <c r="GP19">
        <v>800</v>
      </c>
      <c r="GQ19">
        <v>21.795400000000001</v>
      </c>
      <c r="GR19">
        <v>99.767200000000003</v>
      </c>
      <c r="GS19">
        <v>99.618799999999993</v>
      </c>
    </row>
    <row r="20" spans="1:201" x14ac:dyDescent="0.25">
      <c r="A20">
        <v>4</v>
      </c>
      <c r="B20">
        <v>1690300906</v>
      </c>
      <c r="C20">
        <v>2</v>
      </c>
      <c r="D20" t="s">
        <v>339</v>
      </c>
      <c r="E20" t="s">
        <v>340</v>
      </c>
      <c r="F20" t="s">
        <v>330</v>
      </c>
      <c r="H20">
        <v>1690300906</v>
      </c>
      <c r="I20">
        <f t="shared" si="0"/>
        <v>1.3939222496200146E-4</v>
      </c>
      <c r="J20">
        <f t="shared" si="1"/>
        <v>0.13939222496200146</v>
      </c>
      <c r="K20">
        <f t="shared" si="2"/>
        <v>-0.84866028726443765</v>
      </c>
      <c r="L20">
        <f t="shared" si="3"/>
        <v>807.98800000000006</v>
      </c>
      <c r="M20">
        <f t="shared" si="4"/>
        <v>914.68896193899991</v>
      </c>
      <c r="N20">
        <f t="shared" si="5"/>
        <v>90.932978924942077</v>
      </c>
      <c r="O20">
        <f t="shared" si="6"/>
        <v>80.325398942013194</v>
      </c>
      <c r="P20">
        <f t="shared" si="7"/>
        <v>1.0952327882867952E-2</v>
      </c>
      <c r="Q20">
        <f t="shared" si="8"/>
        <v>2.1160336425778605</v>
      </c>
      <c r="R20">
        <f t="shared" si="9"/>
        <v>1.0920932095179614E-2</v>
      </c>
      <c r="S20">
        <f t="shared" si="10"/>
        <v>6.828395796218246E-3</v>
      </c>
      <c r="T20">
        <f t="shared" si="11"/>
        <v>0</v>
      </c>
      <c r="U20">
        <f t="shared" si="12"/>
        <v>26.857597672931949</v>
      </c>
      <c r="V20">
        <f t="shared" si="13"/>
        <v>26.857597672931949</v>
      </c>
      <c r="W20">
        <f t="shared" si="14"/>
        <v>3.5493339356352429</v>
      </c>
      <c r="X20">
        <f t="shared" si="15"/>
        <v>65.117171797549901</v>
      </c>
      <c r="Y20">
        <f t="shared" si="16"/>
        <v>2.3178794814930601</v>
      </c>
      <c r="Z20">
        <f t="shared" si="17"/>
        <v>3.5595518317339954</v>
      </c>
      <c r="AA20">
        <f t="shared" si="18"/>
        <v>1.2314544541421828</v>
      </c>
      <c r="AB20">
        <f t="shared" si="19"/>
        <v>-6.1471971208242646</v>
      </c>
      <c r="AC20">
        <f t="shared" si="20"/>
        <v>5.5787581916263305</v>
      </c>
      <c r="AD20">
        <f t="shared" si="21"/>
        <v>0.56829991104687361</v>
      </c>
      <c r="AE20">
        <f t="shared" si="22"/>
        <v>-1.390181510609878E-4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52477.343136059957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32.700000000000003</v>
      </c>
      <c r="AP20">
        <v>0.5</v>
      </c>
      <c r="AQ20" t="s">
        <v>331</v>
      </c>
      <c r="AR20">
        <v>2</v>
      </c>
      <c r="AS20">
        <v>1690300906</v>
      </c>
      <c r="AT20">
        <v>807.98800000000006</v>
      </c>
      <c r="AU20">
        <v>799.97199999999998</v>
      </c>
      <c r="AV20">
        <v>23.3154</v>
      </c>
      <c r="AW20">
        <v>21.832699999999999</v>
      </c>
      <c r="AX20">
        <v>808.30899999999997</v>
      </c>
      <c r="AY20">
        <v>23.033899999999999</v>
      </c>
      <c r="AZ20">
        <v>300.25299999999999</v>
      </c>
      <c r="BA20">
        <v>99.314099999999996</v>
      </c>
      <c r="BB20">
        <v>9.9998900000000002E-2</v>
      </c>
      <c r="BC20">
        <v>26.906500000000001</v>
      </c>
      <c r="BD20">
        <v>27.0764</v>
      </c>
      <c r="BE20">
        <v>26.923300000000001</v>
      </c>
      <c r="BF20">
        <v>0</v>
      </c>
      <c r="BG20">
        <v>0</v>
      </c>
      <c r="BH20">
        <v>9989.3799999999992</v>
      </c>
      <c r="BI20">
        <v>0.639957</v>
      </c>
      <c r="BJ20">
        <v>1.66797</v>
      </c>
      <c r="BK20">
        <v>8.0158100000000001</v>
      </c>
      <c r="BL20">
        <v>827.27599999999995</v>
      </c>
      <c r="BM20">
        <v>817.82799999999997</v>
      </c>
      <c r="BN20">
        <v>1.4826900000000001</v>
      </c>
      <c r="BO20">
        <v>799.97199999999998</v>
      </c>
      <c r="BP20">
        <v>21.832699999999999</v>
      </c>
      <c r="BQ20">
        <v>2.31555</v>
      </c>
      <c r="BR20">
        <v>2.1682999999999999</v>
      </c>
      <c r="BS20">
        <v>19.785</v>
      </c>
      <c r="BT20">
        <v>18.73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1690300477.5</v>
      </c>
      <c r="CC20" t="s">
        <v>332</v>
      </c>
      <c r="CD20">
        <v>1690300477.5</v>
      </c>
      <c r="CE20">
        <v>1690300465.5</v>
      </c>
      <c r="CF20">
        <v>7</v>
      </c>
      <c r="CG20">
        <v>5.0999999999999997E-2</v>
      </c>
      <c r="CH20">
        <v>-8.0000000000000002E-3</v>
      </c>
      <c r="CI20">
        <v>-0.316</v>
      </c>
      <c r="CJ20">
        <v>0.28199999999999997</v>
      </c>
      <c r="CK20">
        <v>800</v>
      </c>
      <c r="CL20">
        <v>24</v>
      </c>
      <c r="CM20">
        <v>0.25</v>
      </c>
      <c r="CN20">
        <v>0.13</v>
      </c>
      <c r="CO20">
        <v>7.9430119512195132</v>
      </c>
      <c r="CP20">
        <v>0.29173567944252021</v>
      </c>
      <c r="CQ20">
        <v>3.940510646737222E-2</v>
      </c>
      <c r="CR20">
        <v>-1</v>
      </c>
      <c r="CS20">
        <v>1.496766829268293</v>
      </c>
      <c r="CT20">
        <v>-7.8094285714285089E-2</v>
      </c>
      <c r="CU20">
        <v>7.9318660920717748E-3</v>
      </c>
      <c r="CV20">
        <v>-1</v>
      </c>
      <c r="CW20">
        <v>0</v>
      </c>
      <c r="CX20">
        <v>0</v>
      </c>
      <c r="CY20" t="s">
        <v>333</v>
      </c>
      <c r="CZ20">
        <v>2.3647399999999998</v>
      </c>
      <c r="DA20">
        <v>2.7137799999999999</v>
      </c>
      <c r="DB20">
        <v>0.148121</v>
      </c>
      <c r="DC20">
        <v>0.14676800000000001</v>
      </c>
      <c r="DD20">
        <v>0.111553</v>
      </c>
      <c r="DE20">
        <v>0.105256</v>
      </c>
      <c r="DF20">
        <v>31114.400000000001</v>
      </c>
      <c r="DG20">
        <v>27511.200000000001</v>
      </c>
      <c r="DH20">
        <v>31180.5</v>
      </c>
      <c r="DI20">
        <v>28095</v>
      </c>
      <c r="DJ20">
        <v>37613</v>
      </c>
      <c r="DK20">
        <v>35744.9</v>
      </c>
      <c r="DL20">
        <v>44375</v>
      </c>
      <c r="DM20">
        <v>42584.9</v>
      </c>
      <c r="DN20">
        <v>1.4679800000000001</v>
      </c>
      <c r="DO20">
        <v>2.0655999999999999</v>
      </c>
      <c r="DP20">
        <v>8.6031899999999994E-2</v>
      </c>
      <c r="DQ20">
        <v>7.1540500000000007E-2</v>
      </c>
      <c r="DR20">
        <v>25.667999999999999</v>
      </c>
      <c r="DS20">
        <v>25.752099999999999</v>
      </c>
      <c r="DT20">
        <v>56.3</v>
      </c>
      <c r="DU20">
        <v>29.2</v>
      </c>
      <c r="DV20">
        <v>23.064699999999998</v>
      </c>
      <c r="DW20">
        <v>61.664700000000003</v>
      </c>
      <c r="DX20">
        <v>35.212299999999999</v>
      </c>
      <c r="DY20">
        <v>1</v>
      </c>
      <c r="DZ20">
        <v>-9.4298800000000002E-2</v>
      </c>
      <c r="EA20">
        <v>-0.77365499999999998</v>
      </c>
      <c r="EB20">
        <v>20.302600000000002</v>
      </c>
      <c r="EC20">
        <v>5.2408000000000001</v>
      </c>
      <c r="ED20">
        <v>12.039899999999999</v>
      </c>
      <c r="EE20">
        <v>5.0173500000000004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1.8646100000000001</v>
      </c>
      <c r="EM20">
        <v>1.8691899999999999</v>
      </c>
      <c r="EN20">
        <v>1.8672200000000001</v>
      </c>
      <c r="EO20">
        <v>1.8633299999999999</v>
      </c>
      <c r="EP20">
        <v>1.8644499999999999</v>
      </c>
      <c r="EQ20">
        <v>1.8701399999999999</v>
      </c>
      <c r="ER20">
        <v>1.8693900000000001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-0.32100000000000001</v>
      </c>
      <c r="FG20">
        <v>0.28149999999999997</v>
      </c>
      <c r="FH20">
        <v>0.23539598422606861</v>
      </c>
      <c r="FI20">
        <v>-6.1462078757559423E-4</v>
      </c>
      <c r="FJ20">
        <v>-1.8861989874597051E-7</v>
      </c>
      <c r="FK20">
        <v>1.1980462299894961E-10</v>
      </c>
      <c r="FL20">
        <v>0.28151999999999688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7.1</v>
      </c>
      <c r="FU20">
        <v>7.3</v>
      </c>
      <c r="FV20">
        <v>1.79565</v>
      </c>
      <c r="FW20">
        <v>2.5915499999999998</v>
      </c>
      <c r="FX20">
        <v>1.5490699999999999</v>
      </c>
      <c r="FY20">
        <v>2.3290999999999999</v>
      </c>
      <c r="FZ20">
        <v>1.50146</v>
      </c>
      <c r="GA20">
        <v>2.3742700000000001</v>
      </c>
      <c r="GB20">
        <v>33.580399999999997</v>
      </c>
      <c r="GC20">
        <v>24.017499999999998</v>
      </c>
      <c r="GD20">
        <v>19</v>
      </c>
      <c r="GE20">
        <v>279.11500000000001</v>
      </c>
      <c r="GF20">
        <v>606.74699999999996</v>
      </c>
      <c r="GG20">
        <v>28.297000000000001</v>
      </c>
      <c r="GH20">
        <v>26.231000000000002</v>
      </c>
      <c r="GI20">
        <v>30.0002</v>
      </c>
      <c r="GJ20">
        <v>26.288499999999999</v>
      </c>
      <c r="GK20">
        <v>26.258199999999999</v>
      </c>
      <c r="GL20">
        <v>35.8932</v>
      </c>
      <c r="GM20">
        <v>14.8149</v>
      </c>
      <c r="GN20">
        <v>100</v>
      </c>
      <c r="GO20">
        <v>28.29</v>
      </c>
      <c r="GP20">
        <v>800</v>
      </c>
      <c r="GQ20">
        <v>21.797699999999999</v>
      </c>
      <c r="GR20">
        <v>99.767200000000003</v>
      </c>
      <c r="GS20">
        <v>99.618600000000001</v>
      </c>
    </row>
    <row r="21" spans="1:201" x14ac:dyDescent="0.25">
      <c r="A21">
        <v>5</v>
      </c>
      <c r="B21">
        <v>1690300907.5</v>
      </c>
      <c r="C21">
        <v>3.5</v>
      </c>
      <c r="D21" t="s">
        <v>341</v>
      </c>
      <c r="E21" t="s">
        <v>342</v>
      </c>
      <c r="F21" t="s">
        <v>330</v>
      </c>
      <c r="H21">
        <v>1690300907.5</v>
      </c>
      <c r="I21">
        <f t="shared" si="0"/>
        <v>1.3928778490446573E-4</v>
      </c>
      <c r="J21">
        <f t="shared" si="1"/>
        <v>0.13928778490446572</v>
      </c>
      <c r="K21">
        <f t="shared" si="2"/>
        <v>-0.84554767031464073</v>
      </c>
      <c r="L21">
        <f t="shared" si="3"/>
        <v>807.97699999999998</v>
      </c>
      <c r="M21">
        <f t="shared" si="4"/>
        <v>914.24612836287974</v>
      </c>
      <c r="N21">
        <f t="shared" si="5"/>
        <v>90.888868262051844</v>
      </c>
      <c r="O21">
        <f t="shared" si="6"/>
        <v>80.324228709907985</v>
      </c>
      <c r="P21">
        <f t="shared" si="7"/>
        <v>1.0951652882951208E-2</v>
      </c>
      <c r="Q21">
        <f t="shared" si="8"/>
        <v>2.1187586009916677</v>
      </c>
      <c r="R21">
        <f t="shared" si="9"/>
        <v>1.0920301207753155E-2</v>
      </c>
      <c r="S21">
        <f t="shared" si="10"/>
        <v>6.827997548887816E-3</v>
      </c>
      <c r="T21">
        <f t="shared" si="11"/>
        <v>0</v>
      </c>
      <c r="U21">
        <f t="shared" si="12"/>
        <v>26.852491120622105</v>
      </c>
      <c r="V21">
        <f t="shared" si="13"/>
        <v>26.852491120622105</v>
      </c>
      <c r="W21">
        <f t="shared" si="14"/>
        <v>3.5482684251280134</v>
      </c>
      <c r="X21">
        <f t="shared" si="15"/>
        <v>65.13086807972374</v>
      </c>
      <c r="Y21">
        <f t="shared" si="16"/>
        <v>2.3176585580527993</v>
      </c>
      <c r="Z21">
        <f t="shared" si="17"/>
        <v>3.5584640991056014</v>
      </c>
      <c r="AA21">
        <f t="shared" si="18"/>
        <v>1.2306098670752141</v>
      </c>
      <c r="AB21">
        <f t="shared" si="19"/>
        <v>-6.1425913142869391</v>
      </c>
      <c r="AC21">
        <f t="shared" si="20"/>
        <v>5.5752681287777985</v>
      </c>
      <c r="AD21">
        <f t="shared" si="21"/>
        <v>0.56718470292476986</v>
      </c>
      <c r="AE21">
        <f t="shared" si="22"/>
        <v>-1.3848258437043626E-4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52597.708157701527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32.700000000000003</v>
      </c>
      <c r="AP21">
        <v>0.5</v>
      </c>
      <c r="AQ21" t="s">
        <v>331</v>
      </c>
      <c r="AR21">
        <v>2</v>
      </c>
      <c r="AS21">
        <v>1690300907.5</v>
      </c>
      <c r="AT21">
        <v>807.97699999999998</v>
      </c>
      <c r="AU21">
        <v>799.995</v>
      </c>
      <c r="AV21">
        <v>23.313199999999998</v>
      </c>
      <c r="AW21">
        <v>21.831800000000001</v>
      </c>
      <c r="AX21">
        <v>808.298</v>
      </c>
      <c r="AY21">
        <v>23.031700000000001</v>
      </c>
      <c r="AZ21">
        <v>300.29199999999997</v>
      </c>
      <c r="BA21">
        <v>99.313999999999993</v>
      </c>
      <c r="BB21">
        <v>0.100004</v>
      </c>
      <c r="BC21">
        <v>26.901299999999999</v>
      </c>
      <c r="BD21">
        <v>27.067900000000002</v>
      </c>
      <c r="BE21">
        <v>26.924199999999999</v>
      </c>
      <c r="BF21">
        <v>0</v>
      </c>
      <c r="BG21">
        <v>0</v>
      </c>
      <c r="BH21">
        <v>10013.1</v>
      </c>
      <c r="BI21">
        <v>0.67026399999999997</v>
      </c>
      <c r="BJ21">
        <v>1.6399300000000001</v>
      </c>
      <c r="BK21">
        <v>7.9813200000000002</v>
      </c>
      <c r="BL21">
        <v>827.26300000000003</v>
      </c>
      <c r="BM21">
        <v>817.851</v>
      </c>
      <c r="BN21">
        <v>1.4814700000000001</v>
      </c>
      <c r="BO21">
        <v>799.995</v>
      </c>
      <c r="BP21">
        <v>21.831800000000001</v>
      </c>
      <c r="BQ21">
        <v>2.3153299999999999</v>
      </c>
      <c r="BR21">
        <v>2.1682000000000001</v>
      </c>
      <c r="BS21">
        <v>19.7835</v>
      </c>
      <c r="BT21">
        <v>18.729299999999999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1690300477.5</v>
      </c>
      <c r="CC21" t="s">
        <v>332</v>
      </c>
      <c r="CD21">
        <v>1690300477.5</v>
      </c>
      <c r="CE21">
        <v>1690300465.5</v>
      </c>
      <c r="CF21">
        <v>7</v>
      </c>
      <c r="CG21">
        <v>5.0999999999999997E-2</v>
      </c>
      <c r="CH21">
        <v>-8.0000000000000002E-3</v>
      </c>
      <c r="CI21">
        <v>-0.316</v>
      </c>
      <c r="CJ21">
        <v>0.28199999999999997</v>
      </c>
      <c r="CK21">
        <v>800</v>
      </c>
      <c r="CL21">
        <v>24</v>
      </c>
      <c r="CM21">
        <v>0.25</v>
      </c>
      <c r="CN21">
        <v>0.13</v>
      </c>
      <c r="CO21">
        <v>7.9562437499999987</v>
      </c>
      <c r="CP21">
        <v>0.212641463414601</v>
      </c>
      <c r="CQ21">
        <v>2.7167319032939209E-2</v>
      </c>
      <c r="CR21">
        <v>-1</v>
      </c>
      <c r="CS21">
        <v>1.4948587499999999</v>
      </c>
      <c r="CT21">
        <v>-8.6089193245776879E-2</v>
      </c>
      <c r="CU21">
        <v>8.3548286001269862E-3</v>
      </c>
      <c r="CV21">
        <v>-1</v>
      </c>
      <c r="CW21">
        <v>0</v>
      </c>
      <c r="CX21">
        <v>0</v>
      </c>
      <c r="CY21" t="s">
        <v>333</v>
      </c>
      <c r="CZ21">
        <v>2.3648500000000001</v>
      </c>
      <c r="DA21">
        <v>2.7138100000000001</v>
      </c>
      <c r="DB21">
        <v>0.14812</v>
      </c>
      <c r="DC21">
        <v>0.14677100000000001</v>
      </c>
      <c r="DD21">
        <v>0.11154600000000001</v>
      </c>
      <c r="DE21">
        <v>0.105253</v>
      </c>
      <c r="DF21">
        <v>31114.3</v>
      </c>
      <c r="DG21">
        <v>27511</v>
      </c>
      <c r="DH21">
        <v>31180.3</v>
      </c>
      <c r="DI21">
        <v>28095</v>
      </c>
      <c r="DJ21">
        <v>37613.1</v>
      </c>
      <c r="DK21">
        <v>35744.9</v>
      </c>
      <c r="DL21">
        <v>44374.7</v>
      </c>
      <c r="DM21">
        <v>42584.800000000003</v>
      </c>
      <c r="DN21">
        <v>1.4679199999999999</v>
      </c>
      <c r="DO21">
        <v>2.0656500000000002</v>
      </c>
      <c r="DP21">
        <v>8.5428400000000002E-2</v>
      </c>
      <c r="DQ21">
        <v>7.1547899999999998E-2</v>
      </c>
      <c r="DR21">
        <v>25.6694</v>
      </c>
      <c r="DS21">
        <v>25.7529</v>
      </c>
      <c r="DT21">
        <v>56.3</v>
      </c>
      <c r="DU21">
        <v>29.2</v>
      </c>
      <c r="DV21">
        <v>23.065100000000001</v>
      </c>
      <c r="DW21">
        <v>61.444699999999997</v>
      </c>
      <c r="DX21">
        <v>34.879800000000003</v>
      </c>
      <c r="DY21">
        <v>1</v>
      </c>
      <c r="DZ21">
        <v>-9.4227599999999995E-2</v>
      </c>
      <c r="EA21">
        <v>-0.879355</v>
      </c>
      <c r="EB21">
        <v>20.302099999999999</v>
      </c>
      <c r="EC21">
        <v>5.2406499999999996</v>
      </c>
      <c r="ED21">
        <v>12.039899999999999</v>
      </c>
      <c r="EE21">
        <v>5.0174000000000003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1.8646100000000001</v>
      </c>
      <c r="EM21">
        <v>1.8691899999999999</v>
      </c>
      <c r="EN21">
        <v>1.8672200000000001</v>
      </c>
      <c r="EO21">
        <v>1.8633299999999999</v>
      </c>
      <c r="EP21">
        <v>1.8644499999999999</v>
      </c>
      <c r="EQ21">
        <v>1.87015</v>
      </c>
      <c r="ER21">
        <v>1.86938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-0.32100000000000001</v>
      </c>
      <c r="FG21">
        <v>0.28149999999999997</v>
      </c>
      <c r="FH21">
        <v>0.23539598422606861</v>
      </c>
      <c r="FI21">
        <v>-6.1462078757559423E-4</v>
      </c>
      <c r="FJ21">
        <v>-1.8861989874597051E-7</v>
      </c>
      <c r="FK21">
        <v>1.1980462299894961E-10</v>
      </c>
      <c r="FL21">
        <v>0.28151999999999688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7.2</v>
      </c>
      <c r="FU21">
        <v>7.4</v>
      </c>
      <c r="FV21">
        <v>1.79565</v>
      </c>
      <c r="FW21">
        <v>2.5878899999999998</v>
      </c>
      <c r="FX21">
        <v>1.5490699999999999</v>
      </c>
      <c r="FY21">
        <v>2.3290999999999999</v>
      </c>
      <c r="FZ21">
        <v>1.50146</v>
      </c>
      <c r="GA21">
        <v>2.3986800000000001</v>
      </c>
      <c r="GB21">
        <v>33.580399999999997</v>
      </c>
      <c r="GC21">
        <v>24.026199999999999</v>
      </c>
      <c r="GD21">
        <v>19</v>
      </c>
      <c r="GE21">
        <v>279.09399999999999</v>
      </c>
      <c r="GF21">
        <v>606.79899999999998</v>
      </c>
      <c r="GG21">
        <v>28.265999999999998</v>
      </c>
      <c r="GH21">
        <v>26.231400000000001</v>
      </c>
      <c r="GI21">
        <v>30.000299999999999</v>
      </c>
      <c r="GJ21">
        <v>26.288499999999999</v>
      </c>
      <c r="GK21">
        <v>26.259</v>
      </c>
      <c r="GL21">
        <v>35.893599999999999</v>
      </c>
      <c r="GM21">
        <v>14.8149</v>
      </c>
      <c r="GN21">
        <v>100</v>
      </c>
      <c r="GO21">
        <v>28.209099999999999</v>
      </c>
      <c r="GP21">
        <v>800</v>
      </c>
      <c r="GQ21">
        <v>21.797499999999999</v>
      </c>
      <c r="GR21">
        <v>99.7667</v>
      </c>
      <c r="GS21">
        <v>99.618399999999994</v>
      </c>
    </row>
    <row r="22" spans="1:201" x14ac:dyDescent="0.25">
      <c r="A22">
        <v>6</v>
      </c>
      <c r="B22">
        <v>1690301089.5</v>
      </c>
      <c r="C22">
        <v>185.5</v>
      </c>
      <c r="D22" t="s">
        <v>343</v>
      </c>
      <c r="E22" t="s">
        <v>344</v>
      </c>
      <c r="F22" t="s">
        <v>330</v>
      </c>
      <c r="H22">
        <v>1690301089.5</v>
      </c>
      <c r="I22">
        <f t="shared" si="0"/>
        <v>1.4203701480811317E-4</v>
      </c>
      <c r="J22">
        <f t="shared" si="1"/>
        <v>0.14203701480811318</v>
      </c>
      <c r="K22">
        <f t="shared" si="2"/>
        <v>-0.81138739441205998</v>
      </c>
      <c r="L22">
        <f t="shared" si="3"/>
        <v>807.55899999999997</v>
      </c>
      <c r="M22">
        <f t="shared" si="4"/>
        <v>953.24590319667618</v>
      </c>
      <c r="N22">
        <f t="shared" si="5"/>
        <v>94.759278131832588</v>
      </c>
      <c r="O22">
        <f t="shared" si="6"/>
        <v>80.276985856687205</v>
      </c>
      <c r="P22">
        <f t="shared" si="7"/>
        <v>7.5504337114415737E-3</v>
      </c>
      <c r="Q22">
        <f t="shared" si="8"/>
        <v>2.1213266079348072</v>
      </c>
      <c r="R22">
        <f t="shared" si="9"/>
        <v>7.5355353889819286E-3</v>
      </c>
      <c r="S22">
        <f t="shared" si="10"/>
        <v>4.7110456966110246E-3</v>
      </c>
      <c r="T22">
        <f t="shared" si="11"/>
        <v>276.06636554040324</v>
      </c>
      <c r="U22">
        <f t="shared" si="12"/>
        <v>29.446388445630646</v>
      </c>
      <c r="V22">
        <f t="shared" si="13"/>
        <v>29.446388445630646</v>
      </c>
      <c r="W22">
        <f t="shared" si="14"/>
        <v>4.126834468046864</v>
      </c>
      <c r="X22">
        <f t="shared" si="15"/>
        <v>63.497867139327191</v>
      </c>
      <c r="Y22">
        <f t="shared" si="16"/>
        <v>2.31381630097296</v>
      </c>
      <c r="Z22">
        <f t="shared" si="17"/>
        <v>3.6439275919236436</v>
      </c>
      <c r="AA22">
        <f t="shared" si="18"/>
        <v>1.8130181670739041</v>
      </c>
      <c r="AB22">
        <f t="shared" si="19"/>
        <v>-6.2638323530377908</v>
      </c>
      <c r="AC22">
        <f t="shared" si="20"/>
        <v>-244.81974864321077</v>
      </c>
      <c r="AD22">
        <f t="shared" si="21"/>
        <v>-25.251185857153207</v>
      </c>
      <c r="AE22">
        <f t="shared" si="22"/>
        <v>-0.26840131299854875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52639.316269764153</v>
      </c>
      <c r="AK22">
        <f t="shared" si="26"/>
        <v>1799.68</v>
      </c>
      <c r="AL22">
        <f t="shared" si="27"/>
        <v>1498.8464252339199</v>
      </c>
      <c r="AM22">
        <f t="shared" si="28"/>
        <v>0.832840519</v>
      </c>
      <c r="AN22">
        <f t="shared" si="29"/>
        <v>0.15339747374000001</v>
      </c>
      <c r="AO22">
        <v>32.700000000000003</v>
      </c>
      <c r="AP22">
        <v>0.5</v>
      </c>
      <c r="AQ22" t="s">
        <v>331</v>
      </c>
      <c r="AR22">
        <v>2</v>
      </c>
      <c r="AS22">
        <v>1690301089.5</v>
      </c>
      <c r="AT22">
        <v>807.55899999999997</v>
      </c>
      <c r="AU22">
        <v>799.97</v>
      </c>
      <c r="AV22">
        <v>23.276199999999999</v>
      </c>
      <c r="AW22">
        <v>21.765000000000001</v>
      </c>
      <c r="AX22">
        <v>807.88</v>
      </c>
      <c r="AY22">
        <v>22.994700000000002</v>
      </c>
      <c r="AZ22">
        <v>300.19200000000001</v>
      </c>
      <c r="BA22">
        <v>99.307000000000002</v>
      </c>
      <c r="BB22">
        <v>9.9960800000000002E-2</v>
      </c>
      <c r="BC22">
        <v>27.305700000000002</v>
      </c>
      <c r="BD22">
        <v>27.621600000000001</v>
      </c>
      <c r="BE22">
        <v>28.504000000000001</v>
      </c>
      <c r="BF22">
        <v>0</v>
      </c>
      <c r="BG22">
        <v>0</v>
      </c>
      <c r="BH22">
        <v>10036.200000000001</v>
      </c>
      <c r="BI22">
        <v>1074.72</v>
      </c>
      <c r="BJ22">
        <v>1.68899</v>
      </c>
      <c r="BK22">
        <v>7.5896600000000003</v>
      </c>
      <c r="BL22">
        <v>826.80399999999997</v>
      </c>
      <c r="BM22">
        <v>817.76800000000003</v>
      </c>
      <c r="BN22">
        <v>1.5112099999999999</v>
      </c>
      <c r="BO22">
        <v>799.97</v>
      </c>
      <c r="BP22">
        <v>21.765000000000001</v>
      </c>
      <c r="BQ22">
        <v>2.31149</v>
      </c>
      <c r="BR22">
        <v>2.1614200000000001</v>
      </c>
      <c r="BS22">
        <v>19.756699999999999</v>
      </c>
      <c r="BT22">
        <v>18.679200000000002</v>
      </c>
      <c r="BU22">
        <v>1799.68</v>
      </c>
      <c r="BV22">
        <v>0.91000400000000004</v>
      </c>
      <c r="BW22">
        <v>3.3999399999999999E-2</v>
      </c>
      <c r="BX22">
        <v>2.2001699999999999E-2</v>
      </c>
      <c r="BY22">
        <v>3.3994799999999999E-2</v>
      </c>
      <c r="BZ22">
        <v>26</v>
      </c>
      <c r="CA22">
        <v>33522.5</v>
      </c>
      <c r="CB22">
        <v>1690300477.5</v>
      </c>
      <c r="CC22" t="s">
        <v>332</v>
      </c>
      <c r="CD22">
        <v>1690300477.5</v>
      </c>
      <c r="CE22">
        <v>1690300465.5</v>
      </c>
      <c r="CF22">
        <v>7</v>
      </c>
      <c r="CG22">
        <v>5.0999999999999997E-2</v>
      </c>
      <c r="CH22">
        <v>-8.0000000000000002E-3</v>
      </c>
      <c r="CI22">
        <v>-0.316</v>
      </c>
      <c r="CJ22">
        <v>0.28199999999999997</v>
      </c>
      <c r="CK22">
        <v>800</v>
      </c>
      <c r="CL22">
        <v>24</v>
      </c>
      <c r="CM22">
        <v>0.25</v>
      </c>
      <c r="CN22">
        <v>0.13</v>
      </c>
      <c r="CO22">
        <v>7.9660956097560991</v>
      </c>
      <c r="CP22">
        <v>-0.45134069686410622</v>
      </c>
      <c r="CQ22">
        <v>7.3521600013401744E-2</v>
      </c>
      <c r="CR22">
        <v>-1</v>
      </c>
      <c r="CS22">
        <v>1.472557804878049</v>
      </c>
      <c r="CT22">
        <v>6.110717770034825E-2</v>
      </c>
      <c r="CU22">
        <v>8.7196619738116495E-3</v>
      </c>
      <c r="CV22">
        <v>-1</v>
      </c>
      <c r="CW22">
        <v>0</v>
      </c>
      <c r="CX22">
        <v>0</v>
      </c>
      <c r="CY22" t="s">
        <v>333</v>
      </c>
      <c r="CZ22">
        <v>2.3644799999999999</v>
      </c>
      <c r="DA22">
        <v>2.7137799999999999</v>
      </c>
      <c r="DB22">
        <v>0.14804100000000001</v>
      </c>
      <c r="DC22">
        <v>0.14674000000000001</v>
      </c>
      <c r="DD22">
        <v>0.111399</v>
      </c>
      <c r="DE22">
        <v>0.105007</v>
      </c>
      <c r="DF22">
        <v>31114.3</v>
      </c>
      <c r="DG22">
        <v>27509.3</v>
      </c>
      <c r="DH22">
        <v>31177.7</v>
      </c>
      <c r="DI22">
        <v>28092.3</v>
      </c>
      <c r="DJ22">
        <v>37616</v>
      </c>
      <c r="DK22">
        <v>35751.699999999997</v>
      </c>
      <c r="DL22">
        <v>44370.6</v>
      </c>
      <c r="DM22">
        <v>42581.3</v>
      </c>
      <c r="DN22">
        <v>1.4701</v>
      </c>
      <c r="DO22">
        <v>2.06507</v>
      </c>
      <c r="DP22">
        <v>0.117008</v>
      </c>
      <c r="DQ22">
        <v>0.16678499999999999</v>
      </c>
      <c r="DR22">
        <v>25.707000000000001</v>
      </c>
      <c r="DS22">
        <v>25.777100000000001</v>
      </c>
      <c r="DT22">
        <v>56.9</v>
      </c>
      <c r="DU22">
        <v>29.1</v>
      </c>
      <c r="DV22">
        <v>23.179400000000001</v>
      </c>
      <c r="DW22">
        <v>61.304699999999997</v>
      </c>
      <c r="DX22">
        <v>35.244399999999999</v>
      </c>
      <c r="DY22">
        <v>1</v>
      </c>
      <c r="DZ22">
        <v>-9.0193099999999998E-2</v>
      </c>
      <c r="EA22">
        <v>-0.76816499999999999</v>
      </c>
      <c r="EB22">
        <v>20.186</v>
      </c>
      <c r="EC22">
        <v>5.2406499999999996</v>
      </c>
      <c r="ED22">
        <v>12.039899999999999</v>
      </c>
      <c r="EE22">
        <v>5.0171000000000001</v>
      </c>
      <c r="EF22">
        <v>3.2879700000000001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1.86459</v>
      </c>
      <c r="EM22">
        <v>1.8691899999999999</v>
      </c>
      <c r="EN22">
        <v>1.8672200000000001</v>
      </c>
      <c r="EO22">
        <v>1.86338</v>
      </c>
      <c r="EP22">
        <v>1.8644499999999999</v>
      </c>
      <c r="EQ22">
        <v>1.87012</v>
      </c>
      <c r="ER22">
        <v>1.86941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-0.32100000000000001</v>
      </c>
      <c r="FG22">
        <v>0.28149999999999997</v>
      </c>
      <c r="FH22">
        <v>0.23539598422606861</v>
      </c>
      <c r="FI22">
        <v>-6.1462078757559423E-4</v>
      </c>
      <c r="FJ22">
        <v>-1.8861989874597051E-7</v>
      </c>
      <c r="FK22">
        <v>1.1980462299894961E-10</v>
      </c>
      <c r="FL22">
        <v>0.28151999999999688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10.199999999999999</v>
      </c>
      <c r="FU22">
        <v>10.4</v>
      </c>
      <c r="FV22">
        <v>1.79565</v>
      </c>
      <c r="FW22">
        <v>2.5854499999999998</v>
      </c>
      <c r="FX22">
        <v>1.5490699999999999</v>
      </c>
      <c r="FY22">
        <v>2.3290999999999999</v>
      </c>
      <c r="FZ22">
        <v>1.50146</v>
      </c>
      <c r="GA22">
        <v>2.33765</v>
      </c>
      <c r="GB22">
        <v>33.558</v>
      </c>
      <c r="GC22">
        <v>23.973700000000001</v>
      </c>
      <c r="GD22">
        <v>19</v>
      </c>
      <c r="GE22">
        <v>280.245</v>
      </c>
      <c r="GF22">
        <v>606.91499999999996</v>
      </c>
      <c r="GG22">
        <v>28.311800000000002</v>
      </c>
      <c r="GH22">
        <v>26.279800000000002</v>
      </c>
      <c r="GI22">
        <v>29.9999</v>
      </c>
      <c r="GJ22">
        <v>26.3416</v>
      </c>
      <c r="GK22">
        <v>26.310400000000001</v>
      </c>
      <c r="GL22">
        <v>35.908499999999997</v>
      </c>
      <c r="GM22">
        <v>14.539099999999999</v>
      </c>
      <c r="GN22">
        <v>100</v>
      </c>
      <c r="GO22">
        <v>28.114999999999998</v>
      </c>
      <c r="GP22">
        <v>800</v>
      </c>
      <c r="GQ22">
        <v>21.9087</v>
      </c>
      <c r="GR22">
        <v>99.7577</v>
      </c>
      <c r="GS22">
        <v>99.6096</v>
      </c>
    </row>
    <row r="23" spans="1:201" x14ac:dyDescent="0.25">
      <c r="A23">
        <v>7</v>
      </c>
      <c r="B23">
        <v>1690301099.5</v>
      </c>
      <c r="C23">
        <v>195.5</v>
      </c>
      <c r="D23" t="s">
        <v>345</v>
      </c>
      <c r="E23" t="s">
        <v>346</v>
      </c>
      <c r="F23" t="s">
        <v>330</v>
      </c>
      <c r="H23">
        <v>1690301099.5</v>
      </c>
      <c r="I23">
        <f t="shared" si="0"/>
        <v>1.243802465225969E-4</v>
      </c>
      <c r="J23">
        <f t="shared" si="1"/>
        <v>0.1243802465225969</v>
      </c>
      <c r="K23">
        <f t="shared" si="2"/>
        <v>-0.70086961881063548</v>
      </c>
      <c r="L23">
        <f t="shared" si="3"/>
        <v>806.37900000000002</v>
      </c>
      <c r="M23">
        <f t="shared" si="4"/>
        <v>954.91886716299689</v>
      </c>
      <c r="N23">
        <f t="shared" si="5"/>
        <v>94.924853983140551</v>
      </c>
      <c r="O23">
        <f t="shared" si="6"/>
        <v>80.159070537041984</v>
      </c>
      <c r="P23">
        <f t="shared" si="7"/>
        <v>6.378700641639274E-3</v>
      </c>
      <c r="Q23">
        <f t="shared" si="8"/>
        <v>2.1161585071699749</v>
      </c>
      <c r="R23">
        <f t="shared" si="9"/>
        <v>6.3680381410229255E-3</v>
      </c>
      <c r="S23">
        <f t="shared" si="10"/>
        <v>3.9809803162340271E-3</v>
      </c>
      <c r="T23">
        <f t="shared" si="11"/>
        <v>276.10834539668656</v>
      </c>
      <c r="U23">
        <f t="shared" si="12"/>
        <v>29.755560983935233</v>
      </c>
      <c r="V23">
        <f t="shared" si="13"/>
        <v>29.755560983935233</v>
      </c>
      <c r="W23">
        <f t="shared" si="14"/>
        <v>4.2009961731109113</v>
      </c>
      <c r="X23">
        <f t="shared" si="15"/>
        <v>62.648758353769253</v>
      </c>
      <c r="Y23">
        <f t="shared" si="16"/>
        <v>2.3231129066401999</v>
      </c>
      <c r="Z23">
        <f t="shared" si="17"/>
        <v>3.7081547466940825</v>
      </c>
      <c r="AA23">
        <f t="shared" si="18"/>
        <v>1.8778832664707115</v>
      </c>
      <c r="AB23">
        <f t="shared" si="19"/>
        <v>-5.4851688716465237</v>
      </c>
      <c r="AC23">
        <f t="shared" si="20"/>
        <v>-245.4408951653611</v>
      </c>
      <c r="AD23">
        <f t="shared" si="21"/>
        <v>-25.453909925168009</v>
      </c>
      <c r="AE23">
        <f t="shared" si="22"/>
        <v>-0.27162856548906689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52360.833515022023</v>
      </c>
      <c r="AK23">
        <f t="shared" si="26"/>
        <v>1799.95</v>
      </c>
      <c r="AL23">
        <f t="shared" si="27"/>
        <v>1499.06864264765</v>
      </c>
      <c r="AM23">
        <f t="shared" si="28"/>
        <v>0.832839047</v>
      </c>
      <c r="AN23">
        <f t="shared" si="29"/>
        <v>0.15339778627000003</v>
      </c>
      <c r="AO23">
        <v>32.700000000000003</v>
      </c>
      <c r="AP23">
        <v>0.5</v>
      </c>
      <c r="AQ23" t="s">
        <v>331</v>
      </c>
      <c r="AR23">
        <v>2</v>
      </c>
      <c r="AS23">
        <v>1690301099.5</v>
      </c>
      <c r="AT23">
        <v>806.37900000000002</v>
      </c>
      <c r="AU23">
        <v>799.83900000000006</v>
      </c>
      <c r="AV23">
        <v>23.369900000000001</v>
      </c>
      <c r="AW23">
        <v>22.0471</v>
      </c>
      <c r="AX23">
        <v>806.7</v>
      </c>
      <c r="AY23">
        <v>23.0884</v>
      </c>
      <c r="AZ23">
        <v>300.286</v>
      </c>
      <c r="BA23">
        <v>99.306299999999993</v>
      </c>
      <c r="BB23">
        <v>9.9898000000000001E-2</v>
      </c>
      <c r="BC23">
        <v>27.604199999999999</v>
      </c>
      <c r="BD23">
        <v>28.007300000000001</v>
      </c>
      <c r="BE23">
        <v>29.365100000000002</v>
      </c>
      <c r="BF23">
        <v>0</v>
      </c>
      <c r="BG23">
        <v>0</v>
      </c>
      <c r="BH23">
        <v>9991.25</v>
      </c>
      <c r="BI23">
        <v>1077.56</v>
      </c>
      <c r="BJ23">
        <v>1.696</v>
      </c>
      <c r="BK23">
        <v>6.5404099999999996</v>
      </c>
      <c r="BL23">
        <v>825.67499999999995</v>
      </c>
      <c r="BM23">
        <v>817.87099999999998</v>
      </c>
      <c r="BN23">
        <v>1.32281</v>
      </c>
      <c r="BO23">
        <v>799.83900000000006</v>
      </c>
      <c r="BP23">
        <v>22.0471</v>
      </c>
      <c r="BQ23">
        <v>2.3207800000000001</v>
      </c>
      <c r="BR23">
        <v>2.1894200000000001</v>
      </c>
      <c r="BS23">
        <v>19.821400000000001</v>
      </c>
      <c r="BT23">
        <v>18.885100000000001</v>
      </c>
      <c r="BU23">
        <v>1799.95</v>
      </c>
      <c r="BV23">
        <v>0.90998500000000004</v>
      </c>
      <c r="BW23">
        <v>3.4003699999999998E-2</v>
      </c>
      <c r="BX23">
        <v>2.2003600000000002E-2</v>
      </c>
      <c r="BY23">
        <v>3.4007900000000001E-2</v>
      </c>
      <c r="BZ23">
        <v>26</v>
      </c>
      <c r="CA23">
        <v>33527.300000000003</v>
      </c>
      <c r="CB23">
        <v>1690300477.5</v>
      </c>
      <c r="CC23" t="s">
        <v>332</v>
      </c>
      <c r="CD23">
        <v>1690300477.5</v>
      </c>
      <c r="CE23">
        <v>1690300465.5</v>
      </c>
      <c r="CF23">
        <v>7</v>
      </c>
      <c r="CG23">
        <v>5.0999999999999997E-2</v>
      </c>
      <c r="CH23">
        <v>-8.0000000000000002E-3</v>
      </c>
      <c r="CI23">
        <v>-0.316</v>
      </c>
      <c r="CJ23">
        <v>0.28199999999999997</v>
      </c>
      <c r="CK23">
        <v>800</v>
      </c>
      <c r="CL23">
        <v>24</v>
      </c>
      <c r="CM23">
        <v>0.25</v>
      </c>
      <c r="CN23">
        <v>0.13</v>
      </c>
      <c r="CO23">
        <v>7.5389787804878043</v>
      </c>
      <c r="CP23">
        <v>-4.3167896864111466</v>
      </c>
      <c r="CQ23">
        <v>0.44939259814149862</v>
      </c>
      <c r="CR23">
        <v>-1</v>
      </c>
      <c r="CS23">
        <v>1.476660731707317</v>
      </c>
      <c r="CT23">
        <v>-8.471853658536363E-2</v>
      </c>
      <c r="CU23">
        <v>3.8135546211250947E-2</v>
      </c>
      <c r="CV23">
        <v>-1</v>
      </c>
      <c r="CW23">
        <v>0</v>
      </c>
      <c r="CX23">
        <v>0</v>
      </c>
      <c r="CY23" t="s">
        <v>333</v>
      </c>
      <c r="CZ23">
        <v>2.36477</v>
      </c>
      <c r="DA23">
        <v>2.7136800000000001</v>
      </c>
      <c r="DB23">
        <v>0.147895</v>
      </c>
      <c r="DC23">
        <v>0.146726</v>
      </c>
      <c r="DD23">
        <v>0.11171499999999999</v>
      </c>
      <c r="DE23">
        <v>0.105958</v>
      </c>
      <c r="DF23">
        <v>31119.8</v>
      </c>
      <c r="DG23">
        <v>27509.9</v>
      </c>
      <c r="DH23">
        <v>31177.8</v>
      </c>
      <c r="DI23">
        <v>28092.5</v>
      </c>
      <c r="DJ23">
        <v>37602.699999999997</v>
      </c>
      <c r="DK23">
        <v>35713.800000000003</v>
      </c>
      <c r="DL23">
        <v>44370.9</v>
      </c>
      <c r="DM23">
        <v>42581.4</v>
      </c>
      <c r="DN23">
        <v>1.46777</v>
      </c>
      <c r="DO23">
        <v>2.0654499999999998</v>
      </c>
      <c r="DP23">
        <v>0.137791</v>
      </c>
      <c r="DQ23">
        <v>0.21773899999999999</v>
      </c>
      <c r="DR23">
        <v>25.753399999999999</v>
      </c>
      <c r="DS23">
        <v>25.807500000000001</v>
      </c>
      <c r="DT23">
        <v>56.9</v>
      </c>
      <c r="DU23">
        <v>29.1</v>
      </c>
      <c r="DV23">
        <v>23.177199999999999</v>
      </c>
      <c r="DW23">
        <v>61.774700000000003</v>
      </c>
      <c r="DX23">
        <v>35.132199999999997</v>
      </c>
      <c r="DY23">
        <v>1</v>
      </c>
      <c r="DZ23">
        <v>-8.67835E-2</v>
      </c>
      <c r="EA23">
        <v>3.1115300000000001</v>
      </c>
      <c r="EB23">
        <v>20.133299999999998</v>
      </c>
      <c r="EC23">
        <v>5.2408000000000001</v>
      </c>
      <c r="ED23">
        <v>12.039899999999999</v>
      </c>
      <c r="EE23">
        <v>5.0166500000000003</v>
      </c>
      <c r="EF23">
        <v>3.2879499999999999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</v>
      </c>
      <c r="EM23">
        <v>1.8691800000000001</v>
      </c>
      <c r="EN23">
        <v>1.8672200000000001</v>
      </c>
      <c r="EO23">
        <v>1.86337</v>
      </c>
      <c r="EP23">
        <v>1.8644700000000001</v>
      </c>
      <c r="EQ23">
        <v>1.8701300000000001</v>
      </c>
      <c r="ER23">
        <v>1.86937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-0.32100000000000001</v>
      </c>
      <c r="FG23">
        <v>0.28149999999999997</v>
      </c>
      <c r="FH23">
        <v>0.23539598422606861</v>
      </c>
      <c r="FI23">
        <v>-6.1462078757559423E-4</v>
      </c>
      <c r="FJ23">
        <v>-1.8861989874597051E-7</v>
      </c>
      <c r="FK23">
        <v>1.1980462299894961E-10</v>
      </c>
      <c r="FL23">
        <v>0.28151999999999688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10.4</v>
      </c>
      <c r="FU23">
        <v>10.6</v>
      </c>
      <c r="FV23">
        <v>1.79688</v>
      </c>
      <c r="FW23">
        <v>2.5842299999999998</v>
      </c>
      <c r="FX23">
        <v>1.5490699999999999</v>
      </c>
      <c r="FY23">
        <v>2.3290999999999999</v>
      </c>
      <c r="FZ23">
        <v>1.50146</v>
      </c>
      <c r="GA23">
        <v>2.4011200000000001</v>
      </c>
      <c r="GB23">
        <v>33.580399999999997</v>
      </c>
      <c r="GC23">
        <v>23.9649</v>
      </c>
      <c r="GD23">
        <v>19</v>
      </c>
      <c r="GE23">
        <v>279.27499999999998</v>
      </c>
      <c r="GF23">
        <v>607.28200000000004</v>
      </c>
      <c r="GG23">
        <v>27.372399999999999</v>
      </c>
      <c r="GH23">
        <v>26.282</v>
      </c>
      <c r="GI23">
        <v>30.002099999999999</v>
      </c>
      <c r="GJ23">
        <v>26.3446</v>
      </c>
      <c r="GK23">
        <v>26.314399999999999</v>
      </c>
      <c r="GL23">
        <v>35.9208</v>
      </c>
      <c r="GM23">
        <v>11.203900000000001</v>
      </c>
      <c r="GN23">
        <v>100</v>
      </c>
      <c r="GO23">
        <v>26.5852</v>
      </c>
      <c r="GP23">
        <v>800</v>
      </c>
      <c r="GQ23">
        <v>22.502400000000002</v>
      </c>
      <c r="GR23">
        <v>99.758300000000006</v>
      </c>
      <c r="GS23">
        <v>99.61</v>
      </c>
    </row>
    <row r="24" spans="1:201" x14ac:dyDescent="0.25">
      <c r="A24">
        <v>8</v>
      </c>
      <c r="B24">
        <v>1690301109.5</v>
      </c>
      <c r="C24">
        <v>205.5</v>
      </c>
      <c r="D24" t="s">
        <v>347</v>
      </c>
      <c r="E24" t="s">
        <v>348</v>
      </c>
      <c r="F24" t="s">
        <v>330</v>
      </c>
      <c r="H24">
        <v>1690301109.5</v>
      </c>
      <c r="I24">
        <f t="shared" si="0"/>
        <v>9.6412457141165455E-5</v>
      </c>
      <c r="J24">
        <f t="shared" si="1"/>
        <v>9.6412457141165461E-2</v>
      </c>
      <c r="K24">
        <f t="shared" si="2"/>
        <v>-0.60989737073644112</v>
      </c>
      <c r="L24">
        <f t="shared" si="3"/>
        <v>805.654</v>
      </c>
      <c r="M24">
        <f t="shared" si="4"/>
        <v>974.49661292567657</v>
      </c>
      <c r="N24">
        <f t="shared" si="5"/>
        <v>96.871944715996904</v>
      </c>
      <c r="O24">
        <f t="shared" si="6"/>
        <v>80.087779385821378</v>
      </c>
      <c r="P24">
        <f t="shared" si="7"/>
        <v>4.971909649310006E-3</v>
      </c>
      <c r="Q24">
        <f t="shared" si="8"/>
        <v>2.1155211008020349</v>
      </c>
      <c r="R24">
        <f t="shared" si="9"/>
        <v>4.9654271175314998E-3</v>
      </c>
      <c r="S24">
        <f t="shared" si="10"/>
        <v>3.1039736611419358E-3</v>
      </c>
      <c r="T24">
        <f t="shared" si="11"/>
        <v>276.1046162906735</v>
      </c>
      <c r="U24">
        <f t="shared" si="12"/>
        <v>29.726905330705303</v>
      </c>
      <c r="V24">
        <f t="shared" si="13"/>
        <v>29.726905330705303</v>
      </c>
      <c r="W24">
        <f t="shared" si="14"/>
        <v>4.1940739968527225</v>
      </c>
      <c r="X24">
        <f t="shared" si="15"/>
        <v>62.903207794568281</v>
      </c>
      <c r="Y24">
        <f t="shared" si="16"/>
        <v>2.3272211187450997</v>
      </c>
      <c r="Z24">
        <f t="shared" si="17"/>
        <v>3.6996859148192058</v>
      </c>
      <c r="AA24">
        <f t="shared" si="18"/>
        <v>1.8668528781076228</v>
      </c>
      <c r="AB24">
        <f t="shared" si="19"/>
        <v>-4.2517893599253966</v>
      </c>
      <c r="AC24">
        <f t="shared" si="20"/>
        <v>-246.55816447662488</v>
      </c>
      <c r="AD24">
        <f t="shared" si="21"/>
        <v>-25.568869975207829</v>
      </c>
      <c r="AE24">
        <f t="shared" si="22"/>
        <v>-0.27420752108460533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52339.808144562732</v>
      </c>
      <c r="AK24">
        <f t="shared" si="26"/>
        <v>1799.93</v>
      </c>
      <c r="AL24">
        <f t="shared" si="27"/>
        <v>1499.0536652014</v>
      </c>
      <c r="AM24">
        <f t="shared" si="28"/>
        <v>0.83283997999999992</v>
      </c>
      <c r="AN24">
        <f t="shared" si="29"/>
        <v>0.15339741895</v>
      </c>
      <c r="AO24">
        <v>32.700000000000003</v>
      </c>
      <c r="AP24">
        <v>0.5</v>
      </c>
      <c r="AQ24" t="s">
        <v>331</v>
      </c>
      <c r="AR24">
        <v>2</v>
      </c>
      <c r="AS24">
        <v>1690301109.5</v>
      </c>
      <c r="AT24">
        <v>805.654</v>
      </c>
      <c r="AU24">
        <v>799.85500000000002</v>
      </c>
      <c r="AV24">
        <v>23.411000000000001</v>
      </c>
      <c r="AW24">
        <v>22.385100000000001</v>
      </c>
      <c r="AX24">
        <v>805.97400000000005</v>
      </c>
      <c r="AY24">
        <v>23.1294</v>
      </c>
      <c r="AZ24">
        <v>300.11500000000001</v>
      </c>
      <c r="BA24">
        <v>99.307199999999995</v>
      </c>
      <c r="BB24">
        <v>9.99641E-2</v>
      </c>
      <c r="BC24">
        <v>27.565100000000001</v>
      </c>
      <c r="BD24">
        <v>27.97</v>
      </c>
      <c r="BE24">
        <v>29.479700000000001</v>
      </c>
      <c r="BF24">
        <v>0</v>
      </c>
      <c r="BG24">
        <v>0</v>
      </c>
      <c r="BH24">
        <v>9985.6200000000008</v>
      </c>
      <c r="BI24">
        <v>1079.3499999999999</v>
      </c>
      <c r="BJ24">
        <v>1.7100200000000001</v>
      </c>
      <c r="BK24">
        <v>5.7984</v>
      </c>
      <c r="BL24">
        <v>824.96699999999998</v>
      </c>
      <c r="BM24">
        <v>818.17</v>
      </c>
      <c r="BN24">
        <v>1.0258100000000001</v>
      </c>
      <c r="BO24">
        <v>799.85500000000002</v>
      </c>
      <c r="BP24">
        <v>22.385100000000001</v>
      </c>
      <c r="BQ24">
        <v>2.3248799999999998</v>
      </c>
      <c r="BR24">
        <v>2.2230099999999999</v>
      </c>
      <c r="BS24">
        <v>19.849799999999998</v>
      </c>
      <c r="BT24">
        <v>19.129100000000001</v>
      </c>
      <c r="BU24">
        <v>1799.93</v>
      </c>
      <c r="BV24">
        <v>0.91000300000000001</v>
      </c>
      <c r="BW24">
        <v>3.4005500000000001E-2</v>
      </c>
      <c r="BX24">
        <v>2.2000499999999999E-2</v>
      </c>
      <c r="BY24">
        <v>3.3990899999999998E-2</v>
      </c>
      <c r="BZ24">
        <v>26</v>
      </c>
      <c r="CA24">
        <v>33527.1</v>
      </c>
      <c r="CB24">
        <v>1690300477.5</v>
      </c>
      <c r="CC24" t="s">
        <v>332</v>
      </c>
      <c r="CD24">
        <v>1690300477.5</v>
      </c>
      <c r="CE24">
        <v>1690300465.5</v>
      </c>
      <c r="CF24">
        <v>7</v>
      </c>
      <c r="CG24">
        <v>5.0999999999999997E-2</v>
      </c>
      <c r="CH24">
        <v>-8.0000000000000002E-3</v>
      </c>
      <c r="CI24">
        <v>-0.316</v>
      </c>
      <c r="CJ24">
        <v>0.28199999999999997</v>
      </c>
      <c r="CK24">
        <v>800</v>
      </c>
      <c r="CL24">
        <v>24</v>
      </c>
      <c r="CM24">
        <v>0.25</v>
      </c>
      <c r="CN24">
        <v>0.13</v>
      </c>
      <c r="CO24">
        <v>6.7145127499999999</v>
      </c>
      <c r="CP24">
        <v>-5.5028705065666239</v>
      </c>
      <c r="CQ24">
        <v>0.53191216338314506</v>
      </c>
      <c r="CR24">
        <v>-1</v>
      </c>
      <c r="CS24">
        <v>1.3431575</v>
      </c>
      <c r="CT24">
        <v>-1.5968598123827411</v>
      </c>
      <c r="CU24">
        <v>0.15761280735952271</v>
      </c>
      <c r="CV24">
        <v>-1</v>
      </c>
      <c r="CW24">
        <v>0</v>
      </c>
      <c r="CX24">
        <v>0</v>
      </c>
      <c r="CY24" t="s">
        <v>333</v>
      </c>
      <c r="CZ24">
        <v>2.36422</v>
      </c>
      <c r="DA24">
        <v>2.71374</v>
      </c>
      <c r="DB24">
        <v>0.14780799999999999</v>
      </c>
      <c r="DC24">
        <v>0.146735</v>
      </c>
      <c r="DD24">
        <v>0.111855</v>
      </c>
      <c r="DE24">
        <v>0.107095</v>
      </c>
      <c r="DF24">
        <v>31121.599999999999</v>
      </c>
      <c r="DG24">
        <v>27508.1</v>
      </c>
      <c r="DH24">
        <v>31176.400000000001</v>
      </c>
      <c r="DI24">
        <v>28091</v>
      </c>
      <c r="DJ24">
        <v>37595.199999999997</v>
      </c>
      <c r="DK24">
        <v>35666.6</v>
      </c>
      <c r="DL24">
        <v>44369.2</v>
      </c>
      <c r="DM24">
        <v>42579.4</v>
      </c>
      <c r="DN24">
        <v>1.46553</v>
      </c>
      <c r="DO24">
        <v>2.06575</v>
      </c>
      <c r="DP24">
        <v>0.13180800000000001</v>
      </c>
      <c r="DQ24">
        <v>0.222299</v>
      </c>
      <c r="DR24">
        <v>25.814</v>
      </c>
      <c r="DS24">
        <v>25.848099999999999</v>
      </c>
      <c r="DT24">
        <v>56.9</v>
      </c>
      <c r="DU24">
        <v>29.1</v>
      </c>
      <c r="DV24">
        <v>23.1784</v>
      </c>
      <c r="DW24">
        <v>62.274700000000003</v>
      </c>
      <c r="DX24">
        <v>36.185899999999997</v>
      </c>
      <c r="DY24">
        <v>1</v>
      </c>
      <c r="DZ24">
        <v>-7.5279499999999999E-2</v>
      </c>
      <c r="EA24">
        <v>6.7955199999999998</v>
      </c>
      <c r="EB24">
        <v>19.9924</v>
      </c>
      <c r="EC24">
        <v>5.24125</v>
      </c>
      <c r="ED24">
        <v>12.039899999999999</v>
      </c>
      <c r="EE24">
        <v>5.0170500000000002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1.86459</v>
      </c>
      <c r="EM24">
        <v>1.8691800000000001</v>
      </c>
      <c r="EN24">
        <v>1.8672200000000001</v>
      </c>
      <c r="EO24">
        <v>1.86338</v>
      </c>
      <c r="EP24">
        <v>1.8644499999999999</v>
      </c>
      <c r="EQ24">
        <v>1.87012</v>
      </c>
      <c r="ER24">
        <v>1.86938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-0.32</v>
      </c>
      <c r="FG24">
        <v>0.28160000000000002</v>
      </c>
      <c r="FH24">
        <v>0.23539598422606861</v>
      </c>
      <c r="FI24">
        <v>-6.1462078757559423E-4</v>
      </c>
      <c r="FJ24">
        <v>-1.8861989874597051E-7</v>
      </c>
      <c r="FK24">
        <v>1.1980462299894961E-10</v>
      </c>
      <c r="FL24">
        <v>0.28151999999999688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10.5</v>
      </c>
      <c r="FU24">
        <v>10.7</v>
      </c>
      <c r="FV24">
        <v>1.79688</v>
      </c>
      <c r="FW24">
        <v>2.5842299999999998</v>
      </c>
      <c r="FX24">
        <v>1.5490699999999999</v>
      </c>
      <c r="FY24">
        <v>2.3290999999999999</v>
      </c>
      <c r="FZ24">
        <v>1.50146</v>
      </c>
      <c r="GA24">
        <v>2.4291999999999998</v>
      </c>
      <c r="GB24">
        <v>33.580399999999997</v>
      </c>
      <c r="GC24">
        <v>23.912400000000002</v>
      </c>
      <c r="GD24">
        <v>19</v>
      </c>
      <c r="GE24">
        <v>278.33100000000002</v>
      </c>
      <c r="GF24">
        <v>607.56899999999996</v>
      </c>
      <c r="GG24">
        <v>25.342099999999999</v>
      </c>
      <c r="GH24">
        <v>26.284199999999998</v>
      </c>
      <c r="GI24">
        <v>30.0046</v>
      </c>
      <c r="GJ24">
        <v>26.346</v>
      </c>
      <c r="GK24">
        <v>26.3171</v>
      </c>
      <c r="GL24">
        <v>35.932200000000002</v>
      </c>
      <c r="GM24">
        <v>9.6882199999999994</v>
      </c>
      <c r="GN24">
        <v>100</v>
      </c>
      <c r="GO24">
        <v>24.523800000000001</v>
      </c>
      <c r="GP24">
        <v>800</v>
      </c>
      <c r="GQ24">
        <v>22.636099999999999</v>
      </c>
      <c r="GR24">
        <v>99.754199999999997</v>
      </c>
      <c r="GS24">
        <v>99.605099999999993</v>
      </c>
    </row>
    <row r="25" spans="1:201" x14ac:dyDescent="0.25">
      <c r="A25">
        <v>9</v>
      </c>
      <c r="B25">
        <v>1690301119.5</v>
      </c>
      <c r="C25">
        <v>215.5</v>
      </c>
      <c r="D25" t="s">
        <v>349</v>
      </c>
      <c r="E25" t="s">
        <v>350</v>
      </c>
      <c r="F25" t="s">
        <v>330</v>
      </c>
      <c r="H25">
        <v>1690301119.5</v>
      </c>
      <c r="I25">
        <f t="shared" si="0"/>
        <v>6.505354713183615E-5</v>
      </c>
      <c r="J25">
        <f t="shared" si="1"/>
        <v>6.5053547131836156E-2</v>
      </c>
      <c r="K25">
        <f t="shared" si="2"/>
        <v>-0.51019332351198321</v>
      </c>
      <c r="L25">
        <f t="shared" si="3"/>
        <v>804.91600000000005</v>
      </c>
      <c r="M25">
        <f t="shared" si="4"/>
        <v>1016.1803294255569</v>
      </c>
      <c r="N25">
        <f t="shared" si="5"/>
        <v>101.01496141863184</v>
      </c>
      <c r="O25">
        <f t="shared" si="6"/>
        <v>80.013907306396007</v>
      </c>
      <c r="P25">
        <f t="shared" si="7"/>
        <v>3.417942423759094E-3</v>
      </c>
      <c r="Q25">
        <f t="shared" si="8"/>
        <v>2.1135697922985583</v>
      </c>
      <c r="R25">
        <f t="shared" si="9"/>
        <v>3.4148746790069631E-3</v>
      </c>
      <c r="S25">
        <f t="shared" si="10"/>
        <v>2.1345720632973113E-3</v>
      </c>
      <c r="T25">
        <f t="shared" si="11"/>
        <v>276.10596366508321</v>
      </c>
      <c r="U25">
        <f t="shared" si="12"/>
        <v>29.511993451434584</v>
      </c>
      <c r="V25">
        <f t="shared" si="13"/>
        <v>29.511993451434584</v>
      </c>
      <c r="W25">
        <f t="shared" si="14"/>
        <v>4.1424751255787609</v>
      </c>
      <c r="X25">
        <f t="shared" si="15"/>
        <v>63.283864273108847</v>
      </c>
      <c r="Y25">
        <f t="shared" si="16"/>
        <v>2.3102376023993001</v>
      </c>
      <c r="Z25">
        <f t="shared" si="17"/>
        <v>3.650595027555843</v>
      </c>
      <c r="AA25">
        <f t="shared" si="18"/>
        <v>1.8322375231794608</v>
      </c>
      <c r="AB25">
        <f t="shared" si="19"/>
        <v>-2.8688614285139744</v>
      </c>
      <c r="AC25">
        <f t="shared" si="20"/>
        <v>-247.84488333677632</v>
      </c>
      <c r="AD25">
        <f t="shared" si="21"/>
        <v>-25.669395585507143</v>
      </c>
      <c r="AE25">
        <f t="shared" si="22"/>
        <v>-0.27717668571423815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52294.281729264629</v>
      </c>
      <c r="AK25">
        <f t="shared" si="26"/>
        <v>1799.94</v>
      </c>
      <c r="AL25">
        <f t="shared" si="27"/>
        <v>1499.0594160871199</v>
      </c>
      <c r="AM25">
        <f t="shared" si="28"/>
        <v>0.8328385479999999</v>
      </c>
      <c r="AN25">
        <f t="shared" si="29"/>
        <v>0.15339731528</v>
      </c>
      <c r="AO25">
        <v>32.700000000000003</v>
      </c>
      <c r="AP25">
        <v>0.5</v>
      </c>
      <c r="AQ25" t="s">
        <v>331</v>
      </c>
      <c r="AR25">
        <v>2</v>
      </c>
      <c r="AS25">
        <v>1690301119.5</v>
      </c>
      <c r="AT25">
        <v>804.91600000000005</v>
      </c>
      <c r="AU25">
        <v>799.93</v>
      </c>
      <c r="AV25">
        <v>23.240300000000001</v>
      </c>
      <c r="AW25">
        <v>22.548300000000001</v>
      </c>
      <c r="AX25">
        <v>805.23500000000001</v>
      </c>
      <c r="AY25">
        <v>22.9588</v>
      </c>
      <c r="AZ25">
        <v>300.262</v>
      </c>
      <c r="BA25">
        <v>99.3065</v>
      </c>
      <c r="BB25">
        <v>0.10003099999999999</v>
      </c>
      <c r="BC25">
        <v>27.3369</v>
      </c>
      <c r="BD25">
        <v>27.746700000000001</v>
      </c>
      <c r="BE25">
        <v>29.285399999999999</v>
      </c>
      <c r="BF25">
        <v>0</v>
      </c>
      <c r="BG25">
        <v>0</v>
      </c>
      <c r="BH25">
        <v>9968.75</v>
      </c>
      <c r="BI25">
        <v>1080.33</v>
      </c>
      <c r="BJ25">
        <v>1.7941199999999999</v>
      </c>
      <c r="BK25">
        <v>4.9855299999999998</v>
      </c>
      <c r="BL25">
        <v>824.06700000000001</v>
      </c>
      <c r="BM25">
        <v>818.38300000000004</v>
      </c>
      <c r="BN25">
        <v>0.69202600000000003</v>
      </c>
      <c r="BO25">
        <v>799.93</v>
      </c>
      <c r="BP25">
        <v>22.548300000000001</v>
      </c>
      <c r="BQ25">
        <v>2.3079100000000001</v>
      </c>
      <c r="BR25">
        <v>2.2391899999999998</v>
      </c>
      <c r="BS25">
        <v>19.7317</v>
      </c>
      <c r="BT25">
        <v>19.2455</v>
      </c>
      <c r="BU25">
        <v>1799.94</v>
      </c>
      <c r="BV25">
        <v>0.90999200000000002</v>
      </c>
      <c r="BW25">
        <v>3.4006300000000003E-2</v>
      </c>
      <c r="BX25">
        <v>2.1998400000000001E-2</v>
      </c>
      <c r="BY25">
        <v>3.4002999999999999E-2</v>
      </c>
      <c r="BZ25">
        <v>26</v>
      </c>
      <c r="CA25">
        <v>33527.300000000003</v>
      </c>
      <c r="CB25">
        <v>1690300477.5</v>
      </c>
      <c r="CC25" t="s">
        <v>332</v>
      </c>
      <c r="CD25">
        <v>1690300477.5</v>
      </c>
      <c r="CE25">
        <v>1690300465.5</v>
      </c>
      <c r="CF25">
        <v>7</v>
      </c>
      <c r="CG25">
        <v>5.0999999999999997E-2</v>
      </c>
      <c r="CH25">
        <v>-8.0000000000000002E-3</v>
      </c>
      <c r="CI25">
        <v>-0.316</v>
      </c>
      <c r="CJ25">
        <v>0.28199999999999997</v>
      </c>
      <c r="CK25">
        <v>800</v>
      </c>
      <c r="CL25">
        <v>24</v>
      </c>
      <c r="CM25">
        <v>0.25</v>
      </c>
      <c r="CN25">
        <v>0.13</v>
      </c>
      <c r="CO25">
        <v>5.8466978048780476</v>
      </c>
      <c r="CP25">
        <v>-4.5519685714285476</v>
      </c>
      <c r="CQ25">
        <v>0.44930069628860497</v>
      </c>
      <c r="CR25">
        <v>-1</v>
      </c>
      <c r="CS25">
        <v>1.046563682926829</v>
      </c>
      <c r="CT25">
        <v>-1.8093607735191619</v>
      </c>
      <c r="CU25">
        <v>0.1785685954020893</v>
      </c>
      <c r="CV25">
        <v>-1</v>
      </c>
      <c r="CW25">
        <v>0</v>
      </c>
      <c r="CX25">
        <v>0</v>
      </c>
      <c r="CY25" t="s">
        <v>333</v>
      </c>
      <c r="CZ25">
        <v>2.3647100000000001</v>
      </c>
      <c r="DA25">
        <v>2.7138</v>
      </c>
      <c r="DB25">
        <v>0.14771300000000001</v>
      </c>
      <c r="DC25">
        <v>0.14674599999999999</v>
      </c>
      <c r="DD25">
        <v>0.111273</v>
      </c>
      <c r="DE25">
        <v>0.107639</v>
      </c>
      <c r="DF25">
        <v>31123.200000000001</v>
      </c>
      <c r="DG25">
        <v>27506.400000000001</v>
      </c>
      <c r="DH25">
        <v>31174.7</v>
      </c>
      <c r="DI25">
        <v>28089.599999999999</v>
      </c>
      <c r="DJ25">
        <v>37618</v>
      </c>
      <c r="DK25">
        <v>35643.199999999997</v>
      </c>
      <c r="DL25">
        <v>44366.7</v>
      </c>
      <c r="DM25">
        <v>42577.5</v>
      </c>
      <c r="DN25">
        <v>1.4648300000000001</v>
      </c>
      <c r="DO25">
        <v>2.06575</v>
      </c>
      <c r="DP25">
        <v>0.11480600000000001</v>
      </c>
      <c r="DQ25">
        <v>0.20877299999999999</v>
      </c>
      <c r="DR25">
        <v>25.868600000000001</v>
      </c>
      <c r="DS25">
        <v>25.874300000000002</v>
      </c>
      <c r="DT25">
        <v>56.9</v>
      </c>
      <c r="DU25">
        <v>29.1</v>
      </c>
      <c r="DV25">
        <v>23.1769</v>
      </c>
      <c r="DW25">
        <v>62.354700000000001</v>
      </c>
      <c r="DX25">
        <v>35.176299999999998</v>
      </c>
      <c r="DY25">
        <v>1</v>
      </c>
      <c r="DZ25">
        <v>-6.8155499999999994E-2</v>
      </c>
      <c r="EA25">
        <v>8.2848799999999994</v>
      </c>
      <c r="EB25">
        <v>19.9251</v>
      </c>
      <c r="EC25">
        <v>5.2401999999999997</v>
      </c>
      <c r="ED25">
        <v>12.039899999999999</v>
      </c>
      <c r="EE25">
        <v>5.0167000000000002</v>
      </c>
      <c r="EF25">
        <v>3.2879499999999999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1.8645799999999999</v>
      </c>
      <c r="EM25">
        <v>1.8691899999999999</v>
      </c>
      <c r="EN25">
        <v>1.8672200000000001</v>
      </c>
      <c r="EO25">
        <v>1.86334</v>
      </c>
      <c r="EP25">
        <v>1.8644499999999999</v>
      </c>
      <c r="EQ25">
        <v>1.8701300000000001</v>
      </c>
      <c r="ER25">
        <v>1.86937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-0.31900000000000001</v>
      </c>
      <c r="FG25">
        <v>0.28149999999999997</v>
      </c>
      <c r="FH25">
        <v>0.23539598422606861</v>
      </c>
      <c r="FI25">
        <v>-6.1462078757559423E-4</v>
      </c>
      <c r="FJ25">
        <v>-1.8861989874597051E-7</v>
      </c>
      <c r="FK25">
        <v>1.1980462299894961E-10</v>
      </c>
      <c r="FL25">
        <v>0.28151999999999688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10.7</v>
      </c>
      <c r="FU25">
        <v>10.9</v>
      </c>
      <c r="FV25">
        <v>1.7981</v>
      </c>
      <c r="FW25">
        <v>2.5915499999999998</v>
      </c>
      <c r="FX25">
        <v>1.5490699999999999</v>
      </c>
      <c r="FY25">
        <v>2.3290999999999999</v>
      </c>
      <c r="FZ25">
        <v>1.50146</v>
      </c>
      <c r="GA25">
        <v>2.32666</v>
      </c>
      <c r="GB25">
        <v>33.580399999999997</v>
      </c>
      <c r="GC25">
        <v>23.868600000000001</v>
      </c>
      <c r="GD25">
        <v>19</v>
      </c>
      <c r="GE25">
        <v>278.03699999999998</v>
      </c>
      <c r="GF25">
        <v>607.59500000000003</v>
      </c>
      <c r="GG25">
        <v>23.230499999999999</v>
      </c>
      <c r="GH25">
        <v>26.286799999999999</v>
      </c>
      <c r="GI25">
        <v>30.002800000000001</v>
      </c>
      <c r="GJ25">
        <v>26.346</v>
      </c>
      <c r="GK25">
        <v>26.319199999999999</v>
      </c>
      <c r="GL25">
        <v>35.940100000000001</v>
      </c>
      <c r="GM25">
        <v>8.7362000000000002</v>
      </c>
      <c r="GN25">
        <v>100</v>
      </c>
      <c r="GO25">
        <v>22.6676</v>
      </c>
      <c r="GP25">
        <v>800</v>
      </c>
      <c r="GQ25">
        <v>22.723299999999998</v>
      </c>
      <c r="GR25">
        <v>99.748599999999996</v>
      </c>
      <c r="GS25">
        <v>99.600499999999997</v>
      </c>
    </row>
    <row r="26" spans="1:201" x14ac:dyDescent="0.25">
      <c r="A26">
        <v>10</v>
      </c>
      <c r="B26">
        <v>1690301129.5</v>
      </c>
      <c r="C26">
        <v>225.5</v>
      </c>
      <c r="D26" t="s">
        <v>351</v>
      </c>
      <c r="E26" t="s">
        <v>352</v>
      </c>
      <c r="F26" t="s">
        <v>330</v>
      </c>
      <c r="H26">
        <v>1690301129.5</v>
      </c>
      <c r="I26">
        <f t="shared" si="0"/>
        <v>2.7435852210984098E-5</v>
      </c>
      <c r="J26">
        <f t="shared" si="1"/>
        <v>2.7435852210984098E-2</v>
      </c>
      <c r="K26">
        <f t="shared" si="2"/>
        <v>-0.37861661927177964</v>
      </c>
      <c r="L26">
        <f t="shared" si="3"/>
        <v>803.822</v>
      </c>
      <c r="M26">
        <f t="shared" si="4"/>
        <v>1186.5880505805699</v>
      </c>
      <c r="N26">
        <f t="shared" si="5"/>
        <v>117.95527569762092</v>
      </c>
      <c r="O26">
        <f t="shared" si="6"/>
        <v>79.905613051995815</v>
      </c>
      <c r="P26">
        <f t="shared" si="7"/>
        <v>1.4690057775980075E-3</v>
      </c>
      <c r="Q26">
        <f t="shared" si="8"/>
        <v>2.1137208244786105</v>
      </c>
      <c r="R26">
        <f t="shared" si="9"/>
        <v>1.4684388262125375E-3</v>
      </c>
      <c r="S26">
        <f t="shared" si="10"/>
        <v>9.1782518524154599E-4</v>
      </c>
      <c r="T26">
        <f t="shared" si="11"/>
        <v>276.11164814049874</v>
      </c>
      <c r="U26">
        <f t="shared" si="12"/>
        <v>29.241080457348659</v>
      </c>
      <c r="V26">
        <f t="shared" si="13"/>
        <v>29.241080457348659</v>
      </c>
      <c r="W26">
        <f t="shared" si="14"/>
        <v>4.0782198670015974</v>
      </c>
      <c r="X26">
        <f t="shared" si="15"/>
        <v>63.5159384257746</v>
      </c>
      <c r="Y26">
        <f t="shared" si="16"/>
        <v>2.2803292637967703</v>
      </c>
      <c r="Z26">
        <f t="shared" si="17"/>
        <v>3.5901685786498887</v>
      </c>
      <c r="AA26">
        <f t="shared" si="18"/>
        <v>1.7978906032048272</v>
      </c>
      <c r="AB26">
        <f t="shared" si="19"/>
        <v>-1.2099210825043987</v>
      </c>
      <c r="AC26">
        <f t="shared" si="20"/>
        <v>-249.42229554382666</v>
      </c>
      <c r="AD26">
        <f t="shared" si="21"/>
        <v>-25.759585606456763</v>
      </c>
      <c r="AE26">
        <f t="shared" si="22"/>
        <v>-0.28015409228908084</v>
      </c>
      <c r="AF26">
        <v>1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52350.499280035576</v>
      </c>
      <c r="AK26">
        <f t="shared" si="26"/>
        <v>1799.97</v>
      </c>
      <c r="AL26">
        <f t="shared" si="27"/>
        <v>1499.0890145666699</v>
      </c>
      <c r="AM26">
        <f t="shared" si="28"/>
        <v>0.83284111099999991</v>
      </c>
      <c r="AN26">
        <f t="shared" si="29"/>
        <v>0.15339791671000003</v>
      </c>
      <c r="AO26">
        <v>32.700000000000003</v>
      </c>
      <c r="AP26">
        <v>0.5</v>
      </c>
      <c r="AQ26" t="s">
        <v>331</v>
      </c>
      <c r="AR26">
        <v>2</v>
      </c>
      <c r="AS26">
        <v>1690301129.5</v>
      </c>
      <c r="AT26">
        <v>803.822</v>
      </c>
      <c r="AU26">
        <v>799.93799999999999</v>
      </c>
      <c r="AV26">
        <v>22.939299999999999</v>
      </c>
      <c r="AW26">
        <v>22.647300000000001</v>
      </c>
      <c r="AX26">
        <v>804.14099999999996</v>
      </c>
      <c r="AY26">
        <v>22.657699999999998</v>
      </c>
      <c r="AZ26">
        <v>300.19600000000003</v>
      </c>
      <c r="BA26">
        <v>99.307100000000005</v>
      </c>
      <c r="BB26">
        <v>9.9998900000000002E-2</v>
      </c>
      <c r="BC26">
        <v>27.052299999999999</v>
      </c>
      <c r="BD26">
        <v>27.420400000000001</v>
      </c>
      <c r="BE26">
        <v>28.9588</v>
      </c>
      <c r="BF26">
        <v>0</v>
      </c>
      <c r="BG26">
        <v>0</v>
      </c>
      <c r="BH26">
        <v>9970</v>
      </c>
      <c r="BI26">
        <v>1080.49</v>
      </c>
      <c r="BJ26">
        <v>1.7380500000000001</v>
      </c>
      <c r="BK26">
        <v>3.8843399999999999</v>
      </c>
      <c r="BL26">
        <v>822.69399999999996</v>
      </c>
      <c r="BM26">
        <v>818.47400000000005</v>
      </c>
      <c r="BN26">
        <v>0.29195599999999999</v>
      </c>
      <c r="BO26">
        <v>799.93799999999999</v>
      </c>
      <c r="BP26">
        <v>22.647300000000001</v>
      </c>
      <c r="BQ26">
        <v>2.2780300000000002</v>
      </c>
      <c r="BR26">
        <v>2.2490399999999999</v>
      </c>
      <c r="BS26">
        <v>19.521899999999999</v>
      </c>
      <c r="BT26">
        <v>19.315999999999999</v>
      </c>
      <c r="BU26">
        <v>1799.97</v>
      </c>
      <c r="BV26">
        <v>0.91000400000000004</v>
      </c>
      <c r="BW26">
        <v>3.4000099999999998E-2</v>
      </c>
      <c r="BX26">
        <v>2.2008799999999999E-2</v>
      </c>
      <c r="BY26">
        <v>3.3986700000000002E-2</v>
      </c>
      <c r="BZ26">
        <v>26</v>
      </c>
      <c r="CA26">
        <v>33527.599999999999</v>
      </c>
      <c r="CB26">
        <v>1690300477.5</v>
      </c>
      <c r="CC26" t="s">
        <v>332</v>
      </c>
      <c r="CD26">
        <v>1690300477.5</v>
      </c>
      <c r="CE26">
        <v>1690300465.5</v>
      </c>
      <c r="CF26">
        <v>7</v>
      </c>
      <c r="CG26">
        <v>5.0999999999999997E-2</v>
      </c>
      <c r="CH26">
        <v>-8.0000000000000002E-3</v>
      </c>
      <c r="CI26">
        <v>-0.316</v>
      </c>
      <c r="CJ26">
        <v>0.28199999999999997</v>
      </c>
      <c r="CK26">
        <v>800</v>
      </c>
      <c r="CL26">
        <v>24</v>
      </c>
      <c r="CM26">
        <v>0.25</v>
      </c>
      <c r="CN26">
        <v>0.13</v>
      </c>
      <c r="CO26">
        <v>4.9497367499999996</v>
      </c>
      <c r="CP26">
        <v>-5.573591932457802</v>
      </c>
      <c r="CQ26">
        <v>0.53926088153781138</v>
      </c>
      <c r="CR26">
        <v>-1</v>
      </c>
      <c r="CS26">
        <v>0.68914280000000006</v>
      </c>
      <c r="CT26">
        <v>-2.2081775234521581</v>
      </c>
      <c r="CU26">
        <v>0.2126153088447772</v>
      </c>
      <c r="CV26">
        <v>-1</v>
      </c>
      <c r="CW26">
        <v>0</v>
      </c>
      <c r="CX26">
        <v>0</v>
      </c>
      <c r="CY26" t="s">
        <v>333</v>
      </c>
      <c r="CZ26">
        <v>2.3644799999999999</v>
      </c>
      <c r="DA26">
        <v>2.7137600000000002</v>
      </c>
      <c r="DB26">
        <v>0.14757300000000001</v>
      </c>
      <c r="DC26">
        <v>0.14674799999999999</v>
      </c>
      <c r="DD26">
        <v>0.11024399999999999</v>
      </c>
      <c r="DE26">
        <v>0.107969</v>
      </c>
      <c r="DF26">
        <v>31128.7</v>
      </c>
      <c r="DG26">
        <v>27506.2</v>
      </c>
      <c r="DH26">
        <v>31175</v>
      </c>
      <c r="DI26">
        <v>28089.5</v>
      </c>
      <c r="DJ26">
        <v>37662.5</v>
      </c>
      <c r="DK26">
        <v>35629.9</v>
      </c>
      <c r="DL26">
        <v>44367.3</v>
      </c>
      <c r="DM26">
        <v>42577.4</v>
      </c>
      <c r="DN26">
        <v>1.4641500000000001</v>
      </c>
      <c r="DO26">
        <v>2.0658799999999999</v>
      </c>
      <c r="DP26">
        <v>9.2834200000000006E-2</v>
      </c>
      <c r="DQ26">
        <v>0.18883900000000001</v>
      </c>
      <c r="DR26">
        <v>25.901299999999999</v>
      </c>
      <c r="DS26">
        <v>25.872699999999998</v>
      </c>
      <c r="DT26">
        <v>57</v>
      </c>
      <c r="DU26">
        <v>29.1</v>
      </c>
      <c r="DV26">
        <v>23.2165</v>
      </c>
      <c r="DW26">
        <v>62.344700000000003</v>
      </c>
      <c r="DX26">
        <v>34.907899999999998</v>
      </c>
      <c r="DY26">
        <v>1</v>
      </c>
      <c r="DZ26">
        <v>-6.7195099999999994E-2</v>
      </c>
      <c r="EA26">
        <v>8.3468800000000005</v>
      </c>
      <c r="EB26">
        <v>19.932500000000001</v>
      </c>
      <c r="EC26">
        <v>5.2408000000000001</v>
      </c>
      <c r="ED26">
        <v>12.039899999999999</v>
      </c>
      <c r="EE26">
        <v>5.0165499999999996</v>
      </c>
      <c r="EF26">
        <v>3.2879499999999999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1.86459</v>
      </c>
      <c r="EM26">
        <v>1.8692</v>
      </c>
      <c r="EN26">
        <v>1.8672200000000001</v>
      </c>
      <c r="EO26">
        <v>1.8633599999999999</v>
      </c>
      <c r="EP26">
        <v>1.8644499999999999</v>
      </c>
      <c r="EQ26">
        <v>1.87012</v>
      </c>
      <c r="ER26">
        <v>1.8693500000000001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-0.31900000000000001</v>
      </c>
      <c r="FG26">
        <v>0.28160000000000002</v>
      </c>
      <c r="FH26">
        <v>0.23539598422606861</v>
      </c>
      <c r="FI26">
        <v>-6.1462078757559423E-4</v>
      </c>
      <c r="FJ26">
        <v>-1.8861989874597051E-7</v>
      </c>
      <c r="FK26">
        <v>1.1980462299894961E-10</v>
      </c>
      <c r="FL26">
        <v>0.28151999999999688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10.9</v>
      </c>
      <c r="FU26">
        <v>11.1</v>
      </c>
      <c r="FV26">
        <v>1.7981</v>
      </c>
      <c r="FW26">
        <v>2.5854499999999998</v>
      </c>
      <c r="FX26">
        <v>1.5490699999999999</v>
      </c>
      <c r="FY26">
        <v>2.3290999999999999</v>
      </c>
      <c r="FZ26">
        <v>1.50146</v>
      </c>
      <c r="GA26">
        <v>2.4316399999999998</v>
      </c>
      <c r="GB26">
        <v>33.580399999999997</v>
      </c>
      <c r="GC26">
        <v>23.8949</v>
      </c>
      <c r="GD26">
        <v>19</v>
      </c>
      <c r="GE26">
        <v>277.74900000000002</v>
      </c>
      <c r="GF26">
        <v>607.72699999999998</v>
      </c>
      <c r="GG26">
        <v>21.538799999999998</v>
      </c>
      <c r="GH26">
        <v>26.292300000000001</v>
      </c>
      <c r="GI26">
        <v>30.000299999999999</v>
      </c>
      <c r="GJ26">
        <v>26.345199999999998</v>
      </c>
      <c r="GK26">
        <v>26.321400000000001</v>
      </c>
      <c r="GL26">
        <v>35.943800000000003</v>
      </c>
      <c r="GM26">
        <v>7.8439199999999998</v>
      </c>
      <c r="GN26">
        <v>100</v>
      </c>
      <c r="GO26">
        <v>21.334</v>
      </c>
      <c r="GP26">
        <v>800</v>
      </c>
      <c r="GQ26">
        <v>22.8215</v>
      </c>
      <c r="GR26">
        <v>99.749799999999993</v>
      </c>
      <c r="GS26">
        <v>99.600099999999998</v>
      </c>
    </row>
    <row r="27" spans="1:201" x14ac:dyDescent="0.25">
      <c r="A27">
        <v>11</v>
      </c>
      <c r="B27">
        <v>1690301139.5</v>
      </c>
      <c r="C27">
        <v>235.5</v>
      </c>
      <c r="D27" t="s">
        <v>353</v>
      </c>
      <c r="E27" t="s">
        <v>354</v>
      </c>
      <c r="F27" t="s">
        <v>330</v>
      </c>
      <c r="H27">
        <v>1690301139.5</v>
      </c>
      <c r="I27">
        <f t="shared" si="0"/>
        <v>-1.3035325792979272E-5</v>
      </c>
      <c r="J27">
        <f t="shared" si="1"/>
        <v>-1.3035325792979273E-2</v>
      </c>
      <c r="K27">
        <f t="shared" si="2"/>
        <v>-0.19405772201561344</v>
      </c>
      <c r="L27">
        <f t="shared" si="3"/>
        <v>802.15300000000002</v>
      </c>
      <c r="M27">
        <f t="shared" si="4"/>
        <v>347.21387978042065</v>
      </c>
      <c r="N27">
        <f t="shared" si="5"/>
        <v>34.515376955607472</v>
      </c>
      <c r="O27">
        <f t="shared" si="6"/>
        <v>79.739361769122013</v>
      </c>
      <c r="P27">
        <f t="shared" si="7"/>
        <v>-7.0872552512106393E-4</v>
      </c>
      <c r="Q27">
        <f t="shared" si="8"/>
        <v>2.1199006999361214</v>
      </c>
      <c r="R27">
        <f t="shared" si="9"/>
        <v>-7.0885718554557849E-4</v>
      </c>
      <c r="S27">
        <f t="shared" si="10"/>
        <v>-4.430239100676448E-4</v>
      </c>
      <c r="T27">
        <f t="shared" si="11"/>
        <v>276.10957804324568</v>
      </c>
      <c r="U27">
        <f t="shared" si="12"/>
        <v>28.976501105370389</v>
      </c>
      <c r="V27">
        <f t="shared" si="13"/>
        <v>28.976501105370389</v>
      </c>
      <c r="W27">
        <f t="shared" si="14"/>
        <v>4.0163073059673549</v>
      </c>
      <c r="X27">
        <f t="shared" si="15"/>
        <v>63.569877826899969</v>
      </c>
      <c r="Y27">
        <f t="shared" si="16"/>
        <v>2.2458751043472001</v>
      </c>
      <c r="Z27">
        <f t="shared" si="17"/>
        <v>3.5329234239881528</v>
      </c>
      <c r="AA27">
        <f t="shared" si="18"/>
        <v>1.7704322016201548</v>
      </c>
      <c r="AB27">
        <f t="shared" si="19"/>
        <v>0.57485786747038592</v>
      </c>
      <c r="AC27">
        <f t="shared" si="20"/>
        <v>-251.17105410853978</v>
      </c>
      <c r="AD27">
        <f t="shared" si="21"/>
        <v>-25.795316327405182</v>
      </c>
      <c r="AE27">
        <f t="shared" si="22"/>
        <v>-0.28193452522887696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52669.181189184616</v>
      </c>
      <c r="AK27">
        <f t="shared" si="26"/>
        <v>1799.96</v>
      </c>
      <c r="AL27">
        <f t="shared" si="27"/>
        <v>1499.0782472097599</v>
      </c>
      <c r="AM27">
        <f t="shared" si="28"/>
        <v>0.83283975599999993</v>
      </c>
      <c r="AN27">
        <f t="shared" si="29"/>
        <v>0.15339761886000003</v>
      </c>
      <c r="AO27">
        <v>32.700000000000003</v>
      </c>
      <c r="AP27">
        <v>0.5</v>
      </c>
      <c r="AQ27" t="s">
        <v>331</v>
      </c>
      <c r="AR27">
        <v>2</v>
      </c>
      <c r="AS27">
        <v>1690301139.5</v>
      </c>
      <c r="AT27">
        <v>802.15300000000002</v>
      </c>
      <c r="AU27">
        <v>799.92499999999995</v>
      </c>
      <c r="AV27">
        <v>22.5928</v>
      </c>
      <c r="AW27">
        <v>22.7316</v>
      </c>
      <c r="AX27">
        <v>802.47</v>
      </c>
      <c r="AY27">
        <v>22.311199999999999</v>
      </c>
      <c r="AZ27">
        <v>300.16199999999998</v>
      </c>
      <c r="BA27">
        <v>99.306600000000003</v>
      </c>
      <c r="BB27">
        <v>0.100074</v>
      </c>
      <c r="BC27">
        <v>26.7788</v>
      </c>
      <c r="BD27">
        <v>27.1449</v>
      </c>
      <c r="BE27">
        <v>28.603000000000002</v>
      </c>
      <c r="BF27">
        <v>0</v>
      </c>
      <c r="BG27">
        <v>0</v>
      </c>
      <c r="BH27">
        <v>10023.799999999999</v>
      </c>
      <c r="BI27">
        <v>1079.81</v>
      </c>
      <c r="BJ27">
        <v>1.78711</v>
      </c>
      <c r="BK27">
        <v>2.22736</v>
      </c>
      <c r="BL27">
        <v>820.69500000000005</v>
      </c>
      <c r="BM27">
        <v>818.53200000000004</v>
      </c>
      <c r="BN27">
        <v>-0.13880300000000001</v>
      </c>
      <c r="BO27">
        <v>799.92499999999995</v>
      </c>
      <c r="BP27">
        <v>22.7316</v>
      </c>
      <c r="BQ27">
        <v>2.2436099999999999</v>
      </c>
      <c r="BR27">
        <v>2.25739</v>
      </c>
      <c r="BS27">
        <v>19.277100000000001</v>
      </c>
      <c r="BT27">
        <v>19.375499999999999</v>
      </c>
      <c r="BU27">
        <v>1799.96</v>
      </c>
      <c r="BV27">
        <v>0.90999200000000002</v>
      </c>
      <c r="BW27">
        <v>3.3999300000000003E-2</v>
      </c>
      <c r="BX27">
        <v>2.2001799999999998E-2</v>
      </c>
      <c r="BY27">
        <v>3.4007200000000001E-2</v>
      </c>
      <c r="BZ27">
        <v>26</v>
      </c>
      <c r="CA27">
        <v>33527.699999999997</v>
      </c>
      <c r="CB27">
        <v>1690300477.5</v>
      </c>
      <c r="CC27" t="s">
        <v>332</v>
      </c>
      <c r="CD27">
        <v>1690300477.5</v>
      </c>
      <c r="CE27">
        <v>1690300465.5</v>
      </c>
      <c r="CF27">
        <v>7</v>
      </c>
      <c r="CG27">
        <v>5.0999999999999997E-2</v>
      </c>
      <c r="CH27">
        <v>-8.0000000000000002E-3</v>
      </c>
      <c r="CI27">
        <v>-0.316</v>
      </c>
      <c r="CJ27">
        <v>0.28199999999999997</v>
      </c>
      <c r="CK27">
        <v>800</v>
      </c>
      <c r="CL27">
        <v>24</v>
      </c>
      <c r="CM27">
        <v>0.25</v>
      </c>
      <c r="CN27">
        <v>0.13</v>
      </c>
      <c r="CO27">
        <v>3.933094249999999</v>
      </c>
      <c r="CP27">
        <v>-7.9716478424015058</v>
      </c>
      <c r="CQ27">
        <v>0.77016895590476608</v>
      </c>
      <c r="CR27">
        <v>-1</v>
      </c>
      <c r="CS27">
        <v>0.34028619599999999</v>
      </c>
      <c r="CT27">
        <v>-2.4388760181613529</v>
      </c>
      <c r="CU27">
        <v>0.234645304436677</v>
      </c>
      <c r="CV27">
        <v>-1</v>
      </c>
      <c r="CW27">
        <v>0</v>
      </c>
      <c r="CX27">
        <v>0</v>
      </c>
      <c r="CY27" t="s">
        <v>333</v>
      </c>
      <c r="CZ27">
        <v>2.3643900000000002</v>
      </c>
      <c r="DA27">
        <v>2.7138900000000001</v>
      </c>
      <c r="DB27">
        <v>0.14736099999999999</v>
      </c>
      <c r="DC27">
        <v>0.14674799999999999</v>
      </c>
      <c r="DD27">
        <v>0.109052</v>
      </c>
      <c r="DE27">
        <v>0.10825</v>
      </c>
      <c r="DF27">
        <v>31136.9</v>
      </c>
      <c r="DG27">
        <v>27507.5</v>
      </c>
      <c r="DH27">
        <v>31175.599999999999</v>
      </c>
      <c r="DI27">
        <v>28090.799999999999</v>
      </c>
      <c r="DJ27">
        <v>37714.300000000003</v>
      </c>
      <c r="DK27">
        <v>35620.1</v>
      </c>
      <c r="DL27">
        <v>44368.3</v>
      </c>
      <c r="DM27">
        <v>42579.1</v>
      </c>
      <c r="DN27">
        <v>1.4650000000000001</v>
      </c>
      <c r="DO27">
        <v>2.0658500000000002</v>
      </c>
      <c r="DP27">
        <v>7.5452000000000005E-2</v>
      </c>
      <c r="DQ27">
        <v>0.169013</v>
      </c>
      <c r="DR27">
        <v>25.9101</v>
      </c>
      <c r="DS27">
        <v>25.8399</v>
      </c>
      <c r="DT27">
        <v>57</v>
      </c>
      <c r="DU27">
        <v>29.1</v>
      </c>
      <c r="DV27">
        <v>23.218800000000002</v>
      </c>
      <c r="DW27">
        <v>62.214700000000001</v>
      </c>
      <c r="DX27">
        <v>35.945500000000003</v>
      </c>
      <c r="DY27">
        <v>1</v>
      </c>
      <c r="DZ27">
        <v>-7.2446700000000003E-2</v>
      </c>
      <c r="EA27">
        <v>6.3859700000000004</v>
      </c>
      <c r="EB27">
        <v>20.043800000000001</v>
      </c>
      <c r="EC27">
        <v>5.2409499999999998</v>
      </c>
      <c r="ED27">
        <v>12.039899999999999</v>
      </c>
      <c r="EE27">
        <v>5.0170000000000003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1.8646100000000001</v>
      </c>
      <c r="EM27">
        <v>1.8691899999999999</v>
      </c>
      <c r="EN27">
        <v>1.8672200000000001</v>
      </c>
      <c r="EO27">
        <v>1.8633599999999999</v>
      </c>
      <c r="EP27">
        <v>1.8644700000000001</v>
      </c>
      <c r="EQ27">
        <v>1.8701300000000001</v>
      </c>
      <c r="ER27">
        <v>1.8693599999999999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-0.317</v>
      </c>
      <c r="FG27">
        <v>0.28160000000000002</v>
      </c>
      <c r="FH27">
        <v>0.23539598422606861</v>
      </c>
      <c r="FI27">
        <v>-6.1462078757559423E-4</v>
      </c>
      <c r="FJ27">
        <v>-1.8861989874597051E-7</v>
      </c>
      <c r="FK27">
        <v>1.1980462299894961E-10</v>
      </c>
      <c r="FL27">
        <v>0.28151999999999688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11</v>
      </c>
      <c r="FU27">
        <v>11.2</v>
      </c>
      <c r="FV27">
        <v>1.7981</v>
      </c>
      <c r="FW27">
        <v>2.5830099999999998</v>
      </c>
      <c r="FX27">
        <v>1.5490699999999999</v>
      </c>
      <c r="FY27">
        <v>2.3290999999999999</v>
      </c>
      <c r="FZ27">
        <v>1.50146</v>
      </c>
      <c r="GA27">
        <v>2.3962400000000001</v>
      </c>
      <c r="GB27">
        <v>33.580399999999997</v>
      </c>
      <c r="GC27">
        <v>23.938700000000001</v>
      </c>
      <c r="GD27">
        <v>19</v>
      </c>
      <c r="GE27">
        <v>278.11</v>
      </c>
      <c r="GF27">
        <v>607.73199999999997</v>
      </c>
      <c r="GG27">
        <v>20.560099999999998</v>
      </c>
      <c r="GH27">
        <v>26.301600000000001</v>
      </c>
      <c r="GI27">
        <v>29.997399999999999</v>
      </c>
      <c r="GJ27">
        <v>26.346</v>
      </c>
      <c r="GK27">
        <v>26.323599999999999</v>
      </c>
      <c r="GL27">
        <v>35.951099999999997</v>
      </c>
      <c r="GM27">
        <v>6.8941600000000003</v>
      </c>
      <c r="GN27">
        <v>100</v>
      </c>
      <c r="GO27">
        <v>20.641200000000001</v>
      </c>
      <c r="GP27">
        <v>800</v>
      </c>
      <c r="GQ27">
        <v>22.930800000000001</v>
      </c>
      <c r="GR27">
        <v>99.751900000000006</v>
      </c>
      <c r="GS27">
        <v>99.604299999999995</v>
      </c>
    </row>
    <row r="28" spans="1:201" x14ac:dyDescent="0.25">
      <c r="A28">
        <v>12</v>
      </c>
      <c r="B28">
        <v>1690301149.5</v>
      </c>
      <c r="C28">
        <v>245.5</v>
      </c>
      <c r="D28" t="s">
        <v>355</v>
      </c>
      <c r="E28" t="s">
        <v>356</v>
      </c>
      <c r="F28" t="s">
        <v>330</v>
      </c>
      <c r="H28">
        <v>1690301149.5</v>
      </c>
      <c r="I28">
        <f t="shared" si="0"/>
        <v>-3.6388410367709443E-5</v>
      </c>
      <c r="J28">
        <f t="shared" si="1"/>
        <v>-3.6388410367709442E-2</v>
      </c>
      <c r="K28">
        <f t="shared" si="2"/>
        <v>-2.0706016713992373E-2</v>
      </c>
      <c r="L28">
        <f t="shared" si="3"/>
        <v>800.52300000000002</v>
      </c>
      <c r="M28">
        <f t="shared" si="4"/>
        <v>761.37787888534797</v>
      </c>
      <c r="N28">
        <f t="shared" si="5"/>
        <v>75.687962792177814</v>
      </c>
      <c r="O28">
        <f t="shared" si="6"/>
        <v>79.579347809507993</v>
      </c>
      <c r="P28">
        <f t="shared" si="7"/>
        <v>-2.0069495615831698E-3</v>
      </c>
      <c r="Q28">
        <f t="shared" si="8"/>
        <v>2.1188511165254127</v>
      </c>
      <c r="R28">
        <f t="shared" si="9"/>
        <v>-2.0080062497921567E-3</v>
      </c>
      <c r="S28">
        <f t="shared" si="10"/>
        <v>-1.2549089230659831E-3</v>
      </c>
      <c r="T28">
        <f t="shared" si="11"/>
        <v>276.10834136272803</v>
      </c>
      <c r="U28">
        <f t="shared" si="12"/>
        <v>28.784374163184857</v>
      </c>
      <c r="V28">
        <f t="shared" si="13"/>
        <v>28.784374163184857</v>
      </c>
      <c r="W28">
        <f t="shared" si="14"/>
        <v>3.971864074750838</v>
      </c>
      <c r="X28">
        <f t="shared" si="15"/>
        <v>63.776218785277919</v>
      </c>
      <c r="Y28">
        <f t="shared" si="16"/>
        <v>2.226567172008</v>
      </c>
      <c r="Z28">
        <f t="shared" si="17"/>
        <v>3.491218536339411</v>
      </c>
      <c r="AA28">
        <f t="shared" si="18"/>
        <v>1.745296902742838</v>
      </c>
      <c r="AB28">
        <f t="shared" si="19"/>
        <v>1.6047288972159865</v>
      </c>
      <c r="AC28">
        <f t="shared" si="20"/>
        <v>-252.14024164905163</v>
      </c>
      <c r="AD28">
        <f t="shared" si="21"/>
        <v>-25.856849071534025</v>
      </c>
      <c r="AE28">
        <f t="shared" si="22"/>
        <v>-0.2840204606416421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52658.585220899375</v>
      </c>
      <c r="AK28">
        <f t="shared" si="26"/>
        <v>1799.96</v>
      </c>
      <c r="AL28">
        <f t="shared" si="27"/>
        <v>1499.0766704447999</v>
      </c>
      <c r="AM28">
        <f t="shared" si="28"/>
        <v>0.83283887999999995</v>
      </c>
      <c r="AN28">
        <f t="shared" si="29"/>
        <v>0.1533969318</v>
      </c>
      <c r="AO28">
        <v>32.700000000000003</v>
      </c>
      <c r="AP28">
        <v>0.5</v>
      </c>
      <c r="AQ28" t="s">
        <v>331</v>
      </c>
      <c r="AR28">
        <v>2</v>
      </c>
      <c r="AS28">
        <v>1690301149.5</v>
      </c>
      <c r="AT28">
        <v>800.52300000000002</v>
      </c>
      <c r="AU28">
        <v>799.98</v>
      </c>
      <c r="AV28">
        <v>22.398</v>
      </c>
      <c r="AW28">
        <v>22.785599999999999</v>
      </c>
      <c r="AX28">
        <v>800.83900000000006</v>
      </c>
      <c r="AY28">
        <v>22.116499999999998</v>
      </c>
      <c r="AZ28">
        <v>300.11599999999999</v>
      </c>
      <c r="BA28">
        <v>99.309100000000001</v>
      </c>
      <c r="BB28">
        <v>0.100096</v>
      </c>
      <c r="BC28">
        <v>26.577100000000002</v>
      </c>
      <c r="BD28">
        <v>26.902999999999999</v>
      </c>
      <c r="BE28">
        <v>28.346399999999999</v>
      </c>
      <c r="BF28">
        <v>0</v>
      </c>
      <c r="BG28">
        <v>0</v>
      </c>
      <c r="BH28">
        <v>10014.4</v>
      </c>
      <c r="BI28">
        <v>1078.97</v>
      </c>
      <c r="BJ28">
        <v>1.90625</v>
      </c>
      <c r="BK28">
        <v>0.54217499999999996</v>
      </c>
      <c r="BL28">
        <v>818.86400000000003</v>
      </c>
      <c r="BM28">
        <v>818.63400000000001</v>
      </c>
      <c r="BN28">
        <v>-0.38759199999999999</v>
      </c>
      <c r="BO28">
        <v>799.98</v>
      </c>
      <c r="BP28">
        <v>22.785599999999999</v>
      </c>
      <c r="BQ28">
        <v>2.2243300000000001</v>
      </c>
      <c r="BR28">
        <v>2.2628200000000001</v>
      </c>
      <c r="BS28">
        <v>19.1386</v>
      </c>
      <c r="BT28">
        <v>19.414100000000001</v>
      </c>
      <c r="BU28">
        <v>1799.96</v>
      </c>
      <c r="BV28">
        <v>0.91000300000000001</v>
      </c>
      <c r="BW28">
        <v>3.40074E-2</v>
      </c>
      <c r="BX28">
        <v>2.1994E-2</v>
      </c>
      <c r="BY28">
        <v>3.3995200000000003E-2</v>
      </c>
      <c r="BZ28">
        <v>26</v>
      </c>
      <c r="CA28">
        <v>33527.699999999997</v>
      </c>
      <c r="CB28">
        <v>1690300477.5</v>
      </c>
      <c r="CC28" t="s">
        <v>332</v>
      </c>
      <c r="CD28">
        <v>1690300477.5</v>
      </c>
      <c r="CE28">
        <v>1690300465.5</v>
      </c>
      <c r="CF28">
        <v>7</v>
      </c>
      <c r="CG28">
        <v>5.0999999999999997E-2</v>
      </c>
      <c r="CH28">
        <v>-8.0000000000000002E-3</v>
      </c>
      <c r="CI28">
        <v>-0.316</v>
      </c>
      <c r="CJ28">
        <v>0.28199999999999997</v>
      </c>
      <c r="CK28">
        <v>800</v>
      </c>
      <c r="CL28">
        <v>24</v>
      </c>
      <c r="CM28">
        <v>0.25</v>
      </c>
      <c r="CN28">
        <v>0.13</v>
      </c>
      <c r="CO28">
        <v>2.4116808048780491</v>
      </c>
      <c r="CP28">
        <v>-9.6722298397212523</v>
      </c>
      <c r="CQ28">
        <v>0.95435939613087017</v>
      </c>
      <c r="CR28">
        <v>-1</v>
      </c>
      <c r="CS28">
        <v>-7.0048277073170739E-2</v>
      </c>
      <c r="CT28">
        <v>-2.2959623385365862</v>
      </c>
      <c r="CU28">
        <v>0.22773311575400901</v>
      </c>
      <c r="CV28">
        <v>-1</v>
      </c>
      <c r="CW28">
        <v>0</v>
      </c>
      <c r="CX28">
        <v>0</v>
      </c>
      <c r="CY28" t="s">
        <v>333</v>
      </c>
      <c r="CZ28">
        <v>2.3642099999999999</v>
      </c>
      <c r="DA28">
        <v>2.7139000000000002</v>
      </c>
      <c r="DB28">
        <v>0.14716000000000001</v>
      </c>
      <c r="DC28">
        <v>0.146759</v>
      </c>
      <c r="DD28">
        <v>0.10838100000000001</v>
      </c>
      <c r="DE28">
        <v>0.108432</v>
      </c>
      <c r="DF28">
        <v>31145.9</v>
      </c>
      <c r="DG28">
        <v>27508.7</v>
      </c>
      <c r="DH28">
        <v>31177.3</v>
      </c>
      <c r="DI28">
        <v>28092.400000000001</v>
      </c>
      <c r="DJ28">
        <v>37744.699999999997</v>
      </c>
      <c r="DK28">
        <v>35614.800000000003</v>
      </c>
      <c r="DL28">
        <v>44370.3</v>
      </c>
      <c r="DM28">
        <v>42581.5</v>
      </c>
      <c r="DN28">
        <v>1.4674</v>
      </c>
      <c r="DO28">
        <v>2.0661</v>
      </c>
      <c r="DP28">
        <v>6.1374199999999997E-2</v>
      </c>
      <c r="DQ28">
        <v>0.156861</v>
      </c>
      <c r="DR28">
        <v>25.898299999999999</v>
      </c>
      <c r="DS28">
        <v>25.781400000000001</v>
      </c>
      <c r="DT28">
        <v>57</v>
      </c>
      <c r="DU28">
        <v>29.1</v>
      </c>
      <c r="DV28">
        <v>23.218800000000002</v>
      </c>
      <c r="DW28">
        <v>62.414700000000003</v>
      </c>
      <c r="DX28">
        <v>35.709099999999999</v>
      </c>
      <c r="DY28">
        <v>1</v>
      </c>
      <c r="DZ28">
        <v>-7.8485799999999994E-2</v>
      </c>
      <c r="EA28">
        <v>-2.4059699999999999</v>
      </c>
      <c r="EB28">
        <v>20.036799999999999</v>
      </c>
      <c r="EC28">
        <v>5.2408000000000001</v>
      </c>
      <c r="ED28">
        <v>12.039899999999999</v>
      </c>
      <c r="EE28">
        <v>5.0168499999999998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1.8646100000000001</v>
      </c>
      <c r="EM28">
        <v>1.8691800000000001</v>
      </c>
      <c r="EN28">
        <v>1.8672200000000001</v>
      </c>
      <c r="EO28">
        <v>1.8633500000000001</v>
      </c>
      <c r="EP28">
        <v>1.86446</v>
      </c>
      <c r="EQ28">
        <v>1.87015</v>
      </c>
      <c r="ER28">
        <v>1.86937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-0.316</v>
      </c>
      <c r="FG28">
        <v>0.28149999999999997</v>
      </c>
      <c r="FH28">
        <v>0.23539598422606861</v>
      </c>
      <c r="FI28">
        <v>-6.1462078757559423E-4</v>
      </c>
      <c r="FJ28">
        <v>-1.8861989874597051E-7</v>
      </c>
      <c r="FK28">
        <v>1.1980462299894961E-10</v>
      </c>
      <c r="FL28">
        <v>0.28151999999999688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11.2</v>
      </c>
      <c r="FU28">
        <v>11.4</v>
      </c>
      <c r="FV28">
        <v>1.7981</v>
      </c>
      <c r="FW28">
        <v>2.5878899999999998</v>
      </c>
      <c r="FX28">
        <v>1.5490699999999999</v>
      </c>
      <c r="FY28">
        <v>2.3290999999999999</v>
      </c>
      <c r="FZ28">
        <v>1.50146</v>
      </c>
      <c r="GA28">
        <v>2.3010299999999999</v>
      </c>
      <c r="GB28">
        <v>33.580399999999997</v>
      </c>
      <c r="GC28">
        <v>23.912400000000002</v>
      </c>
      <c r="GD28">
        <v>19</v>
      </c>
      <c r="GE28">
        <v>279.14600000000002</v>
      </c>
      <c r="GF28">
        <v>607.98599999999999</v>
      </c>
      <c r="GG28">
        <v>20.5901</v>
      </c>
      <c r="GH28">
        <v>26.313300000000002</v>
      </c>
      <c r="GI28">
        <v>29.997599999999998</v>
      </c>
      <c r="GJ28">
        <v>26.351299999999998</v>
      </c>
      <c r="GK28">
        <v>26.327100000000002</v>
      </c>
      <c r="GL28">
        <v>35.955399999999997</v>
      </c>
      <c r="GM28">
        <v>6.6083800000000004</v>
      </c>
      <c r="GN28">
        <v>100</v>
      </c>
      <c r="GO28">
        <v>24.388300000000001</v>
      </c>
      <c r="GP28">
        <v>800</v>
      </c>
      <c r="GQ28">
        <v>22.906099999999999</v>
      </c>
      <c r="GR28">
        <v>99.756900000000002</v>
      </c>
      <c r="GS28">
        <v>99.61</v>
      </c>
    </row>
    <row r="29" spans="1:201" x14ac:dyDescent="0.25">
      <c r="A29">
        <v>13</v>
      </c>
      <c r="B29">
        <v>1690301159.5</v>
      </c>
      <c r="C29">
        <v>255.5</v>
      </c>
      <c r="D29" t="s">
        <v>357</v>
      </c>
      <c r="E29" t="s">
        <v>358</v>
      </c>
      <c r="F29" t="s">
        <v>330</v>
      </c>
      <c r="H29">
        <v>1690301159.5</v>
      </c>
      <c r="I29">
        <f t="shared" si="0"/>
        <v>7.7616714351741467E-5</v>
      </c>
      <c r="J29">
        <f t="shared" si="1"/>
        <v>7.7616714351741473E-2</v>
      </c>
      <c r="K29">
        <f t="shared" si="2"/>
        <v>9.6938467467920994E-2</v>
      </c>
      <c r="L29">
        <f t="shared" si="3"/>
        <v>798.53300000000002</v>
      </c>
      <c r="M29">
        <f t="shared" si="4"/>
        <v>743.1138017367407</v>
      </c>
      <c r="N29">
        <f t="shared" si="5"/>
        <v>73.870030321792115</v>
      </c>
      <c r="O29">
        <f t="shared" si="6"/>
        <v>79.3790356000532</v>
      </c>
      <c r="P29">
        <f t="shared" si="7"/>
        <v>4.5306053924904265E-3</v>
      </c>
      <c r="Q29">
        <f t="shared" si="8"/>
        <v>2.1203879612593779</v>
      </c>
      <c r="R29">
        <f t="shared" si="9"/>
        <v>4.5252342303692362E-3</v>
      </c>
      <c r="S29">
        <f t="shared" si="10"/>
        <v>2.8287534302474733E-3</v>
      </c>
      <c r="T29">
        <f t="shared" si="11"/>
        <v>276.11176018863131</v>
      </c>
      <c r="U29">
        <f t="shared" si="12"/>
        <v>28.882037121661941</v>
      </c>
      <c r="V29">
        <f t="shared" si="13"/>
        <v>28.882037121661941</v>
      </c>
      <c r="W29">
        <f t="shared" si="14"/>
        <v>3.9944017947451984</v>
      </c>
      <c r="X29">
        <f t="shared" si="15"/>
        <v>66.584191454191483</v>
      </c>
      <c r="Y29">
        <f t="shared" si="16"/>
        <v>2.3437468606310001</v>
      </c>
      <c r="Z29">
        <f t="shared" si="17"/>
        <v>3.5199749511765845</v>
      </c>
      <c r="AA29">
        <f t="shared" si="18"/>
        <v>1.6506549341141983</v>
      </c>
      <c r="AB29">
        <f t="shared" si="19"/>
        <v>-3.4228971029117985</v>
      </c>
      <c r="AC29">
        <f t="shared" si="20"/>
        <v>-247.56341238878503</v>
      </c>
      <c r="AD29">
        <f t="shared" si="21"/>
        <v>-25.399085333532067</v>
      </c>
      <c r="AE29">
        <f t="shared" si="22"/>
        <v>-0.27363463659759191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52701.542114319731</v>
      </c>
      <c r="AK29">
        <f t="shared" si="26"/>
        <v>1799.97</v>
      </c>
      <c r="AL29">
        <f t="shared" si="27"/>
        <v>1499.0896625558698</v>
      </c>
      <c r="AM29">
        <f t="shared" si="28"/>
        <v>0.83284147099999994</v>
      </c>
      <c r="AN29">
        <f t="shared" si="29"/>
        <v>0.15339797896000004</v>
      </c>
      <c r="AO29">
        <v>32.700000000000003</v>
      </c>
      <c r="AP29">
        <v>0.5</v>
      </c>
      <c r="AQ29" t="s">
        <v>331</v>
      </c>
      <c r="AR29">
        <v>2</v>
      </c>
      <c r="AS29">
        <v>1690301159.5</v>
      </c>
      <c r="AT29">
        <v>798.53300000000002</v>
      </c>
      <c r="AU29">
        <v>800.26400000000001</v>
      </c>
      <c r="AV29">
        <v>23.577500000000001</v>
      </c>
      <c r="AW29">
        <v>22.751999999999999</v>
      </c>
      <c r="AX29">
        <v>798.84799999999996</v>
      </c>
      <c r="AY29">
        <v>23.2959</v>
      </c>
      <c r="AZ29">
        <v>300.209</v>
      </c>
      <c r="BA29">
        <v>99.306100000000001</v>
      </c>
      <c r="BB29">
        <v>9.9980399999999997E-2</v>
      </c>
      <c r="BC29">
        <v>26.7164</v>
      </c>
      <c r="BD29">
        <v>27.023099999999999</v>
      </c>
      <c r="BE29">
        <v>28.361999999999998</v>
      </c>
      <c r="BF29">
        <v>0</v>
      </c>
      <c r="BG29">
        <v>0</v>
      </c>
      <c r="BH29">
        <v>10028.1</v>
      </c>
      <c r="BI29">
        <v>1078.45</v>
      </c>
      <c r="BJ29">
        <v>2.0183800000000001</v>
      </c>
      <c r="BK29">
        <v>-1.73126</v>
      </c>
      <c r="BL29">
        <v>817.81500000000005</v>
      </c>
      <c r="BM29">
        <v>818.89599999999996</v>
      </c>
      <c r="BN29">
        <v>0.82550400000000002</v>
      </c>
      <c r="BO29">
        <v>800.26400000000001</v>
      </c>
      <c r="BP29">
        <v>22.751999999999999</v>
      </c>
      <c r="BQ29">
        <v>2.3413900000000001</v>
      </c>
      <c r="BR29">
        <v>2.2594099999999999</v>
      </c>
      <c r="BS29">
        <v>19.963999999999999</v>
      </c>
      <c r="BT29">
        <v>19.389900000000001</v>
      </c>
      <c r="BU29">
        <v>1799.97</v>
      </c>
      <c r="BV29">
        <v>0.91000199999999998</v>
      </c>
      <c r="BW29">
        <v>3.3997100000000002E-2</v>
      </c>
      <c r="BX29">
        <v>2.2008300000000001E-2</v>
      </c>
      <c r="BY29">
        <v>3.3992799999999997E-2</v>
      </c>
      <c r="BZ29">
        <v>26</v>
      </c>
      <c r="CA29">
        <v>33527.699999999997</v>
      </c>
      <c r="CB29">
        <v>1690300477.5</v>
      </c>
      <c r="CC29" t="s">
        <v>332</v>
      </c>
      <c r="CD29">
        <v>1690300477.5</v>
      </c>
      <c r="CE29">
        <v>1690300465.5</v>
      </c>
      <c r="CF29">
        <v>7</v>
      </c>
      <c r="CG29">
        <v>5.0999999999999997E-2</v>
      </c>
      <c r="CH29">
        <v>-8.0000000000000002E-3</v>
      </c>
      <c r="CI29">
        <v>-0.316</v>
      </c>
      <c r="CJ29">
        <v>0.28199999999999997</v>
      </c>
      <c r="CK29">
        <v>800</v>
      </c>
      <c r="CL29">
        <v>24</v>
      </c>
      <c r="CM29">
        <v>0.25</v>
      </c>
      <c r="CN29">
        <v>0.13</v>
      </c>
      <c r="CO29">
        <v>0.69357053902439025</v>
      </c>
      <c r="CP29">
        <v>-10.873095848780491</v>
      </c>
      <c r="CQ29">
        <v>1.076261280590741</v>
      </c>
      <c r="CR29">
        <v>-1</v>
      </c>
      <c r="CS29">
        <v>-0.1636747148780488</v>
      </c>
      <c r="CT29">
        <v>1.4467721157491289</v>
      </c>
      <c r="CU29">
        <v>0.25797142148979851</v>
      </c>
      <c r="CV29">
        <v>-1</v>
      </c>
      <c r="CW29">
        <v>0</v>
      </c>
      <c r="CX29">
        <v>0</v>
      </c>
      <c r="CY29" t="s">
        <v>333</v>
      </c>
      <c r="CZ29">
        <v>2.3644699999999998</v>
      </c>
      <c r="DA29">
        <v>2.7138</v>
      </c>
      <c r="DB29">
        <v>0.146927</v>
      </c>
      <c r="DC29">
        <v>0.146787</v>
      </c>
      <c r="DD29">
        <v>0.112411</v>
      </c>
      <c r="DE29">
        <v>0.108316</v>
      </c>
      <c r="DF29">
        <v>31153.8</v>
      </c>
      <c r="DG29">
        <v>27506.9</v>
      </c>
      <c r="DH29">
        <v>31176.7</v>
      </c>
      <c r="DI29">
        <v>28091.599999999999</v>
      </c>
      <c r="DJ29">
        <v>37571.5</v>
      </c>
      <c r="DK29">
        <v>35618.400000000001</v>
      </c>
      <c r="DL29">
        <v>44369.2</v>
      </c>
      <c r="DM29">
        <v>42580.2</v>
      </c>
      <c r="DN29">
        <v>1.47295</v>
      </c>
      <c r="DO29">
        <v>2.0650499999999998</v>
      </c>
      <c r="DP29">
        <v>7.0266400000000007E-2</v>
      </c>
      <c r="DQ29">
        <v>0.16170699999999999</v>
      </c>
      <c r="DR29">
        <v>25.872900000000001</v>
      </c>
      <c r="DS29">
        <v>25.717600000000001</v>
      </c>
      <c r="DT29">
        <v>57</v>
      </c>
      <c r="DU29">
        <v>29.1</v>
      </c>
      <c r="DV29">
        <v>23.218800000000002</v>
      </c>
      <c r="DW29">
        <v>62.014699999999998</v>
      </c>
      <c r="DX29">
        <v>34.935899999999997</v>
      </c>
      <c r="DY29">
        <v>1</v>
      </c>
      <c r="DZ29">
        <v>-7.6122999999999996E-2</v>
      </c>
      <c r="EA29">
        <v>-4.4377300000000002</v>
      </c>
      <c r="EB29">
        <v>20.0883</v>
      </c>
      <c r="EC29">
        <v>5.2401999999999997</v>
      </c>
      <c r="ED29">
        <v>12.039899999999999</v>
      </c>
      <c r="EE29">
        <v>5.0164499999999999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</v>
      </c>
      <c r="EM29">
        <v>1.8691899999999999</v>
      </c>
      <c r="EN29">
        <v>1.8672299999999999</v>
      </c>
      <c r="EO29">
        <v>1.86337</v>
      </c>
      <c r="EP29">
        <v>1.8644700000000001</v>
      </c>
      <c r="EQ29">
        <v>1.87016</v>
      </c>
      <c r="ER29">
        <v>1.86941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-0.315</v>
      </c>
      <c r="FG29">
        <v>0.28160000000000002</v>
      </c>
      <c r="FH29">
        <v>0.23539598422606861</v>
      </c>
      <c r="FI29">
        <v>-6.1462078757559423E-4</v>
      </c>
      <c r="FJ29">
        <v>-1.8861989874597051E-7</v>
      </c>
      <c r="FK29">
        <v>1.1980462299894961E-10</v>
      </c>
      <c r="FL29">
        <v>0.28151999999999688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11.4</v>
      </c>
      <c r="FU29">
        <v>11.6</v>
      </c>
      <c r="FV29">
        <v>1.7981</v>
      </c>
      <c r="FW29">
        <v>2.5878899999999998</v>
      </c>
      <c r="FX29">
        <v>1.5490699999999999</v>
      </c>
      <c r="FY29">
        <v>2.3290999999999999</v>
      </c>
      <c r="FZ29">
        <v>1.50146</v>
      </c>
      <c r="GA29">
        <v>2.3828100000000001</v>
      </c>
      <c r="GB29">
        <v>33.602899999999998</v>
      </c>
      <c r="GC29">
        <v>23.973700000000001</v>
      </c>
      <c r="GD29">
        <v>19</v>
      </c>
      <c r="GE29">
        <v>281.596</v>
      </c>
      <c r="GF29">
        <v>607.12800000000004</v>
      </c>
      <c r="GG29">
        <v>25.271100000000001</v>
      </c>
      <c r="GH29">
        <v>26.326599999999999</v>
      </c>
      <c r="GI29">
        <v>29.999600000000001</v>
      </c>
      <c r="GJ29">
        <v>26.374199999999998</v>
      </c>
      <c r="GK29">
        <v>26.330200000000001</v>
      </c>
      <c r="GL29">
        <v>35.946199999999997</v>
      </c>
      <c r="GM29">
        <v>10.7538</v>
      </c>
      <c r="GN29">
        <v>100</v>
      </c>
      <c r="GO29">
        <v>24.5275</v>
      </c>
      <c r="GP29">
        <v>800</v>
      </c>
      <c r="GQ29">
        <v>21.896799999999999</v>
      </c>
      <c r="GR29">
        <v>99.754599999999996</v>
      </c>
      <c r="GS29">
        <v>99.607100000000003</v>
      </c>
    </row>
    <row r="30" spans="1:201" x14ac:dyDescent="0.25">
      <c r="A30">
        <v>14</v>
      </c>
      <c r="B30">
        <v>1690301169.5</v>
      </c>
      <c r="C30">
        <v>265.5</v>
      </c>
      <c r="D30" t="s">
        <v>359</v>
      </c>
      <c r="E30" t="s">
        <v>360</v>
      </c>
      <c r="F30" t="s">
        <v>330</v>
      </c>
      <c r="H30">
        <v>1690301169.5</v>
      </c>
      <c r="I30">
        <f t="shared" si="0"/>
        <v>2.3537719416771274E-4</v>
      </c>
      <c r="J30">
        <f t="shared" si="1"/>
        <v>0.23537719416771274</v>
      </c>
      <c r="K30">
        <f t="shared" si="2"/>
        <v>0.12695426454490605</v>
      </c>
      <c r="L30">
        <f t="shared" si="3"/>
        <v>796.85699999999997</v>
      </c>
      <c r="M30">
        <f t="shared" si="4"/>
        <v>761.59930977165436</v>
      </c>
      <c r="N30">
        <f t="shared" si="5"/>
        <v>75.709095335192387</v>
      </c>
      <c r="O30">
        <f t="shared" si="6"/>
        <v>79.213993247451299</v>
      </c>
      <c r="P30">
        <f t="shared" si="7"/>
        <v>1.4129131299602674E-2</v>
      </c>
      <c r="Q30">
        <f t="shared" si="8"/>
        <v>2.1204111140321382</v>
      </c>
      <c r="R30">
        <f t="shared" si="9"/>
        <v>1.4077035126434566E-2</v>
      </c>
      <c r="S30">
        <f t="shared" si="10"/>
        <v>8.8028115071728322E-3</v>
      </c>
      <c r="T30">
        <f t="shared" si="11"/>
        <v>276.11129567037324</v>
      </c>
      <c r="U30">
        <f t="shared" si="12"/>
        <v>29.097730844133164</v>
      </c>
      <c r="V30">
        <f t="shared" si="13"/>
        <v>29.097730844133164</v>
      </c>
      <c r="W30">
        <f t="shared" si="14"/>
        <v>4.0445730307972099</v>
      </c>
      <c r="X30">
        <f t="shared" si="15"/>
        <v>68.125565441885215</v>
      </c>
      <c r="Y30">
        <f t="shared" si="16"/>
        <v>2.4365904904999001</v>
      </c>
      <c r="Z30">
        <f t="shared" si="17"/>
        <v>3.5766169054089443</v>
      </c>
      <c r="AA30">
        <f t="shared" si="18"/>
        <v>1.6079825402973098</v>
      </c>
      <c r="AB30">
        <f t="shared" si="19"/>
        <v>-10.380134262796131</v>
      </c>
      <c r="AC30">
        <f t="shared" si="20"/>
        <v>-241.1865872420843</v>
      </c>
      <c r="AD30">
        <f t="shared" si="21"/>
        <v>-24.804725310811531</v>
      </c>
      <c r="AE30">
        <f t="shared" si="22"/>
        <v>-0.26015114531872996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52654.905730200764</v>
      </c>
      <c r="AK30">
        <f t="shared" si="26"/>
        <v>1799.97</v>
      </c>
      <c r="AL30">
        <f t="shared" si="27"/>
        <v>1499.08528502883</v>
      </c>
      <c r="AM30">
        <f t="shared" si="28"/>
        <v>0.832839039</v>
      </c>
      <c r="AN30">
        <f t="shared" si="29"/>
        <v>0.15339772088999998</v>
      </c>
      <c r="AO30">
        <v>32.700000000000003</v>
      </c>
      <c r="AP30">
        <v>0.5</v>
      </c>
      <c r="AQ30" t="s">
        <v>331</v>
      </c>
      <c r="AR30">
        <v>2</v>
      </c>
      <c r="AS30">
        <v>1690301169.5</v>
      </c>
      <c r="AT30">
        <v>796.85699999999997</v>
      </c>
      <c r="AU30">
        <v>800.28300000000002</v>
      </c>
      <c r="AV30">
        <v>24.510999999999999</v>
      </c>
      <c r="AW30">
        <v>22.009899999999998</v>
      </c>
      <c r="AX30">
        <v>797.17</v>
      </c>
      <c r="AY30">
        <v>24.229500000000002</v>
      </c>
      <c r="AZ30">
        <v>300.19499999999999</v>
      </c>
      <c r="BA30">
        <v>99.308099999999996</v>
      </c>
      <c r="BB30">
        <v>9.9940899999999999E-2</v>
      </c>
      <c r="BC30">
        <v>26.9879</v>
      </c>
      <c r="BD30">
        <v>27.301400000000001</v>
      </c>
      <c r="BE30">
        <v>28.6663</v>
      </c>
      <c r="BF30">
        <v>0</v>
      </c>
      <c r="BG30">
        <v>0</v>
      </c>
      <c r="BH30">
        <v>10028.1</v>
      </c>
      <c r="BI30">
        <v>1078.6600000000001</v>
      </c>
      <c r="BJ30">
        <v>2.0183800000000001</v>
      </c>
      <c r="BK30">
        <v>-3.4260899999999999</v>
      </c>
      <c r="BL30">
        <v>816.87900000000002</v>
      </c>
      <c r="BM30">
        <v>818.29300000000001</v>
      </c>
      <c r="BN30">
        <v>2.5010699999999999</v>
      </c>
      <c r="BO30">
        <v>800.28300000000002</v>
      </c>
      <c r="BP30">
        <v>22.009899999999998</v>
      </c>
      <c r="BQ30">
        <v>2.4341400000000002</v>
      </c>
      <c r="BR30">
        <v>2.1857600000000001</v>
      </c>
      <c r="BS30">
        <v>20.592700000000001</v>
      </c>
      <c r="BT30">
        <v>18.8584</v>
      </c>
      <c r="BU30">
        <v>1799.97</v>
      </c>
      <c r="BV30">
        <v>0.90998599999999996</v>
      </c>
      <c r="BW30">
        <v>3.4005300000000002E-2</v>
      </c>
      <c r="BX30">
        <v>2.20022E-2</v>
      </c>
      <c r="BY30">
        <v>3.40069E-2</v>
      </c>
      <c r="BZ30">
        <v>26</v>
      </c>
      <c r="CA30">
        <v>33527.699999999997</v>
      </c>
      <c r="CB30">
        <v>1690300477.5</v>
      </c>
      <c r="CC30" t="s">
        <v>332</v>
      </c>
      <c r="CD30">
        <v>1690300477.5</v>
      </c>
      <c r="CE30">
        <v>1690300465.5</v>
      </c>
      <c r="CF30">
        <v>7</v>
      </c>
      <c r="CG30">
        <v>5.0999999999999997E-2</v>
      </c>
      <c r="CH30">
        <v>-8.0000000000000002E-3</v>
      </c>
      <c r="CI30">
        <v>-0.316</v>
      </c>
      <c r="CJ30">
        <v>0.28199999999999997</v>
      </c>
      <c r="CK30">
        <v>800</v>
      </c>
      <c r="CL30">
        <v>24</v>
      </c>
      <c r="CM30">
        <v>0.25</v>
      </c>
      <c r="CN30">
        <v>0.13</v>
      </c>
      <c r="CO30">
        <v>-1.3232108225000001</v>
      </c>
      <c r="CP30">
        <v>-13.54707900675422</v>
      </c>
      <c r="CQ30">
        <v>1.3079962629487469</v>
      </c>
      <c r="CR30">
        <v>-1</v>
      </c>
      <c r="CS30">
        <v>0.72159774724999992</v>
      </c>
      <c r="CT30">
        <v>9.5454797001500964</v>
      </c>
      <c r="CU30">
        <v>0.93188111970110421</v>
      </c>
      <c r="CV30">
        <v>-1</v>
      </c>
      <c r="CW30">
        <v>0</v>
      </c>
      <c r="CX30">
        <v>0</v>
      </c>
      <c r="CY30" t="s">
        <v>333</v>
      </c>
      <c r="CZ30">
        <v>2.3644400000000001</v>
      </c>
      <c r="DA30">
        <v>2.7137600000000002</v>
      </c>
      <c r="DB30">
        <v>0.14673800000000001</v>
      </c>
      <c r="DC30">
        <v>0.14677899999999999</v>
      </c>
      <c r="DD30">
        <v>0.115549</v>
      </c>
      <c r="DE30">
        <v>0.10583099999999999</v>
      </c>
      <c r="DF30">
        <v>31161.599999999999</v>
      </c>
      <c r="DG30">
        <v>27507.5</v>
      </c>
      <c r="DH30">
        <v>31177.599999999999</v>
      </c>
      <c r="DI30">
        <v>28092</v>
      </c>
      <c r="DJ30">
        <v>37437.599999999999</v>
      </c>
      <c r="DK30">
        <v>35718.199999999997</v>
      </c>
      <c r="DL30">
        <v>44369.7</v>
      </c>
      <c r="DM30">
        <v>42580.6</v>
      </c>
      <c r="DN30">
        <v>1.4684999999999999</v>
      </c>
      <c r="DO30">
        <v>2.0642999999999998</v>
      </c>
      <c r="DP30">
        <v>8.8620900000000002E-2</v>
      </c>
      <c r="DQ30">
        <v>0.18282200000000001</v>
      </c>
      <c r="DR30">
        <v>25.851099999999999</v>
      </c>
      <c r="DS30">
        <v>25.677199999999999</v>
      </c>
      <c r="DT30">
        <v>57.1</v>
      </c>
      <c r="DU30">
        <v>29.1</v>
      </c>
      <c r="DV30">
        <v>23.259699999999999</v>
      </c>
      <c r="DW30">
        <v>61.884700000000002</v>
      </c>
      <c r="DX30">
        <v>35.821300000000001</v>
      </c>
      <c r="DY30">
        <v>1</v>
      </c>
      <c r="DZ30">
        <v>-8.8328199999999996E-2</v>
      </c>
      <c r="EA30">
        <v>1.2115</v>
      </c>
      <c r="EB30">
        <v>20.1812</v>
      </c>
      <c r="EC30">
        <v>5.2409499999999998</v>
      </c>
      <c r="ED30">
        <v>12.039899999999999</v>
      </c>
      <c r="EE30">
        <v>5.0166500000000003</v>
      </c>
      <c r="EF30">
        <v>3.2879499999999999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1.8646100000000001</v>
      </c>
      <c r="EM30">
        <v>1.8692</v>
      </c>
      <c r="EN30">
        <v>1.8672200000000001</v>
      </c>
      <c r="EO30">
        <v>1.86337</v>
      </c>
      <c r="EP30">
        <v>1.8644700000000001</v>
      </c>
      <c r="EQ30">
        <v>1.8701399999999999</v>
      </c>
      <c r="ER30">
        <v>1.86938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-0.313</v>
      </c>
      <c r="FG30">
        <v>0.28149999999999997</v>
      </c>
      <c r="FH30">
        <v>0.23539598422606861</v>
      </c>
      <c r="FI30">
        <v>-6.1462078757559423E-4</v>
      </c>
      <c r="FJ30">
        <v>-1.8861989874597051E-7</v>
      </c>
      <c r="FK30">
        <v>1.1980462299894961E-10</v>
      </c>
      <c r="FL30">
        <v>0.28151999999999688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11.5</v>
      </c>
      <c r="FU30">
        <v>11.7</v>
      </c>
      <c r="FV30">
        <v>1.79688</v>
      </c>
      <c r="FW30">
        <v>2.5866699999999998</v>
      </c>
      <c r="FX30">
        <v>1.5490699999999999</v>
      </c>
      <c r="FY30">
        <v>2.3290999999999999</v>
      </c>
      <c r="FZ30">
        <v>1.50146</v>
      </c>
      <c r="GA30">
        <v>2.4047900000000002</v>
      </c>
      <c r="GB30">
        <v>33.602899999999998</v>
      </c>
      <c r="GC30">
        <v>23.982399999999998</v>
      </c>
      <c r="GD30">
        <v>19</v>
      </c>
      <c r="GE30">
        <v>279.77999999999997</v>
      </c>
      <c r="GF30">
        <v>606.48800000000006</v>
      </c>
      <c r="GG30">
        <v>25.4252</v>
      </c>
      <c r="GH30">
        <v>26.340499999999999</v>
      </c>
      <c r="GI30">
        <v>29.9968</v>
      </c>
      <c r="GJ30">
        <v>26.3903</v>
      </c>
      <c r="GK30">
        <v>26.330200000000001</v>
      </c>
      <c r="GL30">
        <v>35.9208</v>
      </c>
      <c r="GM30">
        <v>15.6538</v>
      </c>
      <c r="GN30">
        <v>100</v>
      </c>
      <c r="GO30">
        <v>24.786300000000001</v>
      </c>
      <c r="GP30">
        <v>800</v>
      </c>
      <c r="GQ30">
        <v>21.473299999999998</v>
      </c>
      <c r="GR30">
        <v>99.756299999999996</v>
      </c>
      <c r="GS30">
        <v>99.608199999999997</v>
      </c>
    </row>
    <row r="31" spans="1:201" x14ac:dyDescent="0.25">
      <c r="A31">
        <v>15</v>
      </c>
      <c r="B31">
        <v>1690301179.5</v>
      </c>
      <c r="C31">
        <v>275.5</v>
      </c>
      <c r="D31" t="s">
        <v>361</v>
      </c>
      <c r="E31" t="s">
        <v>362</v>
      </c>
      <c r="F31" t="s">
        <v>330</v>
      </c>
      <c r="H31">
        <v>1690301179.5</v>
      </c>
      <c r="I31">
        <f t="shared" si="0"/>
        <v>2.5837337197023164E-4</v>
      </c>
      <c r="J31">
        <f t="shared" si="1"/>
        <v>0.25837337197023164</v>
      </c>
      <c r="K31">
        <f t="shared" si="2"/>
        <v>0.18555720507792139</v>
      </c>
      <c r="L31">
        <f t="shared" si="3"/>
        <v>795.899</v>
      </c>
      <c r="M31">
        <f t="shared" si="4"/>
        <v>755.23011551614672</v>
      </c>
      <c r="N31">
        <f t="shared" si="5"/>
        <v>75.07735630228953</v>
      </c>
      <c r="O31">
        <f t="shared" si="6"/>
        <v>79.120246367291998</v>
      </c>
      <c r="P31">
        <f t="shared" si="7"/>
        <v>1.5235795690700295E-2</v>
      </c>
      <c r="Q31">
        <f t="shared" si="8"/>
        <v>2.1155500336551225</v>
      </c>
      <c r="R31">
        <f t="shared" si="9"/>
        <v>1.5175099380560218E-2</v>
      </c>
      <c r="S31">
        <f t="shared" si="10"/>
        <v>9.4898702028502115E-3</v>
      </c>
      <c r="T31">
        <f t="shared" si="11"/>
        <v>276.1102540277343</v>
      </c>
      <c r="U31">
        <f t="shared" si="12"/>
        <v>29.147249145883098</v>
      </c>
      <c r="V31">
        <f t="shared" si="13"/>
        <v>29.147249145883098</v>
      </c>
      <c r="W31">
        <f t="shared" si="14"/>
        <v>4.05616843427417</v>
      </c>
      <c r="X31">
        <f t="shared" si="15"/>
        <v>67.414644722542093</v>
      </c>
      <c r="Y31">
        <f t="shared" si="16"/>
        <v>2.4187225895664</v>
      </c>
      <c r="Z31">
        <f t="shared" si="17"/>
        <v>3.5878296170232997</v>
      </c>
      <c r="AA31">
        <f t="shared" si="18"/>
        <v>1.63744584470777</v>
      </c>
      <c r="AB31">
        <f t="shared" si="19"/>
        <v>-11.394265703887216</v>
      </c>
      <c r="AC31">
        <f t="shared" si="20"/>
        <v>-240.20234663237804</v>
      </c>
      <c r="AD31">
        <f t="shared" si="21"/>
        <v>-24.772950802659963</v>
      </c>
      <c r="AE31">
        <f t="shared" si="22"/>
        <v>-0.25930911119093025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52432.518269659799</v>
      </c>
      <c r="AK31">
        <f t="shared" si="26"/>
        <v>1799.97</v>
      </c>
      <c r="AL31">
        <f t="shared" si="27"/>
        <v>1499.08647300903</v>
      </c>
      <c r="AM31">
        <f t="shared" si="28"/>
        <v>0.83283969899999999</v>
      </c>
      <c r="AN31">
        <f t="shared" si="29"/>
        <v>0.15339714219</v>
      </c>
      <c r="AO31">
        <v>32.700000000000003</v>
      </c>
      <c r="AP31">
        <v>0.5</v>
      </c>
      <c r="AQ31" t="s">
        <v>331</v>
      </c>
      <c r="AR31">
        <v>2</v>
      </c>
      <c r="AS31">
        <v>1690301179.5</v>
      </c>
      <c r="AT31">
        <v>795.899</v>
      </c>
      <c r="AU31">
        <v>800.15800000000002</v>
      </c>
      <c r="AV31">
        <v>24.3308</v>
      </c>
      <c r="AW31">
        <v>21.586300000000001</v>
      </c>
      <c r="AX31">
        <v>796.21199999999999</v>
      </c>
      <c r="AY31">
        <v>24.049299999999999</v>
      </c>
      <c r="AZ31">
        <v>300.35500000000002</v>
      </c>
      <c r="BA31">
        <v>99.309700000000007</v>
      </c>
      <c r="BB31">
        <v>0.10020800000000001</v>
      </c>
      <c r="BC31">
        <v>27.0412</v>
      </c>
      <c r="BD31">
        <v>27.372900000000001</v>
      </c>
      <c r="BE31">
        <v>28.8202</v>
      </c>
      <c r="BF31">
        <v>0</v>
      </c>
      <c r="BG31">
        <v>0</v>
      </c>
      <c r="BH31">
        <v>9985.6200000000008</v>
      </c>
      <c r="BI31">
        <v>1078.8</v>
      </c>
      <c r="BJ31">
        <v>2.0183800000000001</v>
      </c>
      <c r="BK31">
        <v>-4.2595799999999997</v>
      </c>
      <c r="BL31">
        <v>815.74599999999998</v>
      </c>
      <c r="BM31">
        <v>817.81200000000001</v>
      </c>
      <c r="BN31">
        <v>2.7445200000000001</v>
      </c>
      <c r="BO31">
        <v>800.15800000000002</v>
      </c>
      <c r="BP31">
        <v>21.586300000000001</v>
      </c>
      <c r="BQ31">
        <v>2.41629</v>
      </c>
      <c r="BR31">
        <v>2.1437300000000001</v>
      </c>
      <c r="BS31">
        <v>20.473299999999998</v>
      </c>
      <c r="BT31">
        <v>18.547899999999998</v>
      </c>
      <c r="BU31">
        <v>1799.97</v>
      </c>
      <c r="BV31">
        <v>0.91000300000000001</v>
      </c>
      <c r="BW31">
        <v>3.4000200000000001E-2</v>
      </c>
      <c r="BX31">
        <v>2.1997200000000001E-2</v>
      </c>
      <c r="BY31">
        <v>3.3999300000000003E-2</v>
      </c>
      <c r="BZ31">
        <v>26</v>
      </c>
      <c r="CA31">
        <v>33528</v>
      </c>
      <c r="CB31">
        <v>1690300477.5</v>
      </c>
      <c r="CC31" t="s">
        <v>332</v>
      </c>
      <c r="CD31">
        <v>1690300477.5</v>
      </c>
      <c r="CE31">
        <v>1690300465.5</v>
      </c>
      <c r="CF31">
        <v>7</v>
      </c>
      <c r="CG31">
        <v>5.0999999999999997E-2</v>
      </c>
      <c r="CH31">
        <v>-8.0000000000000002E-3</v>
      </c>
      <c r="CI31">
        <v>-0.316</v>
      </c>
      <c r="CJ31">
        <v>0.28199999999999997</v>
      </c>
      <c r="CK31">
        <v>800</v>
      </c>
      <c r="CL31">
        <v>24</v>
      </c>
      <c r="CM31">
        <v>0.25</v>
      </c>
      <c r="CN31">
        <v>0.13</v>
      </c>
      <c r="CO31">
        <v>-3.1532236585365849</v>
      </c>
      <c r="CP31">
        <v>-7.6209698257839742</v>
      </c>
      <c r="CQ31">
        <v>0.77225490553047538</v>
      </c>
      <c r="CR31">
        <v>-1</v>
      </c>
      <c r="CS31">
        <v>2.1242736341463409</v>
      </c>
      <c r="CT31">
        <v>6.4899995540069666</v>
      </c>
      <c r="CU31">
        <v>0.67913500037369112</v>
      </c>
      <c r="CV31">
        <v>-1</v>
      </c>
      <c r="CW31">
        <v>0</v>
      </c>
      <c r="CX31">
        <v>0</v>
      </c>
      <c r="CY31" t="s">
        <v>333</v>
      </c>
      <c r="CZ31">
        <v>2.3649499999999999</v>
      </c>
      <c r="DA31">
        <v>2.7139899999999999</v>
      </c>
      <c r="DB31">
        <v>0.14662</v>
      </c>
      <c r="DC31">
        <v>0.146755</v>
      </c>
      <c r="DD31">
        <v>0.11495</v>
      </c>
      <c r="DE31">
        <v>0.104396</v>
      </c>
      <c r="DF31">
        <v>31165.3</v>
      </c>
      <c r="DG31">
        <v>27507.7</v>
      </c>
      <c r="DH31">
        <v>31177.1</v>
      </c>
      <c r="DI31">
        <v>28091.5</v>
      </c>
      <c r="DJ31">
        <v>37462.800000000003</v>
      </c>
      <c r="DK31">
        <v>35775.1</v>
      </c>
      <c r="DL31">
        <v>44369.2</v>
      </c>
      <c r="DM31">
        <v>42580</v>
      </c>
      <c r="DN31">
        <v>1.4684299999999999</v>
      </c>
      <c r="DO31">
        <v>2.0634800000000002</v>
      </c>
      <c r="DP31">
        <v>9.3441499999999997E-2</v>
      </c>
      <c r="DQ31">
        <v>0.19303699999999999</v>
      </c>
      <c r="DR31">
        <v>25.843800000000002</v>
      </c>
      <c r="DS31">
        <v>25.6645</v>
      </c>
      <c r="DT31">
        <v>57.1</v>
      </c>
      <c r="DU31">
        <v>29.1</v>
      </c>
      <c r="DV31">
        <v>23.259399999999999</v>
      </c>
      <c r="DW31">
        <v>61.454700000000003</v>
      </c>
      <c r="DX31">
        <v>35.9495</v>
      </c>
      <c r="DY31">
        <v>1</v>
      </c>
      <c r="DZ31">
        <v>-8.27185E-2</v>
      </c>
      <c r="EA31">
        <v>3.3395700000000001</v>
      </c>
      <c r="EB31">
        <v>20.145099999999999</v>
      </c>
      <c r="EC31">
        <v>5.2401999999999997</v>
      </c>
      <c r="ED31">
        <v>12.039899999999999</v>
      </c>
      <c r="EE31">
        <v>5.0164</v>
      </c>
      <c r="EF31">
        <v>3.2879499999999999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1.8646199999999999</v>
      </c>
      <c r="EM31">
        <v>1.8692</v>
      </c>
      <c r="EN31">
        <v>1.8672200000000001</v>
      </c>
      <c r="EO31">
        <v>1.8633999999999999</v>
      </c>
      <c r="EP31">
        <v>1.8644700000000001</v>
      </c>
      <c r="EQ31">
        <v>1.87015</v>
      </c>
      <c r="ER31">
        <v>1.86937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-0.313</v>
      </c>
      <c r="FG31">
        <v>0.28149999999999997</v>
      </c>
      <c r="FH31">
        <v>0.23539598422606861</v>
      </c>
      <c r="FI31">
        <v>-6.1462078757559423E-4</v>
      </c>
      <c r="FJ31">
        <v>-1.8861989874597051E-7</v>
      </c>
      <c r="FK31">
        <v>1.1980462299894961E-10</v>
      </c>
      <c r="FL31">
        <v>0.28151999999999688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11.7</v>
      </c>
      <c r="FU31">
        <v>11.9</v>
      </c>
      <c r="FV31">
        <v>1.79565</v>
      </c>
      <c r="FW31">
        <v>2.5927699999999998</v>
      </c>
      <c r="FX31">
        <v>1.5490699999999999</v>
      </c>
      <c r="FY31">
        <v>2.3290999999999999</v>
      </c>
      <c r="FZ31">
        <v>1.50146</v>
      </c>
      <c r="GA31">
        <v>2.2875999999999999</v>
      </c>
      <c r="GB31">
        <v>33.625399999999999</v>
      </c>
      <c r="GC31">
        <v>23.956199999999999</v>
      </c>
      <c r="GD31">
        <v>19</v>
      </c>
      <c r="GE31">
        <v>279.72800000000001</v>
      </c>
      <c r="GF31">
        <v>605.846</v>
      </c>
      <c r="GG31">
        <v>24.514199999999999</v>
      </c>
      <c r="GH31">
        <v>26.350999999999999</v>
      </c>
      <c r="GI31">
        <v>30.001999999999999</v>
      </c>
      <c r="GJ31">
        <v>26.3856</v>
      </c>
      <c r="GK31">
        <v>26.3354</v>
      </c>
      <c r="GL31">
        <v>35.908900000000003</v>
      </c>
      <c r="GM31">
        <v>16.610499999999998</v>
      </c>
      <c r="GN31">
        <v>100</v>
      </c>
      <c r="GO31">
        <v>24.1309</v>
      </c>
      <c r="GP31">
        <v>800</v>
      </c>
      <c r="GQ31">
        <v>21.577100000000002</v>
      </c>
      <c r="GR31">
        <v>99.754999999999995</v>
      </c>
      <c r="GS31">
        <v>99.6066</v>
      </c>
    </row>
    <row r="32" spans="1:201" x14ac:dyDescent="0.25">
      <c r="A32">
        <v>16</v>
      </c>
      <c r="B32">
        <v>1690301189.5</v>
      </c>
      <c r="C32">
        <v>285.5</v>
      </c>
      <c r="D32" t="s">
        <v>363</v>
      </c>
      <c r="E32" t="s">
        <v>364</v>
      </c>
      <c r="F32" t="s">
        <v>330</v>
      </c>
      <c r="H32">
        <v>1690301189.5</v>
      </c>
      <c r="I32">
        <f t="shared" si="0"/>
        <v>2.2665052701462189E-4</v>
      </c>
      <c r="J32">
        <f t="shared" si="1"/>
        <v>0.22665052701462188</v>
      </c>
      <c r="K32">
        <f t="shared" si="2"/>
        <v>0.26427524763903082</v>
      </c>
      <c r="L32">
        <f t="shared" si="3"/>
        <v>795.12</v>
      </c>
      <c r="M32">
        <f t="shared" si="4"/>
        <v>741.59213513579289</v>
      </c>
      <c r="N32">
        <f t="shared" si="5"/>
        <v>73.722046433101013</v>
      </c>
      <c r="O32">
        <f t="shared" si="6"/>
        <v>79.043278350240016</v>
      </c>
      <c r="P32">
        <f t="shared" si="7"/>
        <v>1.3143634819736799E-2</v>
      </c>
      <c r="Q32">
        <f t="shared" si="8"/>
        <v>2.1152001378464638</v>
      </c>
      <c r="R32">
        <f t="shared" si="9"/>
        <v>1.3098429337352403E-2</v>
      </c>
      <c r="S32">
        <f t="shared" si="10"/>
        <v>8.1905668458922727E-3</v>
      </c>
      <c r="T32">
        <f t="shared" si="11"/>
        <v>276.10934507888368</v>
      </c>
      <c r="U32">
        <f t="shared" si="12"/>
        <v>29.095613708989369</v>
      </c>
      <c r="V32">
        <f t="shared" si="13"/>
        <v>29.095613708989369</v>
      </c>
      <c r="W32">
        <f t="shared" si="14"/>
        <v>4.0440779189131799</v>
      </c>
      <c r="X32">
        <f t="shared" si="15"/>
        <v>66.567764321618213</v>
      </c>
      <c r="Y32">
        <f t="shared" si="16"/>
        <v>2.3794897758720004</v>
      </c>
      <c r="Z32">
        <f t="shared" si="17"/>
        <v>3.574537616098441</v>
      </c>
      <c r="AA32">
        <f t="shared" si="18"/>
        <v>1.6645881430411795</v>
      </c>
      <c r="AB32">
        <f t="shared" si="19"/>
        <v>-9.9952882413448254</v>
      </c>
      <c r="AC32">
        <f t="shared" si="20"/>
        <v>-241.481380135427</v>
      </c>
      <c r="AD32">
        <f t="shared" si="21"/>
        <v>-24.894737978951607</v>
      </c>
      <c r="AE32">
        <f t="shared" si="22"/>
        <v>-0.26206127683977343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52428.264590451166</v>
      </c>
      <c r="AK32">
        <f t="shared" si="26"/>
        <v>1799.97</v>
      </c>
      <c r="AL32">
        <f t="shared" si="27"/>
        <v>1499.0892035635202</v>
      </c>
      <c r="AM32">
        <f t="shared" si="28"/>
        <v>0.83284121600000005</v>
      </c>
      <c r="AN32">
        <f t="shared" si="29"/>
        <v>0.15339663720999999</v>
      </c>
      <c r="AO32">
        <v>32.700000000000003</v>
      </c>
      <c r="AP32">
        <v>0.5</v>
      </c>
      <c r="AQ32" t="s">
        <v>331</v>
      </c>
      <c r="AR32">
        <v>2</v>
      </c>
      <c r="AS32">
        <v>1690301189.5</v>
      </c>
      <c r="AT32">
        <v>795.12</v>
      </c>
      <c r="AU32">
        <v>799.96</v>
      </c>
      <c r="AV32">
        <v>23.936</v>
      </c>
      <c r="AW32">
        <v>21.527100000000001</v>
      </c>
      <c r="AX32">
        <v>795.43299999999999</v>
      </c>
      <c r="AY32">
        <v>23.654399999999999</v>
      </c>
      <c r="AZ32">
        <v>300.30599999999998</v>
      </c>
      <c r="BA32">
        <v>99.310500000000005</v>
      </c>
      <c r="BB32">
        <v>0.10000199999999999</v>
      </c>
      <c r="BC32">
        <v>26.978000000000002</v>
      </c>
      <c r="BD32">
        <v>27.303799999999999</v>
      </c>
      <c r="BE32">
        <v>28.796800000000001</v>
      </c>
      <c r="BF32">
        <v>0</v>
      </c>
      <c r="BG32">
        <v>0</v>
      </c>
      <c r="BH32">
        <v>9982.5</v>
      </c>
      <c r="BI32">
        <v>1078.81</v>
      </c>
      <c r="BJ32">
        <v>2.0183800000000001</v>
      </c>
      <c r="BK32">
        <v>-4.8391700000000002</v>
      </c>
      <c r="BL32">
        <v>814.61900000000003</v>
      </c>
      <c r="BM32">
        <v>817.55899999999997</v>
      </c>
      <c r="BN32">
        <v>2.4088799999999999</v>
      </c>
      <c r="BO32">
        <v>799.96</v>
      </c>
      <c r="BP32">
        <v>21.527100000000001</v>
      </c>
      <c r="BQ32">
        <v>2.3770899999999999</v>
      </c>
      <c r="BR32">
        <v>2.1378699999999999</v>
      </c>
      <c r="BS32">
        <v>20.208600000000001</v>
      </c>
      <c r="BT32">
        <v>18.504200000000001</v>
      </c>
      <c r="BU32">
        <v>1799.97</v>
      </c>
      <c r="BV32">
        <v>0.91002300000000003</v>
      </c>
      <c r="BW32">
        <v>3.3992599999999998E-2</v>
      </c>
      <c r="BX32">
        <v>2.1992299999999999E-2</v>
      </c>
      <c r="BY32">
        <v>3.39917E-2</v>
      </c>
      <c r="BZ32">
        <v>26</v>
      </c>
      <c r="CA32">
        <v>33528.1</v>
      </c>
      <c r="CB32">
        <v>1690300477.5</v>
      </c>
      <c r="CC32" t="s">
        <v>332</v>
      </c>
      <c r="CD32">
        <v>1690300477.5</v>
      </c>
      <c r="CE32">
        <v>1690300465.5</v>
      </c>
      <c r="CF32">
        <v>7</v>
      </c>
      <c r="CG32">
        <v>5.0999999999999997E-2</v>
      </c>
      <c r="CH32">
        <v>-8.0000000000000002E-3</v>
      </c>
      <c r="CI32">
        <v>-0.316</v>
      </c>
      <c r="CJ32">
        <v>0.28199999999999997</v>
      </c>
      <c r="CK32">
        <v>800</v>
      </c>
      <c r="CL32">
        <v>24</v>
      </c>
      <c r="CM32">
        <v>0.25</v>
      </c>
      <c r="CN32">
        <v>0.13</v>
      </c>
      <c r="CO32">
        <v>-4.1202648780487801</v>
      </c>
      <c r="CP32">
        <v>-4.1534795121951156</v>
      </c>
      <c r="CQ32">
        <v>0.41133601652225849</v>
      </c>
      <c r="CR32">
        <v>-1</v>
      </c>
      <c r="CS32">
        <v>2.6429775609756101</v>
      </c>
      <c r="CT32">
        <v>-0.230183832752613</v>
      </c>
      <c r="CU32">
        <v>0.1086922190043977</v>
      </c>
      <c r="CV32">
        <v>-1</v>
      </c>
      <c r="CW32">
        <v>0</v>
      </c>
      <c r="CX32">
        <v>0</v>
      </c>
      <c r="CY32" t="s">
        <v>333</v>
      </c>
      <c r="CZ32">
        <v>2.36477</v>
      </c>
      <c r="DA32">
        <v>2.7137799999999999</v>
      </c>
      <c r="DB32">
        <v>0.14652000000000001</v>
      </c>
      <c r="DC32">
        <v>0.14673</v>
      </c>
      <c r="DD32">
        <v>0.11362700000000001</v>
      </c>
      <c r="DE32">
        <v>0.104195</v>
      </c>
      <c r="DF32">
        <v>31167.1</v>
      </c>
      <c r="DG32">
        <v>27506.7</v>
      </c>
      <c r="DH32">
        <v>31175.200000000001</v>
      </c>
      <c r="DI32">
        <v>28089.7</v>
      </c>
      <c r="DJ32">
        <v>37517.300000000003</v>
      </c>
      <c r="DK32">
        <v>35780.9</v>
      </c>
      <c r="DL32">
        <v>44366.7</v>
      </c>
      <c r="DM32">
        <v>42577.3</v>
      </c>
      <c r="DN32">
        <v>1.46685</v>
      </c>
      <c r="DO32">
        <v>2.0636199999999998</v>
      </c>
      <c r="DP32">
        <v>8.9164800000000002E-2</v>
      </c>
      <c r="DQ32">
        <v>0.19193399999999999</v>
      </c>
      <c r="DR32">
        <v>25.8446</v>
      </c>
      <c r="DS32">
        <v>25.659099999999999</v>
      </c>
      <c r="DT32">
        <v>57.1</v>
      </c>
      <c r="DU32">
        <v>29</v>
      </c>
      <c r="DV32">
        <v>23.119700000000002</v>
      </c>
      <c r="DW32">
        <v>61.954700000000003</v>
      </c>
      <c r="DX32">
        <v>34.771599999999999</v>
      </c>
      <c r="DY32">
        <v>1</v>
      </c>
      <c r="DZ32">
        <v>-7.9263200000000006E-2</v>
      </c>
      <c r="EA32">
        <v>3.7654700000000001</v>
      </c>
      <c r="EB32">
        <v>20.134399999999999</v>
      </c>
      <c r="EC32">
        <v>5.2408000000000001</v>
      </c>
      <c r="ED32">
        <v>12.039899999999999</v>
      </c>
      <c r="EE32">
        <v>5.0166500000000003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</v>
      </c>
      <c r="EL32">
        <v>1.8646199999999999</v>
      </c>
      <c r="EM32">
        <v>1.8692</v>
      </c>
      <c r="EN32">
        <v>1.8672200000000001</v>
      </c>
      <c r="EO32">
        <v>1.8633900000000001</v>
      </c>
      <c r="EP32">
        <v>1.8644700000000001</v>
      </c>
      <c r="EQ32">
        <v>1.87015</v>
      </c>
      <c r="ER32">
        <v>1.8693900000000001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-0.313</v>
      </c>
      <c r="FG32">
        <v>0.28160000000000002</v>
      </c>
      <c r="FH32">
        <v>0.23539598422606861</v>
      </c>
      <c r="FI32">
        <v>-6.1462078757559423E-4</v>
      </c>
      <c r="FJ32">
        <v>-1.8861989874597051E-7</v>
      </c>
      <c r="FK32">
        <v>1.1980462299894961E-10</v>
      </c>
      <c r="FL32">
        <v>0.28151999999999688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11.9</v>
      </c>
      <c r="FU32">
        <v>12.1</v>
      </c>
      <c r="FV32">
        <v>1.79565</v>
      </c>
      <c r="FW32">
        <v>2.5866699999999998</v>
      </c>
      <c r="FX32">
        <v>1.5490699999999999</v>
      </c>
      <c r="FY32">
        <v>2.3290999999999999</v>
      </c>
      <c r="FZ32">
        <v>1.50146</v>
      </c>
      <c r="GA32">
        <v>2.3999000000000001</v>
      </c>
      <c r="GB32">
        <v>33.602899999999998</v>
      </c>
      <c r="GC32">
        <v>23.9649</v>
      </c>
      <c r="GD32">
        <v>19</v>
      </c>
      <c r="GE32">
        <v>279.05200000000002</v>
      </c>
      <c r="GF32">
        <v>606.04399999999998</v>
      </c>
      <c r="GG32">
        <v>23.622599999999998</v>
      </c>
      <c r="GH32">
        <v>26.360499999999998</v>
      </c>
      <c r="GI32">
        <v>30.0014</v>
      </c>
      <c r="GJ32">
        <v>26.383099999999999</v>
      </c>
      <c r="GK32">
        <v>26.3414</v>
      </c>
      <c r="GL32">
        <v>35.9071</v>
      </c>
      <c r="GM32">
        <v>15.694000000000001</v>
      </c>
      <c r="GN32">
        <v>100</v>
      </c>
      <c r="GO32">
        <v>23.421199999999999</v>
      </c>
      <c r="GP32">
        <v>800</v>
      </c>
      <c r="GQ32">
        <v>21.744800000000001</v>
      </c>
      <c r="GR32">
        <v>99.749200000000002</v>
      </c>
      <c r="GS32">
        <v>99.600200000000001</v>
      </c>
    </row>
    <row r="33" spans="1:201" x14ac:dyDescent="0.25">
      <c r="A33">
        <v>17</v>
      </c>
      <c r="B33">
        <v>1690301199.5</v>
      </c>
      <c r="C33">
        <v>295.5</v>
      </c>
      <c r="D33" t="s">
        <v>365</v>
      </c>
      <c r="E33" t="s">
        <v>366</v>
      </c>
      <c r="F33" t="s">
        <v>330</v>
      </c>
      <c r="H33">
        <v>1690301199.5</v>
      </c>
      <c r="I33">
        <f t="shared" si="0"/>
        <v>1.8650282157481286E-4</v>
      </c>
      <c r="J33">
        <f t="shared" si="1"/>
        <v>0.18650282157481285</v>
      </c>
      <c r="K33">
        <f t="shared" si="2"/>
        <v>0.36795539044741815</v>
      </c>
      <c r="L33">
        <f t="shared" si="3"/>
        <v>794.37300000000005</v>
      </c>
      <c r="M33">
        <f t="shared" si="4"/>
        <v>718.43148195772187</v>
      </c>
      <c r="N33">
        <f t="shared" si="5"/>
        <v>71.41733744857325</v>
      </c>
      <c r="O33">
        <f t="shared" si="6"/>
        <v>78.966479094765006</v>
      </c>
      <c r="P33">
        <f t="shared" si="7"/>
        <v>1.0750505969897602E-2</v>
      </c>
      <c r="Q33">
        <f t="shared" si="8"/>
        <v>2.1167451261841026</v>
      </c>
      <c r="R33">
        <f t="shared" si="9"/>
        <v>1.0720265012822035E-2</v>
      </c>
      <c r="S33">
        <f t="shared" si="10"/>
        <v>6.7028755252443268E-3</v>
      </c>
      <c r="T33">
        <f t="shared" si="11"/>
        <v>276.11331000824481</v>
      </c>
      <c r="U33">
        <f t="shared" si="12"/>
        <v>29.001233604656164</v>
      </c>
      <c r="V33">
        <f t="shared" si="13"/>
        <v>29.001233604656164</v>
      </c>
      <c r="W33">
        <f t="shared" si="14"/>
        <v>4.0220598670469716</v>
      </c>
      <c r="X33">
        <f t="shared" si="15"/>
        <v>66.104012367976523</v>
      </c>
      <c r="Y33">
        <f t="shared" si="16"/>
        <v>2.3480601884829997</v>
      </c>
      <c r="Z33">
        <f t="shared" si="17"/>
        <v>3.552069086838813</v>
      </c>
      <c r="AA33">
        <f t="shared" si="18"/>
        <v>1.6739996785639719</v>
      </c>
      <c r="AB33">
        <f t="shared" si="19"/>
        <v>-8.2247744314492479</v>
      </c>
      <c r="AC33">
        <f t="shared" si="20"/>
        <v>-243.13215558378198</v>
      </c>
      <c r="AD33">
        <f t="shared" si="21"/>
        <v>-25.021467094649427</v>
      </c>
      <c r="AE33">
        <f t="shared" si="22"/>
        <v>-0.26508710163585647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52514.637279514638</v>
      </c>
      <c r="AK33">
        <f t="shared" si="26"/>
        <v>1799.98</v>
      </c>
      <c r="AL33">
        <f t="shared" si="27"/>
        <v>1499.0955159980799</v>
      </c>
      <c r="AM33">
        <f t="shared" si="28"/>
        <v>0.83284009599999997</v>
      </c>
      <c r="AN33">
        <f t="shared" si="29"/>
        <v>0.15339798775999999</v>
      </c>
      <c r="AO33">
        <v>32.700000000000003</v>
      </c>
      <c r="AP33">
        <v>0.5</v>
      </c>
      <c r="AQ33" t="s">
        <v>331</v>
      </c>
      <c r="AR33">
        <v>2</v>
      </c>
      <c r="AS33">
        <v>1690301199.5</v>
      </c>
      <c r="AT33">
        <v>794.37300000000005</v>
      </c>
      <c r="AU33">
        <v>799.995</v>
      </c>
      <c r="AV33">
        <v>23.6206</v>
      </c>
      <c r="AW33">
        <v>21.637</v>
      </c>
      <c r="AX33">
        <v>794.68499999999995</v>
      </c>
      <c r="AY33">
        <v>23.339099999999998</v>
      </c>
      <c r="AZ33">
        <v>300.19099999999997</v>
      </c>
      <c r="BA33">
        <v>99.307299999999998</v>
      </c>
      <c r="BB33">
        <v>0.100005</v>
      </c>
      <c r="BC33">
        <v>26.870699999999999</v>
      </c>
      <c r="BD33">
        <v>27.211300000000001</v>
      </c>
      <c r="BE33">
        <v>28.695499999999999</v>
      </c>
      <c r="BF33">
        <v>0</v>
      </c>
      <c r="BG33">
        <v>0</v>
      </c>
      <c r="BH33">
        <v>9996.25</v>
      </c>
      <c r="BI33">
        <v>1078.6199999999999</v>
      </c>
      <c r="BJ33">
        <v>2.0183800000000001</v>
      </c>
      <c r="BK33">
        <v>-5.6221899999999998</v>
      </c>
      <c r="BL33">
        <v>813.59100000000001</v>
      </c>
      <c r="BM33">
        <v>817.68799999999999</v>
      </c>
      <c r="BN33">
        <v>1.9836</v>
      </c>
      <c r="BO33">
        <v>799.995</v>
      </c>
      <c r="BP33">
        <v>21.637</v>
      </c>
      <c r="BQ33">
        <v>2.3456999999999999</v>
      </c>
      <c r="BR33">
        <v>2.14872</v>
      </c>
      <c r="BS33">
        <v>19.9937</v>
      </c>
      <c r="BT33">
        <v>18.585000000000001</v>
      </c>
      <c r="BU33">
        <v>1799.98</v>
      </c>
      <c r="BV33">
        <v>0.90999600000000003</v>
      </c>
      <c r="BW33">
        <v>3.4006000000000002E-2</v>
      </c>
      <c r="BX33">
        <v>2.2008799999999999E-2</v>
      </c>
      <c r="BY33">
        <v>3.39888E-2</v>
      </c>
      <c r="BZ33">
        <v>25.958300000000001</v>
      </c>
      <c r="CA33">
        <v>33527.9</v>
      </c>
      <c r="CB33">
        <v>1690300477.5</v>
      </c>
      <c r="CC33" t="s">
        <v>332</v>
      </c>
      <c r="CD33">
        <v>1690300477.5</v>
      </c>
      <c r="CE33">
        <v>1690300465.5</v>
      </c>
      <c r="CF33">
        <v>7</v>
      </c>
      <c r="CG33">
        <v>5.0999999999999997E-2</v>
      </c>
      <c r="CH33">
        <v>-8.0000000000000002E-3</v>
      </c>
      <c r="CI33">
        <v>-0.316</v>
      </c>
      <c r="CJ33">
        <v>0.28199999999999997</v>
      </c>
      <c r="CK33">
        <v>800</v>
      </c>
      <c r="CL33">
        <v>24</v>
      </c>
      <c r="CM33">
        <v>0.25</v>
      </c>
      <c r="CN33">
        <v>0.13</v>
      </c>
      <c r="CO33">
        <v>-4.7739692499999986</v>
      </c>
      <c r="CP33">
        <v>-3.977415196998114</v>
      </c>
      <c r="CQ33">
        <v>0.38654012320448378</v>
      </c>
      <c r="CR33">
        <v>-1</v>
      </c>
      <c r="CS33">
        <v>2.4320077499999999</v>
      </c>
      <c r="CT33">
        <v>-2.3439112570356531</v>
      </c>
      <c r="CU33">
        <v>0.22638432636213471</v>
      </c>
      <c r="CV33">
        <v>-1</v>
      </c>
      <c r="CW33">
        <v>0</v>
      </c>
      <c r="CX33">
        <v>0</v>
      </c>
      <c r="CY33" t="s">
        <v>333</v>
      </c>
      <c r="CZ33">
        <v>2.3643900000000002</v>
      </c>
      <c r="DA33">
        <v>2.7137899999999999</v>
      </c>
      <c r="DB33">
        <v>0.14641399999999999</v>
      </c>
      <c r="DC33">
        <v>0.146728</v>
      </c>
      <c r="DD33">
        <v>0.112556</v>
      </c>
      <c r="DE33">
        <v>0.104563</v>
      </c>
      <c r="DF33">
        <v>31170.5</v>
      </c>
      <c r="DG33">
        <v>27506.3</v>
      </c>
      <c r="DH33">
        <v>31174.799999999999</v>
      </c>
      <c r="DI33">
        <v>28089.3</v>
      </c>
      <c r="DJ33">
        <v>37562.800000000003</v>
      </c>
      <c r="DK33">
        <v>35765.699999999997</v>
      </c>
      <c r="DL33">
        <v>44366.3</v>
      </c>
      <c r="DM33">
        <v>42576.7</v>
      </c>
      <c r="DN33">
        <v>1.46695</v>
      </c>
      <c r="DO33">
        <v>2.0633699999999999</v>
      </c>
      <c r="DP33">
        <v>8.3688600000000002E-2</v>
      </c>
      <c r="DQ33">
        <v>0.186477</v>
      </c>
      <c r="DR33">
        <v>25.8416</v>
      </c>
      <c r="DS33">
        <v>25.646599999999999</v>
      </c>
      <c r="DT33">
        <v>57.1</v>
      </c>
      <c r="DU33">
        <v>29</v>
      </c>
      <c r="DV33">
        <v>23.127400000000002</v>
      </c>
      <c r="DW33">
        <v>61.884700000000002</v>
      </c>
      <c r="DX33">
        <v>35.813299999999998</v>
      </c>
      <c r="DY33">
        <v>1</v>
      </c>
      <c r="DZ33">
        <v>-7.8793199999999994E-2</v>
      </c>
      <c r="EA33">
        <v>3.5569299999999999</v>
      </c>
      <c r="EB33">
        <v>20.141999999999999</v>
      </c>
      <c r="EC33">
        <v>5.2404999999999999</v>
      </c>
      <c r="ED33">
        <v>12.039899999999999</v>
      </c>
      <c r="EE33">
        <v>5.0170500000000002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</v>
      </c>
      <c r="EL33">
        <v>1.8646199999999999</v>
      </c>
      <c r="EM33">
        <v>1.8692</v>
      </c>
      <c r="EN33">
        <v>1.8672299999999999</v>
      </c>
      <c r="EO33">
        <v>1.8633999999999999</v>
      </c>
      <c r="EP33">
        <v>1.8644700000000001</v>
      </c>
      <c r="EQ33">
        <v>1.87016</v>
      </c>
      <c r="ER33">
        <v>1.86937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-0.312</v>
      </c>
      <c r="FG33">
        <v>0.28149999999999997</v>
      </c>
      <c r="FH33">
        <v>0.23539598422606861</v>
      </c>
      <c r="FI33">
        <v>-6.1462078757559423E-4</v>
      </c>
      <c r="FJ33">
        <v>-1.8861989874597051E-7</v>
      </c>
      <c r="FK33">
        <v>1.1980462299894961E-10</v>
      </c>
      <c r="FL33">
        <v>0.28151999999999688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12</v>
      </c>
      <c r="FU33">
        <v>12.2</v>
      </c>
      <c r="FV33">
        <v>1.79565</v>
      </c>
      <c r="FW33">
        <v>2.5854499999999998</v>
      </c>
      <c r="FX33">
        <v>1.5490699999999999</v>
      </c>
      <c r="FY33">
        <v>2.3290999999999999</v>
      </c>
      <c r="FZ33">
        <v>1.50146</v>
      </c>
      <c r="GA33">
        <v>2.4035600000000001</v>
      </c>
      <c r="GB33">
        <v>33.625399999999999</v>
      </c>
      <c r="GC33">
        <v>23.9649</v>
      </c>
      <c r="GD33">
        <v>19</v>
      </c>
      <c r="GE33">
        <v>279.10500000000002</v>
      </c>
      <c r="GF33">
        <v>605.90200000000004</v>
      </c>
      <c r="GG33">
        <v>22.953700000000001</v>
      </c>
      <c r="GH33">
        <v>26.3688</v>
      </c>
      <c r="GI33">
        <v>30.000299999999999</v>
      </c>
      <c r="GJ33">
        <v>26.3858</v>
      </c>
      <c r="GK33">
        <v>26.3475</v>
      </c>
      <c r="GL33">
        <v>35.911700000000003</v>
      </c>
      <c r="GM33">
        <v>14.769</v>
      </c>
      <c r="GN33">
        <v>100</v>
      </c>
      <c r="GO33">
        <v>22.863499999999998</v>
      </c>
      <c r="GP33">
        <v>800</v>
      </c>
      <c r="GQ33">
        <v>21.798300000000001</v>
      </c>
      <c r="GR33">
        <v>99.748199999999997</v>
      </c>
      <c r="GS33">
        <v>99.5989</v>
      </c>
    </row>
    <row r="34" spans="1:201" x14ac:dyDescent="0.25">
      <c r="A34">
        <v>18</v>
      </c>
      <c r="B34">
        <v>1690301209.5</v>
      </c>
      <c r="C34">
        <v>305.5</v>
      </c>
      <c r="D34" t="s">
        <v>367</v>
      </c>
      <c r="E34" t="s">
        <v>368</v>
      </c>
      <c r="F34" t="s">
        <v>330</v>
      </c>
      <c r="H34">
        <v>1690301209.5</v>
      </c>
      <c r="I34">
        <f t="shared" si="0"/>
        <v>1.5964431241649561E-4</v>
      </c>
      <c r="J34">
        <f t="shared" si="1"/>
        <v>0.1596443124164956</v>
      </c>
      <c r="K34">
        <f t="shared" si="2"/>
        <v>0.47718388283499186</v>
      </c>
      <c r="L34">
        <f t="shared" si="3"/>
        <v>793.46500000000003</v>
      </c>
      <c r="M34">
        <f t="shared" si="4"/>
        <v>689.99011871067489</v>
      </c>
      <c r="N34">
        <f t="shared" si="5"/>
        <v>68.591818135454062</v>
      </c>
      <c r="O34">
        <f t="shared" si="6"/>
        <v>78.878241153000502</v>
      </c>
      <c r="P34">
        <f t="shared" si="7"/>
        <v>9.2286045499145302E-3</v>
      </c>
      <c r="Q34">
        <f t="shared" si="8"/>
        <v>2.1184930027312818</v>
      </c>
      <c r="R34">
        <f t="shared" si="9"/>
        <v>9.2063284563273437E-3</v>
      </c>
      <c r="S34">
        <f t="shared" si="10"/>
        <v>5.7559521849877655E-3</v>
      </c>
      <c r="T34">
        <f t="shared" si="11"/>
        <v>276.11302744738447</v>
      </c>
      <c r="U34">
        <f t="shared" si="12"/>
        <v>28.894775030825368</v>
      </c>
      <c r="V34">
        <f t="shared" si="13"/>
        <v>28.894775030825368</v>
      </c>
      <c r="W34">
        <f t="shared" si="14"/>
        <v>3.9973495325389785</v>
      </c>
      <c r="X34">
        <f t="shared" si="15"/>
        <v>65.992252375617483</v>
      </c>
      <c r="Y34">
        <f t="shared" si="16"/>
        <v>2.3283577582342598</v>
      </c>
      <c r="Z34">
        <f t="shared" si="17"/>
        <v>3.5282289578201014</v>
      </c>
      <c r="AA34">
        <f t="shared" si="18"/>
        <v>1.6689917743047187</v>
      </c>
      <c r="AB34">
        <f t="shared" si="19"/>
        <v>-7.0403141775674563</v>
      </c>
      <c r="AC34">
        <f t="shared" si="20"/>
        <v>-244.25134793644793</v>
      </c>
      <c r="AD34">
        <f t="shared" si="21"/>
        <v>-25.088258606653749</v>
      </c>
      <c r="AE34">
        <f t="shared" si="22"/>
        <v>-0.26689327328466561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52611.422236622711</v>
      </c>
      <c r="AK34">
        <f t="shared" si="26"/>
        <v>1799.98</v>
      </c>
      <c r="AL34">
        <f t="shared" si="27"/>
        <v>1499.0939806151403</v>
      </c>
      <c r="AM34">
        <f t="shared" si="28"/>
        <v>0.83283924300000012</v>
      </c>
      <c r="AN34">
        <f t="shared" si="29"/>
        <v>0.15339783078000002</v>
      </c>
      <c r="AO34">
        <v>32.700000000000003</v>
      </c>
      <c r="AP34">
        <v>0.5</v>
      </c>
      <c r="AQ34" t="s">
        <v>331</v>
      </c>
      <c r="AR34">
        <v>2</v>
      </c>
      <c r="AS34">
        <v>1690301209.5</v>
      </c>
      <c r="AT34">
        <v>793.46500000000003</v>
      </c>
      <c r="AU34">
        <v>800.04600000000005</v>
      </c>
      <c r="AV34">
        <v>23.421800000000001</v>
      </c>
      <c r="AW34">
        <v>21.7227</v>
      </c>
      <c r="AX34">
        <v>793.77599999999995</v>
      </c>
      <c r="AY34">
        <v>23.1403</v>
      </c>
      <c r="AZ34">
        <v>300.04700000000003</v>
      </c>
      <c r="BA34">
        <v>99.309899999999999</v>
      </c>
      <c r="BB34">
        <v>9.9955699999999995E-2</v>
      </c>
      <c r="BC34">
        <v>26.7562</v>
      </c>
      <c r="BD34">
        <v>27.057600000000001</v>
      </c>
      <c r="BE34">
        <v>28.55</v>
      </c>
      <c r="BF34">
        <v>0</v>
      </c>
      <c r="BG34">
        <v>0</v>
      </c>
      <c r="BH34">
        <v>10011.200000000001</v>
      </c>
      <c r="BI34">
        <v>1078.29</v>
      </c>
      <c r="BJ34">
        <v>2.0183800000000001</v>
      </c>
      <c r="BK34">
        <v>-6.5811799999999998</v>
      </c>
      <c r="BL34">
        <v>812.495</v>
      </c>
      <c r="BM34">
        <v>817.81100000000004</v>
      </c>
      <c r="BN34">
        <v>1.69912</v>
      </c>
      <c r="BO34">
        <v>800.04600000000005</v>
      </c>
      <c r="BP34">
        <v>21.7227</v>
      </c>
      <c r="BQ34">
        <v>2.3260200000000002</v>
      </c>
      <c r="BR34">
        <v>2.1572800000000001</v>
      </c>
      <c r="BS34">
        <v>19.857700000000001</v>
      </c>
      <c r="BT34">
        <v>18.648499999999999</v>
      </c>
      <c r="BU34">
        <v>1799.98</v>
      </c>
      <c r="BV34">
        <v>0.90998500000000004</v>
      </c>
      <c r="BW34">
        <v>3.39999E-2</v>
      </c>
      <c r="BX34">
        <v>2.2004900000000001E-2</v>
      </c>
      <c r="BY34">
        <v>3.4010199999999997E-2</v>
      </c>
      <c r="BZ34">
        <v>25.666699999999999</v>
      </c>
      <c r="CA34">
        <v>33527.9</v>
      </c>
      <c r="CB34">
        <v>1690300477.5</v>
      </c>
      <c r="CC34" t="s">
        <v>332</v>
      </c>
      <c r="CD34">
        <v>1690300477.5</v>
      </c>
      <c r="CE34">
        <v>1690300465.5</v>
      </c>
      <c r="CF34">
        <v>7</v>
      </c>
      <c r="CG34">
        <v>5.0999999999999997E-2</v>
      </c>
      <c r="CH34">
        <v>-8.0000000000000002E-3</v>
      </c>
      <c r="CI34">
        <v>-0.316</v>
      </c>
      <c r="CJ34">
        <v>0.28199999999999997</v>
      </c>
      <c r="CK34">
        <v>800</v>
      </c>
      <c r="CL34">
        <v>24</v>
      </c>
      <c r="CM34">
        <v>0.25</v>
      </c>
      <c r="CN34">
        <v>0.13</v>
      </c>
      <c r="CO34">
        <v>-5.5081950000000006</v>
      </c>
      <c r="CP34">
        <v>-5.0134367729831002</v>
      </c>
      <c r="CQ34">
        <v>0.48767136391221488</v>
      </c>
      <c r="CR34">
        <v>-1</v>
      </c>
      <c r="CS34">
        <v>2.0474477499999999</v>
      </c>
      <c r="CT34">
        <v>-2.2874052157598519</v>
      </c>
      <c r="CU34">
        <v>0.22102389546706819</v>
      </c>
      <c r="CV34">
        <v>-1</v>
      </c>
      <c r="CW34">
        <v>0</v>
      </c>
      <c r="CX34">
        <v>0</v>
      </c>
      <c r="CY34" t="s">
        <v>333</v>
      </c>
      <c r="CZ34">
        <v>2.3639100000000002</v>
      </c>
      <c r="DA34">
        <v>2.7137600000000002</v>
      </c>
      <c r="DB34">
        <v>0.14629900000000001</v>
      </c>
      <c r="DC34">
        <v>0.14673700000000001</v>
      </c>
      <c r="DD34">
        <v>0.111882</v>
      </c>
      <c r="DE34">
        <v>0.104855</v>
      </c>
      <c r="DF34">
        <v>31174.9</v>
      </c>
      <c r="DG34">
        <v>27506</v>
      </c>
      <c r="DH34">
        <v>31175</v>
      </c>
      <c r="DI34">
        <v>28089.3</v>
      </c>
      <c r="DJ34">
        <v>37591.699999999997</v>
      </c>
      <c r="DK34">
        <v>35754.1</v>
      </c>
      <c r="DL34">
        <v>44366.400000000001</v>
      </c>
      <c r="DM34">
        <v>42576.800000000003</v>
      </c>
      <c r="DN34">
        <v>1.46668</v>
      </c>
      <c r="DO34">
        <v>2.0629499999999998</v>
      </c>
      <c r="DP34">
        <v>7.4908100000000005E-2</v>
      </c>
      <c r="DQ34">
        <v>0.17881</v>
      </c>
      <c r="DR34">
        <v>25.831499999999998</v>
      </c>
      <c r="DS34">
        <v>25.626100000000001</v>
      </c>
      <c r="DT34">
        <v>57.1</v>
      </c>
      <c r="DU34">
        <v>29</v>
      </c>
      <c r="DV34">
        <v>23.125800000000002</v>
      </c>
      <c r="DW34">
        <v>61.634700000000002</v>
      </c>
      <c r="DX34">
        <v>35.917499999999997</v>
      </c>
      <c r="DY34">
        <v>1</v>
      </c>
      <c r="DZ34">
        <v>-7.9347100000000004E-2</v>
      </c>
      <c r="EA34">
        <v>3.0118399999999999</v>
      </c>
      <c r="EB34">
        <v>20.156700000000001</v>
      </c>
      <c r="EC34">
        <v>5.2409499999999998</v>
      </c>
      <c r="ED34">
        <v>12.039899999999999</v>
      </c>
      <c r="EE34">
        <v>5.0172499999999998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</v>
      </c>
      <c r="EL34">
        <v>1.8646199999999999</v>
      </c>
      <c r="EM34">
        <v>1.8692</v>
      </c>
      <c r="EN34">
        <v>1.8672299999999999</v>
      </c>
      <c r="EO34">
        <v>1.8633900000000001</v>
      </c>
      <c r="EP34">
        <v>1.8644700000000001</v>
      </c>
      <c r="EQ34">
        <v>1.87016</v>
      </c>
      <c r="ER34">
        <v>1.8693900000000001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-0.311</v>
      </c>
      <c r="FG34">
        <v>0.28149999999999997</v>
      </c>
      <c r="FH34">
        <v>0.23539598422606861</v>
      </c>
      <c r="FI34">
        <v>-6.1462078757559423E-4</v>
      </c>
      <c r="FJ34">
        <v>-1.8861989874597051E-7</v>
      </c>
      <c r="FK34">
        <v>1.1980462299894961E-10</v>
      </c>
      <c r="FL34">
        <v>0.28151999999999688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12.2</v>
      </c>
      <c r="FU34">
        <v>12.4</v>
      </c>
      <c r="FV34">
        <v>1.79565</v>
      </c>
      <c r="FW34">
        <v>2.5976599999999999</v>
      </c>
      <c r="FX34">
        <v>1.5490699999999999</v>
      </c>
      <c r="FY34">
        <v>2.3290999999999999</v>
      </c>
      <c r="FZ34">
        <v>1.50146</v>
      </c>
      <c r="GA34">
        <v>2.2985799999999998</v>
      </c>
      <c r="GB34">
        <v>33.625399999999999</v>
      </c>
      <c r="GC34">
        <v>23.9649</v>
      </c>
      <c r="GD34">
        <v>19</v>
      </c>
      <c r="GE34">
        <v>279.01499999999999</v>
      </c>
      <c r="GF34">
        <v>605.59699999999998</v>
      </c>
      <c r="GG34">
        <v>22.534600000000001</v>
      </c>
      <c r="GH34">
        <v>26.376799999999999</v>
      </c>
      <c r="GI34">
        <v>29.9998</v>
      </c>
      <c r="GJ34">
        <v>26.3917</v>
      </c>
      <c r="GK34">
        <v>26.3522</v>
      </c>
      <c r="GL34">
        <v>35.912599999999998</v>
      </c>
      <c r="GM34">
        <v>14.4969</v>
      </c>
      <c r="GN34">
        <v>100</v>
      </c>
      <c r="GO34">
        <v>22.544699999999999</v>
      </c>
      <c r="GP34">
        <v>800</v>
      </c>
      <c r="GQ34">
        <v>21.7836</v>
      </c>
      <c r="GR34">
        <v>99.748599999999996</v>
      </c>
      <c r="GS34">
        <v>99.599000000000004</v>
      </c>
    </row>
    <row r="35" spans="1:201" x14ac:dyDescent="0.25">
      <c r="A35">
        <v>19</v>
      </c>
      <c r="B35">
        <v>1690301219.5</v>
      </c>
      <c r="C35">
        <v>315.5</v>
      </c>
      <c r="D35" t="s">
        <v>369</v>
      </c>
      <c r="E35" t="s">
        <v>370</v>
      </c>
      <c r="F35" t="s">
        <v>330</v>
      </c>
      <c r="H35">
        <v>1690301219.5</v>
      </c>
      <c r="I35">
        <f t="shared" si="0"/>
        <v>1.5233290563479988E-4</v>
      </c>
      <c r="J35">
        <f t="shared" si="1"/>
        <v>0.15233290563479987</v>
      </c>
      <c r="K35">
        <f t="shared" si="2"/>
        <v>0.56665015241554972</v>
      </c>
      <c r="L35">
        <f t="shared" si="3"/>
        <v>792.49199999999996</v>
      </c>
      <c r="M35">
        <f t="shared" si="4"/>
        <v>669.87218855960543</v>
      </c>
      <c r="N35">
        <f t="shared" si="5"/>
        <v>66.592661792346277</v>
      </c>
      <c r="O35">
        <f t="shared" si="6"/>
        <v>78.782419438278012</v>
      </c>
      <c r="P35">
        <f t="shared" si="7"/>
        <v>8.8648904763332301E-3</v>
      </c>
      <c r="Q35">
        <f t="shared" si="8"/>
        <v>2.11958458327413</v>
      </c>
      <c r="R35">
        <f t="shared" si="9"/>
        <v>8.8443441035883311E-3</v>
      </c>
      <c r="S35">
        <f t="shared" si="10"/>
        <v>5.5295570709217885E-3</v>
      </c>
      <c r="T35">
        <f t="shared" si="11"/>
        <v>276.11233555307217</v>
      </c>
      <c r="U35">
        <f t="shared" si="12"/>
        <v>28.811299433519569</v>
      </c>
      <c r="V35">
        <f t="shared" si="13"/>
        <v>28.811299433519569</v>
      </c>
      <c r="W35">
        <f t="shared" si="14"/>
        <v>3.9780665300876898</v>
      </c>
      <c r="X35">
        <f t="shared" si="15"/>
        <v>66.088042710475776</v>
      </c>
      <c r="Y35">
        <f t="shared" si="16"/>
        <v>2.3200737185163001</v>
      </c>
      <c r="Z35">
        <f t="shared" si="17"/>
        <v>3.5105801645242853</v>
      </c>
      <c r="AA35">
        <f t="shared" si="18"/>
        <v>1.6579928115713898</v>
      </c>
      <c r="AB35">
        <f t="shared" si="19"/>
        <v>-6.7178811384946746</v>
      </c>
      <c r="AC35">
        <f t="shared" si="20"/>
        <v>-244.57425085534209</v>
      </c>
      <c r="AD35">
        <f t="shared" si="21"/>
        <v>-25.087376858237878</v>
      </c>
      <c r="AE35">
        <f t="shared" si="22"/>
        <v>-0.26717329900247933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52674.337699358883</v>
      </c>
      <c r="AK35">
        <f t="shared" si="26"/>
        <v>1799.98</v>
      </c>
      <c r="AL35">
        <f t="shared" si="27"/>
        <v>1499.09598939282</v>
      </c>
      <c r="AM35">
        <f t="shared" si="28"/>
        <v>0.83284035899999997</v>
      </c>
      <c r="AN35">
        <f t="shared" si="29"/>
        <v>0.15339744638999997</v>
      </c>
      <c r="AO35">
        <v>32.700000000000003</v>
      </c>
      <c r="AP35">
        <v>0.5</v>
      </c>
      <c r="AQ35" t="s">
        <v>331</v>
      </c>
      <c r="AR35">
        <v>2</v>
      </c>
      <c r="AS35">
        <v>1690301219.5</v>
      </c>
      <c r="AT35">
        <v>792.49199999999996</v>
      </c>
      <c r="AU35">
        <v>799.97799999999995</v>
      </c>
      <c r="AV35">
        <v>23.338200000000001</v>
      </c>
      <c r="AW35">
        <v>21.7179</v>
      </c>
      <c r="AX35">
        <v>792.803</v>
      </c>
      <c r="AY35">
        <v>23.056699999999999</v>
      </c>
      <c r="AZ35">
        <v>300.255</v>
      </c>
      <c r="BA35">
        <v>99.311000000000007</v>
      </c>
      <c r="BB35">
        <v>9.9996500000000002E-2</v>
      </c>
      <c r="BC35">
        <v>26.670999999999999</v>
      </c>
      <c r="BD35">
        <v>26.994800000000001</v>
      </c>
      <c r="BE35">
        <v>28.433599999999998</v>
      </c>
      <c r="BF35">
        <v>0</v>
      </c>
      <c r="BG35">
        <v>0</v>
      </c>
      <c r="BH35">
        <v>10020.6</v>
      </c>
      <c r="BI35">
        <v>1077.75</v>
      </c>
      <c r="BJ35">
        <v>2.0183800000000001</v>
      </c>
      <c r="BK35">
        <v>-7.4855299999999998</v>
      </c>
      <c r="BL35">
        <v>811.43</v>
      </c>
      <c r="BM35">
        <v>817.73699999999997</v>
      </c>
      <c r="BN35">
        <v>1.62035</v>
      </c>
      <c r="BO35">
        <v>799.97799999999995</v>
      </c>
      <c r="BP35">
        <v>21.7179</v>
      </c>
      <c r="BQ35">
        <v>2.3177400000000001</v>
      </c>
      <c r="BR35">
        <v>2.1568200000000002</v>
      </c>
      <c r="BS35">
        <v>19.8002</v>
      </c>
      <c r="BT35">
        <v>18.645199999999999</v>
      </c>
      <c r="BU35">
        <v>1799.98</v>
      </c>
      <c r="BV35">
        <v>0.91</v>
      </c>
      <c r="BW35">
        <v>3.3994200000000002E-2</v>
      </c>
      <c r="BX35">
        <v>2.2001199999999999E-2</v>
      </c>
      <c r="BY35">
        <v>3.40045E-2</v>
      </c>
      <c r="BZ35">
        <v>25.666699999999999</v>
      </c>
      <c r="CA35">
        <v>33528</v>
      </c>
      <c r="CB35">
        <v>1690300477.5</v>
      </c>
      <c r="CC35" t="s">
        <v>332</v>
      </c>
      <c r="CD35">
        <v>1690300477.5</v>
      </c>
      <c r="CE35">
        <v>1690300465.5</v>
      </c>
      <c r="CF35">
        <v>7</v>
      </c>
      <c r="CG35">
        <v>5.0999999999999997E-2</v>
      </c>
      <c r="CH35">
        <v>-8.0000000000000002E-3</v>
      </c>
      <c r="CI35">
        <v>-0.316</v>
      </c>
      <c r="CJ35">
        <v>0.28199999999999997</v>
      </c>
      <c r="CK35">
        <v>800</v>
      </c>
      <c r="CL35">
        <v>24</v>
      </c>
      <c r="CM35">
        <v>0.25</v>
      </c>
      <c r="CN35">
        <v>0.13</v>
      </c>
      <c r="CO35">
        <v>-6.3998869999999997</v>
      </c>
      <c r="CP35">
        <v>-5.6952952345215744</v>
      </c>
      <c r="CQ35">
        <v>0.55118862261570667</v>
      </c>
      <c r="CR35">
        <v>-1</v>
      </c>
      <c r="CS35">
        <v>1.7586422500000001</v>
      </c>
      <c r="CT35">
        <v>-1.2086666791744889</v>
      </c>
      <c r="CU35">
        <v>0.12087134129907511</v>
      </c>
      <c r="CV35">
        <v>-1</v>
      </c>
      <c r="CW35">
        <v>0</v>
      </c>
      <c r="CX35">
        <v>0</v>
      </c>
      <c r="CY35" t="s">
        <v>333</v>
      </c>
      <c r="CZ35">
        <v>2.3645900000000002</v>
      </c>
      <c r="DA35">
        <v>2.7138100000000001</v>
      </c>
      <c r="DB35">
        <v>0.146177</v>
      </c>
      <c r="DC35">
        <v>0.14673</v>
      </c>
      <c r="DD35">
        <v>0.111598</v>
      </c>
      <c r="DE35">
        <v>0.104839</v>
      </c>
      <c r="DF35">
        <v>31179</v>
      </c>
      <c r="DG35">
        <v>27506.2</v>
      </c>
      <c r="DH35">
        <v>31174.799999999999</v>
      </c>
      <c r="DI35">
        <v>28089.3</v>
      </c>
      <c r="DJ35">
        <v>37603.5</v>
      </c>
      <c r="DK35">
        <v>35754.9</v>
      </c>
      <c r="DL35">
        <v>44366</v>
      </c>
      <c r="DM35">
        <v>42577.1</v>
      </c>
      <c r="DN35">
        <v>1.4674499999999999</v>
      </c>
      <c r="DO35">
        <v>2.0629</v>
      </c>
      <c r="DP35">
        <v>7.22632E-2</v>
      </c>
      <c r="DQ35">
        <v>0.173539</v>
      </c>
      <c r="DR35">
        <v>25.811900000000001</v>
      </c>
      <c r="DS35">
        <v>25.595600000000001</v>
      </c>
      <c r="DT35">
        <v>57.1</v>
      </c>
      <c r="DU35">
        <v>29</v>
      </c>
      <c r="DV35">
        <v>23.1218</v>
      </c>
      <c r="DW35">
        <v>61.834699999999998</v>
      </c>
      <c r="DX35">
        <v>35.056100000000001</v>
      </c>
      <c r="DY35">
        <v>1</v>
      </c>
      <c r="DZ35">
        <v>-8.0805399999999999E-2</v>
      </c>
      <c r="EA35">
        <v>2.3022200000000002</v>
      </c>
      <c r="EB35">
        <v>20.1708</v>
      </c>
      <c r="EC35">
        <v>5.2411000000000003</v>
      </c>
      <c r="ED35">
        <v>12.039899999999999</v>
      </c>
      <c r="EE35">
        <v>5.0173500000000004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</v>
      </c>
      <c r="EL35">
        <v>1.8646199999999999</v>
      </c>
      <c r="EM35">
        <v>1.8692</v>
      </c>
      <c r="EN35">
        <v>1.8672200000000001</v>
      </c>
      <c r="EO35">
        <v>1.8633900000000001</v>
      </c>
      <c r="EP35">
        <v>1.8644700000000001</v>
      </c>
      <c r="EQ35">
        <v>1.87015</v>
      </c>
      <c r="ER35">
        <v>1.8694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-0.311</v>
      </c>
      <c r="FG35">
        <v>0.28149999999999997</v>
      </c>
      <c r="FH35">
        <v>0.23539598422606861</v>
      </c>
      <c r="FI35">
        <v>-6.1462078757559423E-4</v>
      </c>
      <c r="FJ35">
        <v>-1.8861989874597051E-7</v>
      </c>
      <c r="FK35">
        <v>1.1980462299894961E-10</v>
      </c>
      <c r="FL35">
        <v>0.28151999999999688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12.4</v>
      </c>
      <c r="FU35">
        <v>12.6</v>
      </c>
      <c r="FV35">
        <v>1.79688</v>
      </c>
      <c r="FW35">
        <v>2.5891099999999998</v>
      </c>
      <c r="FX35">
        <v>1.5490699999999999</v>
      </c>
      <c r="FY35">
        <v>2.3290999999999999</v>
      </c>
      <c r="FZ35">
        <v>1.50146</v>
      </c>
      <c r="GA35">
        <v>2.3889200000000002</v>
      </c>
      <c r="GB35">
        <v>33.625399999999999</v>
      </c>
      <c r="GC35">
        <v>23.973700000000001</v>
      </c>
      <c r="GD35">
        <v>19</v>
      </c>
      <c r="GE35">
        <v>279.375</v>
      </c>
      <c r="GF35">
        <v>605.60799999999995</v>
      </c>
      <c r="GG35">
        <v>22.406400000000001</v>
      </c>
      <c r="GH35">
        <v>26.384399999999999</v>
      </c>
      <c r="GI35">
        <v>29.999500000000001</v>
      </c>
      <c r="GJ35">
        <v>26.3992</v>
      </c>
      <c r="GK35">
        <v>26.3568</v>
      </c>
      <c r="GL35">
        <v>35.915300000000002</v>
      </c>
      <c r="GM35">
        <v>14.4969</v>
      </c>
      <c r="GN35">
        <v>100</v>
      </c>
      <c r="GO35">
        <v>22.470099999999999</v>
      </c>
      <c r="GP35">
        <v>800</v>
      </c>
      <c r="GQ35">
        <v>21.691600000000001</v>
      </c>
      <c r="GR35">
        <v>99.747799999999998</v>
      </c>
      <c r="GS35">
        <v>99.599400000000003</v>
      </c>
    </row>
    <row r="36" spans="1:201" x14ac:dyDescent="0.25">
      <c r="A36">
        <v>20</v>
      </c>
      <c r="B36">
        <v>1690301229.5</v>
      </c>
      <c r="C36">
        <v>325.5</v>
      </c>
      <c r="D36" t="s">
        <v>371</v>
      </c>
      <c r="E36" t="s">
        <v>372</v>
      </c>
      <c r="F36" t="s">
        <v>330</v>
      </c>
      <c r="H36">
        <v>1690301229.5</v>
      </c>
      <c r="I36">
        <f t="shared" si="0"/>
        <v>1.6393945725355838E-4</v>
      </c>
      <c r="J36">
        <f t="shared" si="1"/>
        <v>0.16393945725355838</v>
      </c>
      <c r="K36">
        <f t="shared" si="2"/>
        <v>0.66730185020277388</v>
      </c>
      <c r="L36">
        <f t="shared" si="3"/>
        <v>791.34</v>
      </c>
      <c r="M36">
        <f t="shared" si="4"/>
        <v>660.59883682608518</v>
      </c>
      <c r="N36">
        <f t="shared" si="5"/>
        <v>65.672707364943577</v>
      </c>
      <c r="O36">
        <f t="shared" si="6"/>
        <v>78.670196417340009</v>
      </c>
      <c r="P36">
        <f t="shared" si="7"/>
        <v>9.6437209401389039E-3</v>
      </c>
      <c r="Q36">
        <f t="shared" si="8"/>
        <v>2.1181821445930722</v>
      </c>
      <c r="R36">
        <f t="shared" si="9"/>
        <v>9.6193950423715171E-3</v>
      </c>
      <c r="S36">
        <f t="shared" si="10"/>
        <v>6.0143023325722831E-3</v>
      </c>
      <c r="T36">
        <f t="shared" si="11"/>
        <v>276.11348751565839</v>
      </c>
      <c r="U36">
        <f t="shared" si="12"/>
        <v>28.783275932544203</v>
      </c>
      <c r="V36">
        <f t="shared" si="13"/>
        <v>28.783275932544203</v>
      </c>
      <c r="W36">
        <f t="shared" si="14"/>
        <v>3.9716112674881381</v>
      </c>
      <c r="X36">
        <f t="shared" si="15"/>
        <v>66.499618689527011</v>
      </c>
      <c r="Y36">
        <f t="shared" si="16"/>
        <v>2.3310472092578998</v>
      </c>
      <c r="Z36">
        <f t="shared" si="17"/>
        <v>3.5053542489334832</v>
      </c>
      <c r="AA36">
        <f t="shared" si="18"/>
        <v>1.6405640582302383</v>
      </c>
      <c r="AB36">
        <f t="shared" si="19"/>
        <v>-7.2297300648819247</v>
      </c>
      <c r="AC36">
        <f t="shared" si="20"/>
        <v>-244.10141512823239</v>
      </c>
      <c r="AD36">
        <f t="shared" si="21"/>
        <v>-25.048789603956003</v>
      </c>
      <c r="AE36">
        <f t="shared" si="22"/>
        <v>-0.26644728141192786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52617.262439772523</v>
      </c>
      <c r="AK36">
        <f t="shared" si="26"/>
        <v>1799.99</v>
      </c>
      <c r="AL36">
        <f t="shared" si="27"/>
        <v>1499.1014144125397</v>
      </c>
      <c r="AM36">
        <f t="shared" si="28"/>
        <v>0.83283874599999985</v>
      </c>
      <c r="AN36">
        <f t="shared" si="29"/>
        <v>0.15339723416000001</v>
      </c>
      <c r="AO36">
        <v>32.700000000000003</v>
      </c>
      <c r="AP36">
        <v>0.5</v>
      </c>
      <c r="AQ36" t="s">
        <v>331</v>
      </c>
      <c r="AR36">
        <v>2</v>
      </c>
      <c r="AS36">
        <v>1690301229.5</v>
      </c>
      <c r="AT36">
        <v>791.34</v>
      </c>
      <c r="AU36">
        <v>800.02</v>
      </c>
      <c r="AV36">
        <v>23.447900000000001</v>
      </c>
      <c r="AW36">
        <v>21.7044</v>
      </c>
      <c r="AX36">
        <v>791.65</v>
      </c>
      <c r="AY36">
        <v>23.1663</v>
      </c>
      <c r="AZ36">
        <v>300.26499999999999</v>
      </c>
      <c r="BA36">
        <v>99.313800000000001</v>
      </c>
      <c r="BB36">
        <v>0.100101</v>
      </c>
      <c r="BC36">
        <v>26.645700000000001</v>
      </c>
      <c r="BD36">
        <v>26.9497</v>
      </c>
      <c r="BE36">
        <v>28.395</v>
      </c>
      <c r="BF36">
        <v>0</v>
      </c>
      <c r="BG36">
        <v>0</v>
      </c>
      <c r="BH36">
        <v>10008.1</v>
      </c>
      <c r="BI36">
        <v>1077.4000000000001</v>
      </c>
      <c r="BJ36">
        <v>2.0183800000000001</v>
      </c>
      <c r="BK36">
        <v>-8.6796900000000008</v>
      </c>
      <c r="BL36">
        <v>810.34100000000001</v>
      </c>
      <c r="BM36">
        <v>817.76900000000001</v>
      </c>
      <c r="BN36">
        <v>1.74343</v>
      </c>
      <c r="BO36">
        <v>800.02</v>
      </c>
      <c r="BP36">
        <v>21.7044</v>
      </c>
      <c r="BQ36">
        <v>2.3287</v>
      </c>
      <c r="BR36">
        <v>2.1555499999999999</v>
      </c>
      <c r="BS36">
        <v>19.876300000000001</v>
      </c>
      <c r="BT36">
        <v>18.6357</v>
      </c>
      <c r="BU36">
        <v>1799.99</v>
      </c>
      <c r="BV36">
        <v>0.90999600000000003</v>
      </c>
      <c r="BW36">
        <v>3.4006599999999998E-2</v>
      </c>
      <c r="BX36">
        <v>2.1997800000000001E-2</v>
      </c>
      <c r="BY36">
        <v>3.39992E-2</v>
      </c>
      <c r="BZ36">
        <v>25.125</v>
      </c>
      <c r="CA36">
        <v>33528.199999999997</v>
      </c>
      <c r="CB36">
        <v>1690300477.5</v>
      </c>
      <c r="CC36" t="s">
        <v>332</v>
      </c>
      <c r="CD36">
        <v>1690300477.5</v>
      </c>
      <c r="CE36">
        <v>1690300465.5</v>
      </c>
      <c r="CF36">
        <v>7</v>
      </c>
      <c r="CG36">
        <v>5.0999999999999997E-2</v>
      </c>
      <c r="CH36">
        <v>-8.0000000000000002E-3</v>
      </c>
      <c r="CI36">
        <v>-0.316</v>
      </c>
      <c r="CJ36">
        <v>0.28199999999999997</v>
      </c>
      <c r="CK36">
        <v>800</v>
      </c>
      <c r="CL36">
        <v>24</v>
      </c>
      <c r="CM36">
        <v>0.25</v>
      </c>
      <c r="CN36">
        <v>0.13</v>
      </c>
      <c r="CO36">
        <v>-7.3799595</v>
      </c>
      <c r="CP36">
        <v>-5.8913230018761737</v>
      </c>
      <c r="CQ36">
        <v>0.56779314109519685</v>
      </c>
      <c r="CR36">
        <v>-1</v>
      </c>
      <c r="CS36">
        <v>1.64454075</v>
      </c>
      <c r="CT36">
        <v>-0.1687392495309617</v>
      </c>
      <c r="CU36">
        <v>2.760281356922694E-2</v>
      </c>
      <c r="CV36">
        <v>-1</v>
      </c>
      <c r="CW36">
        <v>0</v>
      </c>
      <c r="CX36">
        <v>0</v>
      </c>
      <c r="CY36" t="s">
        <v>333</v>
      </c>
      <c r="CZ36">
        <v>2.3646199999999999</v>
      </c>
      <c r="DA36">
        <v>2.7139000000000002</v>
      </c>
      <c r="DB36">
        <v>0.146036</v>
      </c>
      <c r="DC36">
        <v>0.146735</v>
      </c>
      <c r="DD36">
        <v>0.11197</v>
      </c>
      <c r="DE36">
        <v>0.104793</v>
      </c>
      <c r="DF36">
        <v>31183.7</v>
      </c>
      <c r="DG36">
        <v>27506.1</v>
      </c>
      <c r="DH36">
        <v>31174.3</v>
      </c>
      <c r="DI36">
        <v>28089.3</v>
      </c>
      <c r="DJ36">
        <v>37587.199999999997</v>
      </c>
      <c r="DK36">
        <v>35757</v>
      </c>
      <c r="DL36">
        <v>44365.4</v>
      </c>
      <c r="DM36">
        <v>42577.3</v>
      </c>
      <c r="DN36">
        <v>1.4698</v>
      </c>
      <c r="DO36">
        <v>2.0622199999999999</v>
      </c>
      <c r="DP36">
        <v>7.0985400000000004E-2</v>
      </c>
      <c r="DQ36">
        <v>0.173457</v>
      </c>
      <c r="DR36">
        <v>25.787700000000001</v>
      </c>
      <c r="DS36">
        <v>25.5581</v>
      </c>
      <c r="DT36">
        <v>57.1</v>
      </c>
      <c r="DU36">
        <v>29</v>
      </c>
      <c r="DV36">
        <v>23.124600000000001</v>
      </c>
      <c r="DW36">
        <v>62.304699999999997</v>
      </c>
      <c r="DX36">
        <v>35.7652</v>
      </c>
      <c r="DY36">
        <v>1</v>
      </c>
      <c r="DZ36">
        <v>-8.1674300000000005E-2</v>
      </c>
      <c r="EA36">
        <v>-0.90926499999999999</v>
      </c>
      <c r="EB36">
        <v>20.182500000000001</v>
      </c>
      <c r="EC36">
        <v>5.2409499999999998</v>
      </c>
      <c r="ED36">
        <v>12.039899999999999</v>
      </c>
      <c r="EE36">
        <v>5.0171999999999999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1.8689100000000001</v>
      </c>
      <c r="EL36">
        <v>1.8646199999999999</v>
      </c>
      <c r="EM36">
        <v>1.8691899999999999</v>
      </c>
      <c r="EN36">
        <v>1.8672299999999999</v>
      </c>
      <c r="EO36">
        <v>1.8633900000000001</v>
      </c>
      <c r="EP36">
        <v>1.8644700000000001</v>
      </c>
      <c r="EQ36">
        <v>1.8701700000000001</v>
      </c>
      <c r="ER36">
        <v>1.8694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-0.31</v>
      </c>
      <c r="FG36">
        <v>0.28160000000000002</v>
      </c>
      <c r="FH36">
        <v>0.23539598422606861</v>
      </c>
      <c r="FI36">
        <v>-6.1462078757559423E-4</v>
      </c>
      <c r="FJ36">
        <v>-1.8861989874597051E-7</v>
      </c>
      <c r="FK36">
        <v>1.1980462299894961E-10</v>
      </c>
      <c r="FL36">
        <v>0.28151999999999688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12.5</v>
      </c>
      <c r="FU36">
        <v>12.7</v>
      </c>
      <c r="FV36">
        <v>1.79688</v>
      </c>
      <c r="FW36">
        <v>2.5903299999999998</v>
      </c>
      <c r="FX36">
        <v>1.5490699999999999</v>
      </c>
      <c r="FY36">
        <v>2.3290999999999999</v>
      </c>
      <c r="FZ36">
        <v>1.50146</v>
      </c>
      <c r="GA36">
        <v>2.3999000000000001</v>
      </c>
      <c r="GB36">
        <v>33.625399999999999</v>
      </c>
      <c r="GC36">
        <v>23.982399999999998</v>
      </c>
      <c r="GD36">
        <v>19</v>
      </c>
      <c r="GE36">
        <v>280.40499999999997</v>
      </c>
      <c r="GF36">
        <v>605.08600000000001</v>
      </c>
      <c r="GG36">
        <v>23.6479</v>
      </c>
      <c r="GH36">
        <v>26.3918</v>
      </c>
      <c r="GI36">
        <v>29.998999999999999</v>
      </c>
      <c r="GJ36">
        <v>26.407499999999999</v>
      </c>
      <c r="GK36">
        <v>26.3612</v>
      </c>
      <c r="GL36">
        <v>35.916499999999999</v>
      </c>
      <c r="GM36">
        <v>15.5443</v>
      </c>
      <c r="GN36">
        <v>100</v>
      </c>
      <c r="GO36">
        <v>23.734200000000001</v>
      </c>
      <c r="GP36">
        <v>800</v>
      </c>
      <c r="GQ36">
        <v>21.401399999999999</v>
      </c>
      <c r="GR36">
        <v>99.746399999999994</v>
      </c>
      <c r="GS36">
        <v>99.599800000000002</v>
      </c>
    </row>
    <row r="37" spans="1:201" x14ac:dyDescent="0.25">
      <c r="A37">
        <v>21</v>
      </c>
      <c r="B37">
        <v>1690301239.5</v>
      </c>
      <c r="C37">
        <v>335.5</v>
      </c>
      <c r="D37" t="s">
        <v>373</v>
      </c>
      <c r="E37" t="s">
        <v>374</v>
      </c>
      <c r="F37" t="s">
        <v>330</v>
      </c>
      <c r="H37">
        <v>1690301239.5</v>
      </c>
      <c r="I37">
        <f t="shared" si="0"/>
        <v>2.1790313979914202E-4</v>
      </c>
      <c r="J37">
        <f t="shared" si="1"/>
        <v>0.21790313979914203</v>
      </c>
      <c r="K37">
        <f t="shared" si="2"/>
        <v>0.75212350175998388</v>
      </c>
      <c r="L37">
        <f t="shared" si="3"/>
        <v>790.07399999999996</v>
      </c>
      <c r="M37">
        <f t="shared" si="4"/>
        <v>677.17254516577214</v>
      </c>
      <c r="N37">
        <f t="shared" si="5"/>
        <v>67.320026455928058</v>
      </c>
      <c r="O37">
        <f t="shared" si="6"/>
        <v>78.543944171747995</v>
      </c>
      <c r="P37">
        <f t="shared" si="7"/>
        <v>1.2961952991614366E-2</v>
      </c>
      <c r="Q37">
        <f t="shared" si="8"/>
        <v>2.1156653619831256</v>
      </c>
      <c r="R37">
        <f t="shared" si="9"/>
        <v>1.2917995980477973E-2</v>
      </c>
      <c r="S37">
        <f t="shared" si="10"/>
        <v>8.077684363098532E-3</v>
      </c>
      <c r="T37">
        <f t="shared" si="11"/>
        <v>276.11309369584632</v>
      </c>
      <c r="U37">
        <f t="shared" si="12"/>
        <v>28.841993690266971</v>
      </c>
      <c r="V37">
        <f t="shared" si="13"/>
        <v>28.841993690266971</v>
      </c>
      <c r="W37">
        <f t="shared" si="14"/>
        <v>3.9851475035067931</v>
      </c>
      <c r="X37">
        <f t="shared" si="15"/>
        <v>67.076816208953332</v>
      </c>
      <c r="Y37">
        <f t="shared" si="16"/>
        <v>2.3617542499738002</v>
      </c>
      <c r="Z37">
        <f t="shared" si="17"/>
        <v>3.5209695144394111</v>
      </c>
      <c r="AA37">
        <f t="shared" si="18"/>
        <v>1.6233932535329929</v>
      </c>
      <c r="AB37">
        <f t="shared" si="19"/>
        <v>-9.609528465142164</v>
      </c>
      <c r="AC37">
        <f t="shared" si="20"/>
        <v>-241.89720022411478</v>
      </c>
      <c r="AD37">
        <f t="shared" si="21"/>
        <v>-24.868767012396511</v>
      </c>
      <c r="AE37">
        <f t="shared" si="22"/>
        <v>-0.26240200580716078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52493.631309626668</v>
      </c>
      <c r="AK37">
        <f t="shared" si="26"/>
        <v>1799.99</v>
      </c>
      <c r="AL37">
        <f t="shared" si="27"/>
        <v>1499.1033962015301</v>
      </c>
      <c r="AM37">
        <f t="shared" si="28"/>
        <v>0.83283984700000002</v>
      </c>
      <c r="AN37">
        <f t="shared" si="29"/>
        <v>0.15339701537</v>
      </c>
      <c r="AO37">
        <v>32.700000000000003</v>
      </c>
      <c r="AP37">
        <v>0.5</v>
      </c>
      <c r="AQ37" t="s">
        <v>331</v>
      </c>
      <c r="AR37">
        <v>2</v>
      </c>
      <c r="AS37">
        <v>1690301239.5</v>
      </c>
      <c r="AT37">
        <v>790.07399999999996</v>
      </c>
      <c r="AU37">
        <v>800.14599999999996</v>
      </c>
      <c r="AV37">
        <v>23.756900000000002</v>
      </c>
      <c r="AW37">
        <v>21.438800000000001</v>
      </c>
      <c r="AX37">
        <v>790.38300000000004</v>
      </c>
      <c r="AY37">
        <v>23.475300000000001</v>
      </c>
      <c r="AZ37">
        <v>300.08</v>
      </c>
      <c r="BA37">
        <v>99.313400000000001</v>
      </c>
      <c r="BB37">
        <v>0.10000199999999999</v>
      </c>
      <c r="BC37">
        <v>26.7212</v>
      </c>
      <c r="BD37">
        <v>27.032900000000001</v>
      </c>
      <c r="BE37">
        <v>28.4589</v>
      </c>
      <c r="BF37">
        <v>0</v>
      </c>
      <c r="BG37">
        <v>0</v>
      </c>
      <c r="BH37">
        <v>9986.25</v>
      </c>
      <c r="BI37">
        <v>1077.17</v>
      </c>
      <c r="BJ37">
        <v>2.0183800000000001</v>
      </c>
      <c r="BK37">
        <v>-10.0724</v>
      </c>
      <c r="BL37">
        <v>809.3</v>
      </c>
      <c r="BM37">
        <v>817.67600000000004</v>
      </c>
      <c r="BN37">
        <v>2.3180800000000001</v>
      </c>
      <c r="BO37">
        <v>800.14599999999996</v>
      </c>
      <c r="BP37">
        <v>21.438800000000001</v>
      </c>
      <c r="BQ37">
        <v>2.3593700000000002</v>
      </c>
      <c r="BR37">
        <v>2.1291600000000002</v>
      </c>
      <c r="BS37">
        <v>20.087599999999998</v>
      </c>
      <c r="BT37">
        <v>18.439</v>
      </c>
      <c r="BU37">
        <v>1799.99</v>
      </c>
      <c r="BV37">
        <v>0.91000700000000001</v>
      </c>
      <c r="BW37">
        <v>3.4004199999999998E-2</v>
      </c>
      <c r="BX37">
        <v>2.19946E-2</v>
      </c>
      <c r="BY37">
        <v>3.3994299999999998E-2</v>
      </c>
      <c r="BZ37">
        <v>25</v>
      </c>
      <c r="CA37">
        <v>33528.199999999997</v>
      </c>
      <c r="CB37">
        <v>1690300477.5</v>
      </c>
      <c r="CC37" t="s">
        <v>332</v>
      </c>
      <c r="CD37">
        <v>1690300477.5</v>
      </c>
      <c r="CE37">
        <v>1690300465.5</v>
      </c>
      <c r="CF37">
        <v>7</v>
      </c>
      <c r="CG37">
        <v>5.0999999999999997E-2</v>
      </c>
      <c r="CH37">
        <v>-8.0000000000000002E-3</v>
      </c>
      <c r="CI37">
        <v>-0.316</v>
      </c>
      <c r="CJ37">
        <v>0.28199999999999997</v>
      </c>
      <c r="CK37">
        <v>800</v>
      </c>
      <c r="CL37">
        <v>24</v>
      </c>
      <c r="CM37">
        <v>0.25</v>
      </c>
      <c r="CN37">
        <v>0.13</v>
      </c>
      <c r="CO37">
        <v>-8.5931846341463416</v>
      </c>
      <c r="CP37">
        <v>-7.9896137979094268</v>
      </c>
      <c r="CQ37">
        <v>0.7908779020781892</v>
      </c>
      <c r="CR37">
        <v>-1</v>
      </c>
      <c r="CS37">
        <v>1.810731219512195</v>
      </c>
      <c r="CT37">
        <v>2.0627901742160279</v>
      </c>
      <c r="CU37">
        <v>0.21930082056050951</v>
      </c>
      <c r="CV37">
        <v>-1</v>
      </c>
      <c r="CW37">
        <v>0</v>
      </c>
      <c r="CX37">
        <v>0</v>
      </c>
      <c r="CY37" t="s">
        <v>333</v>
      </c>
      <c r="CZ37">
        <v>2.3639899999999998</v>
      </c>
      <c r="DA37">
        <v>2.7137799999999999</v>
      </c>
      <c r="DB37">
        <v>0.14588499999999999</v>
      </c>
      <c r="DC37">
        <v>0.14674599999999999</v>
      </c>
      <c r="DD37">
        <v>0.11301600000000001</v>
      </c>
      <c r="DE37">
        <v>0.10389</v>
      </c>
      <c r="DF37">
        <v>31189.5</v>
      </c>
      <c r="DG37">
        <v>27505.3</v>
      </c>
      <c r="DH37">
        <v>31174.6</v>
      </c>
      <c r="DI37">
        <v>28088.9</v>
      </c>
      <c r="DJ37">
        <v>37542.6</v>
      </c>
      <c r="DK37">
        <v>35792.300000000003</v>
      </c>
      <c r="DL37">
        <v>44365.7</v>
      </c>
      <c r="DM37">
        <v>42576.4</v>
      </c>
      <c r="DN37">
        <v>1.4684999999999999</v>
      </c>
      <c r="DO37">
        <v>2.0620500000000002</v>
      </c>
      <c r="DP37">
        <v>7.7646199999999999E-2</v>
      </c>
      <c r="DQ37">
        <v>0.17945800000000001</v>
      </c>
      <c r="DR37">
        <v>25.761800000000001</v>
      </c>
      <c r="DS37">
        <v>25.524000000000001</v>
      </c>
      <c r="DT37">
        <v>57.1</v>
      </c>
      <c r="DU37">
        <v>29</v>
      </c>
      <c r="DV37">
        <v>23.119</v>
      </c>
      <c r="DW37">
        <v>61.544699999999999</v>
      </c>
      <c r="DX37">
        <v>36.089700000000001</v>
      </c>
      <c r="DY37">
        <v>1</v>
      </c>
      <c r="DZ37">
        <v>-8.3188499999999999E-2</v>
      </c>
      <c r="EA37">
        <v>0.77614899999999998</v>
      </c>
      <c r="EB37">
        <v>20.1875</v>
      </c>
      <c r="EC37">
        <v>5.2413999999999996</v>
      </c>
      <c r="ED37">
        <v>12.039899999999999</v>
      </c>
      <c r="EE37">
        <v>5.0174500000000002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1.8689100000000001</v>
      </c>
      <c r="EL37">
        <v>1.8646199999999999</v>
      </c>
      <c r="EM37">
        <v>1.8691899999999999</v>
      </c>
      <c r="EN37">
        <v>1.86724</v>
      </c>
      <c r="EO37">
        <v>1.86338</v>
      </c>
      <c r="EP37">
        <v>1.8644700000000001</v>
      </c>
      <c r="EQ37">
        <v>1.8701700000000001</v>
      </c>
      <c r="ER37">
        <v>1.8694299999999999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-0.309</v>
      </c>
      <c r="FG37">
        <v>0.28160000000000002</v>
      </c>
      <c r="FH37">
        <v>0.23539598422606861</v>
      </c>
      <c r="FI37">
        <v>-6.1462078757559423E-4</v>
      </c>
      <c r="FJ37">
        <v>-1.8861989874597051E-7</v>
      </c>
      <c r="FK37">
        <v>1.1980462299894961E-10</v>
      </c>
      <c r="FL37">
        <v>0.28151999999999688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12.7</v>
      </c>
      <c r="FU37">
        <v>12.9</v>
      </c>
      <c r="FV37">
        <v>1.79565</v>
      </c>
      <c r="FW37">
        <v>2.5842299999999998</v>
      </c>
      <c r="FX37">
        <v>1.5490699999999999</v>
      </c>
      <c r="FY37">
        <v>2.3290999999999999</v>
      </c>
      <c r="FZ37">
        <v>1.50146</v>
      </c>
      <c r="GA37">
        <v>2.4145500000000002</v>
      </c>
      <c r="GB37">
        <v>33.625399999999999</v>
      </c>
      <c r="GC37">
        <v>23.982399999999998</v>
      </c>
      <c r="GD37">
        <v>19</v>
      </c>
      <c r="GE37">
        <v>279.89999999999998</v>
      </c>
      <c r="GF37">
        <v>604.98199999999997</v>
      </c>
      <c r="GG37">
        <v>23.896899999999999</v>
      </c>
      <c r="GH37">
        <v>26.398499999999999</v>
      </c>
      <c r="GI37">
        <v>30</v>
      </c>
      <c r="GJ37">
        <v>26.4177</v>
      </c>
      <c r="GK37">
        <v>26.365100000000002</v>
      </c>
      <c r="GL37">
        <v>35.905999999999999</v>
      </c>
      <c r="GM37">
        <v>17.766300000000001</v>
      </c>
      <c r="GN37">
        <v>100</v>
      </c>
      <c r="GO37">
        <v>23.772500000000001</v>
      </c>
      <c r="GP37">
        <v>800</v>
      </c>
      <c r="GQ37">
        <v>21.087</v>
      </c>
      <c r="GR37">
        <v>99.747100000000003</v>
      </c>
      <c r="GS37">
        <v>99.597800000000007</v>
      </c>
    </row>
    <row r="38" spans="1:201" x14ac:dyDescent="0.25">
      <c r="A38">
        <v>22</v>
      </c>
      <c r="B38">
        <v>1690301249.5</v>
      </c>
      <c r="C38">
        <v>345.5</v>
      </c>
      <c r="D38" t="s">
        <v>375</v>
      </c>
      <c r="E38" t="s">
        <v>376</v>
      </c>
      <c r="F38" t="s">
        <v>330</v>
      </c>
      <c r="H38">
        <v>1690301249.5</v>
      </c>
      <c r="I38">
        <f t="shared" si="0"/>
        <v>2.4076277867675046E-4</v>
      </c>
      <c r="J38">
        <f t="shared" si="1"/>
        <v>0.24076277867675047</v>
      </c>
      <c r="K38">
        <f t="shared" si="2"/>
        <v>0.82611455292855018</v>
      </c>
      <c r="L38">
        <f t="shared" si="3"/>
        <v>788.97299999999996</v>
      </c>
      <c r="M38">
        <f t="shared" si="4"/>
        <v>676.25218777054238</v>
      </c>
      <c r="N38">
        <f t="shared" si="5"/>
        <v>67.227871250329329</v>
      </c>
      <c r="O38">
        <f t="shared" si="6"/>
        <v>78.433720767470987</v>
      </c>
      <c r="P38">
        <f t="shared" si="7"/>
        <v>1.4275479229360356E-2</v>
      </c>
      <c r="Q38">
        <f t="shared" si="8"/>
        <v>2.1173731843985868</v>
      </c>
      <c r="R38">
        <f t="shared" si="9"/>
        <v>1.4222224455450364E-2</v>
      </c>
      <c r="S38">
        <f t="shared" si="10"/>
        <v>8.8936583839125671E-3</v>
      </c>
      <c r="T38">
        <f t="shared" si="11"/>
        <v>276.11103605751123</v>
      </c>
      <c r="U38">
        <f t="shared" si="12"/>
        <v>28.857658731186003</v>
      </c>
      <c r="V38">
        <f t="shared" si="13"/>
        <v>28.857658731186003</v>
      </c>
      <c r="W38">
        <f t="shared" si="14"/>
        <v>3.9887655650167297</v>
      </c>
      <c r="X38">
        <f t="shared" si="15"/>
        <v>66.915468244489347</v>
      </c>
      <c r="Y38">
        <f t="shared" si="16"/>
        <v>2.3595837785730995</v>
      </c>
      <c r="Z38">
        <f t="shared" si="17"/>
        <v>3.5262157472348208</v>
      </c>
      <c r="AA38">
        <f t="shared" si="18"/>
        <v>1.6291817864436302</v>
      </c>
      <c r="AB38">
        <f t="shared" si="19"/>
        <v>-10.617638539644695</v>
      </c>
      <c r="AC38">
        <f t="shared" si="20"/>
        <v>-240.99261805488089</v>
      </c>
      <c r="AD38">
        <f t="shared" si="21"/>
        <v>-24.760840882307122</v>
      </c>
      <c r="AE38">
        <f t="shared" si="22"/>
        <v>-0.26006141932148807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52564.048556975511</v>
      </c>
      <c r="AK38">
        <f t="shared" si="26"/>
        <v>1799.98</v>
      </c>
      <c r="AL38">
        <f t="shared" si="27"/>
        <v>1499.0967993838201</v>
      </c>
      <c r="AM38">
        <f t="shared" si="28"/>
        <v>0.83284080900000002</v>
      </c>
      <c r="AN38">
        <f t="shared" si="29"/>
        <v>0.15339672444000002</v>
      </c>
      <c r="AO38">
        <v>32.700000000000003</v>
      </c>
      <c r="AP38">
        <v>0.5</v>
      </c>
      <c r="AQ38" t="s">
        <v>331</v>
      </c>
      <c r="AR38">
        <v>2</v>
      </c>
      <c r="AS38">
        <v>1690301249.5</v>
      </c>
      <c r="AT38">
        <v>788.97299999999996</v>
      </c>
      <c r="AU38">
        <v>800.04200000000003</v>
      </c>
      <c r="AV38">
        <v>23.735299999999999</v>
      </c>
      <c r="AW38">
        <v>21.174700000000001</v>
      </c>
      <c r="AX38">
        <v>789.28099999999995</v>
      </c>
      <c r="AY38">
        <v>23.453800000000001</v>
      </c>
      <c r="AZ38">
        <v>300.16699999999997</v>
      </c>
      <c r="BA38">
        <v>99.312399999999997</v>
      </c>
      <c r="BB38">
        <v>0.100027</v>
      </c>
      <c r="BC38">
        <v>26.746500000000001</v>
      </c>
      <c r="BD38">
        <v>27.027699999999999</v>
      </c>
      <c r="BE38">
        <v>28.476299999999998</v>
      </c>
      <c r="BF38">
        <v>0</v>
      </c>
      <c r="BG38">
        <v>0</v>
      </c>
      <c r="BH38">
        <v>10001.200000000001</v>
      </c>
      <c r="BI38">
        <v>1077.1099999999999</v>
      </c>
      <c r="BJ38">
        <v>2.0183800000000001</v>
      </c>
      <c r="BK38">
        <v>-11.0685</v>
      </c>
      <c r="BL38">
        <v>808.15499999999997</v>
      </c>
      <c r="BM38">
        <v>817.34900000000005</v>
      </c>
      <c r="BN38">
        <v>2.5605899999999999</v>
      </c>
      <c r="BO38">
        <v>800.04200000000003</v>
      </c>
      <c r="BP38">
        <v>21.174700000000001</v>
      </c>
      <c r="BQ38">
        <v>2.3572099999999998</v>
      </c>
      <c r="BR38">
        <v>2.1029100000000001</v>
      </c>
      <c r="BS38">
        <v>20.072800000000001</v>
      </c>
      <c r="BT38">
        <v>18.241199999999999</v>
      </c>
      <c r="BU38">
        <v>1799.98</v>
      </c>
      <c r="BV38">
        <v>0.91001900000000002</v>
      </c>
      <c r="BW38">
        <v>3.3999599999999998E-2</v>
      </c>
      <c r="BX38">
        <v>2.1991699999999999E-2</v>
      </c>
      <c r="BY38">
        <v>3.3989800000000001E-2</v>
      </c>
      <c r="BZ38">
        <v>25</v>
      </c>
      <c r="CA38">
        <v>33528.1</v>
      </c>
      <c r="CB38">
        <v>1690300477.5</v>
      </c>
      <c r="CC38" t="s">
        <v>332</v>
      </c>
      <c r="CD38">
        <v>1690300477.5</v>
      </c>
      <c r="CE38">
        <v>1690300465.5</v>
      </c>
      <c r="CF38">
        <v>7</v>
      </c>
      <c r="CG38">
        <v>5.0999999999999997E-2</v>
      </c>
      <c r="CH38">
        <v>-8.0000000000000002E-3</v>
      </c>
      <c r="CI38">
        <v>-0.316</v>
      </c>
      <c r="CJ38">
        <v>0.28199999999999997</v>
      </c>
      <c r="CK38">
        <v>800</v>
      </c>
      <c r="CL38">
        <v>24</v>
      </c>
      <c r="CM38">
        <v>0.25</v>
      </c>
      <c r="CN38">
        <v>0.13</v>
      </c>
      <c r="CO38">
        <v>-9.9806312500000001</v>
      </c>
      <c r="CP38">
        <v>-7.1780047654784198</v>
      </c>
      <c r="CQ38">
        <v>0.69184663604800267</v>
      </c>
      <c r="CR38">
        <v>-1</v>
      </c>
      <c r="CS38">
        <v>2.2487377500000001</v>
      </c>
      <c r="CT38">
        <v>2.662617523452159</v>
      </c>
      <c r="CU38">
        <v>0.26080347087881622</v>
      </c>
      <c r="CV38">
        <v>-1</v>
      </c>
      <c r="CW38">
        <v>0</v>
      </c>
      <c r="CX38">
        <v>0</v>
      </c>
      <c r="CY38" t="s">
        <v>333</v>
      </c>
      <c r="CZ38">
        <v>2.36429</v>
      </c>
      <c r="DA38">
        <v>2.7138200000000001</v>
      </c>
      <c r="DB38">
        <v>0.14574599999999999</v>
      </c>
      <c r="DC38">
        <v>0.146726</v>
      </c>
      <c r="DD38">
        <v>0.112941</v>
      </c>
      <c r="DE38">
        <v>0.10298599999999999</v>
      </c>
      <c r="DF38">
        <v>31194.1</v>
      </c>
      <c r="DG38">
        <v>27505.4</v>
      </c>
      <c r="DH38">
        <v>31174.1</v>
      </c>
      <c r="DI38">
        <v>28088.400000000001</v>
      </c>
      <c r="DJ38">
        <v>37545.1</v>
      </c>
      <c r="DK38">
        <v>35827.9</v>
      </c>
      <c r="DL38">
        <v>44364.9</v>
      </c>
      <c r="DM38">
        <v>42575.7</v>
      </c>
      <c r="DN38">
        <v>1.46783</v>
      </c>
      <c r="DO38">
        <v>2.0619999999999998</v>
      </c>
      <c r="DP38">
        <v>7.8473200000000007E-2</v>
      </c>
      <c r="DQ38">
        <v>0.18196899999999999</v>
      </c>
      <c r="DR38">
        <v>25.743099999999998</v>
      </c>
      <c r="DS38">
        <v>25.500299999999999</v>
      </c>
      <c r="DT38">
        <v>57.1</v>
      </c>
      <c r="DU38">
        <v>29</v>
      </c>
      <c r="DV38">
        <v>23.123799999999999</v>
      </c>
      <c r="DW38">
        <v>61.594700000000003</v>
      </c>
      <c r="DX38">
        <v>35.200299999999999</v>
      </c>
      <c r="DY38">
        <v>1</v>
      </c>
      <c r="DZ38">
        <v>-8.1857200000000005E-2</v>
      </c>
      <c r="EA38">
        <v>1.2018500000000001</v>
      </c>
      <c r="EB38">
        <v>20.183800000000002</v>
      </c>
      <c r="EC38">
        <v>5.2411000000000003</v>
      </c>
      <c r="ED38">
        <v>12.039899999999999</v>
      </c>
      <c r="EE38">
        <v>5.0173500000000004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1.8689100000000001</v>
      </c>
      <c r="EL38">
        <v>1.8646199999999999</v>
      </c>
      <c r="EM38">
        <v>1.8692</v>
      </c>
      <c r="EN38">
        <v>1.86724</v>
      </c>
      <c r="EO38">
        <v>1.86338</v>
      </c>
      <c r="EP38">
        <v>1.8644700000000001</v>
      </c>
      <c r="EQ38">
        <v>1.87015</v>
      </c>
      <c r="ER38">
        <v>1.8694299999999999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-0.308</v>
      </c>
      <c r="FG38">
        <v>0.28149999999999997</v>
      </c>
      <c r="FH38">
        <v>0.23539598422606861</v>
      </c>
      <c r="FI38">
        <v>-6.1462078757559423E-4</v>
      </c>
      <c r="FJ38">
        <v>-1.8861989874597051E-7</v>
      </c>
      <c r="FK38">
        <v>1.1980462299894961E-10</v>
      </c>
      <c r="FL38">
        <v>0.28151999999999688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12.9</v>
      </c>
      <c r="FU38">
        <v>13.1</v>
      </c>
      <c r="FV38">
        <v>1.79565</v>
      </c>
      <c r="FW38">
        <v>2.5915499999999998</v>
      </c>
      <c r="FX38">
        <v>1.5490699999999999</v>
      </c>
      <c r="FY38">
        <v>2.3290999999999999</v>
      </c>
      <c r="FZ38">
        <v>1.50146</v>
      </c>
      <c r="GA38">
        <v>2.34619</v>
      </c>
      <c r="GB38">
        <v>33.6479</v>
      </c>
      <c r="GC38">
        <v>23.973700000000001</v>
      </c>
      <c r="GD38">
        <v>19</v>
      </c>
      <c r="GE38">
        <v>279.63</v>
      </c>
      <c r="GF38">
        <v>604.97799999999995</v>
      </c>
      <c r="GG38">
        <v>23.819700000000001</v>
      </c>
      <c r="GH38">
        <v>26.4041</v>
      </c>
      <c r="GI38">
        <v>30.000499999999999</v>
      </c>
      <c r="GJ38">
        <v>26.421299999999999</v>
      </c>
      <c r="GK38">
        <v>26.368400000000001</v>
      </c>
      <c r="GL38">
        <v>35.899799999999999</v>
      </c>
      <c r="GM38">
        <v>18.349599999999999</v>
      </c>
      <c r="GN38">
        <v>100</v>
      </c>
      <c r="GO38">
        <v>23.757300000000001</v>
      </c>
      <c r="GP38">
        <v>800</v>
      </c>
      <c r="GQ38">
        <v>21.087800000000001</v>
      </c>
      <c r="GR38">
        <v>99.745400000000004</v>
      </c>
      <c r="GS38">
        <v>99.596199999999996</v>
      </c>
    </row>
    <row r="39" spans="1:201" x14ac:dyDescent="0.25">
      <c r="A39">
        <v>23</v>
      </c>
      <c r="B39">
        <v>1690301259.5</v>
      </c>
      <c r="C39">
        <v>355.5</v>
      </c>
      <c r="D39" t="s">
        <v>377</v>
      </c>
      <c r="E39" t="s">
        <v>378</v>
      </c>
      <c r="F39" t="s">
        <v>330</v>
      </c>
      <c r="H39">
        <v>1690301259.5</v>
      </c>
      <c r="I39">
        <f t="shared" si="0"/>
        <v>2.3558324999986514E-4</v>
      </c>
      <c r="J39">
        <f t="shared" si="1"/>
        <v>0.23558324999986513</v>
      </c>
      <c r="K39">
        <f t="shared" si="2"/>
        <v>0.94233089948636151</v>
      </c>
      <c r="L39">
        <f t="shared" si="3"/>
        <v>787.78</v>
      </c>
      <c r="M39">
        <f t="shared" si="4"/>
        <v>659.16335146309143</v>
      </c>
      <c r="N39">
        <f t="shared" si="5"/>
        <v>65.529488654419254</v>
      </c>
      <c r="O39">
        <f t="shared" si="6"/>
        <v>78.315671612500012</v>
      </c>
      <c r="P39">
        <f t="shared" si="7"/>
        <v>1.3886164901475536E-2</v>
      </c>
      <c r="Q39">
        <f t="shared" si="8"/>
        <v>2.113934327621831</v>
      </c>
      <c r="R39">
        <f t="shared" si="9"/>
        <v>1.3835688005499011E-2</v>
      </c>
      <c r="S39">
        <f t="shared" si="10"/>
        <v>8.651824789375713E-3</v>
      </c>
      <c r="T39">
        <f t="shared" si="11"/>
        <v>276.11479036642027</v>
      </c>
      <c r="U39">
        <f t="shared" si="12"/>
        <v>28.851246898279022</v>
      </c>
      <c r="V39">
        <f t="shared" si="13"/>
        <v>28.851246898279022</v>
      </c>
      <c r="W39">
        <f t="shared" si="14"/>
        <v>3.9872843159015581</v>
      </c>
      <c r="X39">
        <f t="shared" si="15"/>
        <v>66.645721053101042</v>
      </c>
      <c r="Y39">
        <f t="shared" si="16"/>
        <v>2.3484958997500001</v>
      </c>
      <c r="Z39">
        <f t="shared" si="17"/>
        <v>3.5238509879408437</v>
      </c>
      <c r="AA39">
        <f t="shared" si="18"/>
        <v>1.638788416151558</v>
      </c>
      <c r="AB39">
        <f t="shared" si="19"/>
        <v>-10.389221324994052</v>
      </c>
      <c r="AC39">
        <f t="shared" si="20"/>
        <v>-241.16970200016499</v>
      </c>
      <c r="AD39">
        <f t="shared" si="21"/>
        <v>-24.817141906577405</v>
      </c>
      <c r="AE39">
        <f t="shared" si="22"/>
        <v>-0.2612748653161816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52415.373337584722</v>
      </c>
      <c r="AK39">
        <f t="shared" si="26"/>
        <v>1799.99</v>
      </c>
      <c r="AL39">
        <f t="shared" si="27"/>
        <v>1499.1057451884797</v>
      </c>
      <c r="AM39">
        <f t="shared" si="28"/>
        <v>0.83284115199999986</v>
      </c>
      <c r="AN39">
        <f t="shared" si="29"/>
        <v>0.15339795796999997</v>
      </c>
      <c r="AO39">
        <v>32.700000000000003</v>
      </c>
      <c r="AP39">
        <v>0.5</v>
      </c>
      <c r="AQ39" t="s">
        <v>331</v>
      </c>
      <c r="AR39">
        <v>2</v>
      </c>
      <c r="AS39">
        <v>1690301259.5</v>
      </c>
      <c r="AT39">
        <v>787.78</v>
      </c>
      <c r="AU39">
        <v>800.06600000000003</v>
      </c>
      <c r="AV39">
        <v>23.6236</v>
      </c>
      <c r="AW39">
        <v>21.118099999999998</v>
      </c>
      <c r="AX39">
        <v>788.08799999999997</v>
      </c>
      <c r="AY39">
        <v>23.342099999999999</v>
      </c>
      <c r="AZ39">
        <v>300.20299999999997</v>
      </c>
      <c r="BA39">
        <v>99.313100000000006</v>
      </c>
      <c r="BB39">
        <v>0.100025</v>
      </c>
      <c r="BC39">
        <v>26.735099999999999</v>
      </c>
      <c r="BD39">
        <v>27.012699999999999</v>
      </c>
      <c r="BE39">
        <v>28.521999999999998</v>
      </c>
      <c r="BF39">
        <v>0</v>
      </c>
      <c r="BG39">
        <v>0</v>
      </c>
      <c r="BH39">
        <v>9971.25</v>
      </c>
      <c r="BI39">
        <v>1076.9000000000001</v>
      </c>
      <c r="BJ39">
        <v>2.0183800000000001</v>
      </c>
      <c r="BK39">
        <v>-12.2859</v>
      </c>
      <c r="BL39">
        <v>806.84100000000001</v>
      </c>
      <c r="BM39">
        <v>817.327</v>
      </c>
      <c r="BN39">
        <v>2.50549</v>
      </c>
      <c r="BO39">
        <v>800.06600000000003</v>
      </c>
      <c r="BP39">
        <v>21.118099999999998</v>
      </c>
      <c r="BQ39">
        <v>2.34613</v>
      </c>
      <c r="BR39">
        <v>2.0973000000000002</v>
      </c>
      <c r="BS39">
        <v>19.996700000000001</v>
      </c>
      <c r="BT39">
        <v>18.198699999999999</v>
      </c>
      <c r="BU39">
        <v>1799.99</v>
      </c>
      <c r="BV39">
        <v>0.91</v>
      </c>
      <c r="BW39">
        <v>3.3994299999999998E-2</v>
      </c>
      <c r="BX39">
        <v>2.20091E-2</v>
      </c>
      <c r="BY39">
        <v>3.39963E-2</v>
      </c>
      <c r="BZ39">
        <v>25</v>
      </c>
      <c r="CA39">
        <v>33528.1</v>
      </c>
      <c r="CB39">
        <v>1690300477.5</v>
      </c>
      <c r="CC39" t="s">
        <v>332</v>
      </c>
      <c r="CD39">
        <v>1690300477.5</v>
      </c>
      <c r="CE39">
        <v>1690300465.5</v>
      </c>
      <c r="CF39">
        <v>7</v>
      </c>
      <c r="CG39">
        <v>5.0999999999999997E-2</v>
      </c>
      <c r="CH39">
        <v>-8.0000000000000002E-3</v>
      </c>
      <c r="CI39">
        <v>-0.316</v>
      </c>
      <c r="CJ39">
        <v>0.28199999999999997</v>
      </c>
      <c r="CK39">
        <v>800</v>
      </c>
      <c r="CL39">
        <v>24</v>
      </c>
      <c r="CM39">
        <v>0.25</v>
      </c>
      <c r="CN39">
        <v>0.13</v>
      </c>
      <c r="CO39">
        <v>-11.09765</v>
      </c>
      <c r="CP39">
        <v>-6.3895181988742777</v>
      </c>
      <c r="CQ39">
        <v>0.61544751766499151</v>
      </c>
      <c r="CR39">
        <v>-1</v>
      </c>
      <c r="CS39">
        <v>2.4994437500000002</v>
      </c>
      <c r="CT39">
        <v>0.40094510318948878</v>
      </c>
      <c r="CU39">
        <v>6.4978436103352785E-2</v>
      </c>
      <c r="CV39">
        <v>-1</v>
      </c>
      <c r="CW39">
        <v>0</v>
      </c>
      <c r="CX39">
        <v>0</v>
      </c>
      <c r="CY39" t="s">
        <v>333</v>
      </c>
      <c r="CZ39">
        <v>2.3643999999999998</v>
      </c>
      <c r="DA39">
        <v>2.7137899999999999</v>
      </c>
      <c r="DB39">
        <v>0.14559800000000001</v>
      </c>
      <c r="DC39">
        <v>0.146728</v>
      </c>
      <c r="DD39">
        <v>0.112565</v>
      </c>
      <c r="DE39">
        <v>0.10279199999999999</v>
      </c>
      <c r="DF39">
        <v>31199.3</v>
      </c>
      <c r="DG39">
        <v>27504.7</v>
      </c>
      <c r="DH39">
        <v>31174</v>
      </c>
      <c r="DI39">
        <v>28087.8</v>
      </c>
      <c r="DJ39">
        <v>37561.1</v>
      </c>
      <c r="DK39">
        <v>35834.9</v>
      </c>
      <c r="DL39">
        <v>44364.7</v>
      </c>
      <c r="DM39">
        <v>42574.7</v>
      </c>
      <c r="DN39">
        <v>1.46773</v>
      </c>
      <c r="DO39">
        <v>2.0615000000000001</v>
      </c>
      <c r="DP39">
        <v>7.8514200000000006E-2</v>
      </c>
      <c r="DQ39">
        <v>0.18589900000000001</v>
      </c>
      <c r="DR39">
        <v>25.727399999999999</v>
      </c>
      <c r="DS39">
        <v>25.4818</v>
      </c>
      <c r="DT39">
        <v>57.1</v>
      </c>
      <c r="DU39">
        <v>29</v>
      </c>
      <c r="DV39">
        <v>23.123100000000001</v>
      </c>
      <c r="DW39">
        <v>61.854700000000001</v>
      </c>
      <c r="DX39">
        <v>35.781199999999998</v>
      </c>
      <c r="DY39">
        <v>1</v>
      </c>
      <c r="DZ39">
        <v>-8.10086E-2</v>
      </c>
      <c r="EA39">
        <v>1.3010299999999999</v>
      </c>
      <c r="EB39">
        <v>20.182700000000001</v>
      </c>
      <c r="EC39">
        <v>5.24125</v>
      </c>
      <c r="ED39">
        <v>12.039899999999999</v>
      </c>
      <c r="EE39">
        <v>5.0172499999999998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1.8689100000000001</v>
      </c>
      <c r="EL39">
        <v>1.8646199999999999</v>
      </c>
      <c r="EM39">
        <v>1.8692</v>
      </c>
      <c r="EN39">
        <v>1.8672299999999999</v>
      </c>
      <c r="EO39">
        <v>1.8633900000000001</v>
      </c>
      <c r="EP39">
        <v>1.8644700000000001</v>
      </c>
      <c r="EQ39">
        <v>1.8701399999999999</v>
      </c>
      <c r="ER39">
        <v>1.86938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-0.308</v>
      </c>
      <c r="FG39">
        <v>0.28149999999999997</v>
      </c>
      <c r="FH39">
        <v>0.23539598422606861</v>
      </c>
      <c r="FI39">
        <v>-6.1462078757559423E-4</v>
      </c>
      <c r="FJ39">
        <v>-1.8861989874597051E-7</v>
      </c>
      <c r="FK39">
        <v>1.1980462299894961E-10</v>
      </c>
      <c r="FL39">
        <v>0.28151999999999688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13</v>
      </c>
      <c r="FU39">
        <v>13.2</v>
      </c>
      <c r="FV39">
        <v>1.79565</v>
      </c>
      <c r="FW39">
        <v>2.5854499999999998</v>
      </c>
      <c r="FX39">
        <v>1.5490699999999999</v>
      </c>
      <c r="FY39">
        <v>2.3290999999999999</v>
      </c>
      <c r="FZ39">
        <v>1.50146</v>
      </c>
      <c r="GA39">
        <v>2.4133300000000002</v>
      </c>
      <c r="GB39">
        <v>33.625399999999999</v>
      </c>
      <c r="GC39">
        <v>23.982399999999998</v>
      </c>
      <c r="GD39">
        <v>19</v>
      </c>
      <c r="GE39">
        <v>279.59500000000003</v>
      </c>
      <c r="GF39">
        <v>604.61800000000005</v>
      </c>
      <c r="GG39">
        <v>23.710699999999999</v>
      </c>
      <c r="GH39">
        <v>26.408000000000001</v>
      </c>
      <c r="GI39">
        <v>30.000399999999999</v>
      </c>
      <c r="GJ39">
        <v>26.423300000000001</v>
      </c>
      <c r="GK39">
        <v>26.373899999999999</v>
      </c>
      <c r="GL39">
        <v>35.895899999999997</v>
      </c>
      <c r="GM39">
        <v>18.627199999999998</v>
      </c>
      <c r="GN39">
        <v>100</v>
      </c>
      <c r="GO39">
        <v>23.679400000000001</v>
      </c>
      <c r="GP39">
        <v>800</v>
      </c>
      <c r="GQ39">
        <v>21.063700000000001</v>
      </c>
      <c r="GR39">
        <v>99.745000000000005</v>
      </c>
      <c r="GS39">
        <v>99.593999999999994</v>
      </c>
    </row>
    <row r="40" spans="1:201" x14ac:dyDescent="0.25">
      <c r="A40">
        <v>24</v>
      </c>
      <c r="B40">
        <v>1690301269.5</v>
      </c>
      <c r="C40">
        <v>365.5</v>
      </c>
      <c r="D40" t="s">
        <v>379</v>
      </c>
      <c r="E40" t="s">
        <v>380</v>
      </c>
      <c r="F40" t="s">
        <v>330</v>
      </c>
      <c r="H40">
        <v>1690301269.5</v>
      </c>
      <c r="I40">
        <f t="shared" si="0"/>
        <v>2.3270334279301369E-4</v>
      </c>
      <c r="J40">
        <f t="shared" si="1"/>
        <v>0.23270334279301369</v>
      </c>
      <c r="K40">
        <f t="shared" si="2"/>
        <v>1.0436621366516334</v>
      </c>
      <c r="L40">
        <f t="shared" si="3"/>
        <v>786.64200000000005</v>
      </c>
      <c r="M40">
        <f t="shared" si="4"/>
        <v>644.73601051387971</v>
      </c>
      <c r="N40">
        <f t="shared" si="5"/>
        <v>64.094639021758539</v>
      </c>
      <c r="O40">
        <f t="shared" si="6"/>
        <v>78.201828666538802</v>
      </c>
      <c r="P40">
        <f t="shared" si="7"/>
        <v>1.3687053149102719E-2</v>
      </c>
      <c r="Q40">
        <f t="shared" si="8"/>
        <v>2.1196684616937178</v>
      </c>
      <c r="R40">
        <f t="shared" si="9"/>
        <v>1.3638142835443248E-2</v>
      </c>
      <c r="S40">
        <f t="shared" si="10"/>
        <v>8.5282190340070074E-3</v>
      </c>
      <c r="T40">
        <f t="shared" si="11"/>
        <v>276.11479841237565</v>
      </c>
      <c r="U40">
        <f t="shared" si="12"/>
        <v>28.824303427282587</v>
      </c>
      <c r="V40">
        <f t="shared" si="13"/>
        <v>28.824303427282587</v>
      </c>
      <c r="W40">
        <f t="shared" si="14"/>
        <v>3.981065129590398</v>
      </c>
      <c r="X40">
        <f t="shared" si="15"/>
        <v>66.458045201747723</v>
      </c>
      <c r="Y40">
        <f t="shared" si="16"/>
        <v>2.3387420969899799</v>
      </c>
      <c r="Z40">
        <f t="shared" si="17"/>
        <v>3.5191256226243546</v>
      </c>
      <c r="AA40">
        <f t="shared" si="18"/>
        <v>1.6423230326004181</v>
      </c>
      <c r="AB40">
        <f t="shared" si="19"/>
        <v>-10.262217417171904</v>
      </c>
      <c r="AC40">
        <f t="shared" si="20"/>
        <v>-241.3503872722865</v>
      </c>
      <c r="AD40">
        <f t="shared" si="21"/>
        <v>-24.762404529643831</v>
      </c>
      <c r="AE40">
        <f t="shared" si="22"/>
        <v>-0.26021080672660446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52670.791746255687</v>
      </c>
      <c r="AK40">
        <f t="shared" si="26"/>
        <v>1799.99</v>
      </c>
      <c r="AL40">
        <f t="shared" si="27"/>
        <v>1499.1042007970598</v>
      </c>
      <c r="AM40">
        <f t="shared" si="28"/>
        <v>0.83284029399999993</v>
      </c>
      <c r="AN40">
        <f t="shared" si="29"/>
        <v>0.15339796244000004</v>
      </c>
      <c r="AO40">
        <v>32.700000000000003</v>
      </c>
      <c r="AP40">
        <v>0.5</v>
      </c>
      <c r="AQ40" t="s">
        <v>331</v>
      </c>
      <c r="AR40">
        <v>2</v>
      </c>
      <c r="AS40">
        <v>1690301269.5</v>
      </c>
      <c r="AT40">
        <v>786.64200000000005</v>
      </c>
      <c r="AU40">
        <v>800.01</v>
      </c>
      <c r="AV40">
        <v>23.525700000000001</v>
      </c>
      <c r="AW40">
        <v>21.049499999999998</v>
      </c>
      <c r="AX40">
        <v>786.94899999999996</v>
      </c>
      <c r="AY40">
        <v>23.244199999999999</v>
      </c>
      <c r="AZ40">
        <v>300.072</v>
      </c>
      <c r="BA40">
        <v>99.312299999999993</v>
      </c>
      <c r="BB40">
        <v>9.9921399999999994E-2</v>
      </c>
      <c r="BC40">
        <v>26.712299999999999</v>
      </c>
      <c r="BD40">
        <v>27.004100000000001</v>
      </c>
      <c r="BE40">
        <v>28.4953</v>
      </c>
      <c r="BF40">
        <v>0</v>
      </c>
      <c r="BG40">
        <v>0</v>
      </c>
      <c r="BH40">
        <v>10021.200000000001</v>
      </c>
      <c r="BI40">
        <v>1076.75</v>
      </c>
      <c r="BJ40">
        <v>2.0183800000000001</v>
      </c>
      <c r="BK40">
        <v>-13.368</v>
      </c>
      <c r="BL40">
        <v>805.59400000000005</v>
      </c>
      <c r="BM40">
        <v>817.21199999999999</v>
      </c>
      <c r="BN40">
        <v>2.4762499999999998</v>
      </c>
      <c r="BO40">
        <v>800.01</v>
      </c>
      <c r="BP40">
        <v>21.049499999999998</v>
      </c>
      <c r="BQ40">
        <v>2.3363900000000002</v>
      </c>
      <c r="BR40">
        <v>2.0904699999999998</v>
      </c>
      <c r="BS40">
        <v>19.929500000000001</v>
      </c>
      <c r="BT40">
        <v>18.146799999999999</v>
      </c>
      <c r="BU40">
        <v>1799.99</v>
      </c>
      <c r="BV40">
        <v>0.90998800000000002</v>
      </c>
      <c r="BW40">
        <v>3.3994900000000002E-2</v>
      </c>
      <c r="BX40">
        <v>2.20062E-2</v>
      </c>
      <c r="BY40">
        <v>3.4011399999999997E-2</v>
      </c>
      <c r="BZ40">
        <v>25</v>
      </c>
      <c r="CA40">
        <v>33528.199999999997</v>
      </c>
      <c r="CB40">
        <v>1690300477.5</v>
      </c>
      <c r="CC40" t="s">
        <v>332</v>
      </c>
      <c r="CD40">
        <v>1690300477.5</v>
      </c>
      <c r="CE40">
        <v>1690300465.5</v>
      </c>
      <c r="CF40">
        <v>7</v>
      </c>
      <c r="CG40">
        <v>5.0999999999999997E-2</v>
      </c>
      <c r="CH40">
        <v>-8.0000000000000002E-3</v>
      </c>
      <c r="CI40">
        <v>-0.316</v>
      </c>
      <c r="CJ40">
        <v>0.28199999999999997</v>
      </c>
      <c r="CK40">
        <v>800</v>
      </c>
      <c r="CL40">
        <v>24</v>
      </c>
      <c r="CM40">
        <v>0.25</v>
      </c>
      <c r="CN40">
        <v>0.13</v>
      </c>
      <c r="CO40">
        <v>-12.088990000000001</v>
      </c>
      <c r="CP40">
        <v>-6.8782694183864681</v>
      </c>
      <c r="CQ40">
        <v>0.66241887533493471</v>
      </c>
      <c r="CR40">
        <v>-1</v>
      </c>
      <c r="CS40">
        <v>2.52035425</v>
      </c>
      <c r="CT40">
        <v>-0.18571666041276361</v>
      </c>
      <c r="CU40">
        <v>2.1164915531074101E-2</v>
      </c>
      <c r="CV40">
        <v>-1</v>
      </c>
      <c r="CW40">
        <v>0</v>
      </c>
      <c r="CX40">
        <v>0</v>
      </c>
      <c r="CY40" t="s">
        <v>333</v>
      </c>
      <c r="CZ40">
        <v>2.3639700000000001</v>
      </c>
      <c r="DA40">
        <v>2.71373</v>
      </c>
      <c r="DB40">
        <v>0.145451</v>
      </c>
      <c r="DC40">
        <v>0.14671600000000001</v>
      </c>
      <c r="DD40">
        <v>0.11223</v>
      </c>
      <c r="DE40">
        <v>0.10255400000000001</v>
      </c>
      <c r="DF40">
        <v>31204</v>
      </c>
      <c r="DG40">
        <v>27504.9</v>
      </c>
      <c r="DH40">
        <v>31173.4</v>
      </c>
      <c r="DI40">
        <v>28087.599999999999</v>
      </c>
      <c r="DJ40">
        <v>37574.699999999997</v>
      </c>
      <c r="DK40">
        <v>35844.199999999997</v>
      </c>
      <c r="DL40">
        <v>44363.8</v>
      </c>
      <c r="DM40">
        <v>42574.5</v>
      </c>
      <c r="DN40">
        <v>1.4678500000000001</v>
      </c>
      <c r="DO40">
        <v>2.0615199999999998</v>
      </c>
      <c r="DP40">
        <v>7.9050700000000002E-2</v>
      </c>
      <c r="DQ40">
        <v>0.185359</v>
      </c>
      <c r="DR40">
        <v>25.71</v>
      </c>
      <c r="DS40">
        <v>25.463799999999999</v>
      </c>
      <c r="DT40">
        <v>57.2</v>
      </c>
      <c r="DU40">
        <v>29</v>
      </c>
      <c r="DV40">
        <v>23.165600000000001</v>
      </c>
      <c r="DW40">
        <v>61.724699999999999</v>
      </c>
      <c r="DX40">
        <v>36.2179</v>
      </c>
      <c r="DY40">
        <v>1</v>
      </c>
      <c r="DZ40">
        <v>-8.0571599999999993E-2</v>
      </c>
      <c r="EA40">
        <v>1.14822</v>
      </c>
      <c r="EB40">
        <v>20.1844</v>
      </c>
      <c r="EC40">
        <v>5.2406499999999996</v>
      </c>
      <c r="ED40">
        <v>12.039899999999999</v>
      </c>
      <c r="EE40">
        <v>5.0171999999999999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1.8646199999999999</v>
      </c>
      <c r="EM40">
        <v>1.8692</v>
      </c>
      <c r="EN40">
        <v>1.8672299999999999</v>
      </c>
      <c r="EO40">
        <v>1.86338</v>
      </c>
      <c r="EP40">
        <v>1.8644700000000001</v>
      </c>
      <c r="EQ40">
        <v>1.87016</v>
      </c>
      <c r="ER40">
        <v>1.8693900000000001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-0.307</v>
      </c>
      <c r="FG40">
        <v>0.28149999999999997</v>
      </c>
      <c r="FH40">
        <v>0.23539598422606861</v>
      </c>
      <c r="FI40">
        <v>-6.1462078757559423E-4</v>
      </c>
      <c r="FJ40">
        <v>-1.8861989874597051E-7</v>
      </c>
      <c r="FK40">
        <v>1.1980462299894961E-10</v>
      </c>
      <c r="FL40">
        <v>0.28151999999999688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13.2</v>
      </c>
      <c r="FU40">
        <v>13.4</v>
      </c>
      <c r="FV40">
        <v>1.79565</v>
      </c>
      <c r="FW40">
        <v>2.5830099999999998</v>
      </c>
      <c r="FX40">
        <v>1.5490699999999999</v>
      </c>
      <c r="FY40">
        <v>2.3290999999999999</v>
      </c>
      <c r="FZ40">
        <v>1.50146</v>
      </c>
      <c r="GA40">
        <v>2.4047900000000002</v>
      </c>
      <c r="GB40">
        <v>33.6479</v>
      </c>
      <c r="GC40">
        <v>23.982399999999998</v>
      </c>
      <c r="GD40">
        <v>19</v>
      </c>
      <c r="GE40">
        <v>279.66000000000003</v>
      </c>
      <c r="GF40">
        <v>604.678</v>
      </c>
      <c r="GG40">
        <v>23.648700000000002</v>
      </c>
      <c r="GH40">
        <v>26.410900000000002</v>
      </c>
      <c r="GI40">
        <v>30.000299999999999</v>
      </c>
      <c r="GJ40">
        <v>26.426100000000002</v>
      </c>
      <c r="GK40">
        <v>26.377199999999998</v>
      </c>
      <c r="GL40">
        <v>35.890900000000002</v>
      </c>
      <c r="GM40">
        <v>18.627199999999998</v>
      </c>
      <c r="GN40">
        <v>100</v>
      </c>
      <c r="GO40">
        <v>23.652000000000001</v>
      </c>
      <c r="GP40">
        <v>800</v>
      </c>
      <c r="GQ40">
        <v>21.038599999999999</v>
      </c>
      <c r="GR40">
        <v>99.743099999999998</v>
      </c>
      <c r="GS40">
        <v>99.593400000000003</v>
      </c>
    </row>
    <row r="41" spans="1:201" x14ac:dyDescent="0.25">
      <c r="A41">
        <v>25</v>
      </c>
      <c r="B41">
        <v>1690301279.5</v>
      </c>
      <c r="C41">
        <v>375.5</v>
      </c>
      <c r="D41" t="s">
        <v>381</v>
      </c>
      <c r="E41" t="s">
        <v>382</v>
      </c>
      <c r="F41" t="s">
        <v>330</v>
      </c>
      <c r="H41">
        <v>1690301279.5</v>
      </c>
      <c r="I41">
        <f t="shared" si="0"/>
        <v>2.28430357662201E-4</v>
      </c>
      <c r="J41">
        <f t="shared" si="1"/>
        <v>0.22843035766220099</v>
      </c>
      <c r="K41">
        <f t="shared" si="2"/>
        <v>1.1595258241635549</v>
      </c>
      <c r="L41">
        <f t="shared" si="3"/>
        <v>785.41600000000005</v>
      </c>
      <c r="M41">
        <f t="shared" si="4"/>
        <v>627.27238280217114</v>
      </c>
      <c r="N41">
        <f t="shared" si="5"/>
        <v>62.357734575859666</v>
      </c>
      <c r="O41">
        <f t="shared" si="6"/>
        <v>78.078939552292809</v>
      </c>
      <c r="P41">
        <f t="shared" si="7"/>
        <v>1.3404090327079045E-2</v>
      </c>
      <c r="Q41">
        <f t="shared" si="8"/>
        <v>2.1152059241706658</v>
      </c>
      <c r="R41">
        <f t="shared" si="9"/>
        <v>1.3357079088495753E-2</v>
      </c>
      <c r="S41">
        <f t="shared" si="10"/>
        <v>8.3523843949109763E-3</v>
      </c>
      <c r="T41">
        <f t="shared" si="11"/>
        <v>276.11455982370109</v>
      </c>
      <c r="U41">
        <f t="shared" si="12"/>
        <v>28.813577632717518</v>
      </c>
      <c r="V41">
        <f t="shared" si="13"/>
        <v>28.813577632717518</v>
      </c>
      <c r="W41">
        <f t="shared" si="14"/>
        <v>3.9785917191932403</v>
      </c>
      <c r="X41">
        <f t="shared" si="15"/>
        <v>66.34284113589402</v>
      </c>
      <c r="Y41">
        <f t="shared" si="16"/>
        <v>2.3324489633946599</v>
      </c>
      <c r="Z41">
        <f t="shared" si="17"/>
        <v>3.5157507930915477</v>
      </c>
      <c r="AA41">
        <f t="shared" si="18"/>
        <v>1.6461427557985804</v>
      </c>
      <c r="AB41">
        <f t="shared" si="19"/>
        <v>-10.073778772903063</v>
      </c>
      <c r="AC41">
        <f t="shared" si="20"/>
        <v>-241.47792677291267</v>
      </c>
      <c r="AD41">
        <f t="shared" si="21"/>
        <v>-24.824415298666064</v>
      </c>
      <c r="AE41">
        <f t="shared" si="22"/>
        <v>-0.26156102078070376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52477.861359204391</v>
      </c>
      <c r="AK41">
        <f t="shared" si="26"/>
        <v>1799.99</v>
      </c>
      <c r="AL41">
        <f t="shared" si="27"/>
        <v>1499.1015728116599</v>
      </c>
      <c r="AM41">
        <f t="shared" si="28"/>
        <v>0.83283883399999992</v>
      </c>
      <c r="AN41">
        <f t="shared" si="29"/>
        <v>0.15339782989</v>
      </c>
      <c r="AO41">
        <v>32.700000000000003</v>
      </c>
      <c r="AP41">
        <v>0.5</v>
      </c>
      <c r="AQ41" t="s">
        <v>331</v>
      </c>
      <c r="AR41">
        <v>2</v>
      </c>
      <c r="AS41">
        <v>1690301279.5</v>
      </c>
      <c r="AT41">
        <v>785.41600000000005</v>
      </c>
      <c r="AU41">
        <v>800.00099999999998</v>
      </c>
      <c r="AV41">
        <v>23.462700000000002</v>
      </c>
      <c r="AW41">
        <v>21.032800000000002</v>
      </c>
      <c r="AX41">
        <v>785.72199999999998</v>
      </c>
      <c r="AY41">
        <v>23.1812</v>
      </c>
      <c r="AZ41">
        <v>300.19400000000002</v>
      </c>
      <c r="BA41">
        <v>99.311000000000007</v>
      </c>
      <c r="BB41">
        <v>9.9935800000000005E-2</v>
      </c>
      <c r="BC41">
        <v>26.696000000000002</v>
      </c>
      <c r="BD41">
        <v>26.991</v>
      </c>
      <c r="BE41">
        <v>28.489599999999999</v>
      </c>
      <c r="BF41">
        <v>0</v>
      </c>
      <c r="BG41">
        <v>0</v>
      </c>
      <c r="BH41">
        <v>9982.5</v>
      </c>
      <c r="BI41">
        <v>1076.5899999999999</v>
      </c>
      <c r="BJ41">
        <v>2.0183800000000001</v>
      </c>
      <c r="BK41">
        <v>-14.5845</v>
      </c>
      <c r="BL41">
        <v>804.28700000000003</v>
      </c>
      <c r="BM41">
        <v>817.18799999999999</v>
      </c>
      <c r="BN41">
        <v>2.4299200000000001</v>
      </c>
      <c r="BO41">
        <v>800.00099999999998</v>
      </c>
      <c r="BP41">
        <v>21.032800000000002</v>
      </c>
      <c r="BQ41">
        <v>2.3301099999999999</v>
      </c>
      <c r="BR41">
        <v>2.0887899999999999</v>
      </c>
      <c r="BS41">
        <v>19.886099999999999</v>
      </c>
      <c r="BT41">
        <v>18.134</v>
      </c>
      <c r="BU41">
        <v>1799.99</v>
      </c>
      <c r="BV41">
        <v>0.90998299999999999</v>
      </c>
      <c r="BW41">
        <v>3.4006099999999997E-2</v>
      </c>
      <c r="BX41">
        <v>2.2003700000000001E-2</v>
      </c>
      <c r="BY41">
        <v>3.4007500000000003E-2</v>
      </c>
      <c r="BZ41">
        <v>25</v>
      </c>
      <c r="CA41">
        <v>33528</v>
      </c>
      <c r="CB41">
        <v>1690300477.5</v>
      </c>
      <c r="CC41" t="s">
        <v>332</v>
      </c>
      <c r="CD41">
        <v>1690300477.5</v>
      </c>
      <c r="CE41">
        <v>1690300465.5</v>
      </c>
      <c r="CF41">
        <v>7</v>
      </c>
      <c r="CG41">
        <v>5.0999999999999997E-2</v>
      </c>
      <c r="CH41">
        <v>-8.0000000000000002E-3</v>
      </c>
      <c r="CI41">
        <v>-0.316</v>
      </c>
      <c r="CJ41">
        <v>0.28199999999999997</v>
      </c>
      <c r="CK41">
        <v>800</v>
      </c>
      <c r="CL41">
        <v>24</v>
      </c>
      <c r="CM41">
        <v>0.25</v>
      </c>
      <c r="CN41">
        <v>0.13</v>
      </c>
      <c r="CO41">
        <v>-13.2505425</v>
      </c>
      <c r="CP41">
        <v>-7.0267643527204164</v>
      </c>
      <c r="CQ41">
        <v>0.67772528759354256</v>
      </c>
      <c r="CR41">
        <v>-1</v>
      </c>
      <c r="CS41">
        <v>2.4820885000000001</v>
      </c>
      <c r="CT41">
        <v>-0.28055684803001901</v>
      </c>
      <c r="CU41">
        <v>2.8375813164559671E-2</v>
      </c>
      <c r="CV41">
        <v>-1</v>
      </c>
      <c r="CW41">
        <v>0</v>
      </c>
      <c r="CX41">
        <v>0</v>
      </c>
      <c r="CY41" t="s">
        <v>333</v>
      </c>
      <c r="CZ41">
        <v>2.36436</v>
      </c>
      <c r="DA41">
        <v>2.7137099999999998</v>
      </c>
      <c r="DB41">
        <v>0.14529400000000001</v>
      </c>
      <c r="DC41">
        <v>0.14671100000000001</v>
      </c>
      <c r="DD41">
        <v>0.112013</v>
      </c>
      <c r="DE41">
        <v>0.102494</v>
      </c>
      <c r="DF41">
        <v>31209.4</v>
      </c>
      <c r="DG41">
        <v>27504.6</v>
      </c>
      <c r="DH41">
        <v>31173</v>
      </c>
      <c r="DI41">
        <v>28087.1</v>
      </c>
      <c r="DJ41">
        <v>37583.5</v>
      </c>
      <c r="DK41">
        <v>35846.199999999997</v>
      </c>
      <c r="DL41">
        <v>44363.3</v>
      </c>
      <c r="DM41">
        <v>42574.1</v>
      </c>
      <c r="DN41">
        <v>1.4679</v>
      </c>
      <c r="DO41">
        <v>2.0612499999999998</v>
      </c>
      <c r="DP41">
        <v>7.9132599999999997E-2</v>
      </c>
      <c r="DQ41">
        <v>0.18617500000000001</v>
      </c>
      <c r="DR41">
        <v>25.695499999999999</v>
      </c>
      <c r="DS41">
        <v>25.444700000000001</v>
      </c>
      <c r="DT41">
        <v>57.2</v>
      </c>
      <c r="DU41">
        <v>29</v>
      </c>
      <c r="DV41">
        <v>23.164999999999999</v>
      </c>
      <c r="DW41">
        <v>61.384700000000002</v>
      </c>
      <c r="DX41">
        <v>35.020000000000003</v>
      </c>
      <c r="DY41">
        <v>1</v>
      </c>
      <c r="DZ41">
        <v>-8.0790100000000004E-2</v>
      </c>
      <c r="EA41">
        <v>1.0714300000000001</v>
      </c>
      <c r="EB41">
        <v>20.185099999999998</v>
      </c>
      <c r="EC41">
        <v>5.2411000000000003</v>
      </c>
      <c r="ED41">
        <v>12.039899999999999</v>
      </c>
      <c r="EE41">
        <v>5.0175000000000001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1.8646</v>
      </c>
      <c r="EM41">
        <v>1.8692</v>
      </c>
      <c r="EN41">
        <v>1.8672299999999999</v>
      </c>
      <c r="EO41">
        <v>1.8633900000000001</v>
      </c>
      <c r="EP41">
        <v>1.8644700000000001</v>
      </c>
      <c r="EQ41">
        <v>1.87015</v>
      </c>
      <c r="ER41">
        <v>1.8693900000000001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-0.30599999999999999</v>
      </c>
      <c r="FG41">
        <v>0.28149999999999997</v>
      </c>
      <c r="FH41">
        <v>0.23539598422606861</v>
      </c>
      <c r="FI41">
        <v>-6.1462078757559423E-4</v>
      </c>
      <c r="FJ41">
        <v>-1.8861989874597051E-7</v>
      </c>
      <c r="FK41">
        <v>1.1980462299894961E-10</v>
      </c>
      <c r="FL41">
        <v>0.28151999999999688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13.4</v>
      </c>
      <c r="FU41">
        <v>13.6</v>
      </c>
      <c r="FV41">
        <v>1.79565</v>
      </c>
      <c r="FW41">
        <v>2.5866699999999998</v>
      </c>
      <c r="FX41">
        <v>1.5490699999999999</v>
      </c>
      <c r="FY41">
        <v>2.3290999999999999</v>
      </c>
      <c r="FZ41">
        <v>1.50146</v>
      </c>
      <c r="GA41">
        <v>2.36816</v>
      </c>
      <c r="GB41">
        <v>33.6479</v>
      </c>
      <c r="GC41">
        <v>23.973700000000001</v>
      </c>
      <c r="GD41">
        <v>19</v>
      </c>
      <c r="GE41">
        <v>279.7</v>
      </c>
      <c r="GF41">
        <v>604.48900000000003</v>
      </c>
      <c r="GG41">
        <v>23.629300000000001</v>
      </c>
      <c r="GH41">
        <v>26.412400000000002</v>
      </c>
      <c r="GI41">
        <v>30.0001</v>
      </c>
      <c r="GJ41">
        <v>26.430199999999999</v>
      </c>
      <c r="GK41">
        <v>26.381</v>
      </c>
      <c r="GL41">
        <v>35.891100000000002</v>
      </c>
      <c r="GM41">
        <v>18.627199999999998</v>
      </c>
      <c r="GN41">
        <v>100</v>
      </c>
      <c r="GO41">
        <v>23.630199999999999</v>
      </c>
      <c r="GP41">
        <v>800</v>
      </c>
      <c r="GQ41">
        <v>21.009599999999999</v>
      </c>
      <c r="GR41">
        <v>99.741900000000001</v>
      </c>
      <c r="GS41">
        <v>99.592100000000002</v>
      </c>
    </row>
    <row r="42" spans="1:201" x14ac:dyDescent="0.25">
      <c r="A42">
        <v>26</v>
      </c>
      <c r="B42">
        <v>1690301289.5</v>
      </c>
      <c r="C42">
        <v>385.5</v>
      </c>
      <c r="D42" t="s">
        <v>383</v>
      </c>
      <c r="E42" t="s">
        <v>384</v>
      </c>
      <c r="F42" t="s">
        <v>330</v>
      </c>
      <c r="H42">
        <v>1690301289.5</v>
      </c>
      <c r="I42">
        <f t="shared" si="0"/>
        <v>2.2642074559346323E-4</v>
      </c>
      <c r="J42">
        <f t="shared" si="1"/>
        <v>0.22642074559346323</v>
      </c>
      <c r="K42">
        <f t="shared" si="2"/>
        <v>1.2790989234833632</v>
      </c>
      <c r="L42">
        <f t="shared" si="3"/>
        <v>784.10900000000004</v>
      </c>
      <c r="M42">
        <f t="shared" si="4"/>
        <v>610.33485334276668</v>
      </c>
      <c r="N42">
        <f t="shared" si="5"/>
        <v>60.676029544183642</v>
      </c>
      <c r="O42">
        <f t="shared" si="6"/>
        <v>77.951669627395603</v>
      </c>
      <c r="P42">
        <f t="shared" si="7"/>
        <v>1.3270104831511028E-2</v>
      </c>
      <c r="Q42">
        <f t="shared" si="8"/>
        <v>2.1157494393125238</v>
      </c>
      <c r="R42">
        <f t="shared" si="9"/>
        <v>1.3224038780417448E-2</v>
      </c>
      <c r="S42">
        <f t="shared" si="10"/>
        <v>8.2691496957760756E-3</v>
      </c>
      <c r="T42">
        <f t="shared" si="11"/>
        <v>276.11402765665764</v>
      </c>
      <c r="U42">
        <f t="shared" si="12"/>
        <v>28.808195830190634</v>
      </c>
      <c r="V42">
        <f t="shared" si="13"/>
        <v>28.808195830190634</v>
      </c>
      <c r="W42">
        <f t="shared" si="14"/>
        <v>3.9773511593556217</v>
      </c>
      <c r="X42">
        <f t="shared" si="15"/>
        <v>66.271655530529756</v>
      </c>
      <c r="Y42">
        <f t="shared" si="16"/>
        <v>2.3291783000835999</v>
      </c>
      <c r="Z42">
        <f t="shared" si="17"/>
        <v>3.5145919947791309</v>
      </c>
      <c r="AA42">
        <f t="shared" si="18"/>
        <v>1.6481728592720217</v>
      </c>
      <c r="AB42">
        <f t="shared" si="19"/>
        <v>-9.985154880671729</v>
      </c>
      <c r="AC42">
        <f t="shared" si="20"/>
        <v>-241.56486454648186</v>
      </c>
      <c r="AD42">
        <f t="shared" si="21"/>
        <v>-24.825613529174717</v>
      </c>
      <c r="AE42">
        <f t="shared" si="22"/>
        <v>-0.26160529967066282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52502.732565783845</v>
      </c>
      <c r="AK42">
        <f t="shared" si="26"/>
        <v>1799.99</v>
      </c>
      <c r="AL42">
        <f t="shared" si="27"/>
        <v>1499.1025988059603</v>
      </c>
      <c r="AM42">
        <f t="shared" si="28"/>
        <v>0.83283940400000012</v>
      </c>
      <c r="AN42">
        <f t="shared" si="29"/>
        <v>0.15339753424000002</v>
      </c>
      <c r="AO42">
        <v>32.700000000000003</v>
      </c>
      <c r="AP42">
        <v>0.5</v>
      </c>
      <c r="AQ42" t="s">
        <v>331</v>
      </c>
      <c r="AR42">
        <v>2</v>
      </c>
      <c r="AS42">
        <v>1690301289.5</v>
      </c>
      <c r="AT42">
        <v>784.10900000000004</v>
      </c>
      <c r="AU42">
        <v>799.98</v>
      </c>
      <c r="AV42">
        <v>23.428999999999998</v>
      </c>
      <c r="AW42">
        <v>21.0198</v>
      </c>
      <c r="AX42">
        <v>784.41399999999999</v>
      </c>
      <c r="AY42">
        <v>23.147500000000001</v>
      </c>
      <c r="AZ42">
        <v>300.12</v>
      </c>
      <c r="BA42">
        <v>99.314400000000006</v>
      </c>
      <c r="BB42">
        <v>9.9928400000000001E-2</v>
      </c>
      <c r="BC42">
        <v>26.6904</v>
      </c>
      <c r="BD42">
        <v>26.980399999999999</v>
      </c>
      <c r="BE42">
        <v>28.474499999999999</v>
      </c>
      <c r="BF42">
        <v>0</v>
      </c>
      <c r="BG42">
        <v>0</v>
      </c>
      <c r="BH42">
        <v>9986.8799999999992</v>
      </c>
      <c r="BI42">
        <v>1076.3800000000001</v>
      </c>
      <c r="BJ42">
        <v>2.0183800000000001</v>
      </c>
      <c r="BK42">
        <v>-15.8713</v>
      </c>
      <c r="BL42">
        <v>802.92100000000005</v>
      </c>
      <c r="BM42">
        <v>817.15700000000004</v>
      </c>
      <c r="BN42">
        <v>2.4091399999999998</v>
      </c>
      <c r="BO42">
        <v>799.98</v>
      </c>
      <c r="BP42">
        <v>21.0198</v>
      </c>
      <c r="BQ42">
        <v>2.3268399999999998</v>
      </c>
      <c r="BR42">
        <v>2.0875699999999999</v>
      </c>
      <c r="BS42">
        <v>19.863399999999999</v>
      </c>
      <c r="BT42">
        <v>18.124700000000001</v>
      </c>
      <c r="BU42">
        <v>1799.99</v>
      </c>
      <c r="BV42">
        <v>0.90999300000000005</v>
      </c>
      <c r="BW42">
        <v>3.4002200000000003E-2</v>
      </c>
      <c r="BX42">
        <v>2.2001199999999999E-2</v>
      </c>
      <c r="BY42">
        <v>3.4003600000000002E-2</v>
      </c>
      <c r="BZ42">
        <v>25</v>
      </c>
      <c r="CA42">
        <v>33528.1</v>
      </c>
      <c r="CB42">
        <v>1690300477.5</v>
      </c>
      <c r="CC42" t="s">
        <v>332</v>
      </c>
      <c r="CD42">
        <v>1690300477.5</v>
      </c>
      <c r="CE42">
        <v>1690300465.5</v>
      </c>
      <c r="CF42">
        <v>7</v>
      </c>
      <c r="CG42">
        <v>5.0999999999999997E-2</v>
      </c>
      <c r="CH42">
        <v>-8.0000000000000002E-3</v>
      </c>
      <c r="CI42">
        <v>-0.316</v>
      </c>
      <c r="CJ42">
        <v>0.28199999999999997</v>
      </c>
      <c r="CK42">
        <v>800</v>
      </c>
      <c r="CL42">
        <v>24</v>
      </c>
      <c r="CM42">
        <v>0.25</v>
      </c>
      <c r="CN42">
        <v>0.13</v>
      </c>
      <c r="CO42">
        <v>-14.4552975</v>
      </c>
      <c r="CP42">
        <v>-7.5444101313320564</v>
      </c>
      <c r="CQ42">
        <v>0.72656070513326687</v>
      </c>
      <c r="CR42">
        <v>-1</v>
      </c>
      <c r="CS42">
        <v>2.4379654999999998</v>
      </c>
      <c r="CT42">
        <v>-0.2256078799249561</v>
      </c>
      <c r="CU42">
        <v>2.196897766738359E-2</v>
      </c>
      <c r="CV42">
        <v>-1</v>
      </c>
      <c r="CW42">
        <v>0</v>
      </c>
      <c r="CX42">
        <v>0</v>
      </c>
      <c r="CY42" t="s">
        <v>333</v>
      </c>
      <c r="CZ42">
        <v>2.3641299999999998</v>
      </c>
      <c r="DA42">
        <v>2.7137099999999998</v>
      </c>
      <c r="DB42">
        <v>0.14513499999999999</v>
      </c>
      <c r="DC42">
        <v>0.14671100000000001</v>
      </c>
      <c r="DD42">
        <v>0.111901</v>
      </c>
      <c r="DE42">
        <v>0.102451</v>
      </c>
      <c r="DF42">
        <v>31215.4</v>
      </c>
      <c r="DG42">
        <v>27504.5</v>
      </c>
      <c r="DH42">
        <v>31173.200000000001</v>
      </c>
      <c r="DI42">
        <v>28087</v>
      </c>
      <c r="DJ42">
        <v>37588.5</v>
      </c>
      <c r="DK42">
        <v>35847.699999999997</v>
      </c>
      <c r="DL42">
        <v>44363.6</v>
      </c>
      <c r="DM42">
        <v>42573.8</v>
      </c>
      <c r="DN42">
        <v>1.4675499999999999</v>
      </c>
      <c r="DO42">
        <v>2.0613299999999999</v>
      </c>
      <c r="DP42">
        <v>7.9229499999999994E-2</v>
      </c>
      <c r="DQ42">
        <v>0.18622</v>
      </c>
      <c r="DR42">
        <v>25.683299999999999</v>
      </c>
      <c r="DS42">
        <v>25.428799999999999</v>
      </c>
      <c r="DT42">
        <v>57.2</v>
      </c>
      <c r="DU42">
        <v>29</v>
      </c>
      <c r="DV42">
        <v>23.1647</v>
      </c>
      <c r="DW42">
        <v>61.8247</v>
      </c>
      <c r="DX42">
        <v>35.5929</v>
      </c>
      <c r="DY42">
        <v>1</v>
      </c>
      <c r="DZ42">
        <v>-8.0754599999999996E-2</v>
      </c>
      <c r="EA42">
        <v>0.71896199999999999</v>
      </c>
      <c r="EB42">
        <v>20.1874</v>
      </c>
      <c r="EC42">
        <v>5.2409499999999998</v>
      </c>
      <c r="ED42">
        <v>12.039899999999999</v>
      </c>
      <c r="EE42">
        <v>5.0172999999999996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</v>
      </c>
      <c r="EL42">
        <v>1.8646199999999999</v>
      </c>
      <c r="EM42">
        <v>1.8692</v>
      </c>
      <c r="EN42">
        <v>1.8672299999999999</v>
      </c>
      <c r="EO42">
        <v>1.86338</v>
      </c>
      <c r="EP42">
        <v>1.8644700000000001</v>
      </c>
      <c r="EQ42">
        <v>1.87016</v>
      </c>
      <c r="ER42">
        <v>1.8693599999999999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-0.30499999999999999</v>
      </c>
      <c r="FG42">
        <v>0.28149999999999997</v>
      </c>
      <c r="FH42">
        <v>0.23539598422606861</v>
      </c>
      <c r="FI42">
        <v>-6.1462078757559423E-4</v>
      </c>
      <c r="FJ42">
        <v>-1.8861989874597051E-7</v>
      </c>
      <c r="FK42">
        <v>1.1980462299894961E-10</v>
      </c>
      <c r="FL42">
        <v>0.28151999999999688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13.5</v>
      </c>
      <c r="FU42">
        <v>13.7</v>
      </c>
      <c r="FV42">
        <v>1.79565</v>
      </c>
      <c r="FW42">
        <v>2.5878899999999998</v>
      </c>
      <c r="FX42">
        <v>1.5490699999999999</v>
      </c>
      <c r="FY42">
        <v>2.3290999999999999</v>
      </c>
      <c r="FZ42">
        <v>1.50146</v>
      </c>
      <c r="GA42">
        <v>2.3779300000000001</v>
      </c>
      <c r="GB42">
        <v>33.6479</v>
      </c>
      <c r="GC42">
        <v>23.982399999999998</v>
      </c>
      <c r="GD42">
        <v>19</v>
      </c>
      <c r="GE42">
        <v>279.56700000000001</v>
      </c>
      <c r="GF42">
        <v>604.60400000000004</v>
      </c>
      <c r="GG42">
        <v>23.696999999999999</v>
      </c>
      <c r="GH42">
        <v>26.4132</v>
      </c>
      <c r="GI42">
        <v>30.0001</v>
      </c>
      <c r="GJ42">
        <v>26.433800000000002</v>
      </c>
      <c r="GK42">
        <v>26.385300000000001</v>
      </c>
      <c r="GL42">
        <v>35.8934</v>
      </c>
      <c r="GM42">
        <v>18.627199999999998</v>
      </c>
      <c r="GN42">
        <v>100</v>
      </c>
      <c r="GO42">
        <v>23.7315</v>
      </c>
      <c r="GP42">
        <v>800</v>
      </c>
      <c r="GQ42">
        <v>20.9604</v>
      </c>
      <c r="GR42">
        <v>99.742599999999996</v>
      </c>
      <c r="GS42">
        <v>99.591499999999996</v>
      </c>
    </row>
    <row r="43" spans="1:201" x14ac:dyDescent="0.25">
      <c r="A43">
        <v>27</v>
      </c>
      <c r="B43">
        <v>1690301299.5</v>
      </c>
      <c r="C43">
        <v>395.5</v>
      </c>
      <c r="D43" t="s">
        <v>385</v>
      </c>
      <c r="E43" t="s">
        <v>386</v>
      </c>
      <c r="F43" t="s">
        <v>330</v>
      </c>
      <c r="H43">
        <v>1690301299.5</v>
      </c>
      <c r="I43">
        <f t="shared" si="0"/>
        <v>2.2757455669965605E-4</v>
      </c>
      <c r="J43">
        <f t="shared" si="1"/>
        <v>0.22757455669965604</v>
      </c>
      <c r="K43">
        <f t="shared" si="2"/>
        <v>1.4004394807941056</v>
      </c>
      <c r="L43">
        <f t="shared" si="3"/>
        <v>782.80499999999995</v>
      </c>
      <c r="M43">
        <f t="shared" si="4"/>
        <v>595.73795154567517</v>
      </c>
      <c r="N43">
        <f t="shared" si="5"/>
        <v>59.225457225474976</v>
      </c>
      <c r="O43">
        <f t="shared" si="6"/>
        <v>77.822780843656489</v>
      </c>
      <c r="P43">
        <f t="shared" si="7"/>
        <v>1.3359704134207222E-2</v>
      </c>
      <c r="Q43">
        <f t="shared" si="8"/>
        <v>2.1164076116101733</v>
      </c>
      <c r="R43">
        <f t="shared" si="9"/>
        <v>1.3313029556444953E-2</v>
      </c>
      <c r="S43">
        <f t="shared" si="10"/>
        <v>8.324823341183285E-3</v>
      </c>
      <c r="T43">
        <f t="shared" si="11"/>
        <v>276.11361227296533</v>
      </c>
      <c r="U43">
        <f t="shared" si="12"/>
        <v>28.796810226704071</v>
      </c>
      <c r="V43">
        <f t="shared" si="13"/>
        <v>28.796810226704071</v>
      </c>
      <c r="W43">
        <f t="shared" si="14"/>
        <v>3.9747277744199421</v>
      </c>
      <c r="X43">
        <f t="shared" si="15"/>
        <v>66.312597041809653</v>
      </c>
      <c r="Y43">
        <f t="shared" si="16"/>
        <v>2.3291907309073698</v>
      </c>
      <c r="Z43">
        <f t="shared" si="17"/>
        <v>3.5124408254420056</v>
      </c>
      <c r="AA43">
        <f t="shared" si="18"/>
        <v>1.6455370435125722</v>
      </c>
      <c r="AB43">
        <f t="shared" si="19"/>
        <v>-10.036037950454832</v>
      </c>
      <c r="AC43">
        <f t="shared" si="20"/>
        <v>-241.52755398276122</v>
      </c>
      <c r="AD43">
        <f t="shared" si="21"/>
        <v>-24.811363529331139</v>
      </c>
      <c r="AE43">
        <f t="shared" si="22"/>
        <v>-0.26134318958187919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52533.429261034187</v>
      </c>
      <c r="AK43">
        <f t="shared" si="26"/>
        <v>1799.99</v>
      </c>
      <c r="AL43">
        <f t="shared" si="27"/>
        <v>1499.1044581956301</v>
      </c>
      <c r="AM43">
        <f t="shared" si="28"/>
        <v>0.83284043699999999</v>
      </c>
      <c r="AN43">
        <f t="shared" si="29"/>
        <v>0.15339730347000002</v>
      </c>
      <c r="AO43">
        <v>32.700000000000003</v>
      </c>
      <c r="AP43">
        <v>0.5</v>
      </c>
      <c r="AQ43" t="s">
        <v>331</v>
      </c>
      <c r="AR43">
        <v>2</v>
      </c>
      <c r="AS43">
        <v>1690301299.5</v>
      </c>
      <c r="AT43">
        <v>782.80499999999995</v>
      </c>
      <c r="AU43">
        <v>800.00699999999995</v>
      </c>
      <c r="AV43">
        <v>23.428899999999999</v>
      </c>
      <c r="AW43">
        <v>21.007100000000001</v>
      </c>
      <c r="AX43">
        <v>783.10900000000004</v>
      </c>
      <c r="AY43">
        <v>23.147300000000001</v>
      </c>
      <c r="AZ43">
        <v>300.08</v>
      </c>
      <c r="BA43">
        <v>99.315399999999997</v>
      </c>
      <c r="BB43">
        <v>9.9883299999999994E-2</v>
      </c>
      <c r="BC43">
        <v>26.68</v>
      </c>
      <c r="BD43">
        <v>26.954499999999999</v>
      </c>
      <c r="BE43">
        <v>28.4587</v>
      </c>
      <c r="BF43">
        <v>0</v>
      </c>
      <c r="BG43">
        <v>0</v>
      </c>
      <c r="BH43">
        <v>9992.5</v>
      </c>
      <c r="BI43">
        <v>1076.24</v>
      </c>
      <c r="BJ43">
        <v>2.0183800000000001</v>
      </c>
      <c r="BK43">
        <v>-17.2011</v>
      </c>
      <c r="BL43">
        <v>801.58600000000001</v>
      </c>
      <c r="BM43">
        <v>817.173</v>
      </c>
      <c r="BN43">
        <v>2.4217599999999999</v>
      </c>
      <c r="BO43">
        <v>800.00699999999995</v>
      </c>
      <c r="BP43">
        <v>21.007100000000001</v>
      </c>
      <c r="BQ43">
        <v>2.3268499999999999</v>
      </c>
      <c r="BR43">
        <v>2.0863299999999998</v>
      </c>
      <c r="BS43">
        <v>19.863499999999998</v>
      </c>
      <c r="BT43">
        <v>18.115200000000002</v>
      </c>
      <c r="BU43">
        <v>1799.99</v>
      </c>
      <c r="BV43">
        <v>0.91000400000000004</v>
      </c>
      <c r="BW43">
        <v>3.3998100000000003E-2</v>
      </c>
      <c r="BX43">
        <v>2.19986E-2</v>
      </c>
      <c r="BY43">
        <v>3.3999500000000002E-2</v>
      </c>
      <c r="BZ43">
        <v>25</v>
      </c>
      <c r="CA43">
        <v>33528.199999999997</v>
      </c>
      <c r="CB43">
        <v>1690300477.5</v>
      </c>
      <c r="CC43" t="s">
        <v>332</v>
      </c>
      <c r="CD43">
        <v>1690300477.5</v>
      </c>
      <c r="CE43">
        <v>1690300465.5</v>
      </c>
      <c r="CF43">
        <v>7</v>
      </c>
      <c r="CG43">
        <v>5.0999999999999997E-2</v>
      </c>
      <c r="CH43">
        <v>-8.0000000000000002E-3</v>
      </c>
      <c r="CI43">
        <v>-0.316</v>
      </c>
      <c r="CJ43">
        <v>0.28199999999999997</v>
      </c>
      <c r="CK43">
        <v>800</v>
      </c>
      <c r="CL43">
        <v>24</v>
      </c>
      <c r="CM43">
        <v>0.25</v>
      </c>
      <c r="CN43">
        <v>0.13</v>
      </c>
      <c r="CO43">
        <v>-15.754136585365851</v>
      </c>
      <c r="CP43">
        <v>-7.7235428571428546</v>
      </c>
      <c r="CQ43">
        <v>0.76176073631634389</v>
      </c>
      <c r="CR43">
        <v>-1</v>
      </c>
      <c r="CS43">
        <v>2.416363902439024</v>
      </c>
      <c r="CT43">
        <v>-3.5038536585362323E-2</v>
      </c>
      <c r="CU43">
        <v>6.5160922293734692E-3</v>
      </c>
      <c r="CV43">
        <v>-1</v>
      </c>
      <c r="CW43">
        <v>0</v>
      </c>
      <c r="CX43">
        <v>0</v>
      </c>
      <c r="CY43" t="s">
        <v>333</v>
      </c>
      <c r="CZ43">
        <v>2.3639800000000002</v>
      </c>
      <c r="DA43">
        <v>2.71367</v>
      </c>
      <c r="DB43">
        <v>0.14497299999999999</v>
      </c>
      <c r="DC43">
        <v>0.14671400000000001</v>
      </c>
      <c r="DD43">
        <v>0.111901</v>
      </c>
      <c r="DE43">
        <v>0.102407</v>
      </c>
      <c r="DF43">
        <v>31221</v>
      </c>
      <c r="DG43">
        <v>27504.5</v>
      </c>
      <c r="DH43">
        <v>31172.9</v>
      </c>
      <c r="DI43">
        <v>28087.1</v>
      </c>
      <c r="DJ43">
        <v>37588.300000000003</v>
      </c>
      <c r="DK43">
        <v>35849.599999999999</v>
      </c>
      <c r="DL43">
        <v>44363.4</v>
      </c>
      <c r="DM43">
        <v>42573.9</v>
      </c>
      <c r="DN43">
        <v>1.4678</v>
      </c>
      <c r="DO43">
        <v>2.06115</v>
      </c>
      <c r="DP43">
        <v>7.8462100000000007E-2</v>
      </c>
      <c r="DQ43">
        <v>0.18620500000000001</v>
      </c>
      <c r="DR43">
        <v>25.669899999999998</v>
      </c>
      <c r="DS43">
        <v>25.4131</v>
      </c>
      <c r="DT43">
        <v>57.2</v>
      </c>
      <c r="DU43">
        <v>29</v>
      </c>
      <c r="DV43">
        <v>23.1572</v>
      </c>
      <c r="DW43">
        <v>61.784700000000001</v>
      </c>
      <c r="DX43">
        <v>36.149799999999999</v>
      </c>
      <c r="DY43">
        <v>1</v>
      </c>
      <c r="DZ43">
        <v>-8.0249000000000001E-2</v>
      </c>
      <c r="EA43">
        <v>0.78706200000000004</v>
      </c>
      <c r="EB43">
        <v>20.187000000000001</v>
      </c>
      <c r="EC43">
        <v>5.2408000000000001</v>
      </c>
      <c r="ED43">
        <v>12.039899999999999</v>
      </c>
      <c r="EE43">
        <v>5.0172999999999996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1.8689100000000001</v>
      </c>
      <c r="EL43">
        <v>1.8646199999999999</v>
      </c>
      <c r="EM43">
        <v>1.8692</v>
      </c>
      <c r="EN43">
        <v>1.8672299999999999</v>
      </c>
      <c r="EO43">
        <v>1.8633999999999999</v>
      </c>
      <c r="EP43">
        <v>1.8644700000000001</v>
      </c>
      <c r="EQ43">
        <v>1.87018</v>
      </c>
      <c r="ER43">
        <v>1.86938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-0.30399999999999999</v>
      </c>
      <c r="FG43">
        <v>0.28160000000000002</v>
      </c>
      <c r="FH43">
        <v>0.23539598422606861</v>
      </c>
      <c r="FI43">
        <v>-6.1462078757559423E-4</v>
      </c>
      <c r="FJ43">
        <v>-1.8861989874597051E-7</v>
      </c>
      <c r="FK43">
        <v>1.1980462299894961E-10</v>
      </c>
      <c r="FL43">
        <v>0.28151999999999688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13.7</v>
      </c>
      <c r="FU43">
        <v>13.9</v>
      </c>
      <c r="FV43">
        <v>1.79565</v>
      </c>
      <c r="FW43">
        <v>2.5842299999999998</v>
      </c>
      <c r="FX43">
        <v>1.5490699999999999</v>
      </c>
      <c r="FY43">
        <v>2.3290999999999999</v>
      </c>
      <c r="FZ43">
        <v>1.50146</v>
      </c>
      <c r="GA43">
        <v>2.3974600000000001</v>
      </c>
      <c r="GB43">
        <v>33.6479</v>
      </c>
      <c r="GC43">
        <v>23.982399999999998</v>
      </c>
      <c r="GD43">
        <v>19</v>
      </c>
      <c r="GE43">
        <v>279.68700000000001</v>
      </c>
      <c r="GF43">
        <v>604.48800000000006</v>
      </c>
      <c r="GG43">
        <v>23.753299999999999</v>
      </c>
      <c r="GH43">
        <v>26.4132</v>
      </c>
      <c r="GI43">
        <v>30.0002</v>
      </c>
      <c r="GJ43">
        <v>26.436900000000001</v>
      </c>
      <c r="GK43">
        <v>26.388200000000001</v>
      </c>
      <c r="GL43">
        <v>35.890900000000002</v>
      </c>
      <c r="GM43">
        <v>18.903500000000001</v>
      </c>
      <c r="GN43">
        <v>100</v>
      </c>
      <c r="GO43">
        <v>23.754200000000001</v>
      </c>
      <c r="GP43">
        <v>800</v>
      </c>
      <c r="GQ43">
        <v>20.897400000000001</v>
      </c>
      <c r="GR43">
        <v>99.741799999999998</v>
      </c>
      <c r="GS43">
        <v>99.591899999999995</v>
      </c>
    </row>
    <row r="44" spans="1:201" x14ac:dyDescent="0.25">
      <c r="A44">
        <v>28</v>
      </c>
      <c r="B44">
        <v>1690301309.5</v>
      </c>
      <c r="C44">
        <v>405.5</v>
      </c>
      <c r="D44" t="s">
        <v>387</v>
      </c>
      <c r="E44" t="s">
        <v>388</v>
      </c>
      <c r="F44" t="s">
        <v>330</v>
      </c>
      <c r="H44">
        <v>1690301309.5</v>
      </c>
      <c r="I44">
        <f t="shared" si="0"/>
        <v>2.3656670723108805E-4</v>
      </c>
      <c r="J44">
        <f t="shared" si="1"/>
        <v>0.23656670723108805</v>
      </c>
      <c r="K44">
        <f t="shared" si="2"/>
        <v>1.5124751557356109</v>
      </c>
      <c r="L44">
        <f t="shared" si="3"/>
        <v>781.59</v>
      </c>
      <c r="M44">
        <f t="shared" si="4"/>
        <v>588.3471387164974</v>
      </c>
      <c r="N44">
        <f t="shared" si="5"/>
        <v>58.490374177492271</v>
      </c>
      <c r="O44">
        <f t="shared" si="6"/>
        <v>77.701561790742005</v>
      </c>
      <c r="P44">
        <f t="shared" si="7"/>
        <v>1.3907823290394042E-2</v>
      </c>
      <c r="Q44">
        <f t="shared" si="8"/>
        <v>2.1192040285674874</v>
      </c>
      <c r="R44">
        <f t="shared" si="9"/>
        <v>1.3857314538293822E-2</v>
      </c>
      <c r="S44">
        <f t="shared" si="10"/>
        <v>8.6653442389720836E-3</v>
      </c>
      <c r="T44">
        <f t="shared" si="11"/>
        <v>276.111505420296</v>
      </c>
      <c r="U44">
        <f t="shared" si="12"/>
        <v>28.785517499206311</v>
      </c>
      <c r="V44">
        <f t="shared" si="13"/>
        <v>28.785517499206311</v>
      </c>
      <c r="W44">
        <f t="shared" si="14"/>
        <v>3.9721272799589742</v>
      </c>
      <c r="X44">
        <f t="shared" si="15"/>
        <v>66.321639279962739</v>
      </c>
      <c r="Y44">
        <f t="shared" si="16"/>
        <v>2.3287404318980998</v>
      </c>
      <c r="Z44">
        <f t="shared" si="17"/>
        <v>3.5112829797041289</v>
      </c>
      <c r="AA44">
        <f t="shared" si="18"/>
        <v>1.6433868480608744</v>
      </c>
      <c r="AB44">
        <f t="shared" si="19"/>
        <v>-10.432591788890983</v>
      </c>
      <c r="AC44">
        <f t="shared" si="20"/>
        <v>-241.19628808485561</v>
      </c>
      <c r="AD44">
        <f t="shared" si="21"/>
        <v>-24.742551988550829</v>
      </c>
      <c r="AE44">
        <f t="shared" si="22"/>
        <v>-0.25992644200141513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52657.10920249085</v>
      </c>
      <c r="AK44">
        <f t="shared" si="26"/>
        <v>1799.98</v>
      </c>
      <c r="AL44">
        <f t="shared" si="27"/>
        <v>1499.0969991816</v>
      </c>
      <c r="AM44">
        <f t="shared" si="28"/>
        <v>0.83284091999999998</v>
      </c>
      <c r="AN44">
        <f t="shared" si="29"/>
        <v>0.1533969852</v>
      </c>
      <c r="AO44">
        <v>32.700000000000003</v>
      </c>
      <c r="AP44">
        <v>0.5</v>
      </c>
      <c r="AQ44" t="s">
        <v>331</v>
      </c>
      <c r="AR44">
        <v>2</v>
      </c>
      <c r="AS44">
        <v>1690301309.5</v>
      </c>
      <c r="AT44">
        <v>781.59</v>
      </c>
      <c r="AU44">
        <v>800.08199999999999</v>
      </c>
      <c r="AV44">
        <v>23.424499999999998</v>
      </c>
      <c r="AW44">
        <v>20.907599999999999</v>
      </c>
      <c r="AX44">
        <v>781.89400000000001</v>
      </c>
      <c r="AY44">
        <v>23.143000000000001</v>
      </c>
      <c r="AZ44">
        <v>300.15199999999999</v>
      </c>
      <c r="BA44">
        <v>99.314800000000005</v>
      </c>
      <c r="BB44">
        <v>9.9933800000000003E-2</v>
      </c>
      <c r="BC44">
        <v>26.674399999999999</v>
      </c>
      <c r="BD44">
        <v>26.9467</v>
      </c>
      <c r="BE44">
        <v>28.4482</v>
      </c>
      <c r="BF44">
        <v>0</v>
      </c>
      <c r="BG44">
        <v>0</v>
      </c>
      <c r="BH44">
        <v>10016.9</v>
      </c>
      <c r="BI44">
        <v>1076.0999999999999</v>
      </c>
      <c r="BJ44">
        <v>2.0183800000000001</v>
      </c>
      <c r="BK44">
        <v>-18.491299999999999</v>
      </c>
      <c r="BL44">
        <v>800.33799999999997</v>
      </c>
      <c r="BM44">
        <v>817.16700000000003</v>
      </c>
      <c r="BN44">
        <v>2.5169000000000001</v>
      </c>
      <c r="BO44">
        <v>800.08199999999999</v>
      </c>
      <c r="BP44">
        <v>20.907599999999999</v>
      </c>
      <c r="BQ44">
        <v>2.3264</v>
      </c>
      <c r="BR44">
        <v>2.0764399999999998</v>
      </c>
      <c r="BS44">
        <v>19.860399999999998</v>
      </c>
      <c r="BT44">
        <v>18.0396</v>
      </c>
      <c r="BU44">
        <v>1799.98</v>
      </c>
      <c r="BV44">
        <v>0.91001399999999999</v>
      </c>
      <c r="BW44">
        <v>3.3994200000000002E-2</v>
      </c>
      <c r="BX44">
        <v>2.1996000000000002E-2</v>
      </c>
      <c r="BY44">
        <v>3.3995600000000001E-2</v>
      </c>
      <c r="BZ44">
        <v>25</v>
      </c>
      <c r="CA44">
        <v>33528.199999999997</v>
      </c>
      <c r="CB44">
        <v>1690300477.5</v>
      </c>
      <c r="CC44" t="s">
        <v>332</v>
      </c>
      <c r="CD44">
        <v>1690300477.5</v>
      </c>
      <c r="CE44">
        <v>1690300465.5</v>
      </c>
      <c r="CF44">
        <v>7</v>
      </c>
      <c r="CG44">
        <v>5.0999999999999997E-2</v>
      </c>
      <c r="CH44">
        <v>-8.0000000000000002E-3</v>
      </c>
      <c r="CI44">
        <v>-0.316</v>
      </c>
      <c r="CJ44">
        <v>0.28199999999999997</v>
      </c>
      <c r="CK44">
        <v>800</v>
      </c>
      <c r="CL44">
        <v>24</v>
      </c>
      <c r="CM44">
        <v>0.25</v>
      </c>
      <c r="CN44">
        <v>0.13</v>
      </c>
      <c r="CO44">
        <v>-17.039635000000001</v>
      </c>
      <c r="CP44">
        <v>-8.0883939962476088</v>
      </c>
      <c r="CQ44">
        <v>0.77825360151752609</v>
      </c>
      <c r="CR44">
        <v>-1</v>
      </c>
      <c r="CS44">
        <v>2.4303735</v>
      </c>
      <c r="CT44">
        <v>0.21115834896810279</v>
      </c>
      <c r="CU44">
        <v>2.2134812801331751E-2</v>
      </c>
      <c r="CV44">
        <v>-1</v>
      </c>
      <c r="CW44">
        <v>0</v>
      </c>
      <c r="CX44">
        <v>0</v>
      </c>
      <c r="CY44" t="s">
        <v>333</v>
      </c>
      <c r="CZ44">
        <v>2.3642099999999999</v>
      </c>
      <c r="DA44">
        <v>2.71374</v>
      </c>
      <c r="DB44">
        <v>0.14482400000000001</v>
      </c>
      <c r="DC44">
        <v>0.14672299999999999</v>
      </c>
      <c r="DD44">
        <v>0.111887</v>
      </c>
      <c r="DE44">
        <v>0.102066</v>
      </c>
      <c r="DF44">
        <v>31226.400000000001</v>
      </c>
      <c r="DG44">
        <v>27504.3</v>
      </c>
      <c r="DH44">
        <v>31172.9</v>
      </c>
      <c r="DI44">
        <v>28087.200000000001</v>
      </c>
      <c r="DJ44">
        <v>37588.800000000003</v>
      </c>
      <c r="DK44">
        <v>35863.300000000003</v>
      </c>
      <c r="DL44">
        <v>44363.3</v>
      </c>
      <c r="DM44">
        <v>42574</v>
      </c>
      <c r="DN44">
        <v>1.46767</v>
      </c>
      <c r="DO44">
        <v>2.06088</v>
      </c>
      <c r="DP44">
        <v>7.8901600000000002E-2</v>
      </c>
      <c r="DQ44">
        <v>0.186503</v>
      </c>
      <c r="DR44">
        <v>25.654900000000001</v>
      </c>
      <c r="DS44">
        <v>25.3977</v>
      </c>
      <c r="DT44">
        <v>57.2</v>
      </c>
      <c r="DU44">
        <v>29</v>
      </c>
      <c r="DV44">
        <v>23.161799999999999</v>
      </c>
      <c r="DW44">
        <v>61.804699999999997</v>
      </c>
      <c r="DX44">
        <v>35.164299999999997</v>
      </c>
      <c r="DY44">
        <v>1</v>
      </c>
      <c r="DZ44">
        <v>-8.0299800000000005E-2</v>
      </c>
      <c r="EA44">
        <v>0.77741800000000005</v>
      </c>
      <c r="EB44">
        <v>20.187200000000001</v>
      </c>
      <c r="EC44">
        <v>5.2409499999999998</v>
      </c>
      <c r="ED44">
        <v>12.039899999999999</v>
      </c>
      <c r="EE44">
        <v>5.0171000000000001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1.8689199999999999</v>
      </c>
      <c r="EL44">
        <v>1.8646199999999999</v>
      </c>
      <c r="EM44">
        <v>1.8692</v>
      </c>
      <c r="EN44">
        <v>1.8672200000000001</v>
      </c>
      <c r="EO44">
        <v>1.8633900000000001</v>
      </c>
      <c r="EP44">
        <v>1.8644700000000001</v>
      </c>
      <c r="EQ44">
        <v>1.87018</v>
      </c>
      <c r="ER44">
        <v>1.86938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-0.30399999999999999</v>
      </c>
      <c r="FG44">
        <v>0.28149999999999997</v>
      </c>
      <c r="FH44">
        <v>0.23539598422606861</v>
      </c>
      <c r="FI44">
        <v>-6.1462078757559423E-4</v>
      </c>
      <c r="FJ44">
        <v>-1.8861989874597051E-7</v>
      </c>
      <c r="FK44">
        <v>1.1980462299894961E-10</v>
      </c>
      <c r="FL44">
        <v>0.28151999999999688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13.9</v>
      </c>
      <c r="FU44">
        <v>14.1</v>
      </c>
      <c r="FV44">
        <v>1.79443</v>
      </c>
      <c r="FW44">
        <v>2.5878899999999998</v>
      </c>
      <c r="FX44">
        <v>1.5490699999999999</v>
      </c>
      <c r="FY44">
        <v>2.3290999999999999</v>
      </c>
      <c r="FZ44">
        <v>1.50146</v>
      </c>
      <c r="GA44">
        <v>2.36816</v>
      </c>
      <c r="GB44">
        <v>33.6479</v>
      </c>
      <c r="GC44">
        <v>23.973700000000001</v>
      </c>
      <c r="GD44">
        <v>19</v>
      </c>
      <c r="GE44">
        <v>279.64299999999997</v>
      </c>
      <c r="GF44">
        <v>604.28599999999994</v>
      </c>
      <c r="GG44">
        <v>23.7834</v>
      </c>
      <c r="GH44">
        <v>26.4132</v>
      </c>
      <c r="GI44">
        <v>30.0001</v>
      </c>
      <c r="GJ44">
        <v>26.4391</v>
      </c>
      <c r="GK44">
        <v>26.390999999999998</v>
      </c>
      <c r="GL44">
        <v>35.883400000000002</v>
      </c>
      <c r="GM44">
        <v>19.2118</v>
      </c>
      <c r="GN44">
        <v>100</v>
      </c>
      <c r="GO44">
        <v>23.781700000000001</v>
      </c>
      <c r="GP44">
        <v>800</v>
      </c>
      <c r="GQ44">
        <v>20.8352</v>
      </c>
      <c r="GR44">
        <v>99.741699999999994</v>
      </c>
      <c r="GS44">
        <v>99.592200000000005</v>
      </c>
    </row>
    <row r="45" spans="1:201" x14ac:dyDescent="0.25">
      <c r="A45">
        <v>29</v>
      </c>
      <c r="B45">
        <v>1690301319.5</v>
      </c>
      <c r="C45">
        <v>415.5</v>
      </c>
      <c r="D45" t="s">
        <v>389</v>
      </c>
      <c r="E45" t="s">
        <v>390</v>
      </c>
      <c r="F45" t="s">
        <v>330</v>
      </c>
      <c r="H45">
        <v>1690301319.5</v>
      </c>
      <c r="I45">
        <f t="shared" si="0"/>
        <v>2.3834087286508557E-4</v>
      </c>
      <c r="J45">
        <f t="shared" si="1"/>
        <v>0.23834087286508557</v>
      </c>
      <c r="K45">
        <f t="shared" si="2"/>
        <v>1.6240010316201809</v>
      </c>
      <c r="L45">
        <f t="shared" si="3"/>
        <v>780.29700000000003</v>
      </c>
      <c r="M45">
        <f t="shared" si="4"/>
        <v>575.82548879339936</v>
      </c>
      <c r="N45">
        <f t="shared" si="5"/>
        <v>57.246934175626102</v>
      </c>
      <c r="O45">
        <f t="shared" si="6"/>
        <v>77.574910916223004</v>
      </c>
      <c r="P45">
        <f t="shared" si="7"/>
        <v>1.4016477409719185E-2</v>
      </c>
      <c r="Q45">
        <f t="shared" si="8"/>
        <v>2.1176470847574125</v>
      </c>
      <c r="R45">
        <f t="shared" si="9"/>
        <v>1.3965140384929815E-2</v>
      </c>
      <c r="S45">
        <f t="shared" si="10"/>
        <v>8.7328094262553359E-3</v>
      </c>
      <c r="T45">
        <f t="shared" si="11"/>
        <v>276.11283222929887</v>
      </c>
      <c r="U45">
        <f t="shared" si="12"/>
        <v>28.777931315846903</v>
      </c>
      <c r="V45">
        <f t="shared" si="13"/>
        <v>28.777931315846903</v>
      </c>
      <c r="W45">
        <f t="shared" si="14"/>
        <v>3.9703811634599733</v>
      </c>
      <c r="X45">
        <f t="shared" si="15"/>
        <v>66.315841507689683</v>
      </c>
      <c r="Y45">
        <f t="shared" si="16"/>
        <v>2.3273855173377003</v>
      </c>
      <c r="Z45">
        <f t="shared" si="17"/>
        <v>3.5095468359062094</v>
      </c>
      <c r="AA45">
        <f t="shared" si="18"/>
        <v>1.642995646122273</v>
      </c>
      <c r="AB45">
        <f t="shared" si="19"/>
        <v>-10.510832493350273</v>
      </c>
      <c r="AC45">
        <f t="shared" si="20"/>
        <v>-241.11199587030774</v>
      </c>
      <c r="AD45">
        <f t="shared" si="21"/>
        <v>-24.750116666691401</v>
      </c>
      <c r="AE45">
        <f t="shared" si="22"/>
        <v>-0.26011280105055334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52590.290488448285</v>
      </c>
      <c r="AK45">
        <f t="shared" si="26"/>
        <v>1799.99</v>
      </c>
      <c r="AL45">
        <f t="shared" si="27"/>
        <v>1499.1044653955903</v>
      </c>
      <c r="AM45">
        <f t="shared" si="28"/>
        <v>0.8328404410000001</v>
      </c>
      <c r="AN45">
        <f t="shared" si="29"/>
        <v>0.15339687011</v>
      </c>
      <c r="AO45">
        <v>32.700000000000003</v>
      </c>
      <c r="AP45">
        <v>0.5</v>
      </c>
      <c r="AQ45" t="s">
        <v>331</v>
      </c>
      <c r="AR45">
        <v>2</v>
      </c>
      <c r="AS45">
        <v>1690301319.5</v>
      </c>
      <c r="AT45">
        <v>780.29700000000003</v>
      </c>
      <c r="AU45">
        <v>800.01800000000003</v>
      </c>
      <c r="AV45">
        <v>23.410299999999999</v>
      </c>
      <c r="AW45">
        <v>20.874199999999998</v>
      </c>
      <c r="AX45">
        <v>780.59900000000005</v>
      </c>
      <c r="AY45">
        <v>23.128699999999998</v>
      </c>
      <c r="AZ45">
        <v>300.11799999999999</v>
      </c>
      <c r="BA45">
        <v>99.3172</v>
      </c>
      <c r="BB45">
        <v>9.9959000000000006E-2</v>
      </c>
      <c r="BC45">
        <v>26.666</v>
      </c>
      <c r="BD45">
        <v>26.956900000000001</v>
      </c>
      <c r="BE45">
        <v>28.4527</v>
      </c>
      <c r="BF45">
        <v>0</v>
      </c>
      <c r="BG45">
        <v>0</v>
      </c>
      <c r="BH45">
        <v>10003.1</v>
      </c>
      <c r="BI45">
        <v>1076.06</v>
      </c>
      <c r="BJ45">
        <v>2.0183800000000001</v>
      </c>
      <c r="BK45">
        <v>-19.721699999999998</v>
      </c>
      <c r="BL45">
        <v>799.00199999999995</v>
      </c>
      <c r="BM45">
        <v>817.07399999999996</v>
      </c>
      <c r="BN45">
        <v>2.536</v>
      </c>
      <c r="BO45">
        <v>800.01800000000003</v>
      </c>
      <c r="BP45">
        <v>20.874199999999998</v>
      </c>
      <c r="BQ45">
        <v>2.32504</v>
      </c>
      <c r="BR45">
        <v>2.0731700000000002</v>
      </c>
      <c r="BS45">
        <v>19.850899999999999</v>
      </c>
      <c r="BT45">
        <v>18.014500000000002</v>
      </c>
      <c r="BU45">
        <v>1799.99</v>
      </c>
      <c r="BV45">
        <v>0.91001399999999999</v>
      </c>
      <c r="BW45">
        <v>3.4000000000000002E-2</v>
      </c>
      <c r="BX45">
        <v>2.1993800000000001E-2</v>
      </c>
      <c r="BY45">
        <v>3.3992099999999997E-2</v>
      </c>
      <c r="BZ45">
        <v>25</v>
      </c>
      <c r="CA45">
        <v>33528.400000000001</v>
      </c>
      <c r="CB45">
        <v>1690300477.5</v>
      </c>
      <c r="CC45" t="s">
        <v>332</v>
      </c>
      <c r="CD45">
        <v>1690300477.5</v>
      </c>
      <c r="CE45">
        <v>1690300465.5</v>
      </c>
      <c r="CF45">
        <v>7</v>
      </c>
      <c r="CG45">
        <v>5.0999999999999997E-2</v>
      </c>
      <c r="CH45">
        <v>-8.0000000000000002E-3</v>
      </c>
      <c r="CI45">
        <v>-0.316</v>
      </c>
      <c r="CJ45">
        <v>0.28199999999999997</v>
      </c>
      <c r="CK45">
        <v>800</v>
      </c>
      <c r="CL45">
        <v>24</v>
      </c>
      <c r="CM45">
        <v>0.25</v>
      </c>
      <c r="CN45">
        <v>0.13</v>
      </c>
      <c r="CO45">
        <v>-18.301024999999999</v>
      </c>
      <c r="CP45">
        <v>-7.1093200750468686</v>
      </c>
      <c r="CQ45">
        <v>0.68601396842557072</v>
      </c>
      <c r="CR45">
        <v>-1</v>
      </c>
      <c r="CS45">
        <v>2.48887225</v>
      </c>
      <c r="CT45">
        <v>0.44473024390243598</v>
      </c>
      <c r="CU45">
        <v>4.4388940767239517E-2</v>
      </c>
      <c r="CV45">
        <v>-1</v>
      </c>
      <c r="CW45">
        <v>0</v>
      </c>
      <c r="CX45">
        <v>0</v>
      </c>
      <c r="CY45" t="s">
        <v>333</v>
      </c>
      <c r="CZ45">
        <v>2.3641000000000001</v>
      </c>
      <c r="DA45">
        <v>2.7137500000000001</v>
      </c>
      <c r="DB45">
        <v>0.14466399999999999</v>
      </c>
      <c r="DC45">
        <v>0.14671500000000001</v>
      </c>
      <c r="DD45">
        <v>0.11183899999999999</v>
      </c>
      <c r="DE45">
        <v>0.101951</v>
      </c>
      <c r="DF45">
        <v>31232.3</v>
      </c>
      <c r="DG45">
        <v>27504.3</v>
      </c>
      <c r="DH45">
        <v>31172.9</v>
      </c>
      <c r="DI45">
        <v>28086.9</v>
      </c>
      <c r="DJ45">
        <v>37590.9</v>
      </c>
      <c r="DK45">
        <v>35867.800000000003</v>
      </c>
      <c r="DL45">
        <v>44363.4</v>
      </c>
      <c r="DM45">
        <v>42573.9</v>
      </c>
      <c r="DN45">
        <v>1.46757</v>
      </c>
      <c r="DO45">
        <v>2.0611299999999999</v>
      </c>
      <c r="DP45">
        <v>8.0347100000000005E-2</v>
      </c>
      <c r="DQ45">
        <v>0.18765799999999999</v>
      </c>
      <c r="DR45">
        <v>25.641400000000001</v>
      </c>
      <c r="DS45">
        <v>25.383299999999998</v>
      </c>
      <c r="DT45">
        <v>57.2</v>
      </c>
      <c r="DU45">
        <v>29</v>
      </c>
      <c r="DV45">
        <v>23.162400000000002</v>
      </c>
      <c r="DW45">
        <v>62.0047</v>
      </c>
      <c r="DX45">
        <v>35.4407</v>
      </c>
      <c r="DY45">
        <v>1</v>
      </c>
      <c r="DZ45">
        <v>-8.0525899999999997E-2</v>
      </c>
      <c r="EA45">
        <v>0.61670499999999995</v>
      </c>
      <c r="EB45">
        <v>20.187899999999999</v>
      </c>
      <c r="EC45">
        <v>5.2408000000000001</v>
      </c>
      <c r="ED45">
        <v>12.039899999999999</v>
      </c>
      <c r="EE45">
        <v>5.0173500000000004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1.8646199999999999</v>
      </c>
      <c r="EM45">
        <v>1.8692</v>
      </c>
      <c r="EN45">
        <v>1.8672200000000001</v>
      </c>
      <c r="EO45">
        <v>1.86338</v>
      </c>
      <c r="EP45">
        <v>1.8644700000000001</v>
      </c>
      <c r="EQ45">
        <v>1.8701700000000001</v>
      </c>
      <c r="ER45">
        <v>1.86937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-0.30199999999999999</v>
      </c>
      <c r="FG45">
        <v>0.28160000000000002</v>
      </c>
      <c r="FH45">
        <v>0.23539598422606861</v>
      </c>
      <c r="FI45">
        <v>-6.1462078757559423E-4</v>
      </c>
      <c r="FJ45">
        <v>-1.8861989874597051E-7</v>
      </c>
      <c r="FK45">
        <v>1.1980462299894961E-10</v>
      </c>
      <c r="FL45">
        <v>0.28151999999999688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14</v>
      </c>
      <c r="FU45">
        <v>14.2</v>
      </c>
      <c r="FV45">
        <v>1.79443</v>
      </c>
      <c r="FW45">
        <v>2.5891099999999998</v>
      </c>
      <c r="FX45">
        <v>1.5490699999999999</v>
      </c>
      <c r="FY45">
        <v>2.3290999999999999</v>
      </c>
      <c r="FZ45">
        <v>1.50146</v>
      </c>
      <c r="GA45">
        <v>2.3584000000000001</v>
      </c>
      <c r="GB45">
        <v>33.6479</v>
      </c>
      <c r="GC45">
        <v>23.982399999999998</v>
      </c>
      <c r="GD45">
        <v>19</v>
      </c>
      <c r="GE45">
        <v>279.61099999999999</v>
      </c>
      <c r="GF45">
        <v>604.53700000000003</v>
      </c>
      <c r="GG45">
        <v>23.8185</v>
      </c>
      <c r="GH45">
        <v>26.410900000000002</v>
      </c>
      <c r="GI45">
        <v>29.9999</v>
      </c>
      <c r="GJ45">
        <v>26.441299999999998</v>
      </c>
      <c r="GK45">
        <v>26.394100000000002</v>
      </c>
      <c r="GL45">
        <v>35.885300000000001</v>
      </c>
      <c r="GM45">
        <v>19.4998</v>
      </c>
      <c r="GN45">
        <v>100</v>
      </c>
      <c r="GO45">
        <v>23.8489</v>
      </c>
      <c r="GP45">
        <v>800</v>
      </c>
      <c r="GQ45">
        <v>20.784400000000002</v>
      </c>
      <c r="GR45">
        <v>99.741799999999998</v>
      </c>
      <c r="GS45">
        <v>99.591499999999996</v>
      </c>
    </row>
    <row r="46" spans="1:201" x14ac:dyDescent="0.25">
      <c r="A46">
        <v>30</v>
      </c>
      <c r="B46">
        <v>1690301329.5</v>
      </c>
      <c r="C46">
        <v>425.5</v>
      </c>
      <c r="D46" t="s">
        <v>391</v>
      </c>
      <c r="E46" t="s">
        <v>392</v>
      </c>
      <c r="F46" t="s">
        <v>330</v>
      </c>
      <c r="H46">
        <v>1690301329.5</v>
      </c>
      <c r="I46">
        <f t="shared" si="0"/>
        <v>2.4333670528129862E-4</v>
      </c>
      <c r="J46">
        <f t="shared" si="1"/>
        <v>0.24333670528129861</v>
      </c>
      <c r="K46">
        <f t="shared" si="2"/>
        <v>1.7273785666840169</v>
      </c>
      <c r="L46">
        <f t="shared" si="3"/>
        <v>779.11599999999999</v>
      </c>
      <c r="M46">
        <f t="shared" si="4"/>
        <v>567.14770001622367</v>
      </c>
      <c r="N46">
        <f t="shared" si="5"/>
        <v>56.384125104388936</v>
      </c>
      <c r="O46">
        <f t="shared" si="6"/>
        <v>77.457378410552394</v>
      </c>
      <c r="P46">
        <f t="shared" si="7"/>
        <v>1.432108350001708E-2</v>
      </c>
      <c r="Q46">
        <f t="shared" si="8"/>
        <v>2.1172183907018978</v>
      </c>
      <c r="R46">
        <f t="shared" si="9"/>
        <v>1.4267484715475795E-2</v>
      </c>
      <c r="S46">
        <f t="shared" si="10"/>
        <v>8.9219767928961254E-3</v>
      </c>
      <c r="T46">
        <f t="shared" si="11"/>
        <v>276.11272815387713</v>
      </c>
      <c r="U46">
        <f t="shared" si="12"/>
        <v>28.770877618056574</v>
      </c>
      <c r="V46">
        <f t="shared" si="13"/>
        <v>28.770877618056574</v>
      </c>
      <c r="W46">
        <f t="shared" si="14"/>
        <v>3.9687582100923704</v>
      </c>
      <c r="X46">
        <f t="shared" si="15"/>
        <v>66.322979900493053</v>
      </c>
      <c r="Y46">
        <f t="shared" si="16"/>
        <v>2.3268549762794999</v>
      </c>
      <c r="Z46">
        <f t="shared" si="17"/>
        <v>3.5083691652132805</v>
      </c>
      <c r="AA46">
        <f t="shared" si="18"/>
        <v>1.6419032338128705</v>
      </c>
      <c r="AB46">
        <f t="shared" si="19"/>
        <v>-10.731148702905269</v>
      </c>
      <c r="AC46">
        <f t="shared" si="20"/>
        <v>-240.90866965965211</v>
      </c>
      <c r="AD46">
        <f t="shared" si="21"/>
        <v>-24.732678606241549</v>
      </c>
      <c r="AE46">
        <f t="shared" si="22"/>
        <v>-0.25976881492181292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52572.479831034478</v>
      </c>
      <c r="AK46">
        <f t="shared" si="26"/>
        <v>1799.99</v>
      </c>
      <c r="AL46">
        <f t="shared" si="27"/>
        <v>1499.1034088014601</v>
      </c>
      <c r="AM46">
        <f t="shared" si="28"/>
        <v>0.83283985400000005</v>
      </c>
      <c r="AN46">
        <f t="shared" si="29"/>
        <v>0.15339681229000002</v>
      </c>
      <c r="AO46">
        <v>32.700000000000003</v>
      </c>
      <c r="AP46">
        <v>0.5</v>
      </c>
      <c r="AQ46" t="s">
        <v>331</v>
      </c>
      <c r="AR46">
        <v>2</v>
      </c>
      <c r="AS46">
        <v>1690301329.5</v>
      </c>
      <c r="AT46">
        <v>779.11599999999999</v>
      </c>
      <c r="AU46">
        <v>800.01099999999997</v>
      </c>
      <c r="AV46">
        <v>23.405000000000001</v>
      </c>
      <c r="AW46">
        <v>20.814699999999998</v>
      </c>
      <c r="AX46">
        <v>779.41700000000003</v>
      </c>
      <c r="AY46">
        <v>23.1235</v>
      </c>
      <c r="AZ46">
        <v>299.99900000000002</v>
      </c>
      <c r="BA46">
        <v>99.317099999999996</v>
      </c>
      <c r="BB46">
        <v>9.9903900000000004E-2</v>
      </c>
      <c r="BC46">
        <v>26.660299999999999</v>
      </c>
      <c r="BD46">
        <v>26.952000000000002</v>
      </c>
      <c r="BE46">
        <v>28.431100000000001</v>
      </c>
      <c r="BF46">
        <v>0</v>
      </c>
      <c r="BG46">
        <v>0</v>
      </c>
      <c r="BH46">
        <v>9999.3799999999992</v>
      </c>
      <c r="BI46">
        <v>1075.9100000000001</v>
      </c>
      <c r="BJ46">
        <v>2.0183800000000001</v>
      </c>
      <c r="BK46">
        <v>-20.895299999999999</v>
      </c>
      <c r="BL46">
        <v>797.78800000000001</v>
      </c>
      <c r="BM46">
        <v>817.01700000000005</v>
      </c>
      <c r="BN46">
        <v>2.5903100000000001</v>
      </c>
      <c r="BO46">
        <v>800.01099999999997</v>
      </c>
      <c r="BP46">
        <v>20.814699999999998</v>
      </c>
      <c r="BQ46">
        <v>2.3245200000000001</v>
      </c>
      <c r="BR46">
        <v>2.0672600000000001</v>
      </c>
      <c r="BS46">
        <v>19.847300000000001</v>
      </c>
      <c r="BT46">
        <v>17.969100000000001</v>
      </c>
      <c r="BU46">
        <v>1799.99</v>
      </c>
      <c r="BV46">
        <v>0.91001200000000004</v>
      </c>
      <c r="BW46">
        <v>3.4007599999999999E-2</v>
      </c>
      <c r="BX46">
        <v>2.1991699999999999E-2</v>
      </c>
      <c r="BY46">
        <v>3.3988900000000002E-2</v>
      </c>
      <c r="BZ46">
        <v>25</v>
      </c>
      <c r="CA46">
        <v>33528.300000000003</v>
      </c>
      <c r="CB46">
        <v>1690300477.5</v>
      </c>
      <c r="CC46" t="s">
        <v>332</v>
      </c>
      <c r="CD46">
        <v>1690300477.5</v>
      </c>
      <c r="CE46">
        <v>1690300465.5</v>
      </c>
      <c r="CF46">
        <v>7</v>
      </c>
      <c r="CG46">
        <v>5.0999999999999997E-2</v>
      </c>
      <c r="CH46">
        <v>-8.0000000000000002E-3</v>
      </c>
      <c r="CI46">
        <v>-0.316</v>
      </c>
      <c r="CJ46">
        <v>0.28199999999999997</v>
      </c>
      <c r="CK46">
        <v>800</v>
      </c>
      <c r="CL46">
        <v>24</v>
      </c>
      <c r="CM46">
        <v>0.25</v>
      </c>
      <c r="CN46">
        <v>0.13</v>
      </c>
      <c r="CO46">
        <v>-19.567885365853659</v>
      </c>
      <c r="CP46">
        <v>-7.5253066202090952</v>
      </c>
      <c r="CQ46">
        <v>0.74415089328775541</v>
      </c>
      <c r="CR46">
        <v>-1</v>
      </c>
      <c r="CS46">
        <v>2.544729268292683</v>
      </c>
      <c r="CT46">
        <v>0.19301226480836181</v>
      </c>
      <c r="CU46">
        <v>2.1067968217900308E-2</v>
      </c>
      <c r="CV46">
        <v>-1</v>
      </c>
      <c r="CW46">
        <v>0</v>
      </c>
      <c r="CX46">
        <v>0</v>
      </c>
      <c r="CY46" t="s">
        <v>333</v>
      </c>
      <c r="CZ46">
        <v>2.3637000000000001</v>
      </c>
      <c r="DA46">
        <v>2.7136900000000002</v>
      </c>
      <c r="DB46">
        <v>0.144515</v>
      </c>
      <c r="DC46">
        <v>0.14671200000000001</v>
      </c>
      <c r="DD46">
        <v>0.11182</v>
      </c>
      <c r="DE46">
        <v>0.101745</v>
      </c>
      <c r="DF46">
        <v>31238.5</v>
      </c>
      <c r="DG46">
        <v>27504.2</v>
      </c>
      <c r="DH46">
        <v>31173.7</v>
      </c>
      <c r="DI46">
        <v>28086.7</v>
      </c>
      <c r="DJ46">
        <v>37592.6</v>
      </c>
      <c r="DK46">
        <v>35875.599999999999</v>
      </c>
      <c r="DL46">
        <v>44364.5</v>
      </c>
      <c r="DM46">
        <v>42573.3</v>
      </c>
      <c r="DN46">
        <v>1.4676499999999999</v>
      </c>
      <c r="DO46">
        <v>2.0612300000000001</v>
      </c>
      <c r="DP46">
        <v>8.0891000000000005E-2</v>
      </c>
      <c r="DQ46">
        <v>0.187218</v>
      </c>
      <c r="DR46">
        <v>25.627600000000001</v>
      </c>
      <c r="DS46">
        <v>25.3688</v>
      </c>
      <c r="DT46">
        <v>57.2</v>
      </c>
      <c r="DU46">
        <v>29</v>
      </c>
      <c r="DV46">
        <v>23.162299999999998</v>
      </c>
      <c r="DW46">
        <v>61.844700000000003</v>
      </c>
      <c r="DX46">
        <v>36.25</v>
      </c>
      <c r="DY46">
        <v>1</v>
      </c>
      <c r="DZ46">
        <v>-8.0790100000000004E-2</v>
      </c>
      <c r="EA46">
        <v>0.52566999999999997</v>
      </c>
      <c r="EB46">
        <v>20.188400000000001</v>
      </c>
      <c r="EC46">
        <v>5.2409499999999998</v>
      </c>
      <c r="ED46">
        <v>12.039899999999999</v>
      </c>
      <c r="EE46">
        <v>5.0172499999999998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1.8689100000000001</v>
      </c>
      <c r="EL46">
        <v>1.8646199999999999</v>
      </c>
      <c r="EM46">
        <v>1.8692</v>
      </c>
      <c r="EN46">
        <v>1.8672200000000001</v>
      </c>
      <c r="EO46">
        <v>1.8633900000000001</v>
      </c>
      <c r="EP46">
        <v>1.8644700000000001</v>
      </c>
      <c r="EQ46">
        <v>1.8701700000000001</v>
      </c>
      <c r="ER46">
        <v>1.8693900000000001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-0.30099999999999999</v>
      </c>
      <c r="FG46">
        <v>0.28149999999999997</v>
      </c>
      <c r="FH46">
        <v>0.23539598422606861</v>
      </c>
      <c r="FI46">
        <v>-6.1462078757559423E-4</v>
      </c>
      <c r="FJ46">
        <v>-1.8861989874597051E-7</v>
      </c>
      <c r="FK46">
        <v>1.1980462299894961E-10</v>
      </c>
      <c r="FL46">
        <v>0.28151999999999688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14.2</v>
      </c>
      <c r="FU46">
        <v>14.4</v>
      </c>
      <c r="FV46">
        <v>1.79443</v>
      </c>
      <c r="FW46">
        <v>2.5878899999999998</v>
      </c>
      <c r="FX46">
        <v>1.5490699999999999</v>
      </c>
      <c r="FY46">
        <v>2.3290999999999999</v>
      </c>
      <c r="FZ46">
        <v>1.50146</v>
      </c>
      <c r="GA46">
        <v>2.4243199999999998</v>
      </c>
      <c r="GB46">
        <v>33.6479</v>
      </c>
      <c r="GC46">
        <v>23.982399999999998</v>
      </c>
      <c r="GD46">
        <v>19</v>
      </c>
      <c r="GE46">
        <v>279.65199999999999</v>
      </c>
      <c r="GF46">
        <v>604.64800000000002</v>
      </c>
      <c r="GG46">
        <v>23.8918</v>
      </c>
      <c r="GH46">
        <v>26.409500000000001</v>
      </c>
      <c r="GI46">
        <v>30</v>
      </c>
      <c r="GJ46">
        <v>26.4435</v>
      </c>
      <c r="GK46">
        <v>26.3964</v>
      </c>
      <c r="GL46">
        <v>35.883299999999998</v>
      </c>
      <c r="GM46">
        <v>19.4998</v>
      </c>
      <c r="GN46">
        <v>100</v>
      </c>
      <c r="GO46">
        <v>23.915900000000001</v>
      </c>
      <c r="GP46">
        <v>800</v>
      </c>
      <c r="GQ46">
        <v>20.7302</v>
      </c>
      <c r="GR46">
        <v>99.744399999999999</v>
      </c>
      <c r="GS46">
        <v>99.590500000000006</v>
      </c>
    </row>
    <row r="47" spans="1:201" x14ac:dyDescent="0.25">
      <c r="A47">
        <v>31</v>
      </c>
      <c r="B47">
        <v>1690301339.5</v>
      </c>
      <c r="C47">
        <v>435.5</v>
      </c>
      <c r="D47" t="s">
        <v>393</v>
      </c>
      <c r="E47" t="s">
        <v>394</v>
      </c>
      <c r="F47" t="s">
        <v>330</v>
      </c>
      <c r="H47">
        <v>1690301339.5</v>
      </c>
      <c r="I47">
        <f t="shared" si="0"/>
        <v>2.4740669516456636E-4</v>
      </c>
      <c r="J47">
        <f t="shared" si="1"/>
        <v>0.24740669516456634</v>
      </c>
      <c r="K47">
        <f t="shared" si="2"/>
        <v>1.8359690906582082</v>
      </c>
      <c r="L47">
        <f t="shared" si="3"/>
        <v>777.93200000000002</v>
      </c>
      <c r="M47">
        <f t="shared" si="4"/>
        <v>557.26407236795751</v>
      </c>
      <c r="N47">
        <f t="shared" si="5"/>
        <v>55.40190261533462</v>
      </c>
      <c r="O47">
        <f t="shared" si="6"/>
        <v>77.340196582589996</v>
      </c>
      <c r="P47">
        <f t="shared" si="7"/>
        <v>1.4557135772355253E-2</v>
      </c>
      <c r="Q47">
        <f t="shared" si="8"/>
        <v>2.1164342290210154</v>
      </c>
      <c r="R47">
        <f t="shared" si="9"/>
        <v>1.4501738759037059E-2</v>
      </c>
      <c r="S47">
        <f t="shared" si="10"/>
        <v>9.0685462811146769E-3</v>
      </c>
      <c r="T47">
        <f t="shared" si="11"/>
        <v>276.11571587399999</v>
      </c>
      <c r="U47">
        <f t="shared" si="12"/>
        <v>28.772878044912282</v>
      </c>
      <c r="V47">
        <f t="shared" si="13"/>
        <v>28.772878044912282</v>
      </c>
      <c r="W47">
        <f t="shared" si="14"/>
        <v>3.9692184204621022</v>
      </c>
      <c r="X47">
        <f t="shared" si="15"/>
        <v>66.311189452208737</v>
      </c>
      <c r="Y47">
        <f t="shared" si="16"/>
        <v>2.3268112083029999</v>
      </c>
      <c r="Z47">
        <f t="shared" si="17"/>
        <v>3.508926966209768</v>
      </c>
      <c r="AA47">
        <f t="shared" si="18"/>
        <v>1.6424072121591022</v>
      </c>
      <c r="AB47">
        <f t="shared" si="19"/>
        <v>-10.910635256757375</v>
      </c>
      <c r="AC47">
        <f t="shared" si="20"/>
        <v>-240.73962132489237</v>
      </c>
      <c r="AD47">
        <f t="shared" si="21"/>
        <v>-24.725060193131988</v>
      </c>
      <c r="AE47">
        <f t="shared" si="22"/>
        <v>-0.25960090078174858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52537.626169883239</v>
      </c>
      <c r="AK47">
        <f t="shared" si="26"/>
        <v>1800</v>
      </c>
      <c r="AL47">
        <f t="shared" si="27"/>
        <v>1499.1136254</v>
      </c>
      <c r="AM47">
        <f t="shared" si="28"/>
        <v>0.83284090300000002</v>
      </c>
      <c r="AN47">
        <f t="shared" si="29"/>
        <v>0.15339761993000001</v>
      </c>
      <c r="AO47">
        <v>32.700000000000003</v>
      </c>
      <c r="AP47">
        <v>0.5</v>
      </c>
      <c r="AQ47" t="s">
        <v>331</v>
      </c>
      <c r="AR47">
        <v>2</v>
      </c>
      <c r="AS47">
        <v>1690301339.5</v>
      </c>
      <c r="AT47">
        <v>777.93200000000002</v>
      </c>
      <c r="AU47">
        <v>800.02499999999998</v>
      </c>
      <c r="AV47">
        <v>23.404399999999999</v>
      </c>
      <c r="AW47">
        <v>20.7728</v>
      </c>
      <c r="AX47">
        <v>778.23299999999995</v>
      </c>
      <c r="AY47">
        <v>23.122800000000002</v>
      </c>
      <c r="AZ47">
        <v>300.23</v>
      </c>
      <c r="BA47">
        <v>99.317700000000002</v>
      </c>
      <c r="BB47">
        <v>9.9982500000000002E-2</v>
      </c>
      <c r="BC47">
        <v>26.663</v>
      </c>
      <c r="BD47">
        <v>26.973700000000001</v>
      </c>
      <c r="BE47">
        <v>28.445900000000002</v>
      </c>
      <c r="BF47">
        <v>0</v>
      </c>
      <c r="BG47">
        <v>0</v>
      </c>
      <c r="BH47">
        <v>9992.5</v>
      </c>
      <c r="BI47">
        <v>1075.92</v>
      </c>
      <c r="BJ47">
        <v>2.0183800000000001</v>
      </c>
      <c r="BK47">
        <v>-22.0929</v>
      </c>
      <c r="BL47">
        <v>796.57500000000005</v>
      </c>
      <c r="BM47">
        <v>816.99599999999998</v>
      </c>
      <c r="BN47">
        <v>2.6315200000000001</v>
      </c>
      <c r="BO47">
        <v>800.02499999999998</v>
      </c>
      <c r="BP47">
        <v>20.7728</v>
      </c>
      <c r="BQ47">
        <v>2.3244699999999998</v>
      </c>
      <c r="BR47">
        <v>2.06311</v>
      </c>
      <c r="BS47">
        <v>19.847000000000001</v>
      </c>
      <c r="BT47">
        <v>17.937200000000001</v>
      </c>
      <c r="BU47">
        <v>1800</v>
      </c>
      <c r="BV47">
        <v>0.91000700000000001</v>
      </c>
      <c r="BW47">
        <v>3.4004199999999998E-2</v>
      </c>
      <c r="BX47">
        <v>2.2003399999999999E-2</v>
      </c>
      <c r="BY47">
        <v>3.3985500000000002E-2</v>
      </c>
      <c r="BZ47">
        <v>25</v>
      </c>
      <c r="CA47">
        <v>33528.199999999997</v>
      </c>
      <c r="CB47">
        <v>1690300477.5</v>
      </c>
      <c r="CC47" t="s">
        <v>332</v>
      </c>
      <c r="CD47">
        <v>1690300477.5</v>
      </c>
      <c r="CE47">
        <v>1690300465.5</v>
      </c>
      <c r="CF47">
        <v>7</v>
      </c>
      <c r="CG47">
        <v>5.0999999999999997E-2</v>
      </c>
      <c r="CH47">
        <v>-8.0000000000000002E-3</v>
      </c>
      <c r="CI47">
        <v>-0.316</v>
      </c>
      <c r="CJ47">
        <v>0.28199999999999997</v>
      </c>
      <c r="CK47">
        <v>800</v>
      </c>
      <c r="CL47">
        <v>24</v>
      </c>
      <c r="CM47">
        <v>0.25</v>
      </c>
      <c r="CN47">
        <v>0.13</v>
      </c>
      <c r="CO47">
        <v>-20.7998756097561</v>
      </c>
      <c r="CP47">
        <v>-7.0945588850174488</v>
      </c>
      <c r="CQ47">
        <v>0.70028457483124629</v>
      </c>
      <c r="CR47">
        <v>-1</v>
      </c>
      <c r="CS47">
        <v>2.580917073170732</v>
      </c>
      <c r="CT47">
        <v>0.28601393728223212</v>
      </c>
      <c r="CU47">
        <v>2.8744180004247728E-2</v>
      </c>
      <c r="CV47">
        <v>-1</v>
      </c>
      <c r="CW47">
        <v>0</v>
      </c>
      <c r="CX47">
        <v>0</v>
      </c>
      <c r="CY47" t="s">
        <v>333</v>
      </c>
      <c r="CZ47">
        <v>2.3644599999999998</v>
      </c>
      <c r="DA47">
        <v>2.7137699999999998</v>
      </c>
      <c r="DB47">
        <v>0.14436599999999999</v>
      </c>
      <c r="DC47">
        <v>0.14671000000000001</v>
      </c>
      <c r="DD47">
        <v>0.111817</v>
      </c>
      <c r="DE47">
        <v>0.10159899999999999</v>
      </c>
      <c r="DF47">
        <v>31243.9</v>
      </c>
      <c r="DG47">
        <v>27504</v>
      </c>
      <c r="DH47">
        <v>31173.7</v>
      </c>
      <c r="DI47">
        <v>28086.5</v>
      </c>
      <c r="DJ47">
        <v>37592.800000000003</v>
      </c>
      <c r="DK47">
        <v>35881.199999999997</v>
      </c>
      <c r="DL47">
        <v>44364.5</v>
      </c>
      <c r="DM47">
        <v>42573.1</v>
      </c>
      <c r="DN47">
        <v>1.4684299999999999</v>
      </c>
      <c r="DO47">
        <v>2.0606800000000001</v>
      </c>
      <c r="DP47">
        <v>8.3088899999999993E-2</v>
      </c>
      <c r="DQ47">
        <v>0.188887</v>
      </c>
      <c r="DR47">
        <v>25.613299999999999</v>
      </c>
      <c r="DS47">
        <v>25.356300000000001</v>
      </c>
      <c r="DT47">
        <v>57.2</v>
      </c>
      <c r="DU47">
        <v>29</v>
      </c>
      <c r="DV47">
        <v>23.162199999999999</v>
      </c>
      <c r="DW47">
        <v>61.744700000000002</v>
      </c>
      <c r="DX47">
        <v>35.1402</v>
      </c>
      <c r="DY47">
        <v>1</v>
      </c>
      <c r="DZ47">
        <v>-8.0657999999999994E-2</v>
      </c>
      <c r="EA47">
        <v>0.46350200000000003</v>
      </c>
      <c r="EB47">
        <v>20.188600000000001</v>
      </c>
      <c r="EC47">
        <v>5.2409499999999998</v>
      </c>
      <c r="ED47">
        <v>12.039899999999999</v>
      </c>
      <c r="EE47">
        <v>5.0171999999999999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</v>
      </c>
      <c r="EL47">
        <v>1.8646199999999999</v>
      </c>
      <c r="EM47">
        <v>1.8692</v>
      </c>
      <c r="EN47">
        <v>1.8672200000000001</v>
      </c>
      <c r="EO47">
        <v>1.8633900000000001</v>
      </c>
      <c r="EP47">
        <v>1.8644700000000001</v>
      </c>
      <c r="EQ47">
        <v>1.87018</v>
      </c>
      <c r="ER47">
        <v>1.8694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-0.30099999999999999</v>
      </c>
      <c r="FG47">
        <v>0.28160000000000002</v>
      </c>
      <c r="FH47">
        <v>0.23539598422606861</v>
      </c>
      <c r="FI47">
        <v>-6.1462078757559423E-4</v>
      </c>
      <c r="FJ47">
        <v>-1.8861989874597051E-7</v>
      </c>
      <c r="FK47">
        <v>1.1980462299894961E-10</v>
      </c>
      <c r="FL47">
        <v>0.28151999999999688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14.4</v>
      </c>
      <c r="FU47">
        <v>14.6</v>
      </c>
      <c r="FV47">
        <v>1.79443</v>
      </c>
      <c r="FW47">
        <v>2.5927699999999998</v>
      </c>
      <c r="FX47">
        <v>1.5490699999999999</v>
      </c>
      <c r="FY47">
        <v>2.3290999999999999</v>
      </c>
      <c r="FZ47">
        <v>1.50146</v>
      </c>
      <c r="GA47">
        <v>2.33521</v>
      </c>
      <c r="GB47">
        <v>33.6479</v>
      </c>
      <c r="GC47">
        <v>23.973700000000001</v>
      </c>
      <c r="GD47">
        <v>19</v>
      </c>
      <c r="GE47">
        <v>279.98599999999999</v>
      </c>
      <c r="GF47">
        <v>604.20600000000002</v>
      </c>
      <c r="GG47">
        <v>23.963699999999999</v>
      </c>
      <c r="GH47">
        <v>26.407800000000002</v>
      </c>
      <c r="GI47">
        <v>30</v>
      </c>
      <c r="GJ47">
        <v>26.444900000000001</v>
      </c>
      <c r="GK47">
        <v>26.398599999999998</v>
      </c>
      <c r="GL47">
        <v>35.879300000000001</v>
      </c>
      <c r="GM47">
        <v>20.047799999999999</v>
      </c>
      <c r="GN47">
        <v>100</v>
      </c>
      <c r="GO47">
        <v>23.986499999999999</v>
      </c>
      <c r="GP47">
        <v>800</v>
      </c>
      <c r="GQ47">
        <v>20.6692</v>
      </c>
      <c r="GR47">
        <v>99.744299999999996</v>
      </c>
      <c r="GS47">
        <v>99.589799999999997</v>
      </c>
    </row>
    <row r="48" spans="1:201" x14ac:dyDescent="0.25">
      <c r="A48">
        <v>32</v>
      </c>
      <c r="B48">
        <v>1690301349.5</v>
      </c>
      <c r="C48">
        <v>445.5</v>
      </c>
      <c r="D48" t="s">
        <v>395</v>
      </c>
      <c r="E48" t="s">
        <v>396</v>
      </c>
      <c r="F48" t="s">
        <v>330</v>
      </c>
      <c r="H48">
        <v>1690301349.5</v>
      </c>
      <c r="I48">
        <f t="shared" si="0"/>
        <v>2.562986415385828E-4</v>
      </c>
      <c r="J48">
        <f t="shared" si="1"/>
        <v>0.25629864153858278</v>
      </c>
      <c r="K48">
        <f t="shared" si="2"/>
        <v>1.9386255331903814</v>
      </c>
      <c r="L48">
        <f t="shared" si="3"/>
        <v>776.7</v>
      </c>
      <c r="M48">
        <f t="shared" si="4"/>
        <v>552.27354797337375</v>
      </c>
      <c r="N48">
        <f t="shared" si="5"/>
        <v>54.905509103152674</v>
      </c>
      <c r="O48">
        <f t="shared" si="6"/>
        <v>77.217366424500014</v>
      </c>
      <c r="P48">
        <f t="shared" si="7"/>
        <v>1.5086111384060841E-2</v>
      </c>
      <c r="Q48">
        <f t="shared" si="8"/>
        <v>2.1179354815603184</v>
      </c>
      <c r="R48">
        <f t="shared" si="9"/>
        <v>1.5026666068366504E-2</v>
      </c>
      <c r="S48">
        <f t="shared" si="10"/>
        <v>9.3969876172765796E-3</v>
      </c>
      <c r="T48">
        <f t="shared" si="11"/>
        <v>276.11512723454877</v>
      </c>
      <c r="U48">
        <f t="shared" si="12"/>
        <v>28.768198409962427</v>
      </c>
      <c r="V48">
        <f t="shared" si="13"/>
        <v>28.768198409962427</v>
      </c>
      <c r="W48">
        <f t="shared" si="14"/>
        <v>3.9681419148659693</v>
      </c>
      <c r="X48">
        <f t="shared" si="15"/>
        <v>66.292688754310305</v>
      </c>
      <c r="Y48">
        <f t="shared" si="16"/>
        <v>2.3261346393595002</v>
      </c>
      <c r="Z48">
        <f t="shared" si="17"/>
        <v>3.5088856449622532</v>
      </c>
      <c r="AA48">
        <f t="shared" si="18"/>
        <v>1.6420072755064692</v>
      </c>
      <c r="AB48">
        <f t="shared" si="19"/>
        <v>-11.302770091851501</v>
      </c>
      <c r="AC48">
        <f t="shared" si="20"/>
        <v>-240.39889112154071</v>
      </c>
      <c r="AD48">
        <f t="shared" si="21"/>
        <v>-24.67196281982433</v>
      </c>
      <c r="AE48">
        <f t="shared" si="22"/>
        <v>-0.25849679866777819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52603.510029339493</v>
      </c>
      <c r="AK48">
        <f t="shared" si="26"/>
        <v>1799.99</v>
      </c>
      <c r="AL48">
        <f t="shared" si="27"/>
        <v>1499.1021902082298</v>
      </c>
      <c r="AM48">
        <f t="shared" si="28"/>
        <v>0.83283917699999988</v>
      </c>
      <c r="AN48">
        <f t="shared" si="29"/>
        <v>0.15339814512</v>
      </c>
      <c r="AO48">
        <v>32.700000000000003</v>
      </c>
      <c r="AP48">
        <v>0.5</v>
      </c>
      <c r="AQ48" t="s">
        <v>331</v>
      </c>
      <c r="AR48">
        <v>2</v>
      </c>
      <c r="AS48">
        <v>1690301349.5</v>
      </c>
      <c r="AT48">
        <v>776.7</v>
      </c>
      <c r="AU48">
        <v>799.98299999999995</v>
      </c>
      <c r="AV48">
        <v>23.3977</v>
      </c>
      <c r="AW48">
        <v>20.671500000000002</v>
      </c>
      <c r="AX48">
        <v>777</v>
      </c>
      <c r="AY48">
        <v>23.116199999999999</v>
      </c>
      <c r="AZ48">
        <v>300.23</v>
      </c>
      <c r="BA48">
        <v>99.317300000000003</v>
      </c>
      <c r="BB48">
        <v>9.9934999999999996E-2</v>
      </c>
      <c r="BC48">
        <v>26.662800000000001</v>
      </c>
      <c r="BD48">
        <v>26.951000000000001</v>
      </c>
      <c r="BE48">
        <v>28.450700000000001</v>
      </c>
      <c r="BF48">
        <v>0</v>
      </c>
      <c r="BG48">
        <v>0</v>
      </c>
      <c r="BH48">
        <v>10005.6</v>
      </c>
      <c r="BI48">
        <v>1075.97</v>
      </c>
      <c r="BJ48">
        <v>2.0183800000000001</v>
      </c>
      <c r="BK48">
        <v>-23.283300000000001</v>
      </c>
      <c r="BL48">
        <v>795.30799999999999</v>
      </c>
      <c r="BM48">
        <v>816.86900000000003</v>
      </c>
      <c r="BN48">
        <v>2.7262300000000002</v>
      </c>
      <c r="BO48">
        <v>799.98299999999995</v>
      </c>
      <c r="BP48">
        <v>20.671500000000002</v>
      </c>
      <c r="BQ48">
        <v>2.3237999999999999</v>
      </c>
      <c r="BR48">
        <v>2.0530400000000002</v>
      </c>
      <c r="BS48">
        <v>19.842300000000002</v>
      </c>
      <c r="BT48">
        <v>17.859400000000001</v>
      </c>
      <c r="BU48">
        <v>1799.99</v>
      </c>
      <c r="BV48">
        <v>0.90997799999999995</v>
      </c>
      <c r="BW48">
        <v>3.4000799999999998E-2</v>
      </c>
      <c r="BX48">
        <v>2.2008099999999999E-2</v>
      </c>
      <c r="BY48">
        <v>3.4013399999999999E-2</v>
      </c>
      <c r="BZ48">
        <v>25</v>
      </c>
      <c r="CA48">
        <v>33528</v>
      </c>
      <c r="CB48">
        <v>1690300477.5</v>
      </c>
      <c r="CC48" t="s">
        <v>332</v>
      </c>
      <c r="CD48">
        <v>1690300477.5</v>
      </c>
      <c r="CE48">
        <v>1690300465.5</v>
      </c>
      <c r="CF48">
        <v>7</v>
      </c>
      <c r="CG48">
        <v>5.0999999999999997E-2</v>
      </c>
      <c r="CH48">
        <v>-8.0000000000000002E-3</v>
      </c>
      <c r="CI48">
        <v>-0.316</v>
      </c>
      <c r="CJ48">
        <v>0.28199999999999997</v>
      </c>
      <c r="CK48">
        <v>800</v>
      </c>
      <c r="CL48">
        <v>24</v>
      </c>
      <c r="CM48">
        <v>0.25</v>
      </c>
      <c r="CN48">
        <v>0.13</v>
      </c>
      <c r="CO48">
        <v>-21.981232500000001</v>
      </c>
      <c r="CP48">
        <v>-7.5236611632269748</v>
      </c>
      <c r="CQ48">
        <v>0.72443384079828188</v>
      </c>
      <c r="CR48">
        <v>-1</v>
      </c>
      <c r="CS48">
        <v>2.6425442499999998</v>
      </c>
      <c r="CT48">
        <v>0.48604153846153247</v>
      </c>
      <c r="CU48">
        <v>4.8565505757044262E-2</v>
      </c>
      <c r="CV48">
        <v>-1</v>
      </c>
      <c r="CW48">
        <v>0</v>
      </c>
      <c r="CX48">
        <v>0</v>
      </c>
      <c r="CY48" t="s">
        <v>333</v>
      </c>
      <c r="CZ48">
        <v>2.3644799999999999</v>
      </c>
      <c r="DA48">
        <v>2.71373</v>
      </c>
      <c r="DB48">
        <v>0.14421100000000001</v>
      </c>
      <c r="DC48">
        <v>0.146702</v>
      </c>
      <c r="DD48">
        <v>0.111794</v>
      </c>
      <c r="DE48">
        <v>0.101247</v>
      </c>
      <c r="DF48">
        <v>31249.5</v>
      </c>
      <c r="DG48">
        <v>27504.6</v>
      </c>
      <c r="DH48">
        <v>31173.599999999999</v>
      </c>
      <c r="DI48">
        <v>28086.799999999999</v>
      </c>
      <c r="DJ48">
        <v>37593.5</v>
      </c>
      <c r="DK48">
        <v>35895.9</v>
      </c>
      <c r="DL48">
        <v>44364.2</v>
      </c>
      <c r="DM48">
        <v>42573.8</v>
      </c>
      <c r="DN48">
        <v>1.4680500000000001</v>
      </c>
      <c r="DO48">
        <v>2.06087</v>
      </c>
      <c r="DP48">
        <v>8.2381099999999999E-2</v>
      </c>
      <c r="DQ48">
        <v>0.189804</v>
      </c>
      <c r="DR48">
        <v>25.6022</v>
      </c>
      <c r="DS48">
        <v>25.3461</v>
      </c>
      <c r="DT48">
        <v>57.2</v>
      </c>
      <c r="DU48">
        <v>29</v>
      </c>
      <c r="DV48">
        <v>23.163699999999999</v>
      </c>
      <c r="DW48">
        <v>61.8247</v>
      </c>
      <c r="DX48">
        <v>35.408700000000003</v>
      </c>
      <c r="DY48">
        <v>1</v>
      </c>
      <c r="DZ48">
        <v>-8.0467499999999997E-2</v>
      </c>
      <c r="EA48">
        <v>0.44166100000000003</v>
      </c>
      <c r="EB48">
        <v>20.188700000000001</v>
      </c>
      <c r="EC48">
        <v>5.2409499999999998</v>
      </c>
      <c r="ED48">
        <v>12.039899999999999</v>
      </c>
      <c r="EE48">
        <v>5.0172999999999996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</v>
      </c>
      <c r="EL48">
        <v>1.8646199999999999</v>
      </c>
      <c r="EM48">
        <v>1.8692</v>
      </c>
      <c r="EN48">
        <v>1.8672200000000001</v>
      </c>
      <c r="EO48">
        <v>1.8633999999999999</v>
      </c>
      <c r="EP48">
        <v>1.8644700000000001</v>
      </c>
      <c r="EQ48">
        <v>1.87018</v>
      </c>
      <c r="ER48">
        <v>1.86941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-0.3</v>
      </c>
      <c r="FG48">
        <v>0.28149999999999997</v>
      </c>
      <c r="FH48">
        <v>0.23539598422606861</v>
      </c>
      <c r="FI48">
        <v>-6.1462078757559423E-4</v>
      </c>
      <c r="FJ48">
        <v>-1.8861989874597051E-7</v>
      </c>
      <c r="FK48">
        <v>1.1980462299894961E-10</v>
      </c>
      <c r="FL48">
        <v>0.28151999999999688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14.5</v>
      </c>
      <c r="FU48">
        <v>14.7</v>
      </c>
      <c r="FV48">
        <v>1.79443</v>
      </c>
      <c r="FW48">
        <v>2.5854499999999998</v>
      </c>
      <c r="FX48">
        <v>1.5490699999999999</v>
      </c>
      <c r="FY48">
        <v>2.3290999999999999</v>
      </c>
      <c r="FZ48">
        <v>1.50146</v>
      </c>
      <c r="GA48">
        <v>2.4108900000000002</v>
      </c>
      <c r="GB48">
        <v>33.6479</v>
      </c>
      <c r="GC48">
        <v>23.982399999999998</v>
      </c>
      <c r="GD48">
        <v>19</v>
      </c>
      <c r="GE48">
        <v>279.83100000000002</v>
      </c>
      <c r="GF48">
        <v>604.40200000000004</v>
      </c>
      <c r="GG48">
        <v>24.0213</v>
      </c>
      <c r="GH48">
        <v>26.404499999999999</v>
      </c>
      <c r="GI48">
        <v>30.0001</v>
      </c>
      <c r="GJ48">
        <v>26.445799999999998</v>
      </c>
      <c r="GK48">
        <v>26.4008</v>
      </c>
      <c r="GL48">
        <v>35.878799999999998</v>
      </c>
      <c r="GM48">
        <v>20.047799999999999</v>
      </c>
      <c r="GN48">
        <v>100</v>
      </c>
      <c r="GO48">
        <v>24.039899999999999</v>
      </c>
      <c r="GP48">
        <v>800</v>
      </c>
      <c r="GQ48">
        <v>20.616900000000001</v>
      </c>
      <c r="GR48">
        <v>99.743799999999993</v>
      </c>
      <c r="GS48">
        <v>99.591399999999993</v>
      </c>
    </row>
    <row r="49" spans="1:201" x14ac:dyDescent="0.25">
      <c r="A49">
        <v>33</v>
      </c>
      <c r="B49">
        <v>1690301359.5</v>
      </c>
      <c r="C49">
        <v>455.5</v>
      </c>
      <c r="D49" t="s">
        <v>397</v>
      </c>
      <c r="E49" t="s">
        <v>398</v>
      </c>
      <c r="F49" t="s">
        <v>330</v>
      </c>
      <c r="H49">
        <v>1690301359.5</v>
      </c>
      <c r="I49">
        <f t="shared" si="0"/>
        <v>2.5676321299364981E-4</v>
      </c>
      <c r="J49">
        <f t="shared" si="1"/>
        <v>0.25676321299364979</v>
      </c>
      <c r="K49">
        <f t="shared" si="2"/>
        <v>2.0621843242178706</v>
      </c>
      <c r="L49">
        <f t="shared" si="3"/>
        <v>775.38699999999994</v>
      </c>
      <c r="M49">
        <f t="shared" si="4"/>
        <v>538.14539712646172</v>
      </c>
      <c r="N49">
        <f t="shared" si="5"/>
        <v>53.502389336075595</v>
      </c>
      <c r="O49">
        <f t="shared" si="6"/>
        <v>77.088938011269192</v>
      </c>
      <c r="P49">
        <f t="shared" si="7"/>
        <v>1.5095941108106246E-2</v>
      </c>
      <c r="Q49">
        <f t="shared" si="8"/>
        <v>2.1217749012423663</v>
      </c>
      <c r="R49">
        <f t="shared" si="9"/>
        <v>1.5036525716544296E-2</v>
      </c>
      <c r="S49">
        <f t="shared" si="10"/>
        <v>9.4031472411511691E-3</v>
      </c>
      <c r="T49">
        <f t="shared" si="11"/>
        <v>276.11316874581445</v>
      </c>
      <c r="U49">
        <f t="shared" si="12"/>
        <v>28.772346005964071</v>
      </c>
      <c r="V49">
        <f t="shared" si="13"/>
        <v>28.772346005964071</v>
      </c>
      <c r="W49">
        <f t="shared" si="14"/>
        <v>3.9690960171222995</v>
      </c>
      <c r="X49">
        <f t="shared" si="15"/>
        <v>66.234041121159777</v>
      </c>
      <c r="Y49">
        <f t="shared" si="16"/>
        <v>2.32514435006436</v>
      </c>
      <c r="Z49">
        <f t="shared" si="17"/>
        <v>3.5104974884607287</v>
      </c>
      <c r="AA49">
        <f t="shared" si="18"/>
        <v>1.6439516670579395</v>
      </c>
      <c r="AB49">
        <f t="shared" si="19"/>
        <v>-11.323257693019956</v>
      </c>
      <c r="AC49">
        <f t="shared" si="20"/>
        <v>-240.41689389967831</v>
      </c>
      <c r="AD49">
        <f t="shared" si="21"/>
        <v>-24.630629147701679</v>
      </c>
      <c r="AE49">
        <f t="shared" si="22"/>
        <v>-0.25761199458551687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52770.878197351754</v>
      </c>
      <c r="AK49">
        <f t="shared" si="26"/>
        <v>1799.98</v>
      </c>
      <c r="AL49">
        <f t="shared" si="27"/>
        <v>1499.09502460354</v>
      </c>
      <c r="AM49">
        <f t="shared" si="28"/>
        <v>0.83283982299999992</v>
      </c>
      <c r="AN49">
        <f t="shared" si="29"/>
        <v>0.15339790928000002</v>
      </c>
      <c r="AO49">
        <v>32.700000000000003</v>
      </c>
      <c r="AP49">
        <v>0.5</v>
      </c>
      <c r="AQ49" t="s">
        <v>331</v>
      </c>
      <c r="AR49">
        <v>2</v>
      </c>
      <c r="AS49">
        <v>1690301359.5</v>
      </c>
      <c r="AT49">
        <v>775.38699999999994</v>
      </c>
      <c r="AU49">
        <v>800.02800000000002</v>
      </c>
      <c r="AV49">
        <v>23.3871</v>
      </c>
      <c r="AW49">
        <v>20.654599999999999</v>
      </c>
      <c r="AX49">
        <v>775.68600000000004</v>
      </c>
      <c r="AY49">
        <v>23.105599999999999</v>
      </c>
      <c r="AZ49">
        <v>300.084</v>
      </c>
      <c r="BA49">
        <v>99.32</v>
      </c>
      <c r="BB49">
        <v>9.9951600000000002E-2</v>
      </c>
      <c r="BC49">
        <v>26.6706</v>
      </c>
      <c r="BD49">
        <v>26.958400000000001</v>
      </c>
      <c r="BE49">
        <v>28.4617</v>
      </c>
      <c r="BF49">
        <v>0</v>
      </c>
      <c r="BG49">
        <v>0</v>
      </c>
      <c r="BH49">
        <v>10038.799999999999</v>
      </c>
      <c r="BI49">
        <v>1075.9100000000001</v>
      </c>
      <c r="BJ49">
        <v>2.0183800000000001</v>
      </c>
      <c r="BK49">
        <v>-24.641200000000001</v>
      </c>
      <c r="BL49">
        <v>793.95500000000004</v>
      </c>
      <c r="BM49">
        <v>816.90099999999995</v>
      </c>
      <c r="BN49">
        <v>2.7325200000000001</v>
      </c>
      <c r="BO49">
        <v>800.02800000000002</v>
      </c>
      <c r="BP49">
        <v>20.654599999999999</v>
      </c>
      <c r="BQ49">
        <v>2.3228</v>
      </c>
      <c r="BR49">
        <v>2.0514100000000002</v>
      </c>
      <c r="BS49">
        <v>19.8354</v>
      </c>
      <c r="BT49">
        <v>17.846800000000002</v>
      </c>
      <c r="BU49">
        <v>1799.98</v>
      </c>
      <c r="BV49">
        <v>0.90998699999999999</v>
      </c>
      <c r="BW49">
        <v>3.3997300000000001E-2</v>
      </c>
      <c r="BX49">
        <v>2.2005899999999998E-2</v>
      </c>
      <c r="BY49">
        <v>3.4009999999999999E-2</v>
      </c>
      <c r="BZ49">
        <v>25</v>
      </c>
      <c r="CA49">
        <v>33528</v>
      </c>
      <c r="CB49">
        <v>1690300477.5</v>
      </c>
      <c r="CC49" t="s">
        <v>332</v>
      </c>
      <c r="CD49">
        <v>1690300477.5</v>
      </c>
      <c r="CE49">
        <v>1690300465.5</v>
      </c>
      <c r="CF49">
        <v>7</v>
      </c>
      <c r="CG49">
        <v>5.0999999999999997E-2</v>
      </c>
      <c r="CH49">
        <v>-8.0000000000000002E-3</v>
      </c>
      <c r="CI49">
        <v>-0.316</v>
      </c>
      <c r="CJ49">
        <v>0.28199999999999997</v>
      </c>
      <c r="CK49">
        <v>800</v>
      </c>
      <c r="CL49">
        <v>24</v>
      </c>
      <c r="CM49">
        <v>0.25</v>
      </c>
      <c r="CN49">
        <v>0.13</v>
      </c>
      <c r="CO49">
        <v>-23.229141463414631</v>
      </c>
      <c r="CP49">
        <v>-7.2448703832752663</v>
      </c>
      <c r="CQ49">
        <v>0.71558344197383905</v>
      </c>
      <c r="CR49">
        <v>-1</v>
      </c>
      <c r="CS49">
        <v>2.706091463414634</v>
      </c>
      <c r="CT49">
        <v>0.29112334494773912</v>
      </c>
      <c r="CU49">
        <v>3.4252096504178937E-2</v>
      </c>
      <c r="CV49">
        <v>-1</v>
      </c>
      <c r="CW49">
        <v>0</v>
      </c>
      <c r="CX49">
        <v>0</v>
      </c>
      <c r="CY49" t="s">
        <v>333</v>
      </c>
      <c r="CZ49">
        <v>2.3639899999999998</v>
      </c>
      <c r="DA49">
        <v>2.7137799999999999</v>
      </c>
      <c r="DB49">
        <v>0.14405499999999999</v>
      </c>
      <c r="DC49">
        <v>0.14671400000000001</v>
      </c>
      <c r="DD49">
        <v>0.111763</v>
      </c>
      <c r="DE49">
        <v>0.10119300000000001</v>
      </c>
      <c r="DF49">
        <v>31254.7</v>
      </c>
      <c r="DG49">
        <v>27504.5</v>
      </c>
      <c r="DH49">
        <v>31173</v>
      </c>
      <c r="DI49">
        <v>28087.1</v>
      </c>
      <c r="DJ49">
        <v>37594.400000000001</v>
      </c>
      <c r="DK49">
        <v>35898.199999999997</v>
      </c>
      <c r="DL49">
        <v>44363.7</v>
      </c>
      <c r="DM49">
        <v>42574</v>
      </c>
      <c r="DN49">
        <v>1.4680500000000001</v>
      </c>
      <c r="DO49">
        <v>2.0609999999999999</v>
      </c>
      <c r="DP49">
        <v>8.3446500000000007E-2</v>
      </c>
      <c r="DQ49">
        <v>0.19103300000000001</v>
      </c>
      <c r="DR49">
        <v>25.592199999999998</v>
      </c>
      <c r="DS49">
        <v>25.337</v>
      </c>
      <c r="DT49">
        <v>57.2</v>
      </c>
      <c r="DU49">
        <v>29</v>
      </c>
      <c r="DV49">
        <v>23.161999999999999</v>
      </c>
      <c r="DW49">
        <v>61.664700000000003</v>
      </c>
      <c r="DX49">
        <v>36.229999999999997</v>
      </c>
      <c r="DY49">
        <v>1</v>
      </c>
      <c r="DZ49">
        <v>-8.0899399999999996E-2</v>
      </c>
      <c r="EA49">
        <v>0.354022</v>
      </c>
      <c r="EB49">
        <v>20.1892</v>
      </c>
      <c r="EC49">
        <v>5.2409499999999998</v>
      </c>
      <c r="ED49">
        <v>12.039899999999999</v>
      </c>
      <c r="EE49">
        <v>5.0164999999999997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1.8689100000000001</v>
      </c>
      <c r="EL49">
        <v>1.8646199999999999</v>
      </c>
      <c r="EM49">
        <v>1.8692</v>
      </c>
      <c r="EN49">
        <v>1.8672500000000001</v>
      </c>
      <c r="EO49">
        <v>1.8633900000000001</v>
      </c>
      <c r="EP49">
        <v>1.8644700000000001</v>
      </c>
      <c r="EQ49">
        <v>1.87018</v>
      </c>
      <c r="ER49">
        <v>1.86941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-0.29899999999999999</v>
      </c>
      <c r="FG49">
        <v>0.28149999999999997</v>
      </c>
      <c r="FH49">
        <v>0.23539598422606861</v>
      </c>
      <c r="FI49">
        <v>-6.1462078757559423E-4</v>
      </c>
      <c r="FJ49">
        <v>-1.8861989874597051E-7</v>
      </c>
      <c r="FK49">
        <v>1.1980462299894961E-10</v>
      </c>
      <c r="FL49">
        <v>0.28151999999999688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14.7</v>
      </c>
      <c r="FU49">
        <v>14.9</v>
      </c>
      <c r="FV49">
        <v>1.79443</v>
      </c>
      <c r="FW49">
        <v>2.5842299999999998</v>
      </c>
      <c r="FX49">
        <v>1.5490699999999999</v>
      </c>
      <c r="FY49">
        <v>2.3290999999999999</v>
      </c>
      <c r="FZ49">
        <v>1.50146</v>
      </c>
      <c r="GA49">
        <v>2.34741</v>
      </c>
      <c r="GB49">
        <v>33.6479</v>
      </c>
      <c r="GC49">
        <v>23.982399999999998</v>
      </c>
      <c r="GD49">
        <v>19</v>
      </c>
      <c r="GE49">
        <v>279.83100000000002</v>
      </c>
      <c r="GF49">
        <v>604.53399999999999</v>
      </c>
      <c r="GG49">
        <v>24.0852</v>
      </c>
      <c r="GH49">
        <v>26.402000000000001</v>
      </c>
      <c r="GI49">
        <v>30</v>
      </c>
      <c r="GJ49">
        <v>26.445799999999998</v>
      </c>
      <c r="GK49">
        <v>26.402999999999999</v>
      </c>
      <c r="GL49">
        <v>35.875599999999999</v>
      </c>
      <c r="GM49">
        <v>20.047799999999999</v>
      </c>
      <c r="GN49">
        <v>100</v>
      </c>
      <c r="GO49">
        <v>24.111000000000001</v>
      </c>
      <c r="GP49">
        <v>800</v>
      </c>
      <c r="GQ49">
        <v>20.5672</v>
      </c>
      <c r="GR49">
        <v>99.742400000000004</v>
      </c>
      <c r="GS49">
        <v>99.591999999999999</v>
      </c>
    </row>
    <row r="50" spans="1:201" x14ac:dyDescent="0.25">
      <c r="A50">
        <v>34</v>
      </c>
      <c r="B50">
        <v>1690301369.5</v>
      </c>
      <c r="C50">
        <v>465.5</v>
      </c>
      <c r="D50" t="s">
        <v>399</v>
      </c>
      <c r="E50" t="s">
        <v>400</v>
      </c>
      <c r="F50" t="s">
        <v>330</v>
      </c>
      <c r="H50">
        <v>1690301369.5</v>
      </c>
      <c r="I50">
        <f t="shared" si="0"/>
        <v>2.6195508495840996E-4</v>
      </c>
      <c r="J50">
        <f t="shared" si="1"/>
        <v>0.26195508495840997</v>
      </c>
      <c r="K50">
        <f t="shared" si="2"/>
        <v>2.1665749069887674</v>
      </c>
      <c r="L50">
        <f t="shared" si="3"/>
        <v>774.20100000000002</v>
      </c>
      <c r="M50">
        <f t="shared" si="4"/>
        <v>530.19432124264756</v>
      </c>
      <c r="N50">
        <f t="shared" si="5"/>
        <v>52.710118347834758</v>
      </c>
      <c r="O50">
        <f t="shared" si="6"/>
        <v>76.968433459202998</v>
      </c>
      <c r="P50">
        <f t="shared" si="7"/>
        <v>1.5379987188443583E-2</v>
      </c>
      <c r="Q50">
        <f t="shared" si="8"/>
        <v>2.1130374746324123</v>
      </c>
      <c r="R50">
        <f t="shared" si="9"/>
        <v>1.5318065877683411E-2</v>
      </c>
      <c r="S50">
        <f t="shared" si="10"/>
        <v>9.5793336989390531E-3</v>
      </c>
      <c r="T50">
        <f t="shared" si="11"/>
        <v>276.11438650266393</v>
      </c>
      <c r="U50">
        <f t="shared" si="12"/>
        <v>28.782511313663505</v>
      </c>
      <c r="V50">
        <f t="shared" si="13"/>
        <v>28.782511313663505</v>
      </c>
      <c r="W50">
        <f t="shared" si="14"/>
        <v>3.9714352642889823</v>
      </c>
      <c r="X50">
        <f t="shared" si="15"/>
        <v>66.218089369196136</v>
      </c>
      <c r="Y50">
        <f t="shared" si="16"/>
        <v>2.3251455693036998</v>
      </c>
      <c r="Z50">
        <f t="shared" si="17"/>
        <v>3.5113449987056398</v>
      </c>
      <c r="AA50">
        <f t="shared" si="18"/>
        <v>1.6462896949852825</v>
      </c>
      <c r="AB50">
        <f t="shared" si="19"/>
        <v>-11.55221924666588</v>
      </c>
      <c r="AC50">
        <f t="shared" si="20"/>
        <v>-240.11781012417873</v>
      </c>
      <c r="AD50">
        <f t="shared" si="21"/>
        <v>-24.703468692504874</v>
      </c>
      <c r="AE50">
        <f t="shared" si="22"/>
        <v>-0.25911156068556807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52386.751326723403</v>
      </c>
      <c r="AK50">
        <f t="shared" si="26"/>
        <v>1799.99</v>
      </c>
      <c r="AL50">
        <f t="shared" si="27"/>
        <v>1499.1046435946</v>
      </c>
      <c r="AM50">
        <f t="shared" si="28"/>
        <v>0.83284053999999996</v>
      </c>
      <c r="AN50">
        <f t="shared" si="29"/>
        <v>0.15339773359999997</v>
      </c>
      <c r="AO50">
        <v>32.700000000000003</v>
      </c>
      <c r="AP50">
        <v>0.5</v>
      </c>
      <c r="AQ50" t="s">
        <v>331</v>
      </c>
      <c r="AR50">
        <v>2</v>
      </c>
      <c r="AS50">
        <v>1690301369.5</v>
      </c>
      <c r="AT50">
        <v>774.20100000000002</v>
      </c>
      <c r="AU50">
        <v>800.01400000000001</v>
      </c>
      <c r="AV50">
        <v>23.387899999999998</v>
      </c>
      <c r="AW50">
        <v>20.6008</v>
      </c>
      <c r="AX50">
        <v>774.5</v>
      </c>
      <c r="AY50">
        <v>23.106400000000001</v>
      </c>
      <c r="AZ50">
        <v>300.154</v>
      </c>
      <c r="BA50">
        <v>99.316599999999994</v>
      </c>
      <c r="BB50">
        <v>0.10000299999999999</v>
      </c>
      <c r="BC50">
        <v>26.674700000000001</v>
      </c>
      <c r="BD50">
        <v>26.9907</v>
      </c>
      <c r="BE50">
        <v>28.464200000000002</v>
      </c>
      <c r="BF50">
        <v>0</v>
      </c>
      <c r="BG50">
        <v>0</v>
      </c>
      <c r="BH50">
        <v>9963.1200000000008</v>
      </c>
      <c r="BI50">
        <v>1075.9000000000001</v>
      </c>
      <c r="BJ50">
        <v>2.0183800000000001</v>
      </c>
      <c r="BK50">
        <v>-25.812100000000001</v>
      </c>
      <c r="BL50">
        <v>792.74199999999996</v>
      </c>
      <c r="BM50">
        <v>816.84100000000001</v>
      </c>
      <c r="BN50">
        <v>2.7870900000000001</v>
      </c>
      <c r="BO50">
        <v>800.01400000000001</v>
      </c>
      <c r="BP50">
        <v>20.6008</v>
      </c>
      <c r="BQ50">
        <v>2.32281</v>
      </c>
      <c r="BR50">
        <v>2.0459999999999998</v>
      </c>
      <c r="BS50">
        <v>19.8355</v>
      </c>
      <c r="BT50">
        <v>17.8049</v>
      </c>
      <c r="BU50">
        <v>1799.99</v>
      </c>
      <c r="BV50">
        <v>0.909995</v>
      </c>
      <c r="BW50">
        <v>3.3994299999999998E-2</v>
      </c>
      <c r="BX50">
        <v>2.2003999999999999E-2</v>
      </c>
      <c r="BY50">
        <v>3.4007000000000003E-2</v>
      </c>
      <c r="BZ50">
        <v>25</v>
      </c>
      <c r="CA50">
        <v>33528.1</v>
      </c>
      <c r="CB50">
        <v>1690300477.5</v>
      </c>
      <c r="CC50" t="s">
        <v>332</v>
      </c>
      <c r="CD50">
        <v>1690300477.5</v>
      </c>
      <c r="CE50">
        <v>1690300465.5</v>
      </c>
      <c r="CF50">
        <v>7</v>
      </c>
      <c r="CG50">
        <v>5.0999999999999997E-2</v>
      </c>
      <c r="CH50">
        <v>-8.0000000000000002E-3</v>
      </c>
      <c r="CI50">
        <v>-0.316</v>
      </c>
      <c r="CJ50">
        <v>0.28199999999999997</v>
      </c>
      <c r="CK50">
        <v>800</v>
      </c>
      <c r="CL50">
        <v>24</v>
      </c>
      <c r="CM50">
        <v>0.25</v>
      </c>
      <c r="CN50">
        <v>0.13</v>
      </c>
      <c r="CO50">
        <v>-24.561697500000001</v>
      </c>
      <c r="CP50">
        <v>-7.6550848030018503</v>
      </c>
      <c r="CQ50">
        <v>0.7380438305031416</v>
      </c>
      <c r="CR50">
        <v>-1</v>
      </c>
      <c r="CS50">
        <v>2.74293875</v>
      </c>
      <c r="CT50">
        <v>0.18252596622888281</v>
      </c>
      <c r="CU50">
        <v>2.0237186092377079E-2</v>
      </c>
      <c r="CV50">
        <v>-1</v>
      </c>
      <c r="CW50">
        <v>0</v>
      </c>
      <c r="CX50">
        <v>0</v>
      </c>
      <c r="CY50" t="s">
        <v>333</v>
      </c>
      <c r="CZ50">
        <v>2.3642400000000001</v>
      </c>
      <c r="DA50">
        <v>2.7137600000000002</v>
      </c>
      <c r="DB50">
        <v>0.143901</v>
      </c>
      <c r="DC50">
        <v>0.146705</v>
      </c>
      <c r="DD50">
        <v>0.111761</v>
      </c>
      <c r="DE50">
        <v>0.101003</v>
      </c>
      <c r="DF50">
        <v>31260.5</v>
      </c>
      <c r="DG50">
        <v>27505.200000000001</v>
      </c>
      <c r="DH50">
        <v>31173.200000000001</v>
      </c>
      <c r="DI50">
        <v>28087.5</v>
      </c>
      <c r="DJ50">
        <v>37594.800000000003</v>
      </c>
      <c r="DK50">
        <v>35906.5</v>
      </c>
      <c r="DL50">
        <v>44364.2</v>
      </c>
      <c r="DM50">
        <v>42574.8</v>
      </c>
      <c r="DN50">
        <v>1.46783</v>
      </c>
      <c r="DO50">
        <v>2.0608200000000001</v>
      </c>
      <c r="DP50">
        <v>8.5979700000000006E-2</v>
      </c>
      <c r="DQ50">
        <v>0.19162899999999999</v>
      </c>
      <c r="DR50">
        <v>25.582999999999998</v>
      </c>
      <c r="DS50">
        <v>25.329799999999999</v>
      </c>
      <c r="DT50">
        <v>57.2</v>
      </c>
      <c r="DU50">
        <v>29</v>
      </c>
      <c r="DV50">
        <v>23.164100000000001</v>
      </c>
      <c r="DW50">
        <v>62.014699999999998</v>
      </c>
      <c r="DX50">
        <v>35.176299999999998</v>
      </c>
      <c r="DY50">
        <v>1</v>
      </c>
      <c r="DZ50">
        <v>-8.08841E-2</v>
      </c>
      <c r="EA50">
        <v>0.35167799999999999</v>
      </c>
      <c r="EB50">
        <v>20.1891</v>
      </c>
      <c r="EC50">
        <v>5.2408000000000001</v>
      </c>
      <c r="ED50">
        <v>12.039899999999999</v>
      </c>
      <c r="EE50">
        <v>5.0158500000000004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1.8689100000000001</v>
      </c>
      <c r="EL50">
        <v>1.8646199999999999</v>
      </c>
      <c r="EM50">
        <v>1.8692</v>
      </c>
      <c r="EN50">
        <v>1.86724</v>
      </c>
      <c r="EO50">
        <v>1.8633999999999999</v>
      </c>
      <c r="EP50">
        <v>1.8644700000000001</v>
      </c>
      <c r="EQ50">
        <v>1.8702000000000001</v>
      </c>
      <c r="ER50">
        <v>1.86941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-0.29899999999999999</v>
      </c>
      <c r="FG50">
        <v>0.28149999999999997</v>
      </c>
      <c r="FH50">
        <v>0.23539598422606861</v>
      </c>
      <c r="FI50">
        <v>-6.1462078757559423E-4</v>
      </c>
      <c r="FJ50">
        <v>-1.8861989874597051E-7</v>
      </c>
      <c r="FK50">
        <v>1.1980462299894961E-10</v>
      </c>
      <c r="FL50">
        <v>0.28151999999999688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14.9</v>
      </c>
      <c r="FU50">
        <v>15.1</v>
      </c>
      <c r="FV50">
        <v>1.79443</v>
      </c>
      <c r="FW50">
        <v>2.5939899999999998</v>
      </c>
      <c r="FX50">
        <v>1.5490699999999999</v>
      </c>
      <c r="FY50">
        <v>2.3290999999999999</v>
      </c>
      <c r="FZ50">
        <v>1.50146</v>
      </c>
      <c r="GA50">
        <v>2.32422</v>
      </c>
      <c r="GB50">
        <v>33.6479</v>
      </c>
      <c r="GC50">
        <v>23.973700000000001</v>
      </c>
      <c r="GD50">
        <v>19</v>
      </c>
      <c r="GE50">
        <v>279.73599999999999</v>
      </c>
      <c r="GF50">
        <v>604.38499999999999</v>
      </c>
      <c r="GG50">
        <v>24.152999999999999</v>
      </c>
      <c r="GH50">
        <v>26.3977</v>
      </c>
      <c r="GI50">
        <v>30</v>
      </c>
      <c r="GJ50">
        <v>26.445799999999998</v>
      </c>
      <c r="GK50">
        <v>26.402999999999999</v>
      </c>
      <c r="GL50">
        <v>35.873899999999999</v>
      </c>
      <c r="GM50">
        <v>20.589400000000001</v>
      </c>
      <c r="GN50">
        <v>100</v>
      </c>
      <c r="GO50">
        <v>24.160599999999999</v>
      </c>
      <c r="GP50">
        <v>800</v>
      </c>
      <c r="GQ50">
        <v>20.508700000000001</v>
      </c>
      <c r="GR50">
        <v>99.743200000000002</v>
      </c>
      <c r="GS50">
        <v>99.593699999999998</v>
      </c>
    </row>
    <row r="51" spans="1:201" x14ac:dyDescent="0.25">
      <c r="A51">
        <v>35</v>
      </c>
      <c r="B51">
        <v>1690301379.5</v>
      </c>
      <c r="C51">
        <v>475.5</v>
      </c>
      <c r="D51" t="s">
        <v>401</v>
      </c>
      <c r="E51" t="s">
        <v>402</v>
      </c>
      <c r="F51" t="s">
        <v>330</v>
      </c>
      <c r="H51">
        <v>1690301379.5</v>
      </c>
      <c r="I51">
        <f t="shared" si="0"/>
        <v>2.704971061722951E-4</v>
      </c>
      <c r="J51">
        <f t="shared" si="1"/>
        <v>0.27049710617229511</v>
      </c>
      <c r="K51">
        <f t="shared" si="2"/>
        <v>2.2716914205913961</v>
      </c>
      <c r="L51">
        <f t="shared" si="3"/>
        <v>772.99699999999996</v>
      </c>
      <c r="M51">
        <f t="shared" si="4"/>
        <v>525.60468316825325</v>
      </c>
      <c r="N51">
        <f t="shared" si="5"/>
        <v>52.254964799571255</v>
      </c>
      <c r="O51">
        <f t="shared" si="6"/>
        <v>76.850401677726012</v>
      </c>
      <c r="P51">
        <f t="shared" si="7"/>
        <v>1.5884556254630235E-2</v>
      </c>
      <c r="Q51">
        <f t="shared" si="8"/>
        <v>2.1133500872940214</v>
      </c>
      <c r="R51">
        <f t="shared" si="9"/>
        <v>1.5818524553109933E-2</v>
      </c>
      <c r="S51">
        <f t="shared" si="10"/>
        <v>9.8924875704186916E-3</v>
      </c>
      <c r="T51">
        <f t="shared" si="11"/>
        <v>276.11542335600001</v>
      </c>
      <c r="U51">
        <f t="shared" si="12"/>
        <v>28.780333589099989</v>
      </c>
      <c r="V51">
        <f t="shared" si="13"/>
        <v>28.780333589099989</v>
      </c>
      <c r="W51">
        <f t="shared" si="14"/>
        <v>3.9709340237366781</v>
      </c>
      <c r="X51">
        <f t="shared" si="15"/>
        <v>66.201080458669949</v>
      </c>
      <c r="Y51">
        <f t="shared" si="16"/>
        <v>2.3246988764382004</v>
      </c>
      <c r="Z51">
        <f t="shared" si="17"/>
        <v>3.5115724098937253</v>
      </c>
      <c r="AA51">
        <f t="shared" si="18"/>
        <v>1.6462351472984778</v>
      </c>
      <c r="AB51">
        <f t="shared" si="19"/>
        <v>-11.928922382198214</v>
      </c>
      <c r="AC51">
        <f t="shared" si="20"/>
        <v>-239.77988695934098</v>
      </c>
      <c r="AD51">
        <f t="shared" si="21"/>
        <v>-24.664920356165908</v>
      </c>
      <c r="AE51">
        <f t="shared" si="22"/>
        <v>-0.2583063417050937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52400.286069226189</v>
      </c>
      <c r="AK51">
        <f t="shared" si="26"/>
        <v>1800</v>
      </c>
      <c r="AL51">
        <f t="shared" si="27"/>
        <v>1499.1131556</v>
      </c>
      <c r="AM51">
        <f t="shared" si="28"/>
        <v>0.83284064199999996</v>
      </c>
      <c r="AN51">
        <f t="shared" si="29"/>
        <v>0.15339745741999999</v>
      </c>
      <c r="AO51">
        <v>32.700000000000003</v>
      </c>
      <c r="AP51">
        <v>0.5</v>
      </c>
      <c r="AQ51" t="s">
        <v>331</v>
      </c>
      <c r="AR51">
        <v>2</v>
      </c>
      <c r="AS51">
        <v>1690301379.5</v>
      </c>
      <c r="AT51">
        <v>772.99699999999996</v>
      </c>
      <c r="AU51">
        <v>800.01900000000001</v>
      </c>
      <c r="AV51">
        <v>23.382899999999999</v>
      </c>
      <c r="AW51">
        <v>20.505400000000002</v>
      </c>
      <c r="AX51">
        <v>773.29499999999996</v>
      </c>
      <c r="AY51">
        <v>23.101400000000002</v>
      </c>
      <c r="AZ51">
        <v>300.20600000000002</v>
      </c>
      <c r="BA51">
        <v>99.318700000000007</v>
      </c>
      <c r="BB51">
        <v>0.10005799999999999</v>
      </c>
      <c r="BC51">
        <v>26.675799999999999</v>
      </c>
      <c r="BD51">
        <v>26.9801</v>
      </c>
      <c r="BE51">
        <v>28.468299999999999</v>
      </c>
      <c r="BF51">
        <v>0</v>
      </c>
      <c r="BG51">
        <v>0</v>
      </c>
      <c r="BH51">
        <v>9965.6200000000008</v>
      </c>
      <c r="BI51">
        <v>1075.8499999999999</v>
      </c>
      <c r="BJ51">
        <v>2.0127700000000002</v>
      </c>
      <c r="BK51">
        <v>-27.0215</v>
      </c>
      <c r="BL51">
        <v>791.505</v>
      </c>
      <c r="BM51">
        <v>816.76700000000005</v>
      </c>
      <c r="BN51">
        <v>2.8774799999999998</v>
      </c>
      <c r="BO51">
        <v>800.01900000000001</v>
      </c>
      <c r="BP51">
        <v>20.505400000000002</v>
      </c>
      <c r="BQ51">
        <v>2.3223600000000002</v>
      </c>
      <c r="BR51">
        <v>2.0365700000000002</v>
      </c>
      <c r="BS51">
        <v>19.8323</v>
      </c>
      <c r="BT51">
        <v>17.7316</v>
      </c>
      <c r="BU51">
        <v>1800</v>
      </c>
      <c r="BV51">
        <v>0.91000199999999998</v>
      </c>
      <c r="BW51">
        <v>3.3993099999999998E-2</v>
      </c>
      <c r="BX51">
        <v>2.20016E-2</v>
      </c>
      <c r="BY51">
        <v>3.4003199999999997E-2</v>
      </c>
      <c r="BZ51">
        <v>25</v>
      </c>
      <c r="CA51">
        <v>33528.300000000003</v>
      </c>
      <c r="CB51">
        <v>1690300477.5</v>
      </c>
      <c r="CC51" t="s">
        <v>332</v>
      </c>
      <c r="CD51">
        <v>1690300477.5</v>
      </c>
      <c r="CE51">
        <v>1690300465.5</v>
      </c>
      <c r="CF51">
        <v>7</v>
      </c>
      <c r="CG51">
        <v>5.0999999999999997E-2</v>
      </c>
      <c r="CH51">
        <v>-8.0000000000000002E-3</v>
      </c>
      <c r="CI51">
        <v>-0.316</v>
      </c>
      <c r="CJ51">
        <v>0.28199999999999997</v>
      </c>
      <c r="CK51">
        <v>800</v>
      </c>
      <c r="CL51">
        <v>24</v>
      </c>
      <c r="CM51">
        <v>0.25</v>
      </c>
      <c r="CN51">
        <v>0.13</v>
      </c>
      <c r="CO51">
        <v>-25.690529999999999</v>
      </c>
      <c r="CP51">
        <v>-7.2326048780486376</v>
      </c>
      <c r="CQ51">
        <v>0.69726300604578184</v>
      </c>
      <c r="CR51">
        <v>-1</v>
      </c>
      <c r="CS51">
        <v>2.78771375</v>
      </c>
      <c r="CT51">
        <v>0.45936371482176053</v>
      </c>
      <c r="CU51">
        <v>4.5502762096794727E-2</v>
      </c>
      <c r="CV51">
        <v>-1</v>
      </c>
      <c r="CW51">
        <v>0</v>
      </c>
      <c r="CX51">
        <v>0</v>
      </c>
      <c r="CY51" t="s">
        <v>333</v>
      </c>
      <c r="CZ51">
        <v>2.3643999999999998</v>
      </c>
      <c r="DA51">
        <v>2.7138200000000001</v>
      </c>
      <c r="DB51">
        <v>0.14375099999999999</v>
      </c>
      <c r="DC51">
        <v>0.146703</v>
      </c>
      <c r="DD51">
        <v>0.111745</v>
      </c>
      <c r="DE51">
        <v>0.100672</v>
      </c>
      <c r="DF51">
        <v>31266.799999999999</v>
      </c>
      <c r="DG51">
        <v>27505.3</v>
      </c>
      <c r="DH51">
        <v>31174</v>
      </c>
      <c r="DI51">
        <v>28087.599999999999</v>
      </c>
      <c r="DJ51">
        <v>37596.199999999997</v>
      </c>
      <c r="DK51">
        <v>35919.800000000003</v>
      </c>
      <c r="DL51">
        <v>44365.1</v>
      </c>
      <c r="DM51">
        <v>42574.9</v>
      </c>
      <c r="DN51">
        <v>1.4682299999999999</v>
      </c>
      <c r="DO51">
        <v>2.0607500000000001</v>
      </c>
      <c r="DP51">
        <v>8.5793400000000006E-2</v>
      </c>
      <c r="DQ51">
        <v>0.19223999999999999</v>
      </c>
      <c r="DR51">
        <v>25.575399999999998</v>
      </c>
      <c r="DS51">
        <v>25.323899999999998</v>
      </c>
      <c r="DT51">
        <v>57.2</v>
      </c>
      <c r="DU51">
        <v>29</v>
      </c>
      <c r="DV51">
        <v>23.165500000000002</v>
      </c>
      <c r="DW51">
        <v>61.884700000000002</v>
      </c>
      <c r="DX51">
        <v>35.420699999999997</v>
      </c>
      <c r="DY51">
        <v>1</v>
      </c>
      <c r="DZ51">
        <v>-8.0945100000000006E-2</v>
      </c>
      <c r="EA51">
        <v>0.379417</v>
      </c>
      <c r="EB51">
        <v>20.1891</v>
      </c>
      <c r="EC51">
        <v>5.2409499999999998</v>
      </c>
      <c r="ED51">
        <v>12.039899999999999</v>
      </c>
      <c r="EE51">
        <v>5.0168499999999998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1.8689100000000001</v>
      </c>
      <c r="EL51">
        <v>1.8646199999999999</v>
      </c>
      <c r="EM51">
        <v>1.8692</v>
      </c>
      <c r="EN51">
        <v>1.8672299999999999</v>
      </c>
      <c r="EO51">
        <v>1.8633999999999999</v>
      </c>
      <c r="EP51">
        <v>1.8644700000000001</v>
      </c>
      <c r="EQ51">
        <v>1.87018</v>
      </c>
      <c r="ER51">
        <v>1.8693900000000001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-0.29799999999999999</v>
      </c>
      <c r="FG51">
        <v>0.28149999999999997</v>
      </c>
      <c r="FH51">
        <v>0.23539598422606861</v>
      </c>
      <c r="FI51">
        <v>-6.1462078757559423E-4</v>
      </c>
      <c r="FJ51">
        <v>-1.8861989874597051E-7</v>
      </c>
      <c r="FK51">
        <v>1.1980462299894961E-10</v>
      </c>
      <c r="FL51">
        <v>0.28151999999999688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15</v>
      </c>
      <c r="FU51">
        <v>15.2</v>
      </c>
      <c r="FV51">
        <v>1.79443</v>
      </c>
      <c r="FW51">
        <v>2.5915499999999998</v>
      </c>
      <c r="FX51">
        <v>1.5490699999999999</v>
      </c>
      <c r="FY51">
        <v>2.3290999999999999</v>
      </c>
      <c r="FZ51">
        <v>1.50146</v>
      </c>
      <c r="GA51">
        <v>2.34497</v>
      </c>
      <c r="GB51">
        <v>33.670499999999997</v>
      </c>
      <c r="GC51">
        <v>23.973700000000001</v>
      </c>
      <c r="GD51">
        <v>19</v>
      </c>
      <c r="GE51">
        <v>279.90499999999997</v>
      </c>
      <c r="GF51">
        <v>604.34699999999998</v>
      </c>
      <c r="GG51">
        <v>24.180199999999999</v>
      </c>
      <c r="GH51">
        <v>26.395</v>
      </c>
      <c r="GI51">
        <v>30</v>
      </c>
      <c r="GJ51">
        <v>26.445799999999998</v>
      </c>
      <c r="GK51">
        <v>26.405200000000001</v>
      </c>
      <c r="GL51">
        <v>35.871699999999997</v>
      </c>
      <c r="GM51">
        <v>20.589400000000001</v>
      </c>
      <c r="GN51">
        <v>100</v>
      </c>
      <c r="GO51">
        <v>24.188800000000001</v>
      </c>
      <c r="GP51">
        <v>800</v>
      </c>
      <c r="GQ51">
        <v>20.4575</v>
      </c>
      <c r="GR51">
        <v>99.745500000000007</v>
      </c>
      <c r="GS51">
        <v>99.593900000000005</v>
      </c>
    </row>
    <row r="52" spans="1:201" x14ac:dyDescent="0.25">
      <c r="A52">
        <v>36</v>
      </c>
      <c r="B52">
        <v>1690301389.5</v>
      </c>
      <c r="C52">
        <v>485.5</v>
      </c>
      <c r="D52" t="s">
        <v>403</v>
      </c>
      <c r="E52" t="s">
        <v>404</v>
      </c>
      <c r="F52" t="s">
        <v>330</v>
      </c>
      <c r="H52">
        <v>1690301389.5</v>
      </c>
      <c r="I52">
        <f t="shared" si="0"/>
        <v>2.7048545860102597E-4</v>
      </c>
      <c r="J52">
        <f t="shared" si="1"/>
        <v>0.27048545860102596</v>
      </c>
      <c r="K52">
        <f t="shared" si="2"/>
        <v>2.3937317408290899</v>
      </c>
      <c r="L52">
        <f t="shared" si="3"/>
        <v>771.69100000000003</v>
      </c>
      <c r="M52">
        <f t="shared" si="4"/>
        <v>511.91382794577999</v>
      </c>
      <c r="N52">
        <f t="shared" si="5"/>
        <v>50.892993855320505</v>
      </c>
      <c r="O52">
        <f t="shared" si="6"/>
        <v>76.719289804700992</v>
      </c>
      <c r="P52">
        <f t="shared" si="7"/>
        <v>1.5868785174558038E-2</v>
      </c>
      <c r="Q52">
        <f t="shared" si="8"/>
        <v>2.1202974601300912</v>
      </c>
      <c r="R52">
        <f t="shared" si="9"/>
        <v>1.5803099200620039E-2</v>
      </c>
      <c r="S52">
        <f t="shared" si="10"/>
        <v>9.8828158794797647E-3</v>
      </c>
      <c r="T52">
        <f t="shared" si="11"/>
        <v>276.11385082563999</v>
      </c>
      <c r="U52">
        <f t="shared" si="12"/>
        <v>28.780252621764369</v>
      </c>
      <c r="V52">
        <f t="shared" si="13"/>
        <v>28.780252621764369</v>
      </c>
      <c r="W52">
        <f t="shared" si="14"/>
        <v>3.9709153887834385</v>
      </c>
      <c r="X52">
        <f t="shared" si="15"/>
        <v>66.133089703650441</v>
      </c>
      <c r="Y52">
        <f t="shared" si="16"/>
        <v>2.3231591664257998</v>
      </c>
      <c r="Z52">
        <f t="shared" si="17"/>
        <v>3.5128544225532612</v>
      </c>
      <c r="AA52">
        <f t="shared" si="18"/>
        <v>1.6477562223576387</v>
      </c>
      <c r="AB52">
        <f t="shared" si="19"/>
        <v>-11.928408724305244</v>
      </c>
      <c r="AC52">
        <f t="shared" si="20"/>
        <v>-239.85015911646002</v>
      </c>
      <c r="AD52">
        <f t="shared" si="21"/>
        <v>-24.592056816222296</v>
      </c>
      <c r="AE52">
        <f t="shared" si="22"/>
        <v>-0.25677383134757292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52703.857193764285</v>
      </c>
      <c r="AK52">
        <f t="shared" si="26"/>
        <v>1799.99</v>
      </c>
      <c r="AL52">
        <f t="shared" si="27"/>
        <v>1499.10175461065</v>
      </c>
      <c r="AM52">
        <f t="shared" si="28"/>
        <v>0.83283893500000006</v>
      </c>
      <c r="AN52">
        <f t="shared" si="29"/>
        <v>0.153397436</v>
      </c>
      <c r="AO52">
        <v>32.700000000000003</v>
      </c>
      <c r="AP52">
        <v>0.5</v>
      </c>
      <c r="AQ52" t="s">
        <v>331</v>
      </c>
      <c r="AR52">
        <v>2</v>
      </c>
      <c r="AS52">
        <v>1690301389.5</v>
      </c>
      <c r="AT52">
        <v>771.69100000000003</v>
      </c>
      <c r="AU52">
        <v>800.05</v>
      </c>
      <c r="AV52">
        <v>23.367799999999999</v>
      </c>
      <c r="AW52">
        <v>20.4892</v>
      </c>
      <c r="AX52">
        <v>771.98699999999997</v>
      </c>
      <c r="AY52">
        <v>23.086300000000001</v>
      </c>
      <c r="AZ52">
        <v>300.08300000000003</v>
      </c>
      <c r="BA52">
        <v>99.317099999999996</v>
      </c>
      <c r="BB52">
        <v>0.100011</v>
      </c>
      <c r="BC52">
        <v>26.681999999999999</v>
      </c>
      <c r="BD52">
        <v>26.974499999999999</v>
      </c>
      <c r="BE52">
        <v>28.468599999999999</v>
      </c>
      <c r="BF52">
        <v>0</v>
      </c>
      <c r="BG52">
        <v>0</v>
      </c>
      <c r="BH52">
        <v>10026.200000000001</v>
      </c>
      <c r="BI52">
        <v>1075.8599999999999</v>
      </c>
      <c r="BJ52">
        <v>1.9763299999999999</v>
      </c>
      <c r="BK52">
        <v>-28.359200000000001</v>
      </c>
      <c r="BL52">
        <v>790.15499999999997</v>
      </c>
      <c r="BM52">
        <v>816.78499999999997</v>
      </c>
      <c r="BN52">
        <v>2.8786700000000001</v>
      </c>
      <c r="BO52">
        <v>800.05</v>
      </c>
      <c r="BP52">
        <v>20.4892</v>
      </c>
      <c r="BQ52">
        <v>2.3208299999999999</v>
      </c>
      <c r="BR52">
        <v>2.0349200000000001</v>
      </c>
      <c r="BS52">
        <v>19.8217</v>
      </c>
      <c r="BT52">
        <v>17.718699999999998</v>
      </c>
      <c r="BU52">
        <v>1799.99</v>
      </c>
      <c r="BV52">
        <v>0.90999300000000005</v>
      </c>
      <c r="BW52">
        <v>3.4007500000000003E-2</v>
      </c>
      <c r="BX52">
        <v>2.1999500000000002E-2</v>
      </c>
      <c r="BY52">
        <v>3.4000000000000002E-2</v>
      </c>
      <c r="BZ52">
        <v>25</v>
      </c>
      <c r="CA52">
        <v>33528.1</v>
      </c>
      <c r="CB52">
        <v>1690300477.5</v>
      </c>
      <c r="CC52" t="s">
        <v>332</v>
      </c>
      <c r="CD52">
        <v>1690300477.5</v>
      </c>
      <c r="CE52">
        <v>1690300465.5</v>
      </c>
      <c r="CF52">
        <v>7</v>
      </c>
      <c r="CG52">
        <v>5.0999999999999997E-2</v>
      </c>
      <c r="CH52">
        <v>-8.0000000000000002E-3</v>
      </c>
      <c r="CI52">
        <v>-0.316</v>
      </c>
      <c r="CJ52">
        <v>0.28199999999999997</v>
      </c>
      <c r="CK52">
        <v>800</v>
      </c>
      <c r="CL52">
        <v>24</v>
      </c>
      <c r="CM52">
        <v>0.25</v>
      </c>
      <c r="CN52">
        <v>0.13</v>
      </c>
      <c r="CO52">
        <v>-26.937534146341459</v>
      </c>
      <c r="CP52">
        <v>-7.516080836236922</v>
      </c>
      <c r="CQ52">
        <v>0.74183089342772957</v>
      </c>
      <c r="CR52">
        <v>-1</v>
      </c>
      <c r="CS52">
        <v>2.8516326829268301</v>
      </c>
      <c r="CT52">
        <v>0.31844445993031129</v>
      </c>
      <c r="CU52">
        <v>3.6029727768133457E-2</v>
      </c>
      <c r="CV52">
        <v>-1</v>
      </c>
      <c r="CW52">
        <v>0</v>
      </c>
      <c r="CX52">
        <v>0</v>
      </c>
      <c r="CY52" t="s">
        <v>333</v>
      </c>
      <c r="CZ52">
        <v>2.3639899999999998</v>
      </c>
      <c r="DA52">
        <v>2.7138200000000001</v>
      </c>
      <c r="DB52">
        <v>0.14358799999999999</v>
      </c>
      <c r="DC52">
        <v>0.146707</v>
      </c>
      <c r="DD52">
        <v>0.111694</v>
      </c>
      <c r="DE52">
        <v>0.100616</v>
      </c>
      <c r="DF52">
        <v>31272.9</v>
      </c>
      <c r="DG52">
        <v>27505.1</v>
      </c>
      <c r="DH52">
        <v>31174.2</v>
      </c>
      <c r="DI52">
        <v>28087.5</v>
      </c>
      <c r="DJ52">
        <v>37598.6</v>
      </c>
      <c r="DK52">
        <v>35922</v>
      </c>
      <c r="DL52">
        <v>44365.2</v>
      </c>
      <c r="DM52">
        <v>42574.8</v>
      </c>
      <c r="DN52">
        <v>1.46837</v>
      </c>
      <c r="DO52">
        <v>2.06088</v>
      </c>
      <c r="DP52">
        <v>8.5808300000000004E-2</v>
      </c>
      <c r="DQ52">
        <v>0.19251599999999999</v>
      </c>
      <c r="DR52">
        <v>25.569500000000001</v>
      </c>
      <c r="DS52">
        <v>25.319600000000001</v>
      </c>
      <c r="DT52">
        <v>57.2</v>
      </c>
      <c r="DU52">
        <v>29</v>
      </c>
      <c r="DV52">
        <v>23.164000000000001</v>
      </c>
      <c r="DW52">
        <v>61.5747</v>
      </c>
      <c r="DX52">
        <v>36.234000000000002</v>
      </c>
      <c r="DY52">
        <v>1</v>
      </c>
      <c r="DZ52">
        <v>-8.1117900000000007E-2</v>
      </c>
      <c r="EA52">
        <v>0.32029999999999997</v>
      </c>
      <c r="EB52">
        <v>20.1891</v>
      </c>
      <c r="EC52">
        <v>5.2409499999999998</v>
      </c>
      <c r="ED52">
        <v>12.039899999999999</v>
      </c>
      <c r="EE52">
        <v>5.0171999999999999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</v>
      </c>
      <c r="EL52">
        <v>1.8646199999999999</v>
      </c>
      <c r="EM52">
        <v>1.8692</v>
      </c>
      <c r="EN52">
        <v>1.8672200000000001</v>
      </c>
      <c r="EO52">
        <v>1.8633999999999999</v>
      </c>
      <c r="EP52">
        <v>1.8644700000000001</v>
      </c>
      <c r="EQ52">
        <v>1.87019</v>
      </c>
      <c r="ER52">
        <v>1.8693900000000001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-0.29599999999999999</v>
      </c>
      <c r="FG52">
        <v>0.28149999999999997</v>
      </c>
      <c r="FH52">
        <v>0.23539598422606861</v>
      </c>
      <c r="FI52">
        <v>-6.1462078757559423E-4</v>
      </c>
      <c r="FJ52">
        <v>-1.8861989874597051E-7</v>
      </c>
      <c r="FK52">
        <v>1.1980462299894961E-10</v>
      </c>
      <c r="FL52">
        <v>0.28151999999999688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15.2</v>
      </c>
      <c r="FU52">
        <v>15.4</v>
      </c>
      <c r="FV52">
        <v>1.79321</v>
      </c>
      <c r="FW52">
        <v>2.5817899999999998</v>
      </c>
      <c r="FX52">
        <v>1.5490699999999999</v>
      </c>
      <c r="FY52">
        <v>2.3290999999999999</v>
      </c>
      <c r="FZ52">
        <v>1.50146</v>
      </c>
      <c r="GA52">
        <v>2.3278799999999999</v>
      </c>
      <c r="GB52">
        <v>33.6479</v>
      </c>
      <c r="GC52">
        <v>23.982399999999998</v>
      </c>
      <c r="GD52">
        <v>19</v>
      </c>
      <c r="GE52">
        <v>279.96899999999999</v>
      </c>
      <c r="GF52">
        <v>604.45399999999995</v>
      </c>
      <c r="GG52">
        <v>24.211200000000002</v>
      </c>
      <c r="GH52">
        <v>26.390899999999998</v>
      </c>
      <c r="GI52">
        <v>29.9999</v>
      </c>
      <c r="GJ52">
        <v>26.445799999999998</v>
      </c>
      <c r="GK52">
        <v>26.405200000000001</v>
      </c>
      <c r="GL52">
        <v>35.871000000000002</v>
      </c>
      <c r="GM52">
        <v>20.589400000000001</v>
      </c>
      <c r="GN52">
        <v>100</v>
      </c>
      <c r="GO52">
        <v>24.229299999999999</v>
      </c>
      <c r="GP52">
        <v>800</v>
      </c>
      <c r="GQ52">
        <v>20.411899999999999</v>
      </c>
      <c r="GR52">
        <v>99.745999999999995</v>
      </c>
      <c r="GS52">
        <v>99.593500000000006</v>
      </c>
    </row>
    <row r="53" spans="1:201" x14ac:dyDescent="0.25">
      <c r="A53">
        <v>37</v>
      </c>
      <c r="B53">
        <v>1690301399.5</v>
      </c>
      <c r="C53">
        <v>495.5</v>
      </c>
      <c r="D53" t="s">
        <v>405</v>
      </c>
      <c r="E53" t="s">
        <v>406</v>
      </c>
      <c r="F53" t="s">
        <v>330</v>
      </c>
      <c r="H53">
        <v>1690301399.5</v>
      </c>
      <c r="I53">
        <f t="shared" si="0"/>
        <v>2.7415710746441109E-4</v>
      </c>
      <c r="J53">
        <f t="shared" si="1"/>
        <v>0.27415710746441108</v>
      </c>
      <c r="K53">
        <f t="shared" si="2"/>
        <v>2.5122152721061486</v>
      </c>
      <c r="L53">
        <f t="shared" si="3"/>
        <v>770.34699999999998</v>
      </c>
      <c r="M53">
        <f t="shared" si="4"/>
        <v>502.05637935905497</v>
      </c>
      <c r="N53">
        <f t="shared" si="5"/>
        <v>49.912531447164767</v>
      </c>
      <c r="O53">
        <f t="shared" si="6"/>
        <v>76.584962254270692</v>
      </c>
      <c r="P53">
        <f t="shared" si="7"/>
        <v>1.6080147428429781E-2</v>
      </c>
      <c r="Q53">
        <f t="shared" si="8"/>
        <v>2.1156252558923927</v>
      </c>
      <c r="R53">
        <f t="shared" si="9"/>
        <v>1.6012555755637984E-2</v>
      </c>
      <c r="S53">
        <f t="shared" si="10"/>
        <v>1.0013896425802365E-2</v>
      </c>
      <c r="T53">
        <f t="shared" si="11"/>
        <v>276.11515425599998</v>
      </c>
      <c r="U53">
        <f t="shared" si="12"/>
        <v>28.781783251380897</v>
      </c>
      <c r="V53">
        <f t="shared" si="13"/>
        <v>28.781783251380897</v>
      </c>
      <c r="W53">
        <f t="shared" si="14"/>
        <v>3.9712676821636763</v>
      </c>
      <c r="X53">
        <f t="shared" si="15"/>
        <v>66.134247346297371</v>
      </c>
      <c r="Y53">
        <f t="shared" si="16"/>
        <v>2.3230083592386501</v>
      </c>
      <c r="Z53">
        <f t="shared" si="17"/>
        <v>3.5125649001110277</v>
      </c>
      <c r="AA53">
        <f t="shared" si="18"/>
        <v>1.6482593229250262</v>
      </c>
      <c r="AB53">
        <f t="shared" si="19"/>
        <v>-12.09032843918053</v>
      </c>
      <c r="AC53">
        <f t="shared" si="20"/>
        <v>-239.65589527035291</v>
      </c>
      <c r="AD53">
        <f t="shared" si="21"/>
        <v>-24.626421427323024</v>
      </c>
      <c r="AE53">
        <f t="shared" si="22"/>
        <v>-0.25749088085646576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52499.045260417006</v>
      </c>
      <c r="AK53">
        <f t="shared" si="26"/>
        <v>1800</v>
      </c>
      <c r="AL53">
        <f t="shared" si="27"/>
        <v>1499.1117695999999</v>
      </c>
      <c r="AM53">
        <f t="shared" si="28"/>
        <v>0.83283987199999998</v>
      </c>
      <c r="AN53">
        <f t="shared" si="29"/>
        <v>0.15339730792</v>
      </c>
      <c r="AO53">
        <v>32.700000000000003</v>
      </c>
      <c r="AP53">
        <v>0.5</v>
      </c>
      <c r="AQ53" t="s">
        <v>331</v>
      </c>
      <c r="AR53">
        <v>2</v>
      </c>
      <c r="AS53">
        <v>1690301399.5</v>
      </c>
      <c r="AT53">
        <v>770.34699999999998</v>
      </c>
      <c r="AU53">
        <v>800.01300000000003</v>
      </c>
      <c r="AV53">
        <v>23.366499999999998</v>
      </c>
      <c r="AW53">
        <v>20.4499</v>
      </c>
      <c r="AX53">
        <v>770.64300000000003</v>
      </c>
      <c r="AY53">
        <v>23.085000000000001</v>
      </c>
      <c r="AZ53">
        <v>300.19400000000002</v>
      </c>
      <c r="BA53">
        <v>99.316199999999995</v>
      </c>
      <c r="BB53">
        <v>9.9988099999999996E-2</v>
      </c>
      <c r="BC53">
        <v>26.680599999999998</v>
      </c>
      <c r="BD53">
        <v>26.9711</v>
      </c>
      <c r="BE53">
        <v>28.4922</v>
      </c>
      <c r="BF53">
        <v>0</v>
      </c>
      <c r="BG53">
        <v>0</v>
      </c>
      <c r="BH53">
        <v>9985.6200000000008</v>
      </c>
      <c r="BI53">
        <v>1075.8499999999999</v>
      </c>
      <c r="BJ53">
        <v>1.97072</v>
      </c>
      <c r="BK53">
        <v>-29.665400000000002</v>
      </c>
      <c r="BL53">
        <v>788.77800000000002</v>
      </c>
      <c r="BM53">
        <v>816.71500000000003</v>
      </c>
      <c r="BN53">
        <v>2.9165700000000001</v>
      </c>
      <c r="BO53">
        <v>800.01300000000003</v>
      </c>
      <c r="BP53">
        <v>20.4499</v>
      </c>
      <c r="BQ53">
        <v>2.3206699999999998</v>
      </c>
      <c r="BR53">
        <v>2.0310100000000002</v>
      </c>
      <c r="BS53">
        <v>19.820599999999999</v>
      </c>
      <c r="BT53">
        <v>17.688199999999998</v>
      </c>
      <c r="BU53">
        <v>1800</v>
      </c>
      <c r="BV53">
        <v>0.91000099999999995</v>
      </c>
      <c r="BW53">
        <v>3.4004600000000003E-2</v>
      </c>
      <c r="BX53">
        <v>2.1997599999999999E-2</v>
      </c>
      <c r="BY53">
        <v>3.3997199999999998E-2</v>
      </c>
      <c r="BZ53">
        <v>25</v>
      </c>
      <c r="CA53">
        <v>33528.300000000003</v>
      </c>
      <c r="CB53">
        <v>1690300477.5</v>
      </c>
      <c r="CC53" t="s">
        <v>332</v>
      </c>
      <c r="CD53">
        <v>1690300477.5</v>
      </c>
      <c r="CE53">
        <v>1690300465.5</v>
      </c>
      <c r="CF53">
        <v>7</v>
      </c>
      <c r="CG53">
        <v>5.0999999999999997E-2</v>
      </c>
      <c r="CH53">
        <v>-8.0000000000000002E-3</v>
      </c>
      <c r="CI53">
        <v>-0.316</v>
      </c>
      <c r="CJ53">
        <v>0.28199999999999997</v>
      </c>
      <c r="CK53">
        <v>800</v>
      </c>
      <c r="CL53">
        <v>24</v>
      </c>
      <c r="CM53">
        <v>0.25</v>
      </c>
      <c r="CN53">
        <v>0.13</v>
      </c>
      <c r="CO53">
        <v>-28.1791175</v>
      </c>
      <c r="CP53">
        <v>-7.9208724202625609</v>
      </c>
      <c r="CQ53">
        <v>0.76257018820810862</v>
      </c>
      <c r="CR53">
        <v>-1</v>
      </c>
      <c r="CS53">
        <v>2.8814602499999999</v>
      </c>
      <c r="CT53">
        <v>4.788529080675432E-2</v>
      </c>
      <c r="CU53">
        <v>6.2933276124400106E-3</v>
      </c>
      <c r="CV53">
        <v>-1</v>
      </c>
      <c r="CW53">
        <v>0</v>
      </c>
      <c r="CX53">
        <v>0</v>
      </c>
      <c r="CY53" t="s">
        <v>333</v>
      </c>
      <c r="CZ53">
        <v>2.36436</v>
      </c>
      <c r="DA53">
        <v>2.7137699999999998</v>
      </c>
      <c r="DB53">
        <v>0.14341899999999999</v>
      </c>
      <c r="DC53">
        <v>0.146701</v>
      </c>
      <c r="DD53">
        <v>0.111689</v>
      </c>
      <c r="DE53">
        <v>0.100479</v>
      </c>
      <c r="DF53">
        <v>31279.200000000001</v>
      </c>
      <c r="DG53">
        <v>27506</v>
      </c>
      <c r="DH53">
        <v>31174.2</v>
      </c>
      <c r="DI53">
        <v>28088.2</v>
      </c>
      <c r="DJ53">
        <v>37598.9</v>
      </c>
      <c r="DK53">
        <v>35928.199999999997</v>
      </c>
      <c r="DL53">
        <v>44365.5</v>
      </c>
      <c r="DM53">
        <v>42575.7</v>
      </c>
      <c r="DN53">
        <v>1.46868</v>
      </c>
      <c r="DO53">
        <v>2.06088</v>
      </c>
      <c r="DP53">
        <v>8.5897699999999994E-2</v>
      </c>
      <c r="DQ53">
        <v>0.19417699999999999</v>
      </c>
      <c r="DR53">
        <v>25.564699999999998</v>
      </c>
      <c r="DS53">
        <v>25.316099999999999</v>
      </c>
      <c r="DT53">
        <v>57.2</v>
      </c>
      <c r="DU53">
        <v>29</v>
      </c>
      <c r="DV53">
        <v>23.159800000000001</v>
      </c>
      <c r="DW53">
        <v>61.384700000000002</v>
      </c>
      <c r="DX53">
        <v>35.027999999999999</v>
      </c>
      <c r="DY53">
        <v>1</v>
      </c>
      <c r="DZ53">
        <v>-8.1709900000000002E-2</v>
      </c>
      <c r="EA53">
        <v>0.22720299999999999</v>
      </c>
      <c r="EB53">
        <v>20.189299999999999</v>
      </c>
      <c r="EC53">
        <v>5.2408000000000001</v>
      </c>
      <c r="ED53">
        <v>12.039899999999999</v>
      </c>
      <c r="EE53">
        <v>5.0173500000000004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</v>
      </c>
      <c r="EL53">
        <v>1.8646199999999999</v>
      </c>
      <c r="EM53">
        <v>1.8692</v>
      </c>
      <c r="EN53">
        <v>1.8672200000000001</v>
      </c>
      <c r="EO53">
        <v>1.8633900000000001</v>
      </c>
      <c r="EP53">
        <v>1.8644700000000001</v>
      </c>
      <c r="EQ53">
        <v>1.87018</v>
      </c>
      <c r="ER53">
        <v>1.8693900000000001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-0.29599999999999999</v>
      </c>
      <c r="FG53">
        <v>0.28149999999999997</v>
      </c>
      <c r="FH53">
        <v>0.23539598422606861</v>
      </c>
      <c r="FI53">
        <v>-6.1462078757559423E-4</v>
      </c>
      <c r="FJ53">
        <v>-1.8861989874597051E-7</v>
      </c>
      <c r="FK53">
        <v>1.1980462299894961E-10</v>
      </c>
      <c r="FL53">
        <v>0.28151999999999688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15.4</v>
      </c>
      <c r="FU53">
        <v>15.6</v>
      </c>
      <c r="FV53">
        <v>1.79443</v>
      </c>
      <c r="FW53">
        <v>2.5878899999999998</v>
      </c>
      <c r="FX53">
        <v>1.5490699999999999</v>
      </c>
      <c r="FY53">
        <v>2.3290999999999999</v>
      </c>
      <c r="FZ53">
        <v>1.50146</v>
      </c>
      <c r="GA53">
        <v>2.35229</v>
      </c>
      <c r="GB53">
        <v>33.670499999999997</v>
      </c>
      <c r="GC53">
        <v>23.973700000000001</v>
      </c>
      <c r="GD53">
        <v>19</v>
      </c>
      <c r="GE53">
        <v>280.096</v>
      </c>
      <c r="GF53">
        <v>604.45299999999997</v>
      </c>
      <c r="GG53">
        <v>24.259699999999999</v>
      </c>
      <c r="GH53">
        <v>26.386399999999998</v>
      </c>
      <c r="GI53">
        <v>29.9999</v>
      </c>
      <c r="GJ53">
        <v>26.445799999999998</v>
      </c>
      <c r="GK53">
        <v>26.405200000000001</v>
      </c>
      <c r="GL53">
        <v>35.868699999999997</v>
      </c>
      <c r="GM53">
        <v>20.864799999999999</v>
      </c>
      <c r="GN53">
        <v>100</v>
      </c>
      <c r="GO53">
        <v>24.288</v>
      </c>
      <c r="GP53">
        <v>800</v>
      </c>
      <c r="GQ53">
        <v>20.358000000000001</v>
      </c>
      <c r="GR53">
        <v>99.746399999999994</v>
      </c>
      <c r="GS53">
        <v>99.595799999999997</v>
      </c>
    </row>
    <row r="54" spans="1:201" x14ac:dyDescent="0.25">
      <c r="A54">
        <v>38</v>
      </c>
      <c r="B54">
        <v>1690301409.5</v>
      </c>
      <c r="C54">
        <v>505.5</v>
      </c>
      <c r="D54" t="s">
        <v>407</v>
      </c>
      <c r="E54" t="s">
        <v>408</v>
      </c>
      <c r="F54" t="s">
        <v>330</v>
      </c>
      <c r="H54">
        <v>1690301409.5</v>
      </c>
      <c r="I54">
        <f t="shared" si="0"/>
        <v>2.8287570961527288E-4</v>
      </c>
      <c r="J54">
        <f t="shared" si="1"/>
        <v>0.28287570961527286</v>
      </c>
      <c r="K54">
        <f t="shared" si="2"/>
        <v>2.6294097334670514</v>
      </c>
      <c r="L54">
        <f t="shared" si="3"/>
        <v>768.97</v>
      </c>
      <c r="M54">
        <f t="shared" si="4"/>
        <v>497.20359918380507</v>
      </c>
      <c r="N54">
        <f t="shared" si="5"/>
        <v>49.431534844818231</v>
      </c>
      <c r="O54">
        <f t="shared" si="6"/>
        <v>76.450306095969992</v>
      </c>
      <c r="P54">
        <f t="shared" si="7"/>
        <v>1.6596454741319315E-2</v>
      </c>
      <c r="Q54">
        <f t="shared" si="8"/>
        <v>2.1151545795570241</v>
      </c>
      <c r="R54">
        <f t="shared" si="9"/>
        <v>1.6524447412223378E-2</v>
      </c>
      <c r="S54">
        <f t="shared" si="10"/>
        <v>1.0334223078036619E-2</v>
      </c>
      <c r="T54">
        <f t="shared" si="11"/>
        <v>276.11175135156344</v>
      </c>
      <c r="U54">
        <f t="shared" si="12"/>
        <v>28.782713086512096</v>
      </c>
      <c r="V54">
        <f t="shared" si="13"/>
        <v>28.782713086512096</v>
      </c>
      <c r="W54">
        <f t="shared" si="14"/>
        <v>3.9714817085537089</v>
      </c>
      <c r="X54">
        <f t="shared" si="15"/>
        <v>66.132639936340254</v>
      </c>
      <c r="Y54">
        <f t="shared" si="16"/>
        <v>2.3234442741901997</v>
      </c>
      <c r="Z54">
        <f t="shared" si="17"/>
        <v>3.5133094284860906</v>
      </c>
      <c r="AA54">
        <f t="shared" si="18"/>
        <v>1.6480374343635091</v>
      </c>
      <c r="AB54">
        <f t="shared" si="19"/>
        <v>-12.474818794033533</v>
      </c>
      <c r="AC54">
        <f t="shared" si="20"/>
        <v>-239.29809271886859</v>
      </c>
      <c r="AD54">
        <f t="shared" si="21"/>
        <v>-24.595681333570976</v>
      </c>
      <c r="AE54">
        <f t="shared" si="22"/>
        <v>-0.25684149490965069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52477.848894049326</v>
      </c>
      <c r="AK54">
        <f t="shared" si="26"/>
        <v>1799.98</v>
      </c>
      <c r="AL54">
        <f t="shared" si="27"/>
        <v>1499.0959875928397</v>
      </c>
      <c r="AM54">
        <f t="shared" si="28"/>
        <v>0.83284035799999989</v>
      </c>
      <c r="AN54">
        <f t="shared" si="29"/>
        <v>0.15339712183000001</v>
      </c>
      <c r="AO54">
        <v>32.700000000000003</v>
      </c>
      <c r="AP54">
        <v>0.5</v>
      </c>
      <c r="AQ54" t="s">
        <v>331</v>
      </c>
      <c r="AR54">
        <v>2</v>
      </c>
      <c r="AS54">
        <v>1690301409.5</v>
      </c>
      <c r="AT54">
        <v>768.97</v>
      </c>
      <c r="AU54">
        <v>799.97799999999995</v>
      </c>
      <c r="AV54">
        <v>23.370200000000001</v>
      </c>
      <c r="AW54">
        <v>20.3612</v>
      </c>
      <c r="AX54">
        <v>769.26400000000001</v>
      </c>
      <c r="AY54">
        <v>23.088699999999999</v>
      </c>
      <c r="AZ54">
        <v>300.22800000000001</v>
      </c>
      <c r="BA54">
        <v>99.319000000000003</v>
      </c>
      <c r="BB54">
        <v>0.100101</v>
      </c>
      <c r="BC54">
        <v>26.684200000000001</v>
      </c>
      <c r="BD54">
        <v>26.999400000000001</v>
      </c>
      <c r="BE54">
        <v>28.491199999999999</v>
      </c>
      <c r="BF54">
        <v>0</v>
      </c>
      <c r="BG54">
        <v>0</v>
      </c>
      <c r="BH54">
        <v>9981.25</v>
      </c>
      <c r="BI54">
        <v>1075.75</v>
      </c>
      <c r="BJ54">
        <v>1.9903500000000001</v>
      </c>
      <c r="BK54">
        <v>-31.008099999999999</v>
      </c>
      <c r="BL54">
        <v>787.37099999999998</v>
      </c>
      <c r="BM54">
        <v>816.60500000000002</v>
      </c>
      <c r="BN54">
        <v>3.0090300000000001</v>
      </c>
      <c r="BO54">
        <v>799.97799999999995</v>
      </c>
      <c r="BP54">
        <v>20.3612</v>
      </c>
      <c r="BQ54">
        <v>2.32111</v>
      </c>
      <c r="BR54">
        <v>2.0222600000000002</v>
      </c>
      <c r="BS54">
        <v>19.823599999999999</v>
      </c>
      <c r="BT54">
        <v>17.619700000000002</v>
      </c>
      <c r="BU54">
        <v>1799.98</v>
      </c>
      <c r="BV54">
        <v>0.91000800000000004</v>
      </c>
      <c r="BW54">
        <v>3.4001900000000002E-2</v>
      </c>
      <c r="BX54">
        <v>2.1995899999999999E-2</v>
      </c>
      <c r="BY54">
        <v>3.3994499999999997E-2</v>
      </c>
      <c r="BZ54">
        <v>25</v>
      </c>
      <c r="CA54">
        <v>33528.199999999997</v>
      </c>
      <c r="CB54">
        <v>1690300477.5</v>
      </c>
      <c r="CC54" t="s">
        <v>332</v>
      </c>
      <c r="CD54">
        <v>1690300477.5</v>
      </c>
      <c r="CE54">
        <v>1690300465.5</v>
      </c>
      <c r="CF54">
        <v>7</v>
      </c>
      <c r="CG54">
        <v>5.0999999999999997E-2</v>
      </c>
      <c r="CH54">
        <v>-8.0000000000000002E-3</v>
      </c>
      <c r="CI54">
        <v>-0.316</v>
      </c>
      <c r="CJ54">
        <v>0.28199999999999997</v>
      </c>
      <c r="CK54">
        <v>800</v>
      </c>
      <c r="CL54">
        <v>24</v>
      </c>
      <c r="CM54">
        <v>0.25</v>
      </c>
      <c r="CN54">
        <v>0.13</v>
      </c>
      <c r="CO54">
        <v>-29.664680000000001</v>
      </c>
      <c r="CP54">
        <v>-8.3874146341463458</v>
      </c>
      <c r="CQ54">
        <v>0.80775398302948653</v>
      </c>
      <c r="CR54">
        <v>-1</v>
      </c>
      <c r="CS54">
        <v>2.9175417499999998</v>
      </c>
      <c r="CT54">
        <v>0.36102765478423238</v>
      </c>
      <c r="CU54">
        <v>3.6828056688311683E-2</v>
      </c>
      <c r="CV54">
        <v>-1</v>
      </c>
      <c r="CW54">
        <v>0</v>
      </c>
      <c r="CX54">
        <v>0</v>
      </c>
      <c r="CY54" t="s">
        <v>333</v>
      </c>
      <c r="CZ54">
        <v>2.3644799999999999</v>
      </c>
      <c r="DA54">
        <v>2.7138800000000001</v>
      </c>
      <c r="DB54">
        <v>0.14324999999999999</v>
      </c>
      <c r="DC54">
        <v>0.146699</v>
      </c>
      <c r="DD54">
        <v>0.111704</v>
      </c>
      <c r="DE54">
        <v>0.100173</v>
      </c>
      <c r="DF54">
        <v>31285.3</v>
      </c>
      <c r="DG54">
        <v>27506.2</v>
      </c>
      <c r="DH54">
        <v>31174.2</v>
      </c>
      <c r="DI54">
        <v>28088.3</v>
      </c>
      <c r="DJ54">
        <v>37598.199999999997</v>
      </c>
      <c r="DK54">
        <v>35940.699999999997</v>
      </c>
      <c r="DL54">
        <v>44365.4</v>
      </c>
      <c r="DM54">
        <v>42575.9</v>
      </c>
      <c r="DN54">
        <v>1.46845</v>
      </c>
      <c r="DO54">
        <v>2.0606300000000002</v>
      </c>
      <c r="DP54">
        <v>8.8088200000000005E-2</v>
      </c>
      <c r="DQ54">
        <v>0.19442300000000001</v>
      </c>
      <c r="DR54">
        <v>25.557099999999998</v>
      </c>
      <c r="DS54">
        <v>25.3111</v>
      </c>
      <c r="DT54">
        <v>57.2</v>
      </c>
      <c r="DU54">
        <v>29</v>
      </c>
      <c r="DV54">
        <v>23.1629</v>
      </c>
      <c r="DW54">
        <v>61.674700000000001</v>
      </c>
      <c r="DX54">
        <v>35.432699999999997</v>
      </c>
      <c r="DY54">
        <v>1</v>
      </c>
      <c r="DZ54">
        <v>-8.2370399999999996E-2</v>
      </c>
      <c r="EA54">
        <v>0.21961600000000001</v>
      </c>
      <c r="EB54">
        <v>20.189499999999999</v>
      </c>
      <c r="EC54">
        <v>5.2411000000000003</v>
      </c>
      <c r="ED54">
        <v>12.039899999999999</v>
      </c>
      <c r="EE54">
        <v>5.0172499999999998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</v>
      </c>
      <c r="EL54">
        <v>1.8646199999999999</v>
      </c>
      <c r="EM54">
        <v>1.8692</v>
      </c>
      <c r="EN54">
        <v>1.8672299999999999</v>
      </c>
      <c r="EO54">
        <v>1.86338</v>
      </c>
      <c r="EP54">
        <v>1.8644700000000001</v>
      </c>
      <c r="EQ54">
        <v>1.87022</v>
      </c>
      <c r="ER54">
        <v>1.8694299999999999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-0.29399999999999998</v>
      </c>
      <c r="FG54">
        <v>0.28149999999999997</v>
      </c>
      <c r="FH54">
        <v>0.23539598422606861</v>
      </c>
      <c r="FI54">
        <v>-6.1462078757559423E-4</v>
      </c>
      <c r="FJ54">
        <v>-1.8861989874597051E-7</v>
      </c>
      <c r="FK54">
        <v>1.1980462299894961E-10</v>
      </c>
      <c r="FL54">
        <v>0.28151999999999688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15.5</v>
      </c>
      <c r="FU54">
        <v>15.7</v>
      </c>
      <c r="FV54">
        <v>1.79443</v>
      </c>
      <c r="FW54">
        <v>2.5854499999999998</v>
      </c>
      <c r="FX54">
        <v>1.5490699999999999</v>
      </c>
      <c r="FY54">
        <v>2.3290999999999999</v>
      </c>
      <c r="FZ54">
        <v>1.50146</v>
      </c>
      <c r="GA54">
        <v>2.4096700000000002</v>
      </c>
      <c r="GB54">
        <v>33.6479</v>
      </c>
      <c r="GC54">
        <v>23.982399999999998</v>
      </c>
      <c r="GD54">
        <v>19</v>
      </c>
      <c r="GE54">
        <v>279.99400000000003</v>
      </c>
      <c r="GF54">
        <v>604.24099999999999</v>
      </c>
      <c r="GG54">
        <v>24.3202</v>
      </c>
      <c r="GH54">
        <v>26.382000000000001</v>
      </c>
      <c r="GI54">
        <v>29.9998</v>
      </c>
      <c r="GJ54">
        <v>26.444400000000002</v>
      </c>
      <c r="GK54">
        <v>26.405200000000001</v>
      </c>
      <c r="GL54">
        <v>35.866599999999998</v>
      </c>
      <c r="GM54">
        <v>21.168800000000001</v>
      </c>
      <c r="GN54">
        <v>100</v>
      </c>
      <c r="GO54">
        <v>24.332799999999999</v>
      </c>
      <c r="GP54">
        <v>800</v>
      </c>
      <c r="GQ54">
        <v>20.302299999999999</v>
      </c>
      <c r="GR54">
        <v>99.746099999999998</v>
      </c>
      <c r="GS54">
        <v>99.596400000000003</v>
      </c>
    </row>
    <row r="55" spans="1:201" x14ac:dyDescent="0.25">
      <c r="A55">
        <v>39</v>
      </c>
      <c r="B55">
        <v>1690301419.5</v>
      </c>
      <c r="C55">
        <v>515.5</v>
      </c>
      <c r="D55" t="s">
        <v>409</v>
      </c>
      <c r="E55" t="s">
        <v>410</v>
      </c>
      <c r="F55" t="s">
        <v>330</v>
      </c>
      <c r="H55">
        <v>1690301419.5</v>
      </c>
      <c r="I55">
        <f t="shared" si="0"/>
        <v>2.8447992878009198E-4</v>
      </c>
      <c r="J55">
        <f t="shared" si="1"/>
        <v>0.28447992878009198</v>
      </c>
      <c r="K55">
        <f t="shared" si="2"/>
        <v>2.7588612245532755</v>
      </c>
      <c r="L55">
        <f t="shared" si="3"/>
        <v>767.57399999999996</v>
      </c>
      <c r="M55">
        <f t="shared" si="4"/>
        <v>484.70688110975652</v>
      </c>
      <c r="N55">
        <f t="shared" si="5"/>
        <v>48.189097745336319</v>
      </c>
      <c r="O55">
        <f t="shared" si="6"/>
        <v>76.311478038214801</v>
      </c>
      <c r="P55">
        <f t="shared" si="7"/>
        <v>1.6674926370171751E-2</v>
      </c>
      <c r="Q55">
        <f t="shared" si="8"/>
        <v>2.1158751792108155</v>
      </c>
      <c r="R55">
        <f t="shared" si="9"/>
        <v>1.6602262747370131E-2</v>
      </c>
      <c r="S55">
        <f t="shared" si="10"/>
        <v>1.038291627535633E-2</v>
      </c>
      <c r="T55">
        <f t="shared" si="11"/>
        <v>276.11284270524078</v>
      </c>
      <c r="U55">
        <f t="shared" si="12"/>
        <v>28.788396718491477</v>
      </c>
      <c r="V55">
        <f t="shared" si="13"/>
        <v>28.788396718491477</v>
      </c>
      <c r="W55">
        <f t="shared" si="14"/>
        <v>3.972790166931206</v>
      </c>
      <c r="X55">
        <f t="shared" si="15"/>
        <v>66.09839405471611</v>
      </c>
      <c r="Y55">
        <f t="shared" si="16"/>
        <v>2.3231845974535199</v>
      </c>
      <c r="Z55">
        <f t="shared" si="17"/>
        <v>3.5147368263295369</v>
      </c>
      <c r="AA55">
        <f t="shared" si="18"/>
        <v>1.6496055694776861</v>
      </c>
      <c r="AB55">
        <f t="shared" si="19"/>
        <v>-12.545564859202056</v>
      </c>
      <c r="AC55">
        <f t="shared" si="20"/>
        <v>-239.24086539503773</v>
      </c>
      <c r="AD55">
        <f t="shared" si="21"/>
        <v>-24.582967377110268</v>
      </c>
      <c r="AE55">
        <f t="shared" si="22"/>
        <v>-0.2565549261092599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52508.221956889189</v>
      </c>
      <c r="AK55">
        <f t="shared" si="26"/>
        <v>1799.99</v>
      </c>
      <c r="AL55">
        <f t="shared" si="27"/>
        <v>1499.1050539923201</v>
      </c>
      <c r="AM55">
        <f t="shared" si="28"/>
        <v>0.83284076800000006</v>
      </c>
      <c r="AN55">
        <f t="shared" si="29"/>
        <v>0.15339687593000004</v>
      </c>
      <c r="AO55">
        <v>32.700000000000003</v>
      </c>
      <c r="AP55">
        <v>0.5</v>
      </c>
      <c r="AQ55" t="s">
        <v>331</v>
      </c>
      <c r="AR55">
        <v>2</v>
      </c>
      <c r="AS55">
        <v>1690301419.5</v>
      </c>
      <c r="AT55">
        <v>767.57399999999996</v>
      </c>
      <c r="AU55">
        <v>800.01099999999997</v>
      </c>
      <c r="AV55">
        <v>23.367599999999999</v>
      </c>
      <c r="AW55">
        <v>20.340599999999998</v>
      </c>
      <c r="AX55">
        <v>767.86699999999996</v>
      </c>
      <c r="AY55">
        <v>23.085999999999999</v>
      </c>
      <c r="AZ55">
        <v>300.13600000000002</v>
      </c>
      <c r="BA55">
        <v>99.319100000000006</v>
      </c>
      <c r="BB55">
        <v>9.9950200000000003E-2</v>
      </c>
      <c r="BC55">
        <v>26.691099999999999</v>
      </c>
      <c r="BD55">
        <v>26.975899999999999</v>
      </c>
      <c r="BE55">
        <v>28.511399999999998</v>
      </c>
      <c r="BF55">
        <v>0</v>
      </c>
      <c r="BG55">
        <v>0</v>
      </c>
      <c r="BH55">
        <v>9987.5</v>
      </c>
      <c r="BI55">
        <v>1075.8399999999999</v>
      </c>
      <c r="BJ55">
        <v>1.9763299999999999</v>
      </c>
      <c r="BK55">
        <v>-32.436599999999999</v>
      </c>
      <c r="BL55">
        <v>785.93899999999996</v>
      </c>
      <c r="BM55">
        <v>816.62099999999998</v>
      </c>
      <c r="BN55">
        <v>3.0269699999999999</v>
      </c>
      <c r="BO55">
        <v>800.01099999999997</v>
      </c>
      <c r="BP55">
        <v>20.340599999999998</v>
      </c>
      <c r="BQ55">
        <v>2.32084</v>
      </c>
      <c r="BR55">
        <v>2.0202100000000001</v>
      </c>
      <c r="BS55">
        <v>19.8218</v>
      </c>
      <c r="BT55">
        <v>17.6036</v>
      </c>
      <c r="BU55">
        <v>1799.99</v>
      </c>
      <c r="BV55">
        <v>0.91001600000000005</v>
      </c>
      <c r="BW55">
        <v>3.3998800000000003E-2</v>
      </c>
      <c r="BX55">
        <v>2.19939E-2</v>
      </c>
      <c r="BY55">
        <v>3.3991300000000002E-2</v>
      </c>
      <c r="BZ55">
        <v>25</v>
      </c>
      <c r="CA55">
        <v>33528.300000000003</v>
      </c>
      <c r="CB55">
        <v>1690300477.5</v>
      </c>
      <c r="CC55" t="s">
        <v>332</v>
      </c>
      <c r="CD55">
        <v>1690300477.5</v>
      </c>
      <c r="CE55">
        <v>1690300465.5</v>
      </c>
      <c r="CF55">
        <v>7</v>
      </c>
      <c r="CG55">
        <v>5.0999999999999997E-2</v>
      </c>
      <c r="CH55">
        <v>-8.0000000000000002E-3</v>
      </c>
      <c r="CI55">
        <v>-0.316</v>
      </c>
      <c r="CJ55">
        <v>0.28199999999999997</v>
      </c>
      <c r="CK55">
        <v>800</v>
      </c>
      <c r="CL55">
        <v>24</v>
      </c>
      <c r="CM55">
        <v>0.25</v>
      </c>
      <c r="CN55">
        <v>0.13</v>
      </c>
      <c r="CO55">
        <v>-30.8840325</v>
      </c>
      <c r="CP55">
        <v>-8.1124761726078329</v>
      </c>
      <c r="CQ55">
        <v>0.78140649676960727</v>
      </c>
      <c r="CR55">
        <v>-1</v>
      </c>
      <c r="CS55">
        <v>2.9781589999999998</v>
      </c>
      <c r="CT55">
        <v>0.43837621013132849</v>
      </c>
      <c r="CU55">
        <v>4.4183920819682809E-2</v>
      </c>
      <c r="CV55">
        <v>-1</v>
      </c>
      <c r="CW55">
        <v>0</v>
      </c>
      <c r="CX55">
        <v>0</v>
      </c>
      <c r="CY55" t="s">
        <v>333</v>
      </c>
      <c r="CZ55">
        <v>2.3641800000000002</v>
      </c>
      <c r="DA55">
        <v>2.71373</v>
      </c>
      <c r="DB55">
        <v>0.14307600000000001</v>
      </c>
      <c r="DC55">
        <v>0.146703</v>
      </c>
      <c r="DD55">
        <v>0.111696</v>
      </c>
      <c r="DE55">
        <v>0.100101</v>
      </c>
      <c r="DF55">
        <v>31292.1</v>
      </c>
      <c r="DG55">
        <v>27506.2</v>
      </c>
      <c r="DH55">
        <v>31174.7</v>
      </c>
      <c r="DI55">
        <v>28088.400000000001</v>
      </c>
      <c r="DJ55">
        <v>37599.1</v>
      </c>
      <c r="DK55">
        <v>35943.800000000003</v>
      </c>
      <c r="DL55">
        <v>44366.1</v>
      </c>
      <c r="DM55">
        <v>42576.2</v>
      </c>
      <c r="DN55">
        <v>1.4688000000000001</v>
      </c>
      <c r="DO55">
        <v>2.0605500000000001</v>
      </c>
      <c r="DP55">
        <v>8.7089799999999995E-2</v>
      </c>
      <c r="DQ55">
        <v>0.19595000000000001</v>
      </c>
      <c r="DR55">
        <v>25.549900000000001</v>
      </c>
      <c r="DS55">
        <v>25.3063</v>
      </c>
      <c r="DT55">
        <v>57.2</v>
      </c>
      <c r="DU55">
        <v>29</v>
      </c>
      <c r="DV55">
        <v>23.163900000000002</v>
      </c>
      <c r="DW55">
        <v>61.7547</v>
      </c>
      <c r="DX55">
        <v>36.2059</v>
      </c>
      <c r="DY55">
        <v>1</v>
      </c>
      <c r="DZ55">
        <v>-8.2306900000000002E-2</v>
      </c>
      <c r="EA55">
        <v>0.28245599999999998</v>
      </c>
      <c r="EB55">
        <v>20.189299999999999</v>
      </c>
      <c r="EC55">
        <v>5.2411000000000003</v>
      </c>
      <c r="ED55">
        <v>12.039899999999999</v>
      </c>
      <c r="EE55">
        <v>5.0172499999999998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1.8646100000000001</v>
      </c>
      <c r="EM55">
        <v>1.8692</v>
      </c>
      <c r="EN55">
        <v>1.8672200000000001</v>
      </c>
      <c r="EO55">
        <v>1.8633999999999999</v>
      </c>
      <c r="EP55">
        <v>1.8644700000000001</v>
      </c>
      <c r="EQ55">
        <v>1.8702000000000001</v>
      </c>
      <c r="ER55">
        <v>1.8694200000000001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-0.29299999999999998</v>
      </c>
      <c r="FG55">
        <v>0.28160000000000002</v>
      </c>
      <c r="FH55">
        <v>0.23539598422606861</v>
      </c>
      <c r="FI55">
        <v>-6.1462078757559423E-4</v>
      </c>
      <c r="FJ55">
        <v>-1.8861989874597051E-7</v>
      </c>
      <c r="FK55">
        <v>1.1980462299894961E-10</v>
      </c>
      <c r="FL55">
        <v>0.28151999999999688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15.7</v>
      </c>
      <c r="FU55">
        <v>15.9</v>
      </c>
      <c r="FV55">
        <v>1.79443</v>
      </c>
      <c r="FW55">
        <v>2.5842299999999998</v>
      </c>
      <c r="FX55">
        <v>1.5490699999999999</v>
      </c>
      <c r="FY55">
        <v>2.3290999999999999</v>
      </c>
      <c r="FZ55">
        <v>1.50146</v>
      </c>
      <c r="GA55">
        <v>2.3596200000000001</v>
      </c>
      <c r="GB55">
        <v>33.6479</v>
      </c>
      <c r="GC55">
        <v>23.982399999999998</v>
      </c>
      <c r="GD55">
        <v>19</v>
      </c>
      <c r="GE55">
        <v>280.13900000000001</v>
      </c>
      <c r="GF55">
        <v>604.19799999999998</v>
      </c>
      <c r="GG55">
        <v>24.343900000000001</v>
      </c>
      <c r="GH55">
        <v>26.377199999999998</v>
      </c>
      <c r="GI55">
        <v>30.0002</v>
      </c>
      <c r="GJ55">
        <v>26.4435</v>
      </c>
      <c r="GK55">
        <v>26.407</v>
      </c>
      <c r="GL55">
        <v>35.869799999999998</v>
      </c>
      <c r="GM55">
        <v>21.168800000000001</v>
      </c>
      <c r="GN55">
        <v>100</v>
      </c>
      <c r="GO55">
        <v>24.343900000000001</v>
      </c>
      <c r="GP55">
        <v>800</v>
      </c>
      <c r="GQ55">
        <v>20.251799999999999</v>
      </c>
      <c r="GR55">
        <v>99.747699999999995</v>
      </c>
      <c r="GS55">
        <v>99.596900000000005</v>
      </c>
    </row>
    <row r="56" spans="1:201" x14ac:dyDescent="0.25">
      <c r="A56">
        <v>40</v>
      </c>
      <c r="B56">
        <v>1690301429.5</v>
      </c>
      <c r="C56">
        <v>525.5</v>
      </c>
      <c r="D56" t="s">
        <v>411</v>
      </c>
      <c r="E56" t="s">
        <v>412</v>
      </c>
      <c r="F56" t="s">
        <v>330</v>
      </c>
      <c r="H56">
        <v>1690301429.5</v>
      </c>
      <c r="I56">
        <f t="shared" si="0"/>
        <v>2.9016227147471099E-4</v>
      </c>
      <c r="J56">
        <f t="shared" si="1"/>
        <v>0.29016227147471096</v>
      </c>
      <c r="K56">
        <f t="shared" si="2"/>
        <v>2.888600289307957</v>
      </c>
      <c r="L56">
        <f t="shared" si="3"/>
        <v>766.07600000000002</v>
      </c>
      <c r="M56">
        <f t="shared" si="4"/>
        <v>476.760821716941</v>
      </c>
      <c r="N56">
        <f t="shared" si="5"/>
        <v>47.399589786804071</v>
      </c>
      <c r="O56">
        <f t="shared" si="6"/>
        <v>76.163322344205611</v>
      </c>
      <c r="P56">
        <f t="shared" si="7"/>
        <v>1.7036855588334399E-2</v>
      </c>
      <c r="Q56">
        <f t="shared" si="8"/>
        <v>2.120481235228767</v>
      </c>
      <c r="R56">
        <f t="shared" si="9"/>
        <v>1.6961175107060186E-2</v>
      </c>
      <c r="S56">
        <f t="shared" si="10"/>
        <v>1.0607505921919886E-2</v>
      </c>
      <c r="T56">
        <f t="shared" si="11"/>
        <v>276.11242843754223</v>
      </c>
      <c r="U56">
        <f t="shared" si="12"/>
        <v>28.777775947186552</v>
      </c>
      <c r="V56">
        <f t="shared" si="13"/>
        <v>28.777775947186552</v>
      </c>
      <c r="W56">
        <f t="shared" si="14"/>
        <v>3.9703454091559132</v>
      </c>
      <c r="X56">
        <f t="shared" si="15"/>
        <v>66.120822621870772</v>
      </c>
      <c r="Y56">
        <f t="shared" si="16"/>
        <v>2.3233573381674599</v>
      </c>
      <c r="Z56">
        <f t="shared" si="17"/>
        <v>3.5138058572776494</v>
      </c>
      <c r="AA56">
        <f t="shared" si="18"/>
        <v>1.6469880709884532</v>
      </c>
      <c r="AB56">
        <f t="shared" si="19"/>
        <v>-12.796156172034754</v>
      </c>
      <c r="AC56">
        <f t="shared" si="20"/>
        <v>-239.06194685753454</v>
      </c>
      <c r="AD56">
        <f t="shared" si="21"/>
        <v>-24.509373943900716</v>
      </c>
      <c r="AE56">
        <f t="shared" si="22"/>
        <v>-0.25504853592778431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52711.19014453853</v>
      </c>
      <c r="AK56">
        <f t="shared" si="26"/>
        <v>1799.99</v>
      </c>
      <c r="AL56">
        <f t="shared" si="27"/>
        <v>1499.10592698747</v>
      </c>
      <c r="AM56">
        <f t="shared" si="28"/>
        <v>0.832841253</v>
      </c>
      <c r="AN56">
        <f t="shared" si="29"/>
        <v>0.15339664578000001</v>
      </c>
      <c r="AO56">
        <v>32.700000000000003</v>
      </c>
      <c r="AP56">
        <v>0.5</v>
      </c>
      <c r="AQ56" t="s">
        <v>331</v>
      </c>
      <c r="AR56">
        <v>2</v>
      </c>
      <c r="AS56">
        <v>1690301429.5</v>
      </c>
      <c r="AT56">
        <v>766.07600000000002</v>
      </c>
      <c r="AU56">
        <v>799.95</v>
      </c>
      <c r="AV56">
        <v>23.3691</v>
      </c>
      <c r="AW56">
        <v>20.2834</v>
      </c>
      <c r="AX56">
        <v>766.36800000000005</v>
      </c>
      <c r="AY56">
        <v>23.087599999999998</v>
      </c>
      <c r="AZ56">
        <v>300.30700000000002</v>
      </c>
      <c r="BA56">
        <v>99.320099999999996</v>
      </c>
      <c r="BB56">
        <v>9.9960599999999997E-2</v>
      </c>
      <c r="BC56">
        <v>26.686599999999999</v>
      </c>
      <c r="BD56">
        <v>26.985800000000001</v>
      </c>
      <c r="BE56">
        <v>28.494700000000002</v>
      </c>
      <c r="BF56">
        <v>0</v>
      </c>
      <c r="BG56">
        <v>0</v>
      </c>
      <c r="BH56">
        <v>10027.5</v>
      </c>
      <c r="BI56">
        <v>1075.81</v>
      </c>
      <c r="BJ56">
        <v>1.9679199999999999</v>
      </c>
      <c r="BK56">
        <v>-33.874600000000001</v>
      </c>
      <c r="BL56">
        <v>784.40599999999995</v>
      </c>
      <c r="BM56">
        <v>816.51199999999994</v>
      </c>
      <c r="BN56">
        <v>3.0857100000000002</v>
      </c>
      <c r="BO56">
        <v>799.95</v>
      </c>
      <c r="BP56">
        <v>20.2834</v>
      </c>
      <c r="BQ56">
        <v>2.3210199999999999</v>
      </c>
      <c r="BR56">
        <v>2.0145499999999998</v>
      </c>
      <c r="BS56">
        <v>19.8231</v>
      </c>
      <c r="BT56">
        <v>17.559200000000001</v>
      </c>
      <c r="BU56">
        <v>1799.99</v>
      </c>
      <c r="BV56">
        <v>0.91002400000000006</v>
      </c>
      <c r="BW56">
        <v>3.3995699999999997E-2</v>
      </c>
      <c r="BX56">
        <v>2.1991900000000002E-2</v>
      </c>
      <c r="BY56">
        <v>3.3988200000000003E-2</v>
      </c>
      <c r="BZ56">
        <v>25</v>
      </c>
      <c r="CA56">
        <v>33528.300000000003</v>
      </c>
      <c r="CB56">
        <v>1690300477.5</v>
      </c>
      <c r="CC56" t="s">
        <v>332</v>
      </c>
      <c r="CD56">
        <v>1690300477.5</v>
      </c>
      <c r="CE56">
        <v>1690300465.5</v>
      </c>
      <c r="CF56">
        <v>7</v>
      </c>
      <c r="CG56">
        <v>5.0999999999999997E-2</v>
      </c>
      <c r="CH56">
        <v>-8.0000000000000002E-3</v>
      </c>
      <c r="CI56">
        <v>-0.316</v>
      </c>
      <c r="CJ56">
        <v>0.28199999999999997</v>
      </c>
      <c r="CK56">
        <v>800</v>
      </c>
      <c r="CL56">
        <v>24</v>
      </c>
      <c r="CM56">
        <v>0.25</v>
      </c>
      <c r="CN56">
        <v>0.13</v>
      </c>
      <c r="CO56">
        <v>-32.281849999999999</v>
      </c>
      <c r="CP56">
        <v>-8.777752345215557</v>
      </c>
      <c r="CQ56">
        <v>0.84472536542949817</v>
      </c>
      <c r="CR56">
        <v>-1</v>
      </c>
      <c r="CS56">
        <v>3.0330625000000002</v>
      </c>
      <c r="CT56">
        <v>0.19821996247653531</v>
      </c>
      <c r="CU56">
        <v>2.1059938716672479E-2</v>
      </c>
      <c r="CV56">
        <v>-1</v>
      </c>
      <c r="CW56">
        <v>0</v>
      </c>
      <c r="CX56">
        <v>0</v>
      </c>
      <c r="CY56" t="s">
        <v>333</v>
      </c>
      <c r="CZ56">
        <v>2.3647300000000002</v>
      </c>
      <c r="DA56">
        <v>2.7137799999999999</v>
      </c>
      <c r="DB56">
        <v>0.14288899999999999</v>
      </c>
      <c r="DC56">
        <v>0.14669499999999999</v>
      </c>
      <c r="DD56">
        <v>0.111702</v>
      </c>
      <c r="DE56">
        <v>9.9902000000000005E-2</v>
      </c>
      <c r="DF56">
        <v>31298.6</v>
      </c>
      <c r="DG56">
        <v>27506.400000000001</v>
      </c>
      <c r="DH56">
        <v>31174.3</v>
      </c>
      <c r="DI56">
        <v>28088.3</v>
      </c>
      <c r="DJ56">
        <v>37598.300000000003</v>
      </c>
      <c r="DK56">
        <v>35951.599999999999</v>
      </c>
      <c r="DL56">
        <v>44365.5</v>
      </c>
      <c r="DM56">
        <v>42576</v>
      </c>
      <c r="DN56">
        <v>1.46875</v>
      </c>
      <c r="DO56">
        <v>2.0604300000000002</v>
      </c>
      <c r="DP56">
        <v>8.8147799999999998E-2</v>
      </c>
      <c r="DQ56">
        <v>0.195242</v>
      </c>
      <c r="DR56">
        <v>25.5426</v>
      </c>
      <c r="DS56">
        <v>25.301200000000001</v>
      </c>
      <c r="DT56">
        <v>57.2</v>
      </c>
      <c r="DU56">
        <v>29</v>
      </c>
      <c r="DV56">
        <v>23.161000000000001</v>
      </c>
      <c r="DW56">
        <v>61.3247</v>
      </c>
      <c r="DX56">
        <v>34.975999999999999</v>
      </c>
      <c r="DY56">
        <v>1</v>
      </c>
      <c r="DZ56">
        <v>-8.2294199999999998E-2</v>
      </c>
      <c r="EA56">
        <v>1.2644500000000001</v>
      </c>
      <c r="EB56">
        <v>20.181000000000001</v>
      </c>
      <c r="EC56">
        <v>5.2409499999999998</v>
      </c>
      <c r="ED56">
        <v>12.039899999999999</v>
      </c>
      <c r="EE56">
        <v>5.01675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</v>
      </c>
      <c r="EL56">
        <v>1.8646100000000001</v>
      </c>
      <c r="EM56">
        <v>1.8692</v>
      </c>
      <c r="EN56">
        <v>1.8672299999999999</v>
      </c>
      <c r="EO56">
        <v>1.8633999999999999</v>
      </c>
      <c r="EP56">
        <v>1.8644700000000001</v>
      </c>
      <c r="EQ56">
        <v>1.87016</v>
      </c>
      <c r="ER56">
        <v>1.8694299999999999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-0.29199999999999998</v>
      </c>
      <c r="FG56">
        <v>0.28149999999999997</v>
      </c>
      <c r="FH56">
        <v>0.23539598422606861</v>
      </c>
      <c r="FI56">
        <v>-6.1462078757559423E-4</v>
      </c>
      <c r="FJ56">
        <v>-1.8861989874597051E-7</v>
      </c>
      <c r="FK56">
        <v>1.1980462299894961E-10</v>
      </c>
      <c r="FL56">
        <v>0.28151999999999688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15.9</v>
      </c>
      <c r="FU56">
        <v>16.100000000000001</v>
      </c>
      <c r="FV56">
        <v>1.79443</v>
      </c>
      <c r="FW56">
        <v>2.5952099999999998</v>
      </c>
      <c r="FX56">
        <v>1.5490699999999999</v>
      </c>
      <c r="FY56">
        <v>2.3290999999999999</v>
      </c>
      <c r="FZ56">
        <v>1.50146</v>
      </c>
      <c r="GA56">
        <v>2.3584000000000001</v>
      </c>
      <c r="GB56">
        <v>33.6479</v>
      </c>
      <c r="GC56">
        <v>23.973700000000001</v>
      </c>
      <c r="GD56">
        <v>19</v>
      </c>
      <c r="GE56">
        <v>280.11</v>
      </c>
      <c r="GF56">
        <v>604.09100000000001</v>
      </c>
      <c r="GG56">
        <v>24.322399999999998</v>
      </c>
      <c r="GH56">
        <v>26.372199999999999</v>
      </c>
      <c r="GI56">
        <v>30.000399999999999</v>
      </c>
      <c r="GJ56">
        <v>26.441700000000001</v>
      </c>
      <c r="GK56">
        <v>26.4069</v>
      </c>
      <c r="GL56">
        <v>35.866599999999998</v>
      </c>
      <c r="GM56">
        <v>21.442499999999999</v>
      </c>
      <c r="GN56">
        <v>100</v>
      </c>
      <c r="GO56">
        <v>24.031700000000001</v>
      </c>
      <c r="GP56">
        <v>800</v>
      </c>
      <c r="GQ56">
        <v>20.199200000000001</v>
      </c>
      <c r="GR56">
        <v>99.746499999999997</v>
      </c>
      <c r="GS56">
        <v>99.596400000000003</v>
      </c>
    </row>
    <row r="57" spans="1:201" x14ac:dyDescent="0.25">
      <c r="A57">
        <v>41</v>
      </c>
      <c r="B57">
        <v>1690301439.5</v>
      </c>
      <c r="C57">
        <v>535.5</v>
      </c>
      <c r="D57" t="s">
        <v>413</v>
      </c>
      <c r="E57" t="s">
        <v>414</v>
      </c>
      <c r="F57" t="s">
        <v>330</v>
      </c>
      <c r="H57">
        <v>1690301439.5</v>
      </c>
      <c r="I57">
        <f t="shared" si="0"/>
        <v>2.9101226461693806E-4</v>
      </c>
      <c r="J57">
        <f t="shared" si="1"/>
        <v>0.29101226461693808</v>
      </c>
      <c r="K57">
        <f t="shared" si="2"/>
        <v>3.0311579383704941</v>
      </c>
      <c r="L57">
        <f t="shared" si="3"/>
        <v>764.58199999999999</v>
      </c>
      <c r="M57">
        <f t="shared" si="4"/>
        <v>462.55338630698361</v>
      </c>
      <c r="N57">
        <f t="shared" si="5"/>
        <v>45.987829205688669</v>
      </c>
      <c r="O57">
        <f t="shared" si="6"/>
        <v>76.016017762776002</v>
      </c>
      <c r="P57">
        <f t="shared" si="7"/>
        <v>1.7068720900868684E-2</v>
      </c>
      <c r="Q57">
        <f t="shared" si="8"/>
        <v>2.1159754550940812</v>
      </c>
      <c r="R57">
        <f t="shared" si="9"/>
        <v>1.6992596756355234E-2</v>
      </c>
      <c r="S57">
        <f t="shared" si="10"/>
        <v>1.0627184037315267E-2</v>
      </c>
      <c r="T57">
        <f t="shared" si="11"/>
        <v>276.11516534400005</v>
      </c>
      <c r="U57">
        <f t="shared" si="12"/>
        <v>28.768267209252102</v>
      </c>
      <c r="V57">
        <f t="shared" si="13"/>
        <v>28.768267209252102</v>
      </c>
      <c r="W57">
        <f t="shared" si="14"/>
        <v>3.9681577396451053</v>
      </c>
      <c r="X57">
        <f t="shared" si="15"/>
        <v>66.057587446297987</v>
      </c>
      <c r="Y57">
        <f t="shared" si="16"/>
        <v>2.3193186132707995</v>
      </c>
      <c r="Z57">
        <f t="shared" si="17"/>
        <v>3.5110555848808538</v>
      </c>
      <c r="AA57">
        <f t="shared" si="18"/>
        <v>1.6488391263743059</v>
      </c>
      <c r="AB57">
        <f t="shared" si="19"/>
        <v>-12.833640869606969</v>
      </c>
      <c r="AC57">
        <f t="shared" si="20"/>
        <v>-238.98646134716475</v>
      </c>
      <c r="AD57">
        <f t="shared" si="21"/>
        <v>-24.551016787141364</v>
      </c>
      <c r="AE57">
        <f t="shared" si="22"/>
        <v>-0.25595365991301833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52515.790198877825</v>
      </c>
      <c r="AK57">
        <f t="shared" si="26"/>
        <v>1800</v>
      </c>
      <c r="AL57">
        <f t="shared" si="27"/>
        <v>1499.1160824000001</v>
      </c>
      <c r="AM57">
        <f t="shared" si="28"/>
        <v>0.83284226800000005</v>
      </c>
      <c r="AN57">
        <f t="shared" si="29"/>
        <v>0.15339731408000001</v>
      </c>
      <c r="AO57">
        <v>32.700000000000003</v>
      </c>
      <c r="AP57">
        <v>0.5</v>
      </c>
      <c r="AQ57" t="s">
        <v>331</v>
      </c>
      <c r="AR57">
        <v>2</v>
      </c>
      <c r="AS57">
        <v>1690301439.5</v>
      </c>
      <c r="AT57">
        <v>764.58199999999999</v>
      </c>
      <c r="AU57">
        <v>800.01099999999997</v>
      </c>
      <c r="AV57">
        <v>23.328099999999999</v>
      </c>
      <c r="AW57">
        <v>20.2332</v>
      </c>
      <c r="AX57">
        <v>764.87400000000002</v>
      </c>
      <c r="AY57">
        <v>23.046500000000002</v>
      </c>
      <c r="AZ57">
        <v>300.30399999999997</v>
      </c>
      <c r="BA57">
        <v>99.321600000000004</v>
      </c>
      <c r="BB57">
        <v>0.100068</v>
      </c>
      <c r="BC57">
        <v>26.673300000000001</v>
      </c>
      <c r="BD57">
        <v>26.957999999999998</v>
      </c>
      <c r="BE57">
        <v>28.4697</v>
      </c>
      <c r="BF57">
        <v>0</v>
      </c>
      <c r="BG57">
        <v>0</v>
      </c>
      <c r="BH57">
        <v>9988.1200000000008</v>
      </c>
      <c r="BI57">
        <v>1075.8499999999999</v>
      </c>
      <c r="BJ57">
        <v>1.96231</v>
      </c>
      <c r="BK57">
        <v>-35.428199999999997</v>
      </c>
      <c r="BL57">
        <v>782.84500000000003</v>
      </c>
      <c r="BM57">
        <v>816.53200000000004</v>
      </c>
      <c r="BN57">
        <v>3.0948099999999998</v>
      </c>
      <c r="BO57">
        <v>800.01099999999997</v>
      </c>
      <c r="BP57">
        <v>20.2332</v>
      </c>
      <c r="BQ57">
        <v>2.31698</v>
      </c>
      <c r="BR57">
        <v>2.0095999999999998</v>
      </c>
      <c r="BS57">
        <v>19.794899999999998</v>
      </c>
      <c r="BT57">
        <v>17.520199999999999</v>
      </c>
      <c r="BU57">
        <v>1800</v>
      </c>
      <c r="BV57">
        <v>0.91001900000000002</v>
      </c>
      <c r="BW57">
        <v>3.3992799999999997E-2</v>
      </c>
      <c r="BX57">
        <v>2.20004E-2</v>
      </c>
      <c r="BY57">
        <v>3.3987999999999997E-2</v>
      </c>
      <c r="BZ57">
        <v>25</v>
      </c>
      <c r="CA57">
        <v>33528.400000000001</v>
      </c>
      <c r="CB57">
        <v>1690300477.5</v>
      </c>
      <c r="CC57" t="s">
        <v>332</v>
      </c>
      <c r="CD57">
        <v>1690300477.5</v>
      </c>
      <c r="CE57">
        <v>1690300465.5</v>
      </c>
      <c r="CF57">
        <v>7</v>
      </c>
      <c r="CG57">
        <v>5.0999999999999997E-2</v>
      </c>
      <c r="CH57">
        <v>-8.0000000000000002E-3</v>
      </c>
      <c r="CI57">
        <v>-0.316</v>
      </c>
      <c r="CJ57">
        <v>0.28199999999999997</v>
      </c>
      <c r="CK57">
        <v>800</v>
      </c>
      <c r="CL57">
        <v>24</v>
      </c>
      <c r="CM57">
        <v>0.25</v>
      </c>
      <c r="CN57">
        <v>0.13</v>
      </c>
      <c r="CO57">
        <v>-33.754060000000003</v>
      </c>
      <c r="CP57">
        <v>-8.9408712945590256</v>
      </c>
      <c r="CQ57">
        <v>0.86101798930103723</v>
      </c>
      <c r="CR57">
        <v>-1</v>
      </c>
      <c r="CS57">
        <v>3.0690230000000001</v>
      </c>
      <c r="CT57">
        <v>0.25433831144463798</v>
      </c>
      <c r="CU57">
        <v>2.600619697302934E-2</v>
      </c>
      <c r="CV57">
        <v>-1</v>
      </c>
      <c r="CW57">
        <v>0</v>
      </c>
      <c r="CX57">
        <v>0</v>
      </c>
      <c r="CY57" t="s">
        <v>333</v>
      </c>
      <c r="CZ57">
        <v>2.3647100000000001</v>
      </c>
      <c r="DA57">
        <v>2.7138499999999999</v>
      </c>
      <c r="DB57">
        <v>0.142703</v>
      </c>
      <c r="DC57">
        <v>0.146704</v>
      </c>
      <c r="DD57">
        <v>0.111564</v>
      </c>
      <c r="DE57">
        <v>9.9728700000000003E-2</v>
      </c>
      <c r="DF57">
        <v>31305.7</v>
      </c>
      <c r="DG57">
        <v>27506.3</v>
      </c>
      <c r="DH57">
        <v>31174.5</v>
      </c>
      <c r="DI57">
        <v>28088.5</v>
      </c>
      <c r="DJ57">
        <v>37604.5</v>
      </c>
      <c r="DK57">
        <v>35958.800000000003</v>
      </c>
      <c r="DL57">
        <v>44365.9</v>
      </c>
      <c r="DM57">
        <v>42576.3</v>
      </c>
      <c r="DN57">
        <v>1.4685299999999999</v>
      </c>
      <c r="DO57">
        <v>2.0605199999999999</v>
      </c>
      <c r="DP57">
        <v>8.6806700000000001E-2</v>
      </c>
      <c r="DQ57">
        <v>0.19384899999999999</v>
      </c>
      <c r="DR57">
        <v>25.5367</v>
      </c>
      <c r="DS57">
        <v>25.2988</v>
      </c>
      <c r="DT57">
        <v>57.2</v>
      </c>
      <c r="DU57">
        <v>29</v>
      </c>
      <c r="DV57">
        <v>23.161100000000001</v>
      </c>
      <c r="DW57">
        <v>61.704700000000003</v>
      </c>
      <c r="DX57">
        <v>35.4527</v>
      </c>
      <c r="DY57">
        <v>1</v>
      </c>
      <c r="DZ57">
        <v>-8.2540699999999995E-2</v>
      </c>
      <c r="EA57">
        <v>0.51954500000000003</v>
      </c>
      <c r="EB57">
        <v>20.188099999999999</v>
      </c>
      <c r="EC57">
        <v>5.2409499999999998</v>
      </c>
      <c r="ED57">
        <v>12.039899999999999</v>
      </c>
      <c r="EE57">
        <v>5.0166500000000003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1.8646199999999999</v>
      </c>
      <c r="EM57">
        <v>1.8692</v>
      </c>
      <c r="EN57">
        <v>1.8672200000000001</v>
      </c>
      <c r="EO57">
        <v>1.8633999999999999</v>
      </c>
      <c r="EP57">
        <v>1.8644700000000001</v>
      </c>
      <c r="EQ57">
        <v>1.87018</v>
      </c>
      <c r="ER57">
        <v>1.86941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-0.29199999999999998</v>
      </c>
      <c r="FG57">
        <v>0.28160000000000002</v>
      </c>
      <c r="FH57">
        <v>0.23539598422606861</v>
      </c>
      <c r="FI57">
        <v>-6.1462078757559423E-4</v>
      </c>
      <c r="FJ57">
        <v>-1.8861989874597051E-7</v>
      </c>
      <c r="FK57">
        <v>1.1980462299894961E-10</v>
      </c>
      <c r="FL57">
        <v>0.28151999999999688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16</v>
      </c>
      <c r="FU57">
        <v>16.2</v>
      </c>
      <c r="FV57">
        <v>1.79321</v>
      </c>
      <c r="FW57">
        <v>2.5891099999999998</v>
      </c>
      <c r="FX57">
        <v>1.5490699999999999</v>
      </c>
      <c r="FY57">
        <v>2.3290999999999999</v>
      </c>
      <c r="FZ57">
        <v>1.50146</v>
      </c>
      <c r="GA57">
        <v>2.35229</v>
      </c>
      <c r="GB57">
        <v>33.6479</v>
      </c>
      <c r="GC57">
        <v>23.982399999999998</v>
      </c>
      <c r="GD57">
        <v>19</v>
      </c>
      <c r="GE57">
        <v>280.00900000000001</v>
      </c>
      <c r="GF57">
        <v>604.15599999999995</v>
      </c>
      <c r="GG57">
        <v>24.0565</v>
      </c>
      <c r="GH57">
        <v>26.3672</v>
      </c>
      <c r="GI57">
        <v>29.999600000000001</v>
      </c>
      <c r="GJ57">
        <v>26.4405</v>
      </c>
      <c r="GK57">
        <v>26.405200000000001</v>
      </c>
      <c r="GL57">
        <v>35.862299999999998</v>
      </c>
      <c r="GM57">
        <v>21.7133</v>
      </c>
      <c r="GN57">
        <v>100</v>
      </c>
      <c r="GO57">
        <v>24.1219</v>
      </c>
      <c r="GP57">
        <v>800</v>
      </c>
      <c r="GQ57">
        <v>20.1813</v>
      </c>
      <c r="GR57">
        <v>99.747299999999996</v>
      </c>
      <c r="GS57">
        <v>99.597200000000001</v>
      </c>
    </row>
    <row r="58" spans="1:201" x14ac:dyDescent="0.25">
      <c r="A58">
        <v>42</v>
      </c>
      <c r="B58">
        <v>1690301449.5</v>
      </c>
      <c r="C58">
        <v>545.5</v>
      </c>
      <c r="D58" t="s">
        <v>415</v>
      </c>
      <c r="E58" t="s">
        <v>416</v>
      </c>
      <c r="F58" t="s">
        <v>330</v>
      </c>
      <c r="H58">
        <v>1690301449.5</v>
      </c>
      <c r="I58">
        <f t="shared" si="0"/>
        <v>2.9228307983897702E-4</v>
      </c>
      <c r="J58">
        <f t="shared" si="1"/>
        <v>0.292283079838977</v>
      </c>
      <c r="K58">
        <f t="shared" si="2"/>
        <v>3.1680969773419672</v>
      </c>
      <c r="L58">
        <f t="shared" si="3"/>
        <v>763.00400000000002</v>
      </c>
      <c r="M58">
        <f t="shared" si="4"/>
        <v>450.39284921809735</v>
      </c>
      <c r="N58">
        <f t="shared" si="5"/>
        <v>44.779792793225546</v>
      </c>
      <c r="O58">
        <f t="shared" si="6"/>
        <v>75.860798144815192</v>
      </c>
      <c r="P58">
        <f t="shared" si="7"/>
        <v>1.7188670334418843E-2</v>
      </c>
      <c r="Q58">
        <f t="shared" si="8"/>
        <v>2.1146354209174216</v>
      </c>
      <c r="R58">
        <f t="shared" si="9"/>
        <v>1.711142644540202E-2</v>
      </c>
      <c r="S58">
        <f t="shared" si="10"/>
        <v>1.070155256155317E-2</v>
      </c>
      <c r="T58">
        <f t="shared" si="11"/>
        <v>276.1150247251183</v>
      </c>
      <c r="U58">
        <f t="shared" si="12"/>
        <v>28.752057815954718</v>
      </c>
      <c r="V58">
        <f t="shared" si="13"/>
        <v>28.752057815954718</v>
      </c>
      <c r="W58">
        <f t="shared" si="14"/>
        <v>3.9644308777961346</v>
      </c>
      <c r="X58">
        <f t="shared" si="15"/>
        <v>66.138233974759231</v>
      </c>
      <c r="Y58">
        <f t="shared" si="16"/>
        <v>2.3198269535592595</v>
      </c>
      <c r="Z58">
        <f t="shared" si="17"/>
        <v>3.5075429356710526</v>
      </c>
      <c r="AA58">
        <f t="shared" si="18"/>
        <v>1.6446039242368751</v>
      </c>
      <c r="AB58">
        <f t="shared" si="19"/>
        <v>-12.889683820898886</v>
      </c>
      <c r="AC58">
        <f t="shared" si="20"/>
        <v>-238.92524520265553</v>
      </c>
      <c r="AD58">
        <f t="shared" si="21"/>
        <v>-24.556214040263217</v>
      </c>
      <c r="AE58">
        <f t="shared" si="22"/>
        <v>-0.25611833869933776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52460.093157991047</v>
      </c>
      <c r="AK58">
        <f t="shared" si="26"/>
        <v>1799.99</v>
      </c>
      <c r="AL58">
        <f t="shared" si="27"/>
        <v>1499.1045571950797</v>
      </c>
      <c r="AM58">
        <f t="shared" si="28"/>
        <v>0.83284049199999988</v>
      </c>
      <c r="AN58">
        <f t="shared" si="29"/>
        <v>0.15339808817</v>
      </c>
      <c r="AO58">
        <v>32.700000000000003</v>
      </c>
      <c r="AP58">
        <v>0.5</v>
      </c>
      <c r="AQ58" t="s">
        <v>331</v>
      </c>
      <c r="AR58">
        <v>2</v>
      </c>
      <c r="AS58">
        <v>1690301449.5</v>
      </c>
      <c r="AT58">
        <v>763.00400000000002</v>
      </c>
      <c r="AU58">
        <v>799.95699999999999</v>
      </c>
      <c r="AV58">
        <v>23.332699999999999</v>
      </c>
      <c r="AW58">
        <v>20.222000000000001</v>
      </c>
      <c r="AX58">
        <v>763.29399999999998</v>
      </c>
      <c r="AY58">
        <v>23.051200000000001</v>
      </c>
      <c r="AZ58">
        <v>300.08199999999999</v>
      </c>
      <c r="BA58">
        <v>99.323899999999995</v>
      </c>
      <c r="BB58">
        <v>9.9953799999999995E-2</v>
      </c>
      <c r="BC58">
        <v>26.656300000000002</v>
      </c>
      <c r="BD58">
        <v>26.957100000000001</v>
      </c>
      <c r="BE58">
        <v>28.455300000000001</v>
      </c>
      <c r="BF58">
        <v>0</v>
      </c>
      <c r="BG58">
        <v>0</v>
      </c>
      <c r="BH58">
        <v>9976.25</v>
      </c>
      <c r="BI58">
        <v>1075.81</v>
      </c>
      <c r="BJ58">
        <v>1.96231</v>
      </c>
      <c r="BK58">
        <v>-36.953499999999998</v>
      </c>
      <c r="BL58">
        <v>781.23199999999997</v>
      </c>
      <c r="BM58">
        <v>816.46799999999996</v>
      </c>
      <c r="BN58">
        <v>3.11063</v>
      </c>
      <c r="BO58">
        <v>799.95699999999999</v>
      </c>
      <c r="BP58">
        <v>20.222000000000001</v>
      </c>
      <c r="BQ58">
        <v>2.3174899999999998</v>
      </c>
      <c r="BR58">
        <v>2.0085299999999999</v>
      </c>
      <c r="BS58">
        <v>19.798500000000001</v>
      </c>
      <c r="BT58">
        <v>17.511800000000001</v>
      </c>
      <c r="BU58">
        <v>1799.99</v>
      </c>
      <c r="BV58">
        <v>0.90998699999999999</v>
      </c>
      <c r="BW58">
        <v>3.3990100000000002E-2</v>
      </c>
      <c r="BX58">
        <v>2.20091E-2</v>
      </c>
      <c r="BY58">
        <v>3.40139E-2</v>
      </c>
      <c r="BZ58">
        <v>25</v>
      </c>
      <c r="CA58">
        <v>33528.199999999997</v>
      </c>
      <c r="CB58">
        <v>1690300477.5</v>
      </c>
      <c r="CC58" t="s">
        <v>332</v>
      </c>
      <c r="CD58">
        <v>1690300477.5</v>
      </c>
      <c r="CE58">
        <v>1690300465.5</v>
      </c>
      <c r="CF58">
        <v>7</v>
      </c>
      <c r="CG58">
        <v>5.0999999999999997E-2</v>
      </c>
      <c r="CH58">
        <v>-8.0000000000000002E-3</v>
      </c>
      <c r="CI58">
        <v>-0.316</v>
      </c>
      <c r="CJ58">
        <v>0.28199999999999997</v>
      </c>
      <c r="CK58">
        <v>800</v>
      </c>
      <c r="CL58">
        <v>24</v>
      </c>
      <c r="CM58">
        <v>0.25</v>
      </c>
      <c r="CN58">
        <v>0.13</v>
      </c>
      <c r="CO58">
        <v>-35.290975609756103</v>
      </c>
      <c r="CP58">
        <v>-9.2410034843205775</v>
      </c>
      <c r="CQ58">
        <v>0.91176215174591224</v>
      </c>
      <c r="CR58">
        <v>-1</v>
      </c>
      <c r="CS58">
        <v>3.0941209756097559</v>
      </c>
      <c r="CT58">
        <v>5.1601463414640752E-2</v>
      </c>
      <c r="CU58">
        <v>5.7253709241338289E-3</v>
      </c>
      <c r="CV58">
        <v>-1</v>
      </c>
      <c r="CW58">
        <v>0</v>
      </c>
      <c r="CX58">
        <v>0</v>
      </c>
      <c r="CY58" t="s">
        <v>333</v>
      </c>
      <c r="CZ58">
        <v>2.3639999999999999</v>
      </c>
      <c r="DA58">
        <v>2.7137199999999999</v>
      </c>
      <c r="DB58">
        <v>0.142509</v>
      </c>
      <c r="DC58">
        <v>0.1467</v>
      </c>
      <c r="DD58">
        <v>0.111583</v>
      </c>
      <c r="DE58">
        <v>9.96919E-2</v>
      </c>
      <c r="DF58">
        <v>31313.4</v>
      </c>
      <c r="DG58">
        <v>27506.799999999999</v>
      </c>
      <c r="DH58">
        <v>31175.1</v>
      </c>
      <c r="DI58">
        <v>28088.9</v>
      </c>
      <c r="DJ58">
        <v>37604.199999999997</v>
      </c>
      <c r="DK58">
        <v>35961</v>
      </c>
      <c r="DL58">
        <v>44366.5</v>
      </c>
      <c r="DM58">
        <v>42577.1</v>
      </c>
      <c r="DN58">
        <v>1.46858</v>
      </c>
      <c r="DO58">
        <v>2.06047</v>
      </c>
      <c r="DP58">
        <v>8.70451E-2</v>
      </c>
      <c r="DQ58">
        <v>0.193387</v>
      </c>
      <c r="DR58">
        <v>25.5318</v>
      </c>
      <c r="DS58">
        <v>25.291899999999998</v>
      </c>
      <c r="DT58">
        <v>57.2</v>
      </c>
      <c r="DU58">
        <v>29</v>
      </c>
      <c r="DV58">
        <v>23.160599999999999</v>
      </c>
      <c r="DW58">
        <v>61.544699999999999</v>
      </c>
      <c r="DX58">
        <v>36.185899999999997</v>
      </c>
      <c r="DY58">
        <v>1</v>
      </c>
      <c r="DZ58">
        <v>-8.3043699999999998E-2</v>
      </c>
      <c r="EA58">
        <v>0.23687900000000001</v>
      </c>
      <c r="EB58">
        <v>20.189299999999999</v>
      </c>
      <c r="EC58">
        <v>5.2409499999999998</v>
      </c>
      <c r="ED58">
        <v>12.039899999999999</v>
      </c>
      <c r="EE58">
        <v>5.0169499999999996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1.8646199999999999</v>
      </c>
      <c r="EM58">
        <v>1.8692</v>
      </c>
      <c r="EN58">
        <v>1.8672200000000001</v>
      </c>
      <c r="EO58">
        <v>1.8633999999999999</v>
      </c>
      <c r="EP58">
        <v>1.8644700000000001</v>
      </c>
      <c r="EQ58">
        <v>1.87018</v>
      </c>
      <c r="ER58">
        <v>1.8694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-0.28999999999999998</v>
      </c>
      <c r="FG58">
        <v>0.28149999999999997</v>
      </c>
      <c r="FH58">
        <v>0.23539598422606861</v>
      </c>
      <c r="FI58">
        <v>-6.1462078757559423E-4</v>
      </c>
      <c r="FJ58">
        <v>-1.8861989874597051E-7</v>
      </c>
      <c r="FK58">
        <v>1.1980462299894961E-10</v>
      </c>
      <c r="FL58">
        <v>0.28151999999999688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16.2</v>
      </c>
      <c r="FU58">
        <v>16.399999999999999</v>
      </c>
      <c r="FV58">
        <v>1.79443</v>
      </c>
      <c r="FW58">
        <v>2.5817899999999998</v>
      </c>
      <c r="FX58">
        <v>1.5490699999999999</v>
      </c>
      <c r="FY58">
        <v>2.3290999999999999</v>
      </c>
      <c r="FZ58">
        <v>1.50146</v>
      </c>
      <c r="GA58">
        <v>2.4267599999999998</v>
      </c>
      <c r="GB58">
        <v>33.6479</v>
      </c>
      <c r="GC58">
        <v>23.991199999999999</v>
      </c>
      <c r="GD58">
        <v>19</v>
      </c>
      <c r="GE58">
        <v>280.024</v>
      </c>
      <c r="GF58">
        <v>604.11400000000003</v>
      </c>
      <c r="GG58">
        <v>24.141500000000001</v>
      </c>
      <c r="GH58">
        <v>26.362200000000001</v>
      </c>
      <c r="GI58">
        <v>29.9998</v>
      </c>
      <c r="GJ58">
        <v>26.4391</v>
      </c>
      <c r="GK58">
        <v>26.405200000000001</v>
      </c>
      <c r="GL58">
        <v>35.867100000000001</v>
      </c>
      <c r="GM58">
        <v>21.9907</v>
      </c>
      <c r="GN58">
        <v>100</v>
      </c>
      <c r="GO58">
        <v>24.180099999999999</v>
      </c>
      <c r="GP58">
        <v>800</v>
      </c>
      <c r="GQ58">
        <v>20.125299999999999</v>
      </c>
      <c r="GR58">
        <v>99.748900000000006</v>
      </c>
      <c r="GS58">
        <v>99.5989</v>
      </c>
    </row>
    <row r="59" spans="1:201" x14ac:dyDescent="0.25">
      <c r="A59">
        <v>43</v>
      </c>
      <c r="B59">
        <v>1690301459.5</v>
      </c>
      <c r="C59">
        <v>555.5</v>
      </c>
      <c r="D59" t="s">
        <v>417</v>
      </c>
      <c r="E59" t="s">
        <v>418</v>
      </c>
      <c r="F59" t="s">
        <v>330</v>
      </c>
      <c r="H59">
        <v>1690301459.5</v>
      </c>
      <c r="I59">
        <f t="shared" si="0"/>
        <v>3.0386328576714289E-4</v>
      </c>
      <c r="J59">
        <f t="shared" si="1"/>
        <v>0.30386328576714289</v>
      </c>
      <c r="K59">
        <f t="shared" si="2"/>
        <v>3.3227990066789781</v>
      </c>
      <c r="L59">
        <f t="shared" si="3"/>
        <v>761.274</v>
      </c>
      <c r="M59">
        <f t="shared" si="4"/>
        <v>446.60485297302444</v>
      </c>
      <c r="N59">
        <f t="shared" si="5"/>
        <v>44.40495139857687</v>
      </c>
      <c r="O59">
        <f t="shared" si="6"/>
        <v>75.691821855420002</v>
      </c>
      <c r="P59">
        <f t="shared" si="7"/>
        <v>1.7900375716062594E-2</v>
      </c>
      <c r="Q59">
        <f t="shared" si="8"/>
        <v>2.1136721437217174</v>
      </c>
      <c r="R59">
        <f t="shared" si="9"/>
        <v>1.7816581601577359E-2</v>
      </c>
      <c r="S59">
        <f t="shared" si="10"/>
        <v>1.1142859280433072E-2</v>
      </c>
      <c r="T59">
        <f t="shared" si="11"/>
        <v>276.11512887253969</v>
      </c>
      <c r="U59">
        <f t="shared" si="12"/>
        <v>28.754247410825162</v>
      </c>
      <c r="V59">
        <f t="shared" si="13"/>
        <v>28.754247410825162</v>
      </c>
      <c r="W59">
        <f t="shared" si="14"/>
        <v>3.9649341308088428</v>
      </c>
      <c r="X59">
        <f t="shared" si="15"/>
        <v>66.202031682003309</v>
      </c>
      <c r="Y59">
        <f t="shared" si="16"/>
        <v>2.3228031361109998</v>
      </c>
      <c r="Z59">
        <f t="shared" si="17"/>
        <v>3.5086583856948943</v>
      </c>
      <c r="AA59">
        <f t="shared" si="18"/>
        <v>1.6421309946978431</v>
      </c>
      <c r="AB59">
        <f t="shared" si="19"/>
        <v>-13.400370902331002</v>
      </c>
      <c r="AC59">
        <f t="shared" si="20"/>
        <v>-238.45057486351243</v>
      </c>
      <c r="AD59">
        <f t="shared" si="21"/>
        <v>-24.519524731749343</v>
      </c>
      <c r="AE59">
        <f t="shared" si="22"/>
        <v>-0.25534162505309155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52417.043483367306</v>
      </c>
      <c r="AK59">
        <f t="shared" si="26"/>
        <v>1799.99</v>
      </c>
      <c r="AL59">
        <f t="shared" si="27"/>
        <v>1499.10077901607</v>
      </c>
      <c r="AM59">
        <f t="shared" si="28"/>
        <v>0.83283839299999995</v>
      </c>
      <c r="AN59">
        <f t="shared" si="29"/>
        <v>0.15339814602999999</v>
      </c>
      <c r="AO59">
        <v>32.700000000000003</v>
      </c>
      <c r="AP59">
        <v>0.5</v>
      </c>
      <c r="AQ59" t="s">
        <v>331</v>
      </c>
      <c r="AR59">
        <v>2</v>
      </c>
      <c r="AS59">
        <v>1690301459.5</v>
      </c>
      <c r="AT59">
        <v>761.274</v>
      </c>
      <c r="AU59">
        <v>799.98</v>
      </c>
      <c r="AV59">
        <v>23.361699999999999</v>
      </c>
      <c r="AW59">
        <v>20.129799999999999</v>
      </c>
      <c r="AX59">
        <v>761.56399999999996</v>
      </c>
      <c r="AY59">
        <v>23.080200000000001</v>
      </c>
      <c r="AZ59">
        <v>300.26299999999998</v>
      </c>
      <c r="BA59">
        <v>99.327799999999996</v>
      </c>
      <c r="BB59">
        <v>0.10002999999999999</v>
      </c>
      <c r="BC59">
        <v>26.6617</v>
      </c>
      <c r="BD59">
        <v>26.947199999999999</v>
      </c>
      <c r="BE59">
        <v>28.445699999999999</v>
      </c>
      <c r="BF59">
        <v>0</v>
      </c>
      <c r="BG59">
        <v>0</v>
      </c>
      <c r="BH59">
        <v>9967.5</v>
      </c>
      <c r="BI59">
        <v>1075.83</v>
      </c>
      <c r="BJ59">
        <v>1.96231</v>
      </c>
      <c r="BK59">
        <v>-38.705100000000002</v>
      </c>
      <c r="BL59">
        <v>779.48500000000001</v>
      </c>
      <c r="BM59">
        <v>816.41399999999999</v>
      </c>
      <c r="BN59">
        <v>3.2319</v>
      </c>
      <c r="BO59">
        <v>799.98</v>
      </c>
      <c r="BP59">
        <v>20.129799999999999</v>
      </c>
      <c r="BQ59">
        <v>2.3204699999999998</v>
      </c>
      <c r="BR59">
        <v>1.9994499999999999</v>
      </c>
      <c r="BS59">
        <v>19.819199999999999</v>
      </c>
      <c r="BT59">
        <v>17.440000000000001</v>
      </c>
      <c r="BU59">
        <v>1799.99</v>
      </c>
      <c r="BV59">
        <v>0.90997399999999995</v>
      </c>
      <c r="BW59">
        <v>3.4007599999999999E-2</v>
      </c>
      <c r="BX59">
        <v>2.20074E-2</v>
      </c>
      <c r="BY59">
        <v>3.4011300000000001E-2</v>
      </c>
      <c r="BZ59">
        <v>25</v>
      </c>
      <c r="CA59">
        <v>33528</v>
      </c>
      <c r="CB59">
        <v>1690300477.5</v>
      </c>
      <c r="CC59" t="s">
        <v>332</v>
      </c>
      <c r="CD59">
        <v>1690300477.5</v>
      </c>
      <c r="CE59">
        <v>1690300465.5</v>
      </c>
      <c r="CF59">
        <v>7</v>
      </c>
      <c r="CG59">
        <v>5.0999999999999997E-2</v>
      </c>
      <c r="CH59">
        <v>-8.0000000000000002E-3</v>
      </c>
      <c r="CI59">
        <v>-0.316</v>
      </c>
      <c r="CJ59">
        <v>0.28199999999999997</v>
      </c>
      <c r="CK59">
        <v>800</v>
      </c>
      <c r="CL59">
        <v>24</v>
      </c>
      <c r="CM59">
        <v>0.25</v>
      </c>
      <c r="CN59">
        <v>0.13</v>
      </c>
      <c r="CO59">
        <v>-36.887256097560979</v>
      </c>
      <c r="CP59">
        <v>-9.9317623693379815</v>
      </c>
      <c r="CQ59">
        <v>0.98059045827147673</v>
      </c>
      <c r="CR59">
        <v>-1</v>
      </c>
      <c r="CS59">
        <v>3.1307304878048781</v>
      </c>
      <c r="CT59">
        <v>0.41133783972125371</v>
      </c>
      <c r="CU59">
        <v>4.5655815324367827E-2</v>
      </c>
      <c r="CV59">
        <v>-1</v>
      </c>
      <c r="CW59">
        <v>0</v>
      </c>
      <c r="CX59">
        <v>0</v>
      </c>
      <c r="CY59" t="s">
        <v>333</v>
      </c>
      <c r="CZ59">
        <v>2.3645999999999998</v>
      </c>
      <c r="DA59">
        <v>2.7137899999999999</v>
      </c>
      <c r="DB59">
        <v>0.14229700000000001</v>
      </c>
      <c r="DC59">
        <v>0.146707</v>
      </c>
      <c r="DD59">
        <v>0.11168699999999999</v>
      </c>
      <c r="DE59">
        <v>9.9373199999999995E-2</v>
      </c>
      <c r="DF59">
        <v>31321.1</v>
      </c>
      <c r="DG59">
        <v>27506.9</v>
      </c>
      <c r="DH59">
        <v>31175.1</v>
      </c>
      <c r="DI59">
        <v>28089.200000000001</v>
      </c>
      <c r="DJ59">
        <v>37599.800000000003</v>
      </c>
      <c r="DK59">
        <v>35973.800000000003</v>
      </c>
      <c r="DL59">
        <v>44366.7</v>
      </c>
      <c r="DM59">
        <v>42577.3</v>
      </c>
      <c r="DN59">
        <v>1.4691000000000001</v>
      </c>
      <c r="DO59">
        <v>2.06033</v>
      </c>
      <c r="DP59">
        <v>8.6784399999999998E-2</v>
      </c>
      <c r="DQ59">
        <v>0.19314899999999999</v>
      </c>
      <c r="DR59">
        <v>25.526199999999999</v>
      </c>
      <c r="DS59">
        <v>25.286300000000001</v>
      </c>
      <c r="DT59">
        <v>57.2</v>
      </c>
      <c r="DU59">
        <v>29</v>
      </c>
      <c r="DV59">
        <v>23.158999999999999</v>
      </c>
      <c r="DW59">
        <v>61.444699999999997</v>
      </c>
      <c r="DX59">
        <v>35.056100000000001</v>
      </c>
      <c r="DY59">
        <v>1</v>
      </c>
      <c r="DZ59">
        <v>-8.3882100000000001E-2</v>
      </c>
      <c r="EA59">
        <v>0.13794699999999999</v>
      </c>
      <c r="EB59">
        <v>20.189800000000002</v>
      </c>
      <c r="EC59">
        <v>5.2409499999999998</v>
      </c>
      <c r="ED59">
        <v>12.039899999999999</v>
      </c>
      <c r="EE59">
        <v>5.0168999999999997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1.8646199999999999</v>
      </c>
      <c r="EM59">
        <v>1.8692</v>
      </c>
      <c r="EN59">
        <v>1.8672200000000001</v>
      </c>
      <c r="EO59">
        <v>1.8633999999999999</v>
      </c>
      <c r="EP59">
        <v>1.8644700000000001</v>
      </c>
      <c r="EQ59">
        <v>1.87018</v>
      </c>
      <c r="ER59">
        <v>1.86937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-0.28999999999999998</v>
      </c>
      <c r="FG59">
        <v>0.28149999999999997</v>
      </c>
      <c r="FH59">
        <v>0.23539598422606861</v>
      </c>
      <c r="FI59">
        <v>-6.1462078757559423E-4</v>
      </c>
      <c r="FJ59">
        <v>-1.8861989874597051E-7</v>
      </c>
      <c r="FK59">
        <v>1.1980462299894961E-10</v>
      </c>
      <c r="FL59">
        <v>0.28151999999999688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16.399999999999999</v>
      </c>
      <c r="FU59">
        <v>16.600000000000001</v>
      </c>
      <c r="FV59">
        <v>1.79443</v>
      </c>
      <c r="FW59">
        <v>2.5915499999999998</v>
      </c>
      <c r="FX59">
        <v>1.5490699999999999</v>
      </c>
      <c r="FY59">
        <v>2.3290999999999999</v>
      </c>
      <c r="FZ59">
        <v>1.50146</v>
      </c>
      <c r="GA59">
        <v>2.3547400000000001</v>
      </c>
      <c r="GB59">
        <v>33.6479</v>
      </c>
      <c r="GC59">
        <v>23.982399999999998</v>
      </c>
      <c r="GD59">
        <v>19</v>
      </c>
      <c r="GE59">
        <v>280.23899999999998</v>
      </c>
      <c r="GF59">
        <v>603.98699999999997</v>
      </c>
      <c r="GG59">
        <v>24.226700000000001</v>
      </c>
      <c r="GH59">
        <v>26.357199999999999</v>
      </c>
      <c r="GI59">
        <v>29.999700000000001</v>
      </c>
      <c r="GJ59">
        <v>26.437200000000001</v>
      </c>
      <c r="GK59">
        <v>26.405200000000001</v>
      </c>
      <c r="GL59">
        <v>35.864800000000002</v>
      </c>
      <c r="GM59">
        <v>21.9907</v>
      </c>
      <c r="GN59">
        <v>100</v>
      </c>
      <c r="GO59">
        <v>24.2608</v>
      </c>
      <c r="GP59">
        <v>800</v>
      </c>
      <c r="GQ59">
        <v>20.056100000000001</v>
      </c>
      <c r="GR59">
        <v>99.749099999999999</v>
      </c>
      <c r="GS59">
        <v>99.599500000000006</v>
      </c>
    </row>
    <row r="60" spans="1:201" x14ac:dyDescent="0.25">
      <c r="A60">
        <v>44</v>
      </c>
      <c r="B60">
        <v>1690301469.5</v>
      </c>
      <c r="C60">
        <v>565.5</v>
      </c>
      <c r="D60" t="s">
        <v>419</v>
      </c>
      <c r="E60" t="s">
        <v>420</v>
      </c>
      <c r="F60" t="s">
        <v>330</v>
      </c>
      <c r="H60">
        <v>1690301469.5</v>
      </c>
      <c r="I60">
        <f t="shared" si="0"/>
        <v>3.1085765089722023E-4</v>
      </c>
      <c r="J60">
        <f t="shared" si="1"/>
        <v>0.31085765089722023</v>
      </c>
      <c r="K60">
        <f t="shared" si="2"/>
        <v>3.4842602309382569</v>
      </c>
      <c r="L60">
        <f t="shared" si="3"/>
        <v>759.51800000000003</v>
      </c>
      <c r="M60">
        <f t="shared" si="4"/>
        <v>438.04046207311472</v>
      </c>
      <c r="N60">
        <f t="shared" si="5"/>
        <v>43.552268872480624</v>
      </c>
      <c r="O60">
        <f t="shared" si="6"/>
        <v>75.51524348444201</v>
      </c>
      <c r="P60">
        <f t="shared" si="7"/>
        <v>1.8342894753540308E-2</v>
      </c>
      <c r="Q60">
        <f t="shared" si="8"/>
        <v>2.1170960057045565</v>
      </c>
      <c r="R60">
        <f t="shared" si="9"/>
        <v>1.825505897995211E-2</v>
      </c>
      <c r="S60">
        <f t="shared" si="10"/>
        <v>1.1417268403178749E-2</v>
      </c>
      <c r="T60">
        <f t="shared" si="11"/>
        <v>276.11460743343662</v>
      </c>
      <c r="U60">
        <f t="shared" si="12"/>
        <v>28.754606596174373</v>
      </c>
      <c r="V60">
        <f t="shared" si="13"/>
        <v>28.754606596174373</v>
      </c>
      <c r="W60">
        <f t="shared" si="14"/>
        <v>3.96501669071889</v>
      </c>
      <c r="X60">
        <f t="shared" si="15"/>
        <v>66.256049626830759</v>
      </c>
      <c r="Y60">
        <f t="shared" si="16"/>
        <v>2.3255061598004998</v>
      </c>
      <c r="Z60">
        <f t="shared" si="17"/>
        <v>3.5098774721678745</v>
      </c>
      <c r="AA60">
        <f t="shared" si="18"/>
        <v>1.6395105309183902</v>
      </c>
      <c r="AB60">
        <f t="shared" si="19"/>
        <v>-13.708822404567412</v>
      </c>
      <c r="AC60">
        <f t="shared" si="20"/>
        <v>-238.20442113363035</v>
      </c>
      <c r="AD60">
        <f t="shared" si="21"/>
        <v>-24.455361933688845</v>
      </c>
      <c r="AE60">
        <f t="shared" si="22"/>
        <v>-0.25399803844996427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52566.005501887674</v>
      </c>
      <c r="AK60">
        <f t="shared" si="26"/>
        <v>1799.99</v>
      </c>
      <c r="AL60">
        <f t="shared" si="27"/>
        <v>1499.10053781741</v>
      </c>
      <c r="AM60">
        <f t="shared" si="28"/>
        <v>0.83283825899999997</v>
      </c>
      <c r="AN60">
        <f t="shared" si="29"/>
        <v>0.15339785634</v>
      </c>
      <c r="AO60">
        <v>32.700000000000003</v>
      </c>
      <c r="AP60">
        <v>0.5</v>
      </c>
      <c r="AQ60" t="s">
        <v>331</v>
      </c>
      <c r="AR60">
        <v>2</v>
      </c>
      <c r="AS60">
        <v>1690301469.5</v>
      </c>
      <c r="AT60">
        <v>759.51800000000003</v>
      </c>
      <c r="AU60">
        <v>800.03200000000004</v>
      </c>
      <c r="AV60">
        <v>23.389500000000002</v>
      </c>
      <c r="AW60">
        <v>20.083500000000001</v>
      </c>
      <c r="AX60">
        <v>759.80600000000004</v>
      </c>
      <c r="AY60">
        <v>23.108000000000001</v>
      </c>
      <c r="AZ60">
        <v>300.28100000000001</v>
      </c>
      <c r="BA60">
        <v>99.325199999999995</v>
      </c>
      <c r="BB60">
        <v>0.100019</v>
      </c>
      <c r="BC60">
        <v>26.6676</v>
      </c>
      <c r="BD60">
        <v>26.964400000000001</v>
      </c>
      <c r="BE60">
        <v>28.4648</v>
      </c>
      <c r="BF60">
        <v>0</v>
      </c>
      <c r="BG60">
        <v>0</v>
      </c>
      <c r="BH60">
        <v>9997.5</v>
      </c>
      <c r="BI60">
        <v>1075.83</v>
      </c>
      <c r="BJ60">
        <v>1.96231</v>
      </c>
      <c r="BK60">
        <v>-40.514000000000003</v>
      </c>
      <c r="BL60">
        <v>777.70899999999995</v>
      </c>
      <c r="BM60">
        <v>816.42899999999997</v>
      </c>
      <c r="BN60">
        <v>3.30606</v>
      </c>
      <c r="BO60">
        <v>800.03200000000004</v>
      </c>
      <c r="BP60">
        <v>20.083500000000001</v>
      </c>
      <c r="BQ60">
        <v>2.3231700000000002</v>
      </c>
      <c r="BR60">
        <v>1.9947900000000001</v>
      </c>
      <c r="BS60">
        <v>19.838000000000001</v>
      </c>
      <c r="BT60">
        <v>17.403099999999998</v>
      </c>
      <c r="BU60">
        <v>1799.99</v>
      </c>
      <c r="BV60">
        <v>0.90998000000000001</v>
      </c>
      <c r="BW60">
        <v>3.4005000000000001E-2</v>
      </c>
      <c r="BX60">
        <v>2.20057E-2</v>
      </c>
      <c r="BY60">
        <v>3.4008799999999999E-2</v>
      </c>
      <c r="BZ60">
        <v>25</v>
      </c>
      <c r="CA60">
        <v>33528</v>
      </c>
      <c r="CB60">
        <v>1690300477.5</v>
      </c>
      <c r="CC60" t="s">
        <v>332</v>
      </c>
      <c r="CD60">
        <v>1690300477.5</v>
      </c>
      <c r="CE60">
        <v>1690300465.5</v>
      </c>
      <c r="CF60">
        <v>7</v>
      </c>
      <c r="CG60">
        <v>5.0999999999999997E-2</v>
      </c>
      <c r="CH60">
        <v>-8.0000000000000002E-3</v>
      </c>
      <c r="CI60">
        <v>-0.316</v>
      </c>
      <c r="CJ60">
        <v>0.28199999999999997</v>
      </c>
      <c r="CK60">
        <v>800</v>
      </c>
      <c r="CL60">
        <v>24</v>
      </c>
      <c r="CM60">
        <v>0.25</v>
      </c>
      <c r="CN60">
        <v>0.13</v>
      </c>
      <c r="CO60">
        <v>-38.518802500000007</v>
      </c>
      <c r="CP60">
        <v>-10.212912945590981</v>
      </c>
      <c r="CQ60">
        <v>0.98347447869466853</v>
      </c>
      <c r="CR60">
        <v>-1</v>
      </c>
      <c r="CS60">
        <v>3.2054399999999998</v>
      </c>
      <c r="CT60">
        <v>0.56403759849905788</v>
      </c>
      <c r="CU60">
        <v>5.6210767295954978E-2</v>
      </c>
      <c r="CV60">
        <v>-1</v>
      </c>
      <c r="CW60">
        <v>0</v>
      </c>
      <c r="CX60">
        <v>0</v>
      </c>
      <c r="CY60" t="s">
        <v>333</v>
      </c>
      <c r="CZ60">
        <v>2.3646500000000001</v>
      </c>
      <c r="DA60">
        <v>2.7138100000000001</v>
      </c>
      <c r="DB60">
        <v>0.142073</v>
      </c>
      <c r="DC60">
        <v>0.14670900000000001</v>
      </c>
      <c r="DD60">
        <v>0.111779</v>
      </c>
      <c r="DE60">
        <v>9.92088E-2</v>
      </c>
      <c r="DF60">
        <v>31329.8</v>
      </c>
      <c r="DG60">
        <v>27507.5</v>
      </c>
      <c r="DH60">
        <v>31175.599999999999</v>
      </c>
      <c r="DI60">
        <v>28089.9</v>
      </c>
      <c r="DJ60">
        <v>37596.6</v>
      </c>
      <c r="DK60">
        <v>35981.199999999997</v>
      </c>
      <c r="DL60">
        <v>44367.6</v>
      </c>
      <c r="DM60">
        <v>42578.2</v>
      </c>
      <c r="DN60">
        <v>1.46905</v>
      </c>
      <c r="DO60">
        <v>2.0604499999999999</v>
      </c>
      <c r="DP60">
        <v>8.8147799999999998E-2</v>
      </c>
      <c r="DQ60">
        <v>0.19462399999999999</v>
      </c>
      <c r="DR60">
        <v>25.521100000000001</v>
      </c>
      <c r="DS60">
        <v>25.281300000000002</v>
      </c>
      <c r="DT60">
        <v>57.2</v>
      </c>
      <c r="DU60">
        <v>29</v>
      </c>
      <c r="DV60">
        <v>23.160299999999999</v>
      </c>
      <c r="DW60">
        <v>61.8247</v>
      </c>
      <c r="DX60">
        <v>35.504800000000003</v>
      </c>
      <c r="DY60">
        <v>1</v>
      </c>
      <c r="DZ60">
        <v>-8.4857699999999994E-2</v>
      </c>
      <c r="EA60">
        <v>0.112347</v>
      </c>
      <c r="EB60">
        <v>20.189699999999998</v>
      </c>
      <c r="EC60">
        <v>5.24125</v>
      </c>
      <c r="ED60">
        <v>12.039899999999999</v>
      </c>
      <c r="EE60">
        <v>5.0168499999999998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1.8689199999999999</v>
      </c>
      <c r="EL60">
        <v>1.8646199999999999</v>
      </c>
      <c r="EM60">
        <v>1.8692</v>
      </c>
      <c r="EN60">
        <v>1.8672200000000001</v>
      </c>
      <c r="EO60">
        <v>1.8633999999999999</v>
      </c>
      <c r="EP60">
        <v>1.8644700000000001</v>
      </c>
      <c r="EQ60">
        <v>1.87019</v>
      </c>
      <c r="ER60">
        <v>1.86938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-0.28799999999999998</v>
      </c>
      <c r="FG60">
        <v>0.28149999999999997</v>
      </c>
      <c r="FH60">
        <v>0.23539598422606861</v>
      </c>
      <c r="FI60">
        <v>-6.1462078757559423E-4</v>
      </c>
      <c r="FJ60">
        <v>-1.8861989874597051E-7</v>
      </c>
      <c r="FK60">
        <v>1.1980462299894961E-10</v>
      </c>
      <c r="FL60">
        <v>0.28151999999999688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16.5</v>
      </c>
      <c r="FU60">
        <v>16.7</v>
      </c>
      <c r="FV60">
        <v>1.79321</v>
      </c>
      <c r="FW60">
        <v>2.5915499999999998</v>
      </c>
      <c r="FX60">
        <v>1.5490699999999999</v>
      </c>
      <c r="FY60">
        <v>2.3290999999999999</v>
      </c>
      <c r="FZ60">
        <v>1.50146</v>
      </c>
      <c r="GA60">
        <v>2.34863</v>
      </c>
      <c r="GB60">
        <v>33.6479</v>
      </c>
      <c r="GC60">
        <v>23.973700000000001</v>
      </c>
      <c r="GD60">
        <v>19</v>
      </c>
      <c r="GE60">
        <v>280.21300000000002</v>
      </c>
      <c r="GF60">
        <v>604.07899999999995</v>
      </c>
      <c r="GG60">
        <v>24.314699999999998</v>
      </c>
      <c r="GH60">
        <v>26.3522</v>
      </c>
      <c r="GI60">
        <v>29.9998</v>
      </c>
      <c r="GJ60">
        <v>26.4361</v>
      </c>
      <c r="GK60">
        <v>26.404</v>
      </c>
      <c r="GL60">
        <v>35.862200000000001</v>
      </c>
      <c r="GM60">
        <v>22.279800000000002</v>
      </c>
      <c r="GN60">
        <v>100</v>
      </c>
      <c r="GO60">
        <v>24.3353</v>
      </c>
      <c r="GP60">
        <v>800</v>
      </c>
      <c r="GQ60">
        <v>19.9801</v>
      </c>
      <c r="GR60">
        <v>99.750900000000001</v>
      </c>
      <c r="GS60">
        <v>99.601799999999997</v>
      </c>
    </row>
    <row r="61" spans="1:201" x14ac:dyDescent="0.25">
      <c r="A61">
        <v>45</v>
      </c>
      <c r="B61">
        <v>1690301479.5</v>
      </c>
      <c r="C61">
        <v>575.5</v>
      </c>
      <c r="D61" t="s">
        <v>421</v>
      </c>
      <c r="E61" t="s">
        <v>422</v>
      </c>
      <c r="F61" t="s">
        <v>330</v>
      </c>
      <c r="H61">
        <v>1690301479.5</v>
      </c>
      <c r="I61">
        <f t="shared" si="0"/>
        <v>3.2139831757263006E-4</v>
      </c>
      <c r="J61">
        <f t="shared" si="1"/>
        <v>0.32139831757263004</v>
      </c>
      <c r="K61">
        <f t="shared" si="2"/>
        <v>3.6322121473998439</v>
      </c>
      <c r="L61">
        <f t="shared" si="3"/>
        <v>757.70299999999997</v>
      </c>
      <c r="M61">
        <f t="shared" si="4"/>
        <v>434.42146277587511</v>
      </c>
      <c r="N61">
        <f t="shared" si="5"/>
        <v>43.19078828153954</v>
      </c>
      <c r="O61">
        <f t="shared" si="6"/>
        <v>75.331890013387991</v>
      </c>
      <c r="P61">
        <f t="shared" si="7"/>
        <v>1.9005576533426761E-2</v>
      </c>
      <c r="Q61">
        <f t="shared" si="8"/>
        <v>2.1189246086354512</v>
      </c>
      <c r="R61">
        <f t="shared" si="9"/>
        <v>1.8911378086810128E-2</v>
      </c>
      <c r="S61">
        <f t="shared" si="10"/>
        <v>1.1828035645244896E-2</v>
      </c>
      <c r="T61">
        <f t="shared" si="11"/>
        <v>276.11272888470182</v>
      </c>
      <c r="U61">
        <f t="shared" si="12"/>
        <v>28.750659730995537</v>
      </c>
      <c r="V61">
        <f t="shared" si="13"/>
        <v>28.750659730995537</v>
      </c>
      <c r="W61">
        <f t="shared" si="14"/>
        <v>3.9641095733070033</v>
      </c>
      <c r="X61">
        <f t="shared" si="15"/>
        <v>66.319133836659759</v>
      </c>
      <c r="Y61">
        <f t="shared" si="16"/>
        <v>2.3279122187815999</v>
      </c>
      <c r="Z61">
        <f t="shared" si="17"/>
        <v>3.5101668012056892</v>
      </c>
      <c r="AA61">
        <f t="shared" si="18"/>
        <v>1.6361973545254034</v>
      </c>
      <c r="AB61">
        <f t="shared" si="19"/>
        <v>-14.173665804952986</v>
      </c>
      <c r="AC61">
        <f t="shared" si="20"/>
        <v>-237.7993642211309</v>
      </c>
      <c r="AD61">
        <f t="shared" si="21"/>
        <v>-24.392396442711341</v>
      </c>
      <c r="AE61">
        <f t="shared" si="22"/>
        <v>-0.25269758409339715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52645.931990058569</v>
      </c>
      <c r="AK61">
        <f t="shared" si="26"/>
        <v>1799.98</v>
      </c>
      <c r="AL61">
        <f t="shared" si="27"/>
        <v>1499.0933650219799</v>
      </c>
      <c r="AM61">
        <f t="shared" si="28"/>
        <v>0.83283890099999991</v>
      </c>
      <c r="AN61">
        <f t="shared" si="29"/>
        <v>0.15339766491000001</v>
      </c>
      <c r="AO61">
        <v>32.700000000000003</v>
      </c>
      <c r="AP61">
        <v>0.5</v>
      </c>
      <c r="AQ61" t="s">
        <v>331</v>
      </c>
      <c r="AR61">
        <v>2</v>
      </c>
      <c r="AS61">
        <v>1690301479.5</v>
      </c>
      <c r="AT61">
        <v>757.70299999999997</v>
      </c>
      <c r="AU61">
        <v>799.93600000000004</v>
      </c>
      <c r="AV61">
        <v>23.4146</v>
      </c>
      <c r="AW61">
        <v>19.994399999999999</v>
      </c>
      <c r="AX61">
        <v>757.98900000000003</v>
      </c>
      <c r="AY61">
        <v>23.133099999999999</v>
      </c>
      <c r="AZ61">
        <v>300.089</v>
      </c>
      <c r="BA61">
        <v>99.321399999999997</v>
      </c>
      <c r="BB61">
        <v>9.9996000000000002E-2</v>
      </c>
      <c r="BC61">
        <v>26.669</v>
      </c>
      <c r="BD61">
        <v>26.9468</v>
      </c>
      <c r="BE61">
        <v>28.471800000000002</v>
      </c>
      <c r="BF61">
        <v>0</v>
      </c>
      <c r="BG61">
        <v>0</v>
      </c>
      <c r="BH61">
        <v>10013.799999999999</v>
      </c>
      <c r="BI61">
        <v>1075.79</v>
      </c>
      <c r="BJ61">
        <v>1.96231</v>
      </c>
      <c r="BK61">
        <v>-42.232900000000001</v>
      </c>
      <c r="BL61">
        <v>775.86900000000003</v>
      </c>
      <c r="BM61">
        <v>816.25599999999997</v>
      </c>
      <c r="BN61">
        <v>3.4201700000000002</v>
      </c>
      <c r="BO61">
        <v>799.93600000000004</v>
      </c>
      <c r="BP61">
        <v>19.994399999999999</v>
      </c>
      <c r="BQ61">
        <v>2.3255699999999999</v>
      </c>
      <c r="BR61">
        <v>1.9858800000000001</v>
      </c>
      <c r="BS61">
        <v>19.854600000000001</v>
      </c>
      <c r="BT61">
        <v>17.3322</v>
      </c>
      <c r="BU61">
        <v>1799.98</v>
      </c>
      <c r="BV61">
        <v>0.90998800000000002</v>
      </c>
      <c r="BW61">
        <v>3.4001999999999998E-2</v>
      </c>
      <c r="BX61">
        <v>2.20038E-2</v>
      </c>
      <c r="BY61">
        <v>3.40057E-2</v>
      </c>
      <c r="BZ61">
        <v>25</v>
      </c>
      <c r="CA61">
        <v>33528</v>
      </c>
      <c r="CB61">
        <v>1690300477.5</v>
      </c>
      <c r="CC61" t="s">
        <v>332</v>
      </c>
      <c r="CD61">
        <v>1690300477.5</v>
      </c>
      <c r="CE61">
        <v>1690300465.5</v>
      </c>
      <c r="CF61">
        <v>7</v>
      </c>
      <c r="CG61">
        <v>5.0999999999999997E-2</v>
      </c>
      <c r="CH61">
        <v>-8.0000000000000002E-3</v>
      </c>
      <c r="CI61">
        <v>-0.316</v>
      </c>
      <c r="CJ61">
        <v>0.28199999999999997</v>
      </c>
      <c r="CK61">
        <v>800</v>
      </c>
      <c r="CL61">
        <v>24</v>
      </c>
      <c r="CM61">
        <v>0.25</v>
      </c>
      <c r="CN61">
        <v>0.13</v>
      </c>
      <c r="CO61">
        <v>-40.321512195121947</v>
      </c>
      <c r="CP61">
        <v>-10.902298954703911</v>
      </c>
      <c r="CQ61">
        <v>1.0755106113921571</v>
      </c>
      <c r="CR61">
        <v>-1</v>
      </c>
      <c r="CS61">
        <v>3.3025392682926831</v>
      </c>
      <c r="CT61">
        <v>0.58209993031359286</v>
      </c>
      <c r="CU61">
        <v>5.8702778028344567E-2</v>
      </c>
      <c r="CV61">
        <v>-1</v>
      </c>
      <c r="CW61">
        <v>0</v>
      </c>
      <c r="CX61">
        <v>0</v>
      </c>
      <c r="CY61" t="s">
        <v>333</v>
      </c>
      <c r="CZ61">
        <v>2.36402</v>
      </c>
      <c r="DA61">
        <v>2.7138</v>
      </c>
      <c r="DB61">
        <v>0.14183999999999999</v>
      </c>
      <c r="DC61">
        <v>0.14668999999999999</v>
      </c>
      <c r="DD61">
        <v>0.11186</v>
      </c>
      <c r="DE61">
        <v>9.8893300000000003E-2</v>
      </c>
      <c r="DF61">
        <v>31338.2</v>
      </c>
      <c r="DG61">
        <v>27508.2</v>
      </c>
      <c r="DH61">
        <v>31175.4</v>
      </c>
      <c r="DI61">
        <v>28089.9</v>
      </c>
      <c r="DJ61">
        <v>37593</v>
      </c>
      <c r="DK61">
        <v>35994</v>
      </c>
      <c r="DL61">
        <v>44367.4</v>
      </c>
      <c r="DM61">
        <v>42578.5</v>
      </c>
      <c r="DN61">
        <v>1.46892</v>
      </c>
      <c r="DO61">
        <v>2.0607000000000002</v>
      </c>
      <c r="DP61">
        <v>8.7290999999999994E-2</v>
      </c>
      <c r="DQ61">
        <v>0.19528000000000001</v>
      </c>
      <c r="DR61">
        <v>25.517499999999998</v>
      </c>
      <c r="DS61">
        <v>25.2776</v>
      </c>
      <c r="DT61">
        <v>57.2</v>
      </c>
      <c r="DU61">
        <v>28.9</v>
      </c>
      <c r="DV61">
        <v>23.028099999999998</v>
      </c>
      <c r="DW61">
        <v>61.634700000000002</v>
      </c>
      <c r="DX61">
        <v>36.25</v>
      </c>
      <c r="DY61">
        <v>1</v>
      </c>
      <c r="DZ61">
        <v>-8.5358199999999995E-2</v>
      </c>
      <c r="EA61">
        <v>0.131411</v>
      </c>
      <c r="EB61">
        <v>20.189800000000002</v>
      </c>
      <c r="EC61">
        <v>5.2408000000000001</v>
      </c>
      <c r="ED61">
        <v>12.039899999999999</v>
      </c>
      <c r="EE61">
        <v>5.0165499999999996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1.8689100000000001</v>
      </c>
      <c r="EL61">
        <v>1.8646199999999999</v>
      </c>
      <c r="EM61">
        <v>1.8692</v>
      </c>
      <c r="EN61">
        <v>1.8672299999999999</v>
      </c>
      <c r="EO61">
        <v>1.8633999999999999</v>
      </c>
      <c r="EP61">
        <v>1.8644700000000001</v>
      </c>
      <c r="EQ61">
        <v>1.87015</v>
      </c>
      <c r="ER61">
        <v>1.86937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-0.28599999999999998</v>
      </c>
      <c r="FG61">
        <v>0.28149999999999997</v>
      </c>
      <c r="FH61">
        <v>0.23539598422606861</v>
      </c>
      <c r="FI61">
        <v>-6.1462078757559423E-4</v>
      </c>
      <c r="FJ61">
        <v>-1.8861989874597051E-7</v>
      </c>
      <c r="FK61">
        <v>1.1980462299894961E-10</v>
      </c>
      <c r="FL61">
        <v>0.28151999999999688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16.7</v>
      </c>
      <c r="FU61">
        <v>16.899999999999999</v>
      </c>
      <c r="FV61">
        <v>1.79321</v>
      </c>
      <c r="FW61">
        <v>2.5854499999999998</v>
      </c>
      <c r="FX61">
        <v>1.5490699999999999</v>
      </c>
      <c r="FY61">
        <v>2.3290999999999999</v>
      </c>
      <c r="FZ61">
        <v>1.50146</v>
      </c>
      <c r="GA61">
        <v>2.34131</v>
      </c>
      <c r="GB61">
        <v>33.6479</v>
      </c>
      <c r="GC61">
        <v>23.982399999999998</v>
      </c>
      <c r="GD61">
        <v>19</v>
      </c>
      <c r="GE61">
        <v>280.14999999999998</v>
      </c>
      <c r="GF61">
        <v>604.279</v>
      </c>
      <c r="GG61">
        <v>24.3766</v>
      </c>
      <c r="GH61">
        <v>26.347200000000001</v>
      </c>
      <c r="GI61">
        <v>29.9999</v>
      </c>
      <c r="GJ61">
        <v>26.433900000000001</v>
      </c>
      <c r="GK61">
        <v>26.402999999999999</v>
      </c>
      <c r="GL61">
        <v>35.863</v>
      </c>
      <c r="GM61">
        <v>22.564800000000002</v>
      </c>
      <c r="GN61">
        <v>100</v>
      </c>
      <c r="GO61">
        <v>24.3856</v>
      </c>
      <c r="GP61">
        <v>800</v>
      </c>
      <c r="GQ61">
        <v>19.902799999999999</v>
      </c>
      <c r="GR61">
        <v>99.750500000000002</v>
      </c>
      <c r="GS61">
        <v>99.602199999999996</v>
      </c>
    </row>
    <row r="62" spans="1:201" x14ac:dyDescent="0.25">
      <c r="A62">
        <v>46</v>
      </c>
      <c r="B62">
        <v>1690301489.5</v>
      </c>
      <c r="C62">
        <v>585.5</v>
      </c>
      <c r="D62" t="s">
        <v>423</v>
      </c>
      <c r="E62" t="s">
        <v>424</v>
      </c>
      <c r="F62" t="s">
        <v>330</v>
      </c>
      <c r="H62">
        <v>1690301489.5</v>
      </c>
      <c r="I62">
        <f t="shared" si="0"/>
        <v>3.2836795048106601E-4</v>
      </c>
      <c r="J62">
        <f t="shared" si="1"/>
        <v>0.32836795048106604</v>
      </c>
      <c r="K62">
        <f t="shared" si="2"/>
        <v>3.8164772207482147</v>
      </c>
      <c r="L62">
        <f t="shared" si="3"/>
        <v>755.72799999999995</v>
      </c>
      <c r="M62">
        <f t="shared" si="4"/>
        <v>424.10144602547263</v>
      </c>
      <c r="N62">
        <f t="shared" si="5"/>
        <v>42.164759929978366</v>
      </c>
      <c r="O62">
        <f t="shared" si="6"/>
        <v>75.135536534928008</v>
      </c>
      <c r="P62">
        <f t="shared" si="7"/>
        <v>1.9432313266987744E-2</v>
      </c>
      <c r="Q62">
        <f t="shared" si="8"/>
        <v>2.1195672886769459</v>
      </c>
      <c r="R62">
        <f t="shared" si="9"/>
        <v>1.9333878730522162E-2</v>
      </c>
      <c r="S62">
        <f t="shared" si="10"/>
        <v>1.20924764957469E-2</v>
      </c>
      <c r="T62">
        <f t="shared" si="11"/>
        <v>276.11410201424451</v>
      </c>
      <c r="U62">
        <f t="shared" si="12"/>
        <v>28.754043377435686</v>
      </c>
      <c r="V62">
        <f t="shared" si="13"/>
        <v>28.754043377435686</v>
      </c>
      <c r="W62">
        <f t="shared" si="14"/>
        <v>3.9648872337444234</v>
      </c>
      <c r="X62">
        <f t="shared" si="15"/>
        <v>66.346814715242658</v>
      </c>
      <c r="Y62">
        <f t="shared" si="16"/>
        <v>2.3297615739132</v>
      </c>
      <c r="Z62">
        <f t="shared" si="17"/>
        <v>3.5114897134284817</v>
      </c>
      <c r="AA62">
        <f t="shared" si="18"/>
        <v>1.6351256598312234</v>
      </c>
      <c r="AB62">
        <f t="shared" si="19"/>
        <v>-14.481026616215011</v>
      </c>
      <c r="AC62">
        <f t="shared" si="20"/>
        <v>-237.52681085576083</v>
      </c>
      <c r="AD62">
        <f t="shared" si="21"/>
        <v>-24.358239381164971</v>
      </c>
      <c r="AE62">
        <f t="shared" si="22"/>
        <v>-0.25197483889630234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52673.032732305386</v>
      </c>
      <c r="AK62">
        <f t="shared" si="26"/>
        <v>1799.99</v>
      </c>
      <c r="AL62">
        <f t="shared" si="27"/>
        <v>1499.1036626000498</v>
      </c>
      <c r="AM62">
        <f t="shared" si="28"/>
        <v>0.83283999499999994</v>
      </c>
      <c r="AN62">
        <f t="shared" si="29"/>
        <v>0.15339757555</v>
      </c>
      <c r="AO62">
        <v>32.700000000000003</v>
      </c>
      <c r="AP62">
        <v>0.5</v>
      </c>
      <c r="AQ62" t="s">
        <v>331</v>
      </c>
      <c r="AR62">
        <v>2</v>
      </c>
      <c r="AS62">
        <v>1690301489.5</v>
      </c>
      <c r="AT62">
        <v>755.72799999999995</v>
      </c>
      <c r="AU62">
        <v>799.99400000000003</v>
      </c>
      <c r="AV62">
        <v>23.433199999999999</v>
      </c>
      <c r="AW62">
        <v>19.940899999999999</v>
      </c>
      <c r="AX62">
        <v>756.01400000000001</v>
      </c>
      <c r="AY62">
        <v>23.151700000000002</v>
      </c>
      <c r="AZ62">
        <v>300.26100000000002</v>
      </c>
      <c r="BA62">
        <v>99.321399999999997</v>
      </c>
      <c r="BB62">
        <v>0.10000100000000001</v>
      </c>
      <c r="BC62">
        <v>26.6754</v>
      </c>
      <c r="BD62">
        <v>26.972100000000001</v>
      </c>
      <c r="BE62">
        <v>28.4773</v>
      </c>
      <c r="BF62">
        <v>0</v>
      </c>
      <c r="BG62">
        <v>0</v>
      </c>
      <c r="BH62">
        <v>10019.4</v>
      </c>
      <c r="BI62">
        <v>1075.8</v>
      </c>
      <c r="BJ62">
        <v>1.96231</v>
      </c>
      <c r="BK62">
        <v>-44.265700000000002</v>
      </c>
      <c r="BL62">
        <v>773.86300000000006</v>
      </c>
      <c r="BM62">
        <v>816.27099999999996</v>
      </c>
      <c r="BN62">
        <v>3.4922800000000001</v>
      </c>
      <c r="BO62">
        <v>799.99400000000003</v>
      </c>
      <c r="BP62">
        <v>19.940899999999999</v>
      </c>
      <c r="BQ62">
        <v>2.32742</v>
      </c>
      <c r="BR62">
        <v>1.9805600000000001</v>
      </c>
      <c r="BS62">
        <v>19.8674</v>
      </c>
      <c r="BT62">
        <v>17.2898</v>
      </c>
      <c r="BU62">
        <v>1799.99</v>
      </c>
      <c r="BV62">
        <v>0.90999600000000003</v>
      </c>
      <c r="BW62">
        <v>3.39992E-2</v>
      </c>
      <c r="BX62">
        <v>2.2002000000000001E-2</v>
      </c>
      <c r="BY62">
        <v>3.4002900000000003E-2</v>
      </c>
      <c r="BZ62">
        <v>25</v>
      </c>
      <c r="CA62">
        <v>33528.199999999997</v>
      </c>
      <c r="CB62">
        <v>1690300477.5</v>
      </c>
      <c r="CC62" t="s">
        <v>332</v>
      </c>
      <c r="CD62">
        <v>1690300477.5</v>
      </c>
      <c r="CE62">
        <v>1690300465.5</v>
      </c>
      <c r="CF62">
        <v>7</v>
      </c>
      <c r="CG62">
        <v>5.0999999999999997E-2</v>
      </c>
      <c r="CH62">
        <v>-8.0000000000000002E-3</v>
      </c>
      <c r="CI62">
        <v>-0.316</v>
      </c>
      <c r="CJ62">
        <v>0.28199999999999997</v>
      </c>
      <c r="CK62">
        <v>800</v>
      </c>
      <c r="CL62">
        <v>24</v>
      </c>
      <c r="CM62">
        <v>0.25</v>
      </c>
      <c r="CN62">
        <v>0.13</v>
      </c>
      <c r="CO62">
        <v>-42.121974999999999</v>
      </c>
      <c r="CP62">
        <v>-11.353697560975579</v>
      </c>
      <c r="CQ62">
        <v>1.0941901264748279</v>
      </c>
      <c r="CR62">
        <v>-1</v>
      </c>
      <c r="CS62">
        <v>3.3960397499999999</v>
      </c>
      <c r="CT62">
        <v>0.58746675422138828</v>
      </c>
      <c r="CU62">
        <v>5.739897035171887E-2</v>
      </c>
      <c r="CV62">
        <v>-1</v>
      </c>
      <c r="CW62">
        <v>0</v>
      </c>
      <c r="CX62">
        <v>0</v>
      </c>
      <c r="CY62" t="s">
        <v>333</v>
      </c>
      <c r="CZ62">
        <v>2.3646099999999999</v>
      </c>
      <c r="DA62">
        <v>2.7138100000000001</v>
      </c>
      <c r="DB62">
        <v>0.141592</v>
      </c>
      <c r="DC62">
        <v>0.14669699999999999</v>
      </c>
      <c r="DD62">
        <v>0.111924</v>
      </c>
      <c r="DE62">
        <v>9.8705899999999999E-2</v>
      </c>
      <c r="DF62">
        <v>31347.599999999999</v>
      </c>
      <c r="DG62">
        <v>27508</v>
      </c>
      <c r="DH62">
        <v>31175.8</v>
      </c>
      <c r="DI62">
        <v>28089.9</v>
      </c>
      <c r="DJ62">
        <v>37590.699999999997</v>
      </c>
      <c r="DK62">
        <v>36001.599999999999</v>
      </c>
      <c r="DL62">
        <v>44368</v>
      </c>
      <c r="DM62">
        <v>42578.5</v>
      </c>
      <c r="DN62">
        <v>1.4693000000000001</v>
      </c>
      <c r="DO62">
        <v>2.0605500000000001</v>
      </c>
      <c r="DP62">
        <v>8.9012099999999997E-2</v>
      </c>
      <c r="DQ62">
        <v>0.19573399999999999</v>
      </c>
      <c r="DR62">
        <v>25.514600000000002</v>
      </c>
      <c r="DS62">
        <v>25.275600000000001</v>
      </c>
      <c r="DT62">
        <v>57.2</v>
      </c>
      <c r="DU62">
        <v>29</v>
      </c>
      <c r="DV62">
        <v>23.162800000000001</v>
      </c>
      <c r="DW62">
        <v>61.774700000000003</v>
      </c>
      <c r="DX62">
        <v>35.052100000000003</v>
      </c>
      <c r="DY62">
        <v>1</v>
      </c>
      <c r="DZ62">
        <v>-8.54573E-2</v>
      </c>
      <c r="EA62">
        <v>5.7301199999999997E-2</v>
      </c>
      <c r="EB62">
        <v>20.189800000000002</v>
      </c>
      <c r="EC62">
        <v>5.2408000000000001</v>
      </c>
      <c r="ED62">
        <v>12.039899999999999</v>
      </c>
      <c r="EE62">
        <v>5.01675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1.8689100000000001</v>
      </c>
      <c r="EL62">
        <v>1.8646199999999999</v>
      </c>
      <c r="EM62">
        <v>1.8692</v>
      </c>
      <c r="EN62">
        <v>1.86724</v>
      </c>
      <c r="EO62">
        <v>1.8633900000000001</v>
      </c>
      <c r="EP62">
        <v>1.8644700000000001</v>
      </c>
      <c r="EQ62">
        <v>1.8701700000000001</v>
      </c>
      <c r="ER62">
        <v>1.86938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-0.28599999999999998</v>
      </c>
      <c r="FG62">
        <v>0.28149999999999997</v>
      </c>
      <c r="FH62">
        <v>0.23539598422606861</v>
      </c>
      <c r="FI62">
        <v>-6.1462078757559423E-4</v>
      </c>
      <c r="FJ62">
        <v>-1.8861989874597051E-7</v>
      </c>
      <c r="FK62">
        <v>1.1980462299894961E-10</v>
      </c>
      <c r="FL62">
        <v>0.28151999999999688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16.899999999999999</v>
      </c>
      <c r="FU62">
        <v>17.100000000000001</v>
      </c>
      <c r="FV62">
        <v>1.79321</v>
      </c>
      <c r="FW62">
        <v>2.5915499999999998</v>
      </c>
      <c r="FX62">
        <v>1.5490699999999999</v>
      </c>
      <c r="FY62">
        <v>2.3290999999999999</v>
      </c>
      <c r="FZ62">
        <v>1.50146</v>
      </c>
      <c r="GA62">
        <v>2.36572</v>
      </c>
      <c r="GB62">
        <v>33.6479</v>
      </c>
      <c r="GC62">
        <v>23.973700000000001</v>
      </c>
      <c r="GD62">
        <v>19</v>
      </c>
      <c r="GE62">
        <v>280.29700000000003</v>
      </c>
      <c r="GF62">
        <v>604.12599999999998</v>
      </c>
      <c r="GG62">
        <v>24.4331</v>
      </c>
      <c r="GH62">
        <v>26.342199999999998</v>
      </c>
      <c r="GI62">
        <v>29.9998</v>
      </c>
      <c r="GJ62">
        <v>26.431100000000001</v>
      </c>
      <c r="GK62">
        <v>26.4008</v>
      </c>
      <c r="GL62">
        <v>35.862000000000002</v>
      </c>
      <c r="GM62">
        <v>23.129300000000001</v>
      </c>
      <c r="GN62">
        <v>100</v>
      </c>
      <c r="GO62">
        <v>24.4544</v>
      </c>
      <c r="GP62">
        <v>800</v>
      </c>
      <c r="GQ62">
        <v>19.825900000000001</v>
      </c>
      <c r="GR62">
        <v>99.7517</v>
      </c>
      <c r="GS62">
        <v>99.6023</v>
      </c>
    </row>
    <row r="63" spans="1:201" x14ac:dyDescent="0.25">
      <c r="A63">
        <v>47</v>
      </c>
      <c r="B63">
        <v>1690301499.5</v>
      </c>
      <c r="C63">
        <v>595.5</v>
      </c>
      <c r="D63" t="s">
        <v>425</v>
      </c>
      <c r="E63" t="s">
        <v>426</v>
      </c>
      <c r="F63" t="s">
        <v>330</v>
      </c>
      <c r="H63">
        <v>1690301499.5</v>
      </c>
      <c r="I63">
        <f t="shared" si="0"/>
        <v>3.3835865853152573E-4</v>
      </c>
      <c r="J63">
        <f t="shared" si="1"/>
        <v>0.33835865853152575</v>
      </c>
      <c r="K63">
        <f t="shared" si="2"/>
        <v>4.0023237913698537</v>
      </c>
      <c r="L63">
        <f t="shared" si="3"/>
        <v>753.64400000000001</v>
      </c>
      <c r="M63">
        <f t="shared" si="4"/>
        <v>416.4425644458812</v>
      </c>
      <c r="N63">
        <f t="shared" si="5"/>
        <v>41.404545441412033</v>
      </c>
      <c r="O63">
        <f t="shared" si="6"/>
        <v>74.930590455295999</v>
      </c>
      <c r="P63">
        <f t="shared" si="7"/>
        <v>2.0019646282967603E-2</v>
      </c>
      <c r="Q63">
        <f t="shared" si="8"/>
        <v>2.1178786274878956</v>
      </c>
      <c r="R63">
        <f t="shared" si="9"/>
        <v>1.9915105988546757E-2</v>
      </c>
      <c r="S63">
        <f t="shared" si="10"/>
        <v>1.2456288166814667E-2</v>
      </c>
      <c r="T63">
        <f t="shared" si="11"/>
        <v>276.11370760043576</v>
      </c>
      <c r="U63">
        <f t="shared" si="12"/>
        <v>28.763719403996653</v>
      </c>
      <c r="V63">
        <f t="shared" si="13"/>
        <v>28.763719403996653</v>
      </c>
      <c r="W63">
        <f t="shared" si="14"/>
        <v>3.9671118005482144</v>
      </c>
      <c r="X63">
        <f t="shared" si="15"/>
        <v>66.347541929187813</v>
      </c>
      <c r="Y63">
        <f t="shared" si="16"/>
        <v>2.3313924379775997</v>
      </c>
      <c r="Z63">
        <f t="shared" si="17"/>
        <v>3.5139092876505895</v>
      </c>
      <c r="AA63">
        <f t="shared" si="18"/>
        <v>1.6357193625706148</v>
      </c>
      <c r="AB63">
        <f t="shared" si="19"/>
        <v>-14.921616841240285</v>
      </c>
      <c r="AC63">
        <f t="shared" si="20"/>
        <v>-237.10647761908544</v>
      </c>
      <c r="AD63">
        <f t="shared" si="21"/>
        <v>-24.337115983491735</v>
      </c>
      <c r="AE63">
        <f t="shared" si="22"/>
        <v>-0.25150284338170081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52596.901734645086</v>
      </c>
      <c r="AK63">
        <f t="shared" si="26"/>
        <v>1799.99</v>
      </c>
      <c r="AL63">
        <f t="shared" si="27"/>
        <v>1499.10396499837</v>
      </c>
      <c r="AM63">
        <f t="shared" si="28"/>
        <v>0.83284016299999997</v>
      </c>
      <c r="AN63">
        <f t="shared" si="29"/>
        <v>0.15339735643000002</v>
      </c>
      <c r="AO63">
        <v>32.700000000000003</v>
      </c>
      <c r="AP63">
        <v>0.5</v>
      </c>
      <c r="AQ63" t="s">
        <v>331</v>
      </c>
      <c r="AR63">
        <v>2</v>
      </c>
      <c r="AS63">
        <v>1690301499.5</v>
      </c>
      <c r="AT63">
        <v>753.64400000000001</v>
      </c>
      <c r="AU63">
        <v>800.01499999999999</v>
      </c>
      <c r="AV63">
        <v>23.448899999999998</v>
      </c>
      <c r="AW63">
        <v>19.849900000000002</v>
      </c>
      <c r="AX63">
        <v>753.928</v>
      </c>
      <c r="AY63">
        <v>23.167300000000001</v>
      </c>
      <c r="AZ63">
        <v>300.21899999999999</v>
      </c>
      <c r="BA63">
        <v>99.324299999999994</v>
      </c>
      <c r="BB63">
        <v>0.10008400000000001</v>
      </c>
      <c r="BC63">
        <v>26.687100000000001</v>
      </c>
      <c r="BD63">
        <v>26.945799999999998</v>
      </c>
      <c r="BE63">
        <v>28.491599999999998</v>
      </c>
      <c r="BF63">
        <v>0</v>
      </c>
      <c r="BG63">
        <v>0</v>
      </c>
      <c r="BH63">
        <v>10004.4</v>
      </c>
      <c r="BI63">
        <v>1075.81</v>
      </c>
      <c r="BJ63">
        <v>1.96231</v>
      </c>
      <c r="BK63">
        <v>-46.370399999999997</v>
      </c>
      <c r="BL63">
        <v>771.74099999999999</v>
      </c>
      <c r="BM63">
        <v>816.21600000000001</v>
      </c>
      <c r="BN63">
        <v>3.5990000000000002</v>
      </c>
      <c r="BO63">
        <v>800.01499999999999</v>
      </c>
      <c r="BP63">
        <v>19.849900000000002</v>
      </c>
      <c r="BQ63">
        <v>2.32904</v>
      </c>
      <c r="BR63">
        <v>1.97157</v>
      </c>
      <c r="BS63">
        <v>19.878699999999998</v>
      </c>
      <c r="BT63">
        <v>17.2179</v>
      </c>
      <c r="BU63">
        <v>1799.99</v>
      </c>
      <c r="BV63">
        <v>0.91000199999999998</v>
      </c>
      <c r="BW63">
        <v>3.3996800000000001E-2</v>
      </c>
      <c r="BX63">
        <v>2.20004E-2</v>
      </c>
      <c r="BY63">
        <v>3.4000500000000003E-2</v>
      </c>
      <c r="BZ63">
        <v>25</v>
      </c>
      <c r="CA63">
        <v>33528.300000000003</v>
      </c>
      <c r="CB63">
        <v>1690300477.5</v>
      </c>
      <c r="CC63" t="s">
        <v>332</v>
      </c>
      <c r="CD63">
        <v>1690300477.5</v>
      </c>
      <c r="CE63">
        <v>1690300465.5</v>
      </c>
      <c r="CF63">
        <v>7</v>
      </c>
      <c r="CG63">
        <v>5.0999999999999997E-2</v>
      </c>
      <c r="CH63">
        <v>-8.0000000000000002E-3</v>
      </c>
      <c r="CI63">
        <v>-0.316</v>
      </c>
      <c r="CJ63">
        <v>0.28199999999999997</v>
      </c>
      <c r="CK63">
        <v>800</v>
      </c>
      <c r="CL63">
        <v>24</v>
      </c>
      <c r="CM63">
        <v>0.25</v>
      </c>
      <c r="CN63">
        <v>0.13</v>
      </c>
      <c r="CO63">
        <v>-44.060944999999997</v>
      </c>
      <c r="CP63">
        <v>-12.180997373358259</v>
      </c>
      <c r="CQ63">
        <v>1.172764481460365</v>
      </c>
      <c r="CR63">
        <v>-1</v>
      </c>
      <c r="CS63">
        <v>3.4960312500000001</v>
      </c>
      <c r="CT63">
        <v>0.62274382739212442</v>
      </c>
      <c r="CU63">
        <v>6.0765955361020182E-2</v>
      </c>
      <c r="CV63">
        <v>-1</v>
      </c>
      <c r="CW63">
        <v>0</v>
      </c>
      <c r="CX63">
        <v>0</v>
      </c>
      <c r="CY63" t="s">
        <v>333</v>
      </c>
      <c r="CZ63">
        <v>2.3644599999999998</v>
      </c>
      <c r="DA63">
        <v>2.7138800000000001</v>
      </c>
      <c r="DB63">
        <v>0.14133299999999999</v>
      </c>
      <c r="DC63">
        <v>0.146702</v>
      </c>
      <c r="DD63">
        <v>0.111981</v>
      </c>
      <c r="DE63">
        <v>9.8388699999999996E-2</v>
      </c>
      <c r="DF63">
        <v>31356.9</v>
      </c>
      <c r="DG63">
        <v>27508.5</v>
      </c>
      <c r="DH63">
        <v>31175.7</v>
      </c>
      <c r="DI63">
        <v>28090.6</v>
      </c>
      <c r="DJ63">
        <v>37588</v>
      </c>
      <c r="DK63">
        <v>36014.9</v>
      </c>
      <c r="DL63">
        <v>44367.7</v>
      </c>
      <c r="DM63">
        <v>42579.199999999997</v>
      </c>
      <c r="DN63">
        <v>1.46932</v>
      </c>
      <c r="DO63">
        <v>2.0604499999999999</v>
      </c>
      <c r="DP63">
        <v>8.7603899999999998E-2</v>
      </c>
      <c r="DQ63">
        <v>0.19674</v>
      </c>
      <c r="DR63">
        <v>25.511399999999998</v>
      </c>
      <c r="DS63">
        <v>25.273499999999999</v>
      </c>
      <c r="DT63">
        <v>57.2</v>
      </c>
      <c r="DU63">
        <v>29</v>
      </c>
      <c r="DV63">
        <v>23.160599999999999</v>
      </c>
      <c r="DW63">
        <v>61.704700000000003</v>
      </c>
      <c r="DX63">
        <v>35.613</v>
      </c>
      <c r="DY63">
        <v>1</v>
      </c>
      <c r="DZ63">
        <v>-8.5853700000000005E-2</v>
      </c>
      <c r="EA63">
        <v>4.9275600000000003E-2</v>
      </c>
      <c r="EB63">
        <v>20.189800000000002</v>
      </c>
      <c r="EC63">
        <v>5.2409499999999998</v>
      </c>
      <c r="ED63">
        <v>12.039899999999999</v>
      </c>
      <c r="EE63">
        <v>5.01675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1.8689100000000001</v>
      </c>
      <c r="EL63">
        <v>1.8646100000000001</v>
      </c>
      <c r="EM63">
        <v>1.8692</v>
      </c>
      <c r="EN63">
        <v>1.8672200000000001</v>
      </c>
      <c r="EO63">
        <v>1.8633900000000001</v>
      </c>
      <c r="EP63">
        <v>1.8644700000000001</v>
      </c>
      <c r="EQ63">
        <v>1.87016</v>
      </c>
      <c r="ER63">
        <v>1.8694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-0.28399999999999997</v>
      </c>
      <c r="FG63">
        <v>0.28160000000000002</v>
      </c>
      <c r="FH63">
        <v>0.23539598422606861</v>
      </c>
      <c r="FI63">
        <v>-6.1462078757559423E-4</v>
      </c>
      <c r="FJ63">
        <v>-1.8861989874597051E-7</v>
      </c>
      <c r="FK63">
        <v>1.1980462299894961E-10</v>
      </c>
      <c r="FL63">
        <v>0.28151999999999688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17</v>
      </c>
      <c r="FU63">
        <v>17.2</v>
      </c>
      <c r="FV63">
        <v>1.79321</v>
      </c>
      <c r="FW63">
        <v>2.5891099999999998</v>
      </c>
      <c r="FX63">
        <v>1.5490699999999999</v>
      </c>
      <c r="FY63">
        <v>2.3290999999999999</v>
      </c>
      <c r="FZ63">
        <v>1.50146</v>
      </c>
      <c r="GA63">
        <v>2.3718300000000001</v>
      </c>
      <c r="GB63">
        <v>33.6479</v>
      </c>
      <c r="GC63">
        <v>23.982399999999998</v>
      </c>
      <c r="GD63">
        <v>19</v>
      </c>
      <c r="GE63">
        <v>280.298</v>
      </c>
      <c r="GF63">
        <v>604.04100000000005</v>
      </c>
      <c r="GG63">
        <v>24.488800000000001</v>
      </c>
      <c r="GH63">
        <v>26.337199999999999</v>
      </c>
      <c r="GI63">
        <v>30</v>
      </c>
      <c r="GJ63">
        <v>26.428899999999999</v>
      </c>
      <c r="GK63">
        <v>26.4008</v>
      </c>
      <c r="GL63">
        <v>35.857500000000002</v>
      </c>
      <c r="GM63">
        <v>23.4099</v>
      </c>
      <c r="GN63">
        <v>100</v>
      </c>
      <c r="GO63">
        <v>24.504899999999999</v>
      </c>
      <c r="GP63">
        <v>800</v>
      </c>
      <c r="GQ63">
        <v>19.75</v>
      </c>
      <c r="GR63">
        <v>99.751199999999997</v>
      </c>
      <c r="GS63">
        <v>99.604299999999995</v>
      </c>
    </row>
    <row r="64" spans="1:201" x14ac:dyDescent="0.25">
      <c r="A64">
        <v>48</v>
      </c>
      <c r="B64">
        <v>1690301509.5</v>
      </c>
      <c r="C64">
        <v>605.5</v>
      </c>
      <c r="D64" t="s">
        <v>427</v>
      </c>
      <c r="E64" t="s">
        <v>428</v>
      </c>
      <c r="F64" t="s">
        <v>330</v>
      </c>
      <c r="H64">
        <v>1690301509.5</v>
      </c>
      <c r="I64">
        <f t="shared" si="0"/>
        <v>3.4742467330588504E-4</v>
      </c>
      <c r="J64">
        <f t="shared" si="1"/>
        <v>0.34742467330588506</v>
      </c>
      <c r="K64">
        <f t="shared" si="2"/>
        <v>4.1956604000098841</v>
      </c>
      <c r="L64">
        <f t="shared" si="3"/>
        <v>751.48299999999995</v>
      </c>
      <c r="M64">
        <f t="shared" si="4"/>
        <v>408.00078170405777</v>
      </c>
      <c r="N64">
        <f t="shared" si="5"/>
        <v>40.564769839569685</v>
      </c>
      <c r="O64">
        <f t="shared" si="6"/>
        <v>74.714893451994996</v>
      </c>
      <c r="P64">
        <f t="shared" si="7"/>
        <v>2.0576920435930093E-2</v>
      </c>
      <c r="Q64">
        <f t="shared" si="8"/>
        <v>2.1192209172611287</v>
      </c>
      <c r="R64">
        <f t="shared" si="9"/>
        <v>2.0466565955548157E-2</v>
      </c>
      <c r="S64">
        <f t="shared" si="10"/>
        <v>1.2801469196441463E-2</v>
      </c>
      <c r="T64">
        <f t="shared" si="11"/>
        <v>276.11341123208217</v>
      </c>
      <c r="U64">
        <f t="shared" si="12"/>
        <v>28.765534219975137</v>
      </c>
      <c r="V64">
        <f t="shared" si="13"/>
        <v>28.765534219975137</v>
      </c>
      <c r="W64">
        <f t="shared" si="14"/>
        <v>3.9675291569996767</v>
      </c>
      <c r="X64">
        <f t="shared" si="15"/>
        <v>66.376889097191764</v>
      </c>
      <c r="Y64">
        <f t="shared" si="16"/>
        <v>2.3332751253464998</v>
      </c>
      <c r="Z64">
        <f t="shared" si="17"/>
        <v>3.5151920451258607</v>
      </c>
      <c r="AA64">
        <f t="shared" si="18"/>
        <v>1.6342540316531768</v>
      </c>
      <c r="AB64">
        <f t="shared" si="19"/>
        <v>-15.32142809278953</v>
      </c>
      <c r="AC64">
        <f t="shared" si="20"/>
        <v>-236.75573969433256</v>
      </c>
      <c r="AD64">
        <f t="shared" si="21"/>
        <v>-24.286693114258942</v>
      </c>
      <c r="AE64">
        <f t="shared" si="22"/>
        <v>-0.25044966929885959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52654.713850454471</v>
      </c>
      <c r="AK64">
        <f t="shared" si="26"/>
        <v>1799.99</v>
      </c>
      <c r="AL64">
        <f t="shared" si="27"/>
        <v>1499.10468499437</v>
      </c>
      <c r="AM64">
        <f t="shared" si="28"/>
        <v>0.83284056299999998</v>
      </c>
      <c r="AN64">
        <f t="shared" si="29"/>
        <v>0.15339719178</v>
      </c>
      <c r="AO64">
        <v>32.700000000000003</v>
      </c>
      <c r="AP64">
        <v>0.5</v>
      </c>
      <c r="AQ64" t="s">
        <v>331</v>
      </c>
      <c r="AR64">
        <v>2</v>
      </c>
      <c r="AS64">
        <v>1690301509.5</v>
      </c>
      <c r="AT64">
        <v>751.48299999999995</v>
      </c>
      <c r="AU64">
        <v>800.04499999999996</v>
      </c>
      <c r="AV64">
        <v>23.4681</v>
      </c>
      <c r="AW64">
        <v>19.7713</v>
      </c>
      <c r="AX64">
        <v>751.76499999999999</v>
      </c>
      <c r="AY64">
        <v>23.186599999999999</v>
      </c>
      <c r="AZ64">
        <v>300.10199999999998</v>
      </c>
      <c r="BA64">
        <v>99.3232</v>
      </c>
      <c r="BB64">
        <v>0.100065</v>
      </c>
      <c r="BC64">
        <v>26.693300000000001</v>
      </c>
      <c r="BD64">
        <v>26.984500000000001</v>
      </c>
      <c r="BE64">
        <v>28.483599999999999</v>
      </c>
      <c r="BF64">
        <v>0</v>
      </c>
      <c r="BG64">
        <v>0</v>
      </c>
      <c r="BH64">
        <v>10016.200000000001</v>
      </c>
      <c r="BI64">
        <v>1075.82</v>
      </c>
      <c r="BJ64">
        <v>1.96231</v>
      </c>
      <c r="BK64">
        <v>-48.5627</v>
      </c>
      <c r="BL64">
        <v>769.54200000000003</v>
      </c>
      <c r="BM64">
        <v>816.18200000000002</v>
      </c>
      <c r="BN64">
        <v>3.6968100000000002</v>
      </c>
      <c r="BO64">
        <v>800.04499999999996</v>
      </c>
      <c r="BP64">
        <v>19.7713</v>
      </c>
      <c r="BQ64">
        <v>2.3309299999999999</v>
      </c>
      <c r="BR64">
        <v>1.9637500000000001</v>
      </c>
      <c r="BS64">
        <v>19.8918</v>
      </c>
      <c r="BT64">
        <v>17.155100000000001</v>
      </c>
      <c r="BU64">
        <v>1799.99</v>
      </c>
      <c r="BV64">
        <v>0.91000800000000004</v>
      </c>
      <c r="BW64">
        <v>3.3994499999999997E-2</v>
      </c>
      <c r="BX64">
        <v>2.1998899999999998E-2</v>
      </c>
      <c r="BY64">
        <v>3.3998199999999999E-2</v>
      </c>
      <c r="BZ64">
        <v>25</v>
      </c>
      <c r="CA64">
        <v>33528.300000000003</v>
      </c>
      <c r="CB64">
        <v>1690300477.5</v>
      </c>
      <c r="CC64" t="s">
        <v>332</v>
      </c>
      <c r="CD64">
        <v>1690300477.5</v>
      </c>
      <c r="CE64">
        <v>1690300465.5</v>
      </c>
      <c r="CF64">
        <v>7</v>
      </c>
      <c r="CG64">
        <v>5.0999999999999997E-2</v>
      </c>
      <c r="CH64">
        <v>-8.0000000000000002E-3</v>
      </c>
      <c r="CI64">
        <v>-0.316</v>
      </c>
      <c r="CJ64">
        <v>0.28199999999999997</v>
      </c>
      <c r="CK64">
        <v>800</v>
      </c>
      <c r="CL64">
        <v>24</v>
      </c>
      <c r="CM64">
        <v>0.25</v>
      </c>
      <c r="CN64">
        <v>0.13</v>
      </c>
      <c r="CO64">
        <v>-46.121569999999998</v>
      </c>
      <c r="CP64">
        <v>-12.49561125703565</v>
      </c>
      <c r="CQ64">
        <v>1.203058002383925</v>
      </c>
      <c r="CR64">
        <v>-1</v>
      </c>
      <c r="CS64">
        <v>3.5895290000000002</v>
      </c>
      <c r="CT64">
        <v>0.53640697936209647</v>
      </c>
      <c r="CU64">
        <v>5.2695647438854007E-2</v>
      </c>
      <c r="CV64">
        <v>-1</v>
      </c>
      <c r="CW64">
        <v>0</v>
      </c>
      <c r="CX64">
        <v>0</v>
      </c>
      <c r="CY64" t="s">
        <v>333</v>
      </c>
      <c r="CZ64">
        <v>2.36408</v>
      </c>
      <c r="DA64">
        <v>2.71387</v>
      </c>
      <c r="DB64">
        <v>0.14105899999999999</v>
      </c>
      <c r="DC64">
        <v>0.146703</v>
      </c>
      <c r="DD64">
        <v>0.11204600000000001</v>
      </c>
      <c r="DE64">
        <v>9.8111500000000004E-2</v>
      </c>
      <c r="DF64">
        <v>31366.7</v>
      </c>
      <c r="DG64">
        <v>27508.7</v>
      </c>
      <c r="DH64">
        <v>31175.4</v>
      </c>
      <c r="DI64">
        <v>28090.799999999999</v>
      </c>
      <c r="DJ64">
        <v>37584.800000000003</v>
      </c>
      <c r="DK64">
        <v>36026.400000000001</v>
      </c>
      <c r="DL64">
        <v>44367.3</v>
      </c>
      <c r="DM64">
        <v>42579.7</v>
      </c>
      <c r="DN64">
        <v>1.46913</v>
      </c>
      <c r="DO64">
        <v>2.06047</v>
      </c>
      <c r="DP64">
        <v>9.01222E-2</v>
      </c>
      <c r="DQ64">
        <v>0.19626299999999999</v>
      </c>
      <c r="DR64">
        <v>25.508900000000001</v>
      </c>
      <c r="DS64">
        <v>25.273299999999999</v>
      </c>
      <c r="DT64">
        <v>57.2</v>
      </c>
      <c r="DU64">
        <v>28.9</v>
      </c>
      <c r="DV64">
        <v>23.031199999999998</v>
      </c>
      <c r="DW64">
        <v>61.664700000000003</v>
      </c>
      <c r="DX64">
        <v>36.209899999999998</v>
      </c>
      <c r="DY64">
        <v>1</v>
      </c>
      <c r="DZ64">
        <v>-8.6328799999999997E-2</v>
      </c>
      <c r="EA64">
        <v>6.2981999999999996E-2</v>
      </c>
      <c r="EB64">
        <v>20.189800000000002</v>
      </c>
      <c r="EC64">
        <v>5.2408000000000001</v>
      </c>
      <c r="ED64">
        <v>12.039899999999999</v>
      </c>
      <c r="EE64">
        <v>5.0169499999999996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</v>
      </c>
      <c r="EL64">
        <v>1.8646</v>
      </c>
      <c r="EM64">
        <v>1.8691899999999999</v>
      </c>
      <c r="EN64">
        <v>1.8672200000000001</v>
      </c>
      <c r="EO64">
        <v>1.86338</v>
      </c>
      <c r="EP64">
        <v>1.8644700000000001</v>
      </c>
      <c r="EQ64">
        <v>1.8701399999999999</v>
      </c>
      <c r="ER64">
        <v>1.86937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-0.28199999999999997</v>
      </c>
      <c r="FG64">
        <v>0.28149999999999997</v>
      </c>
      <c r="FH64">
        <v>0.23539598422606861</v>
      </c>
      <c r="FI64">
        <v>-6.1462078757559423E-4</v>
      </c>
      <c r="FJ64">
        <v>-1.8861989874597051E-7</v>
      </c>
      <c r="FK64">
        <v>1.1980462299894961E-10</v>
      </c>
      <c r="FL64">
        <v>0.28151999999999688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17.2</v>
      </c>
      <c r="FU64">
        <v>17.399999999999999</v>
      </c>
      <c r="FV64">
        <v>1.79321</v>
      </c>
      <c r="FW64">
        <v>2.5891099999999998</v>
      </c>
      <c r="FX64">
        <v>1.5490699999999999</v>
      </c>
      <c r="FY64">
        <v>2.3290999999999999</v>
      </c>
      <c r="FZ64">
        <v>1.50146</v>
      </c>
      <c r="GA64">
        <v>2.3303199999999999</v>
      </c>
      <c r="GB64">
        <v>33.6479</v>
      </c>
      <c r="GC64">
        <v>23.982399999999998</v>
      </c>
      <c r="GD64">
        <v>19</v>
      </c>
      <c r="GE64">
        <v>280.20100000000002</v>
      </c>
      <c r="GF64">
        <v>604.03599999999994</v>
      </c>
      <c r="GG64">
        <v>24.546700000000001</v>
      </c>
      <c r="GH64">
        <v>26.331600000000002</v>
      </c>
      <c r="GI64">
        <v>29.9999</v>
      </c>
      <c r="GJ64">
        <v>26.426100000000002</v>
      </c>
      <c r="GK64">
        <v>26.398599999999998</v>
      </c>
      <c r="GL64">
        <v>35.854399999999998</v>
      </c>
      <c r="GM64">
        <v>23.712399999999999</v>
      </c>
      <c r="GN64">
        <v>100</v>
      </c>
      <c r="GO64">
        <v>24.543700000000001</v>
      </c>
      <c r="GP64">
        <v>800</v>
      </c>
      <c r="GQ64">
        <v>19.665600000000001</v>
      </c>
      <c r="GR64">
        <v>99.750399999999999</v>
      </c>
      <c r="GS64">
        <v>99.6053</v>
      </c>
    </row>
    <row r="65" spans="1:201" x14ac:dyDescent="0.25">
      <c r="A65">
        <v>49</v>
      </c>
      <c r="B65">
        <v>1690301519.5</v>
      </c>
      <c r="C65">
        <v>615.5</v>
      </c>
      <c r="D65" t="s">
        <v>429</v>
      </c>
      <c r="E65" t="s">
        <v>430</v>
      </c>
      <c r="F65" t="s">
        <v>330</v>
      </c>
      <c r="H65">
        <v>1690301519.5</v>
      </c>
      <c r="I65">
        <f t="shared" si="0"/>
        <v>3.5657591268031699E-4</v>
      </c>
      <c r="J65">
        <f t="shared" si="1"/>
        <v>0.35657591268031696</v>
      </c>
      <c r="K65">
        <f t="shared" si="2"/>
        <v>4.4040516323934833</v>
      </c>
      <c r="L65">
        <f t="shared" si="3"/>
        <v>749.14200000000005</v>
      </c>
      <c r="M65">
        <f t="shared" si="4"/>
        <v>398.45424525496594</v>
      </c>
      <c r="N65">
        <f t="shared" si="5"/>
        <v>39.614717843986135</v>
      </c>
      <c r="O65">
        <f t="shared" si="6"/>
        <v>74.480443635603606</v>
      </c>
      <c r="P65">
        <f t="shared" si="7"/>
        <v>2.1126679061608873E-2</v>
      </c>
      <c r="Q65">
        <f t="shared" si="8"/>
        <v>2.1152502615889457</v>
      </c>
      <c r="R65">
        <f t="shared" si="9"/>
        <v>2.101015002622952E-2</v>
      </c>
      <c r="S65">
        <f t="shared" si="10"/>
        <v>1.3141759754384155E-2</v>
      </c>
      <c r="T65">
        <f t="shared" si="11"/>
        <v>276.1133109546393</v>
      </c>
      <c r="U65">
        <f t="shared" si="12"/>
        <v>28.771241657794484</v>
      </c>
      <c r="V65">
        <f t="shared" si="13"/>
        <v>28.771241657794484</v>
      </c>
      <c r="W65">
        <f t="shared" si="14"/>
        <v>3.9688419561853228</v>
      </c>
      <c r="X65">
        <f t="shared" si="15"/>
        <v>66.404889234149991</v>
      </c>
      <c r="Y65">
        <f t="shared" si="16"/>
        <v>2.3350015073588</v>
      </c>
      <c r="Z65">
        <f t="shared" si="17"/>
        <v>3.5163096185965488</v>
      </c>
      <c r="AA65">
        <f t="shared" si="18"/>
        <v>1.6338404488265228</v>
      </c>
      <c r="AB65">
        <f t="shared" si="19"/>
        <v>-15.724997749201979</v>
      </c>
      <c r="AC65">
        <f t="shared" si="20"/>
        <v>-236.34720422842895</v>
      </c>
      <c r="AD65">
        <f t="shared" si="21"/>
        <v>-24.291642144050641</v>
      </c>
      <c r="AE65">
        <f t="shared" si="22"/>
        <v>-0.25053316704224926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52479.544926872753</v>
      </c>
      <c r="AK65">
        <f t="shared" si="26"/>
        <v>1799.99</v>
      </c>
      <c r="AL65">
        <f t="shared" si="27"/>
        <v>1499.10624018573</v>
      </c>
      <c r="AM65">
        <f t="shared" si="28"/>
        <v>0.83284142699999997</v>
      </c>
      <c r="AN65">
        <f t="shared" si="29"/>
        <v>0.15339713607</v>
      </c>
      <c r="AO65">
        <v>32.700000000000003</v>
      </c>
      <c r="AP65">
        <v>0.5</v>
      </c>
      <c r="AQ65" t="s">
        <v>331</v>
      </c>
      <c r="AR65">
        <v>2</v>
      </c>
      <c r="AS65">
        <v>1690301519.5</v>
      </c>
      <c r="AT65">
        <v>749.14200000000005</v>
      </c>
      <c r="AU65">
        <v>800.01900000000001</v>
      </c>
      <c r="AV65">
        <v>23.486000000000001</v>
      </c>
      <c r="AW65">
        <v>19.6935</v>
      </c>
      <c r="AX65">
        <v>749.423</v>
      </c>
      <c r="AY65">
        <v>23.204499999999999</v>
      </c>
      <c r="AZ65">
        <v>300.22899999999998</v>
      </c>
      <c r="BA65">
        <v>99.320999999999998</v>
      </c>
      <c r="BB65">
        <v>9.9995799999999996E-2</v>
      </c>
      <c r="BC65">
        <v>26.698699999999999</v>
      </c>
      <c r="BD65">
        <v>26.9849</v>
      </c>
      <c r="BE65">
        <v>28.490600000000001</v>
      </c>
      <c r="BF65">
        <v>0</v>
      </c>
      <c r="BG65">
        <v>0</v>
      </c>
      <c r="BH65">
        <v>9981.8799999999992</v>
      </c>
      <c r="BI65">
        <v>1075.82</v>
      </c>
      <c r="BJ65">
        <v>1.96231</v>
      </c>
      <c r="BK65">
        <v>-50.877299999999998</v>
      </c>
      <c r="BL65">
        <v>767.15899999999999</v>
      </c>
      <c r="BM65">
        <v>816.09100000000001</v>
      </c>
      <c r="BN65">
        <v>3.7924799999999999</v>
      </c>
      <c r="BO65">
        <v>800.01900000000001</v>
      </c>
      <c r="BP65">
        <v>19.6935</v>
      </c>
      <c r="BQ65">
        <v>2.3326500000000001</v>
      </c>
      <c r="BR65">
        <v>1.9559800000000001</v>
      </c>
      <c r="BS65">
        <v>19.903700000000001</v>
      </c>
      <c r="BT65">
        <v>17.092400000000001</v>
      </c>
      <c r="BU65">
        <v>1799.99</v>
      </c>
      <c r="BV65">
        <v>0.91001399999999999</v>
      </c>
      <c r="BW65">
        <v>3.3992399999999999E-2</v>
      </c>
      <c r="BX65">
        <v>2.1997599999999999E-2</v>
      </c>
      <c r="BY65">
        <v>3.3996100000000001E-2</v>
      </c>
      <c r="BZ65">
        <v>25</v>
      </c>
      <c r="CA65">
        <v>33528.400000000001</v>
      </c>
      <c r="CB65">
        <v>1690300477.5</v>
      </c>
      <c r="CC65" t="s">
        <v>332</v>
      </c>
      <c r="CD65">
        <v>1690300477.5</v>
      </c>
      <c r="CE65">
        <v>1690300465.5</v>
      </c>
      <c r="CF65">
        <v>7</v>
      </c>
      <c r="CG65">
        <v>5.0999999999999997E-2</v>
      </c>
      <c r="CH65">
        <v>-8.0000000000000002E-3</v>
      </c>
      <c r="CI65">
        <v>-0.316</v>
      </c>
      <c r="CJ65">
        <v>0.28199999999999997</v>
      </c>
      <c r="CK65">
        <v>800</v>
      </c>
      <c r="CL65">
        <v>24</v>
      </c>
      <c r="CM65">
        <v>0.25</v>
      </c>
      <c r="CN65">
        <v>0.13</v>
      </c>
      <c r="CO65">
        <v>-48.525685000000003</v>
      </c>
      <c r="CP65">
        <v>-13.37307692307683</v>
      </c>
      <c r="CQ65">
        <v>1.2880067941493949</v>
      </c>
      <c r="CR65">
        <v>-1</v>
      </c>
      <c r="CS65">
        <v>3.6961784999999998</v>
      </c>
      <c r="CT65">
        <v>0.63630754221387831</v>
      </c>
      <c r="CU65">
        <v>6.1867881067238728E-2</v>
      </c>
      <c r="CV65">
        <v>-1</v>
      </c>
      <c r="CW65">
        <v>0</v>
      </c>
      <c r="CX65">
        <v>0</v>
      </c>
      <c r="CY65" t="s">
        <v>333</v>
      </c>
      <c r="CZ65">
        <v>2.3645100000000001</v>
      </c>
      <c r="DA65">
        <v>2.7137699999999998</v>
      </c>
      <c r="DB65">
        <v>0.140759</v>
      </c>
      <c r="DC65">
        <v>0.14669499999999999</v>
      </c>
      <c r="DD65">
        <v>0.112104</v>
      </c>
      <c r="DE65">
        <v>9.7834400000000002E-2</v>
      </c>
      <c r="DF65">
        <v>31378.5</v>
      </c>
      <c r="DG65">
        <v>27509.200000000001</v>
      </c>
      <c r="DH65">
        <v>31176.2</v>
      </c>
      <c r="DI65">
        <v>28091</v>
      </c>
      <c r="DJ65">
        <v>37583.5</v>
      </c>
      <c r="DK65">
        <v>36037.800000000003</v>
      </c>
      <c r="DL65">
        <v>44368.7</v>
      </c>
      <c r="DM65">
        <v>42580.1</v>
      </c>
      <c r="DN65">
        <v>1.4696199999999999</v>
      </c>
      <c r="DO65">
        <v>2.0609000000000002</v>
      </c>
      <c r="DP65">
        <v>9.0420200000000006E-2</v>
      </c>
      <c r="DQ65">
        <v>0.196822</v>
      </c>
      <c r="DR65">
        <v>25.5044</v>
      </c>
      <c r="DS65">
        <v>25.271100000000001</v>
      </c>
      <c r="DT65">
        <v>57.2</v>
      </c>
      <c r="DU65">
        <v>28.9</v>
      </c>
      <c r="DV65">
        <v>23.029499999999999</v>
      </c>
      <c r="DW65">
        <v>61.804699999999997</v>
      </c>
      <c r="DX65">
        <v>35.088099999999997</v>
      </c>
      <c r="DY65">
        <v>1</v>
      </c>
      <c r="DZ65">
        <v>-8.6577699999999994E-2</v>
      </c>
      <c r="EA65">
        <v>8.1015799999999999E-2</v>
      </c>
      <c r="EB65">
        <v>20.189900000000002</v>
      </c>
      <c r="EC65">
        <v>5.2404999999999999</v>
      </c>
      <c r="ED65">
        <v>12.039899999999999</v>
      </c>
      <c r="EE65">
        <v>5.0169499999999996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</v>
      </c>
      <c r="EL65">
        <v>1.8646100000000001</v>
      </c>
      <c r="EM65">
        <v>1.8691899999999999</v>
      </c>
      <c r="EN65">
        <v>1.8672200000000001</v>
      </c>
      <c r="EO65">
        <v>1.86338</v>
      </c>
      <c r="EP65">
        <v>1.8644700000000001</v>
      </c>
      <c r="EQ65">
        <v>1.87016</v>
      </c>
      <c r="ER65">
        <v>1.8693599999999999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-0.28100000000000003</v>
      </c>
      <c r="FG65">
        <v>0.28149999999999997</v>
      </c>
      <c r="FH65">
        <v>0.23539598422606861</v>
      </c>
      <c r="FI65">
        <v>-6.1462078757559423E-4</v>
      </c>
      <c r="FJ65">
        <v>-1.8861989874597051E-7</v>
      </c>
      <c r="FK65">
        <v>1.1980462299894961E-10</v>
      </c>
      <c r="FL65">
        <v>0.28151999999999688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17.399999999999999</v>
      </c>
      <c r="FU65">
        <v>17.600000000000001</v>
      </c>
      <c r="FV65">
        <v>1.79321</v>
      </c>
      <c r="FW65">
        <v>2.5915499999999998</v>
      </c>
      <c r="FX65">
        <v>1.5490699999999999</v>
      </c>
      <c r="FY65">
        <v>2.3290999999999999</v>
      </c>
      <c r="FZ65">
        <v>1.50146</v>
      </c>
      <c r="GA65">
        <v>2.3559600000000001</v>
      </c>
      <c r="GB65">
        <v>33.6479</v>
      </c>
      <c r="GC65">
        <v>23.973700000000001</v>
      </c>
      <c r="GD65">
        <v>19</v>
      </c>
      <c r="GE65">
        <v>280.404</v>
      </c>
      <c r="GF65">
        <v>604.39</v>
      </c>
      <c r="GG65">
        <v>24.5626</v>
      </c>
      <c r="GH65">
        <v>26.326599999999999</v>
      </c>
      <c r="GI65">
        <v>29.9999</v>
      </c>
      <c r="GJ65">
        <v>26.4239</v>
      </c>
      <c r="GK65">
        <v>26.3979</v>
      </c>
      <c r="GL65">
        <v>35.856299999999997</v>
      </c>
      <c r="GM65">
        <v>24.0045</v>
      </c>
      <c r="GN65">
        <v>100</v>
      </c>
      <c r="GO65">
        <v>24.568100000000001</v>
      </c>
      <c r="GP65">
        <v>800</v>
      </c>
      <c r="GQ65">
        <v>19.578199999999999</v>
      </c>
      <c r="GR65">
        <v>99.753200000000007</v>
      </c>
      <c r="GS65">
        <v>99.606099999999998</v>
      </c>
    </row>
    <row r="66" spans="1:201" x14ac:dyDescent="0.25">
      <c r="A66">
        <v>50</v>
      </c>
      <c r="B66">
        <v>1690301529.5</v>
      </c>
      <c r="C66">
        <v>625.5</v>
      </c>
      <c r="D66" t="s">
        <v>431</v>
      </c>
      <c r="E66" t="s">
        <v>432</v>
      </c>
      <c r="F66" t="s">
        <v>330</v>
      </c>
      <c r="H66">
        <v>1690301529.5</v>
      </c>
      <c r="I66">
        <f t="shared" si="0"/>
        <v>3.6801068463501025E-4</v>
      </c>
      <c r="J66">
        <f t="shared" si="1"/>
        <v>0.36801068463501024</v>
      </c>
      <c r="K66">
        <f t="shared" si="2"/>
        <v>4.6216799531042181</v>
      </c>
      <c r="L66">
        <f t="shared" si="3"/>
        <v>746.70399999999995</v>
      </c>
      <c r="M66">
        <f t="shared" si="4"/>
        <v>390.68437745320108</v>
      </c>
      <c r="N66">
        <f t="shared" si="5"/>
        <v>38.842123271202148</v>
      </c>
      <c r="O66">
        <f t="shared" si="6"/>
        <v>74.23785154699199</v>
      </c>
      <c r="P66">
        <f t="shared" si="7"/>
        <v>2.1817458470169911E-2</v>
      </c>
      <c r="Q66">
        <f t="shared" si="8"/>
        <v>2.1158936944763855</v>
      </c>
      <c r="R66">
        <f t="shared" si="9"/>
        <v>2.1693246288130116E-2</v>
      </c>
      <c r="S66">
        <f t="shared" si="10"/>
        <v>1.3569379845658409E-2</v>
      </c>
      <c r="T66">
        <f t="shared" si="11"/>
        <v>276.11480709000006</v>
      </c>
      <c r="U66">
        <f t="shared" si="12"/>
        <v>28.776150715067548</v>
      </c>
      <c r="V66">
        <f t="shared" si="13"/>
        <v>28.776150715067548</v>
      </c>
      <c r="W66">
        <f t="shared" si="14"/>
        <v>3.9699714184921153</v>
      </c>
      <c r="X66">
        <f t="shared" si="15"/>
        <v>66.420709910275676</v>
      </c>
      <c r="Y66">
        <f t="shared" si="16"/>
        <v>2.3368642099703996</v>
      </c>
      <c r="Z66">
        <f t="shared" si="17"/>
        <v>3.5182764729963734</v>
      </c>
      <c r="AA66">
        <f t="shared" si="18"/>
        <v>1.6331072085217158</v>
      </c>
      <c r="AB66">
        <f t="shared" si="19"/>
        <v>-16.229271192403953</v>
      </c>
      <c r="AC66">
        <f t="shared" si="20"/>
        <v>-235.89539981765716</v>
      </c>
      <c r="AD66">
        <f t="shared" si="21"/>
        <v>-24.239573783058489</v>
      </c>
      <c r="AE66">
        <f t="shared" si="22"/>
        <v>-0.24943770311955404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52506.071917204368</v>
      </c>
      <c r="AK66">
        <f t="shared" si="26"/>
        <v>1800</v>
      </c>
      <c r="AL66">
        <f t="shared" si="27"/>
        <v>1499.1124769999999</v>
      </c>
      <c r="AM66">
        <f t="shared" si="28"/>
        <v>0.83284026499999997</v>
      </c>
      <c r="AN66">
        <f t="shared" si="29"/>
        <v>0.15339711505000003</v>
      </c>
      <c r="AO66">
        <v>32.700000000000003</v>
      </c>
      <c r="AP66">
        <v>0.5</v>
      </c>
      <c r="AQ66" t="s">
        <v>331</v>
      </c>
      <c r="AR66">
        <v>2</v>
      </c>
      <c r="AS66">
        <v>1690301529.5</v>
      </c>
      <c r="AT66">
        <v>746.70399999999995</v>
      </c>
      <c r="AU66">
        <v>800.03700000000003</v>
      </c>
      <c r="AV66">
        <v>23.504799999999999</v>
      </c>
      <c r="AW66">
        <v>19.590599999999998</v>
      </c>
      <c r="AX66">
        <v>746.98299999999995</v>
      </c>
      <c r="AY66">
        <v>23.223299999999998</v>
      </c>
      <c r="AZ66">
        <v>300.21699999999998</v>
      </c>
      <c r="BA66">
        <v>99.320700000000002</v>
      </c>
      <c r="BB66">
        <v>0.100023</v>
      </c>
      <c r="BC66">
        <v>26.708200000000001</v>
      </c>
      <c r="BD66">
        <v>26.970700000000001</v>
      </c>
      <c r="BE66">
        <v>28.4999</v>
      </c>
      <c r="BF66">
        <v>0</v>
      </c>
      <c r="BG66">
        <v>0</v>
      </c>
      <c r="BH66">
        <v>9987.5</v>
      </c>
      <c r="BI66">
        <v>1075.95</v>
      </c>
      <c r="BJ66">
        <v>1.96231</v>
      </c>
      <c r="BK66">
        <v>-53.333300000000001</v>
      </c>
      <c r="BL66">
        <v>764.67700000000002</v>
      </c>
      <c r="BM66">
        <v>816.024</v>
      </c>
      <c r="BN66">
        <v>3.91418</v>
      </c>
      <c r="BO66">
        <v>800.03700000000003</v>
      </c>
      <c r="BP66">
        <v>19.590599999999998</v>
      </c>
      <c r="BQ66">
        <v>2.3345099999999999</v>
      </c>
      <c r="BR66">
        <v>1.9457599999999999</v>
      </c>
      <c r="BS66">
        <v>19.916599999999999</v>
      </c>
      <c r="BT66">
        <v>17.009699999999999</v>
      </c>
      <c r="BU66">
        <v>1800</v>
      </c>
      <c r="BV66">
        <v>0.91000800000000004</v>
      </c>
      <c r="BW66">
        <v>3.4002499999999998E-2</v>
      </c>
      <c r="BX66">
        <v>2.1996000000000002E-2</v>
      </c>
      <c r="BY66">
        <v>3.3993700000000002E-2</v>
      </c>
      <c r="BZ66">
        <v>25</v>
      </c>
      <c r="CA66">
        <v>33528.400000000001</v>
      </c>
      <c r="CB66">
        <v>1690300477.5</v>
      </c>
      <c r="CC66" t="s">
        <v>332</v>
      </c>
      <c r="CD66">
        <v>1690300477.5</v>
      </c>
      <c r="CE66">
        <v>1690300465.5</v>
      </c>
      <c r="CF66">
        <v>7</v>
      </c>
      <c r="CG66">
        <v>5.0999999999999997E-2</v>
      </c>
      <c r="CH66">
        <v>-8.0000000000000002E-3</v>
      </c>
      <c r="CI66">
        <v>-0.316</v>
      </c>
      <c r="CJ66">
        <v>0.28199999999999997</v>
      </c>
      <c r="CK66">
        <v>800</v>
      </c>
      <c r="CL66">
        <v>24</v>
      </c>
      <c r="CM66">
        <v>0.25</v>
      </c>
      <c r="CN66">
        <v>0.13</v>
      </c>
      <c r="CO66">
        <v>-50.684168292682926</v>
      </c>
      <c r="CP66">
        <v>-14.45519581881531</v>
      </c>
      <c r="CQ66">
        <v>1.427501438287093</v>
      </c>
      <c r="CR66">
        <v>-1</v>
      </c>
      <c r="CS66">
        <v>3.792217560975609</v>
      </c>
      <c r="CT66">
        <v>0.59774613240418639</v>
      </c>
      <c r="CU66">
        <v>5.9978559696940478E-2</v>
      </c>
      <c r="CV66">
        <v>-1</v>
      </c>
      <c r="CW66">
        <v>0</v>
      </c>
      <c r="CX66">
        <v>0</v>
      </c>
      <c r="CY66" t="s">
        <v>333</v>
      </c>
      <c r="CZ66">
        <v>2.3644500000000002</v>
      </c>
      <c r="DA66">
        <v>2.7138</v>
      </c>
      <c r="DB66">
        <v>0.14045099999999999</v>
      </c>
      <c r="DC66">
        <v>0.14669599999999999</v>
      </c>
      <c r="DD66">
        <v>0.112169</v>
      </c>
      <c r="DE66">
        <v>9.7471600000000005E-2</v>
      </c>
      <c r="DF66">
        <v>31390.1</v>
      </c>
      <c r="DG66">
        <v>27509.200000000001</v>
      </c>
      <c r="DH66">
        <v>31176.5</v>
      </c>
      <c r="DI66">
        <v>28091.1</v>
      </c>
      <c r="DJ66">
        <v>37581</v>
      </c>
      <c r="DK66">
        <v>36052.199999999997</v>
      </c>
      <c r="DL66">
        <v>44369.1</v>
      </c>
      <c r="DM66">
        <v>42580</v>
      </c>
      <c r="DN66">
        <v>1.4695800000000001</v>
      </c>
      <c r="DO66">
        <v>2.06047</v>
      </c>
      <c r="DP66">
        <v>8.9801800000000001E-2</v>
      </c>
      <c r="DQ66">
        <v>0.19755200000000001</v>
      </c>
      <c r="DR66">
        <v>25.500299999999999</v>
      </c>
      <c r="DS66">
        <v>25.2685</v>
      </c>
      <c r="DT66">
        <v>57.2</v>
      </c>
      <c r="DU66">
        <v>28.9</v>
      </c>
      <c r="DV66">
        <v>23.026199999999999</v>
      </c>
      <c r="DW66">
        <v>61.434699999999999</v>
      </c>
      <c r="DX66">
        <v>35.604999999999997</v>
      </c>
      <c r="DY66">
        <v>1</v>
      </c>
      <c r="DZ66">
        <v>-8.7019799999999994E-2</v>
      </c>
      <c r="EA66">
        <v>7.6081200000000002E-2</v>
      </c>
      <c r="EB66">
        <v>20.189900000000002</v>
      </c>
      <c r="EC66">
        <v>5.2406499999999996</v>
      </c>
      <c r="ED66">
        <v>12.039899999999999</v>
      </c>
      <c r="EE66">
        <v>5.0170000000000003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</v>
      </c>
      <c r="EL66">
        <v>1.8646199999999999</v>
      </c>
      <c r="EM66">
        <v>1.8692</v>
      </c>
      <c r="EN66">
        <v>1.8672200000000001</v>
      </c>
      <c r="EO66">
        <v>1.86338</v>
      </c>
      <c r="EP66">
        <v>1.8644700000000001</v>
      </c>
      <c r="EQ66">
        <v>1.8701700000000001</v>
      </c>
      <c r="ER66">
        <v>1.8693599999999999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-0.27900000000000003</v>
      </c>
      <c r="FG66">
        <v>0.28149999999999997</v>
      </c>
      <c r="FH66">
        <v>0.23539598422606861</v>
      </c>
      <c r="FI66">
        <v>-6.1462078757559423E-4</v>
      </c>
      <c r="FJ66">
        <v>-1.8861989874597051E-7</v>
      </c>
      <c r="FK66">
        <v>1.1980462299894961E-10</v>
      </c>
      <c r="FL66">
        <v>0.28151999999999688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17.5</v>
      </c>
      <c r="FU66">
        <v>17.7</v>
      </c>
      <c r="FV66">
        <v>1.79321</v>
      </c>
      <c r="FW66">
        <v>2.5939899999999998</v>
      </c>
      <c r="FX66">
        <v>1.5490699999999999</v>
      </c>
      <c r="FY66">
        <v>2.3290999999999999</v>
      </c>
      <c r="FZ66">
        <v>1.50146</v>
      </c>
      <c r="GA66">
        <v>2.3547400000000001</v>
      </c>
      <c r="GB66">
        <v>33.6479</v>
      </c>
      <c r="GC66">
        <v>23.973700000000001</v>
      </c>
      <c r="GD66">
        <v>19</v>
      </c>
      <c r="GE66">
        <v>280.37099999999998</v>
      </c>
      <c r="GF66">
        <v>604.01099999999997</v>
      </c>
      <c r="GG66">
        <v>24.583200000000001</v>
      </c>
      <c r="GH66">
        <v>26.321899999999999</v>
      </c>
      <c r="GI66">
        <v>29.9999</v>
      </c>
      <c r="GJ66">
        <v>26.421299999999999</v>
      </c>
      <c r="GK66">
        <v>26.3964</v>
      </c>
      <c r="GL66">
        <v>35.851900000000001</v>
      </c>
      <c r="GM66">
        <v>24.591799999999999</v>
      </c>
      <c r="GN66">
        <v>100</v>
      </c>
      <c r="GO66">
        <v>24.5883</v>
      </c>
      <c r="GP66">
        <v>800</v>
      </c>
      <c r="GQ66">
        <v>19.487500000000001</v>
      </c>
      <c r="GR66">
        <v>99.754099999999994</v>
      </c>
      <c r="GS66">
        <v>99.605999999999995</v>
      </c>
    </row>
    <row r="67" spans="1:201" x14ac:dyDescent="0.25">
      <c r="A67">
        <v>51</v>
      </c>
      <c r="B67">
        <v>1690301539.5</v>
      </c>
      <c r="C67">
        <v>635.5</v>
      </c>
      <c r="D67" t="s">
        <v>433</v>
      </c>
      <c r="E67" t="s">
        <v>434</v>
      </c>
      <c r="F67" t="s">
        <v>330</v>
      </c>
      <c r="H67">
        <v>1690301539.5</v>
      </c>
      <c r="I67">
        <f t="shared" si="0"/>
        <v>3.7649972342455716E-4</v>
      </c>
      <c r="J67">
        <f t="shared" si="1"/>
        <v>0.37649972342455718</v>
      </c>
      <c r="K67">
        <f t="shared" si="2"/>
        <v>4.8492311668781518</v>
      </c>
      <c r="L67">
        <f t="shared" si="3"/>
        <v>744.11800000000005</v>
      </c>
      <c r="M67">
        <f t="shared" si="4"/>
        <v>379.67881100529297</v>
      </c>
      <c r="N67">
        <f t="shared" si="5"/>
        <v>37.75033615250878</v>
      </c>
      <c r="O67">
        <f t="shared" si="6"/>
        <v>73.985441965421998</v>
      </c>
      <c r="P67">
        <f t="shared" si="7"/>
        <v>2.2330129757138537E-2</v>
      </c>
      <c r="Q67">
        <f t="shared" si="8"/>
        <v>2.1115708561237989</v>
      </c>
      <c r="R67">
        <f t="shared" si="9"/>
        <v>2.2199765583087495E-2</v>
      </c>
      <c r="S67">
        <f t="shared" si="10"/>
        <v>1.3886502642876032E-2</v>
      </c>
      <c r="T67">
        <f t="shared" si="11"/>
        <v>276.11300195035602</v>
      </c>
      <c r="U67">
        <f t="shared" si="12"/>
        <v>28.782782800276763</v>
      </c>
      <c r="V67">
        <f t="shared" si="13"/>
        <v>28.782782800276763</v>
      </c>
      <c r="W67">
        <f t="shared" si="14"/>
        <v>3.9714977554439574</v>
      </c>
      <c r="X67">
        <f t="shared" si="15"/>
        <v>66.451971156485058</v>
      </c>
      <c r="Y67">
        <f t="shared" si="16"/>
        <v>2.3387623469495997</v>
      </c>
      <c r="Z67">
        <f t="shared" si="17"/>
        <v>3.5194777615281612</v>
      </c>
      <c r="AA67">
        <f t="shared" si="18"/>
        <v>1.6327354084943577</v>
      </c>
      <c r="AB67">
        <f t="shared" si="19"/>
        <v>-16.60363780302297</v>
      </c>
      <c r="AC67">
        <f t="shared" si="20"/>
        <v>-235.50818174134145</v>
      </c>
      <c r="AD67">
        <f t="shared" si="21"/>
        <v>-24.250830984438249</v>
      </c>
      <c r="AE67">
        <f t="shared" si="22"/>
        <v>-0.24964857844662447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52315.945095530515</v>
      </c>
      <c r="AK67">
        <f t="shared" si="26"/>
        <v>1799.99</v>
      </c>
      <c r="AL67">
        <f t="shared" si="27"/>
        <v>1499.10234860735</v>
      </c>
      <c r="AM67">
        <f t="shared" si="28"/>
        <v>0.83283926499999994</v>
      </c>
      <c r="AN67">
        <f t="shared" si="29"/>
        <v>0.1533969644</v>
      </c>
      <c r="AO67">
        <v>32.700000000000003</v>
      </c>
      <c r="AP67">
        <v>0.5</v>
      </c>
      <c r="AQ67" t="s">
        <v>331</v>
      </c>
      <c r="AR67">
        <v>2</v>
      </c>
      <c r="AS67">
        <v>1690301539.5</v>
      </c>
      <c r="AT67">
        <v>744.11800000000005</v>
      </c>
      <c r="AU67">
        <v>800.01700000000005</v>
      </c>
      <c r="AV67">
        <v>23.522400000000001</v>
      </c>
      <c r="AW67">
        <v>19.515899999999998</v>
      </c>
      <c r="AX67">
        <v>744.39499999999998</v>
      </c>
      <c r="AY67">
        <v>23.2408</v>
      </c>
      <c r="AZ67">
        <v>300.06099999999998</v>
      </c>
      <c r="BA67">
        <v>99.326899999999995</v>
      </c>
      <c r="BB67">
        <v>0.100129</v>
      </c>
      <c r="BC67">
        <v>26.713999999999999</v>
      </c>
      <c r="BD67">
        <v>27.0154</v>
      </c>
      <c r="BE67">
        <v>28.4925</v>
      </c>
      <c r="BF67">
        <v>0</v>
      </c>
      <c r="BG67">
        <v>0</v>
      </c>
      <c r="BH67">
        <v>9949.3799999999992</v>
      </c>
      <c r="BI67">
        <v>1075.95</v>
      </c>
      <c r="BJ67">
        <v>1.96231</v>
      </c>
      <c r="BK67">
        <v>-55.898899999999998</v>
      </c>
      <c r="BL67">
        <v>762.04300000000001</v>
      </c>
      <c r="BM67">
        <v>815.94</v>
      </c>
      <c r="BN67">
        <v>4.0064700000000002</v>
      </c>
      <c r="BO67">
        <v>800.01700000000005</v>
      </c>
      <c r="BP67">
        <v>19.515899999999998</v>
      </c>
      <c r="BQ67">
        <v>2.3363999999999998</v>
      </c>
      <c r="BR67">
        <v>1.93845</v>
      </c>
      <c r="BS67">
        <v>19.929600000000001</v>
      </c>
      <c r="BT67">
        <v>16.950399999999998</v>
      </c>
      <c r="BU67">
        <v>1799.99</v>
      </c>
      <c r="BV67">
        <v>0.91000599999999998</v>
      </c>
      <c r="BW67">
        <v>3.4007799999999998E-2</v>
      </c>
      <c r="BX67">
        <v>2.19945E-2</v>
      </c>
      <c r="BY67">
        <v>3.3991399999999998E-2</v>
      </c>
      <c r="BZ67">
        <v>25</v>
      </c>
      <c r="CA67">
        <v>33528.199999999997</v>
      </c>
      <c r="CB67">
        <v>1690300477.5</v>
      </c>
      <c r="CC67" t="s">
        <v>332</v>
      </c>
      <c r="CD67">
        <v>1690300477.5</v>
      </c>
      <c r="CE67">
        <v>1690300465.5</v>
      </c>
      <c r="CF67">
        <v>7</v>
      </c>
      <c r="CG67">
        <v>5.0999999999999997E-2</v>
      </c>
      <c r="CH67">
        <v>-8.0000000000000002E-3</v>
      </c>
      <c r="CI67">
        <v>-0.316</v>
      </c>
      <c r="CJ67">
        <v>0.28199999999999997</v>
      </c>
      <c r="CK67">
        <v>800</v>
      </c>
      <c r="CL67">
        <v>24</v>
      </c>
      <c r="CM67">
        <v>0.25</v>
      </c>
      <c r="CN67">
        <v>0.13</v>
      </c>
      <c r="CO67">
        <v>-53.11245609756098</v>
      </c>
      <c r="CP67">
        <v>-14.93942717770037</v>
      </c>
      <c r="CQ67">
        <v>1.4741431005839991</v>
      </c>
      <c r="CR67">
        <v>-1</v>
      </c>
      <c r="CS67">
        <v>3.8929653658536592</v>
      </c>
      <c r="CT67">
        <v>0.64920773519163411</v>
      </c>
      <c r="CU67">
        <v>6.4531061686811914E-2</v>
      </c>
      <c r="CV67">
        <v>-1</v>
      </c>
      <c r="CW67">
        <v>0</v>
      </c>
      <c r="CX67">
        <v>0</v>
      </c>
      <c r="CY67" t="s">
        <v>333</v>
      </c>
      <c r="CZ67">
        <v>2.3639600000000001</v>
      </c>
      <c r="DA67">
        <v>2.71387</v>
      </c>
      <c r="DB67">
        <v>0.14013100000000001</v>
      </c>
      <c r="DC67">
        <v>0.146701</v>
      </c>
      <c r="DD67">
        <v>0.112236</v>
      </c>
      <c r="DE67">
        <v>9.7213499999999994E-2</v>
      </c>
      <c r="DF67">
        <v>31401.9</v>
      </c>
      <c r="DG67">
        <v>27509.4</v>
      </c>
      <c r="DH67">
        <v>31176.7</v>
      </c>
      <c r="DI67">
        <v>28091.4</v>
      </c>
      <c r="DJ67">
        <v>37578.300000000003</v>
      </c>
      <c r="DK67">
        <v>36063.1</v>
      </c>
      <c r="DL67">
        <v>44369.3</v>
      </c>
      <c r="DM67">
        <v>42580.7</v>
      </c>
      <c r="DN67">
        <v>1.46973</v>
      </c>
      <c r="DO67">
        <v>2.06012</v>
      </c>
      <c r="DP67">
        <v>9.2662900000000006E-2</v>
      </c>
      <c r="DQ67">
        <v>0.19722400000000001</v>
      </c>
      <c r="DR67">
        <v>25.498100000000001</v>
      </c>
      <c r="DS67">
        <v>25.266400000000001</v>
      </c>
      <c r="DT67">
        <v>57.2</v>
      </c>
      <c r="DU67">
        <v>28.9</v>
      </c>
      <c r="DV67">
        <v>23.027100000000001</v>
      </c>
      <c r="DW67">
        <v>61.7547</v>
      </c>
      <c r="DX67">
        <v>36.358199999999997</v>
      </c>
      <c r="DY67">
        <v>1</v>
      </c>
      <c r="DZ67">
        <v>-8.7484800000000001E-2</v>
      </c>
      <c r="EA67">
        <v>1.0678099999999999E-2</v>
      </c>
      <c r="EB67">
        <v>20.190000000000001</v>
      </c>
      <c r="EC67">
        <v>5.2401999999999997</v>
      </c>
      <c r="ED67">
        <v>12.039899999999999</v>
      </c>
      <c r="EE67">
        <v>5.0167000000000002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</v>
      </c>
      <c r="EL67">
        <v>1.8646100000000001</v>
      </c>
      <c r="EM67">
        <v>1.8692</v>
      </c>
      <c r="EN67">
        <v>1.8672200000000001</v>
      </c>
      <c r="EO67">
        <v>1.8633999999999999</v>
      </c>
      <c r="EP67">
        <v>1.8644700000000001</v>
      </c>
      <c r="EQ67">
        <v>1.87018</v>
      </c>
      <c r="ER67">
        <v>1.86937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-0.27700000000000002</v>
      </c>
      <c r="FG67">
        <v>0.28160000000000002</v>
      </c>
      <c r="FH67">
        <v>0.23539598422606861</v>
      </c>
      <c r="FI67">
        <v>-6.1462078757559423E-4</v>
      </c>
      <c r="FJ67">
        <v>-1.8861989874597051E-7</v>
      </c>
      <c r="FK67">
        <v>1.1980462299894961E-10</v>
      </c>
      <c r="FL67">
        <v>0.28151999999999688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17.7</v>
      </c>
      <c r="FU67">
        <v>17.899999999999999</v>
      </c>
      <c r="FV67">
        <v>1.79321</v>
      </c>
      <c r="FW67">
        <v>2.5854499999999998</v>
      </c>
      <c r="FX67">
        <v>1.5490699999999999</v>
      </c>
      <c r="FY67">
        <v>2.3290999999999999</v>
      </c>
      <c r="FZ67">
        <v>1.50146</v>
      </c>
      <c r="GA67">
        <v>2.36206</v>
      </c>
      <c r="GB67">
        <v>33.6479</v>
      </c>
      <c r="GC67">
        <v>23.982399999999998</v>
      </c>
      <c r="GD67">
        <v>19</v>
      </c>
      <c r="GE67">
        <v>280.42399999999998</v>
      </c>
      <c r="GF67">
        <v>603.68700000000001</v>
      </c>
      <c r="GG67">
        <v>24.614100000000001</v>
      </c>
      <c r="GH67">
        <v>26.3171</v>
      </c>
      <c r="GI67">
        <v>29.9998</v>
      </c>
      <c r="GJ67">
        <v>26.4191</v>
      </c>
      <c r="GK67">
        <v>26.394100000000002</v>
      </c>
      <c r="GL67">
        <v>35.849899999999998</v>
      </c>
      <c r="GM67">
        <v>24.893799999999999</v>
      </c>
      <c r="GN67">
        <v>100</v>
      </c>
      <c r="GO67">
        <v>24.6266</v>
      </c>
      <c r="GP67">
        <v>800</v>
      </c>
      <c r="GQ67">
        <v>19.394400000000001</v>
      </c>
      <c r="GR67">
        <v>99.7547</v>
      </c>
      <c r="GS67">
        <v>99.607399999999998</v>
      </c>
    </row>
    <row r="68" spans="1:201" x14ac:dyDescent="0.25">
      <c r="A68">
        <v>52</v>
      </c>
      <c r="B68">
        <v>1690301549.5</v>
      </c>
      <c r="C68">
        <v>645.5</v>
      </c>
      <c r="D68" t="s">
        <v>435</v>
      </c>
      <c r="E68" t="s">
        <v>436</v>
      </c>
      <c r="F68" t="s">
        <v>330</v>
      </c>
      <c r="H68">
        <v>1690301549.5</v>
      </c>
      <c r="I68">
        <f t="shared" si="0"/>
        <v>3.8703446536909067E-4</v>
      </c>
      <c r="J68">
        <f t="shared" si="1"/>
        <v>0.3870344653690907</v>
      </c>
      <c r="K68">
        <f t="shared" si="2"/>
        <v>5.0934589131791439</v>
      </c>
      <c r="L68">
        <f t="shared" si="3"/>
        <v>741.40800000000002</v>
      </c>
      <c r="M68">
        <f t="shared" si="4"/>
        <v>370.54225983994712</v>
      </c>
      <c r="N68">
        <f t="shared" si="5"/>
        <v>36.840572799140041</v>
      </c>
      <c r="O68">
        <f t="shared" si="6"/>
        <v>73.713307112831998</v>
      </c>
      <c r="P68">
        <f t="shared" si="7"/>
        <v>2.302119547724087E-2</v>
      </c>
      <c r="Q68">
        <f t="shared" si="8"/>
        <v>2.1156372109580155</v>
      </c>
      <c r="R68">
        <f t="shared" si="9"/>
        <v>2.2882929059303652E-2</v>
      </c>
      <c r="S68">
        <f t="shared" si="10"/>
        <v>1.4314184017254344E-2</v>
      </c>
      <c r="T68">
        <f t="shared" si="11"/>
        <v>276.11293002275568</v>
      </c>
      <c r="U68">
        <f t="shared" si="12"/>
        <v>28.770185998555171</v>
      </c>
      <c r="V68">
        <f t="shared" si="13"/>
        <v>28.770185998555171</v>
      </c>
      <c r="W68">
        <f t="shared" si="14"/>
        <v>3.9685991096435935</v>
      </c>
      <c r="X68">
        <f t="shared" si="15"/>
        <v>66.517472159248442</v>
      </c>
      <c r="Y68">
        <f t="shared" si="16"/>
        <v>2.3403374490964</v>
      </c>
      <c r="Z68">
        <f t="shared" si="17"/>
        <v>3.5183800182505953</v>
      </c>
      <c r="AA68">
        <f t="shared" si="18"/>
        <v>1.6282616605471936</v>
      </c>
      <c r="AB68">
        <f t="shared" si="19"/>
        <v>-17.068219922776898</v>
      </c>
      <c r="AC68">
        <f t="shared" si="20"/>
        <v>-235.12945100328179</v>
      </c>
      <c r="AD68">
        <f t="shared" si="21"/>
        <v>-24.163136944771253</v>
      </c>
      <c r="AE68">
        <f t="shared" si="22"/>
        <v>-0.2478778480742676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52494.801180269984</v>
      </c>
      <c r="AK68">
        <f t="shared" si="26"/>
        <v>1799.99</v>
      </c>
      <c r="AL68">
        <f t="shared" si="27"/>
        <v>1499.1040387979601</v>
      </c>
      <c r="AM68">
        <f t="shared" si="28"/>
        <v>0.83284020400000003</v>
      </c>
      <c r="AN68">
        <f t="shared" si="29"/>
        <v>0.15339692444000003</v>
      </c>
      <c r="AO68">
        <v>32.700000000000003</v>
      </c>
      <c r="AP68">
        <v>0.5</v>
      </c>
      <c r="AQ68" t="s">
        <v>331</v>
      </c>
      <c r="AR68">
        <v>2</v>
      </c>
      <c r="AS68">
        <v>1690301549.5</v>
      </c>
      <c r="AT68">
        <v>741.40800000000002</v>
      </c>
      <c r="AU68">
        <v>800.01499999999999</v>
      </c>
      <c r="AV68">
        <v>23.539100000000001</v>
      </c>
      <c r="AW68">
        <v>19.422499999999999</v>
      </c>
      <c r="AX68">
        <v>741.68299999999999</v>
      </c>
      <c r="AY68">
        <v>23.2576</v>
      </c>
      <c r="AZ68">
        <v>300.202</v>
      </c>
      <c r="BA68">
        <v>99.323400000000007</v>
      </c>
      <c r="BB68">
        <v>0.100004</v>
      </c>
      <c r="BC68">
        <v>26.7087</v>
      </c>
      <c r="BD68">
        <v>26.982700000000001</v>
      </c>
      <c r="BE68">
        <v>28.529</v>
      </c>
      <c r="BF68">
        <v>0</v>
      </c>
      <c r="BG68">
        <v>0</v>
      </c>
      <c r="BH68">
        <v>9985</v>
      </c>
      <c r="BI68">
        <v>1076.0899999999999</v>
      </c>
      <c r="BJ68">
        <v>1.96231</v>
      </c>
      <c r="BK68">
        <v>-58.607399999999998</v>
      </c>
      <c r="BL68">
        <v>759.28</v>
      </c>
      <c r="BM68">
        <v>815.86099999999999</v>
      </c>
      <c r="BN68">
        <v>4.1165799999999999</v>
      </c>
      <c r="BO68">
        <v>800.01499999999999</v>
      </c>
      <c r="BP68">
        <v>19.422499999999999</v>
      </c>
      <c r="BQ68">
        <v>2.33799</v>
      </c>
      <c r="BR68">
        <v>1.9291100000000001</v>
      </c>
      <c r="BS68">
        <v>19.9405</v>
      </c>
      <c r="BT68">
        <v>16.874199999999998</v>
      </c>
      <c r="BU68">
        <v>1799.99</v>
      </c>
      <c r="BV68">
        <v>0.91001200000000004</v>
      </c>
      <c r="BW68">
        <v>3.40057E-2</v>
      </c>
      <c r="BX68">
        <v>2.1993200000000001E-2</v>
      </c>
      <c r="BY68">
        <v>3.3989400000000003E-2</v>
      </c>
      <c r="BZ68">
        <v>25</v>
      </c>
      <c r="CA68">
        <v>33528.300000000003</v>
      </c>
      <c r="CB68">
        <v>1690300477.5</v>
      </c>
      <c r="CC68" t="s">
        <v>332</v>
      </c>
      <c r="CD68">
        <v>1690300477.5</v>
      </c>
      <c r="CE68">
        <v>1690300465.5</v>
      </c>
      <c r="CF68">
        <v>7</v>
      </c>
      <c r="CG68">
        <v>5.0999999999999997E-2</v>
      </c>
      <c r="CH68">
        <v>-8.0000000000000002E-3</v>
      </c>
      <c r="CI68">
        <v>-0.316</v>
      </c>
      <c r="CJ68">
        <v>0.28199999999999997</v>
      </c>
      <c r="CK68">
        <v>800</v>
      </c>
      <c r="CL68">
        <v>24</v>
      </c>
      <c r="CM68">
        <v>0.25</v>
      </c>
      <c r="CN68">
        <v>0.13</v>
      </c>
      <c r="CO68">
        <v>-55.862102499999992</v>
      </c>
      <c r="CP68">
        <v>-15.959645403376991</v>
      </c>
      <c r="CQ68">
        <v>1.5353902902010781</v>
      </c>
      <c r="CR68">
        <v>-1</v>
      </c>
      <c r="CS68">
        <v>4.0120352499999994</v>
      </c>
      <c r="CT68">
        <v>0.67752191369606163</v>
      </c>
      <c r="CU68">
        <v>6.552147132763049E-2</v>
      </c>
      <c r="CV68">
        <v>-1</v>
      </c>
      <c r="CW68">
        <v>0</v>
      </c>
      <c r="CX68">
        <v>0</v>
      </c>
      <c r="CY68" t="s">
        <v>333</v>
      </c>
      <c r="CZ68">
        <v>2.36442</v>
      </c>
      <c r="DA68">
        <v>2.7137799999999999</v>
      </c>
      <c r="DB68">
        <v>0.13978199999999999</v>
      </c>
      <c r="DC68">
        <v>0.14669499999999999</v>
      </c>
      <c r="DD68">
        <v>0.11229</v>
      </c>
      <c r="DE68">
        <v>9.6879599999999996E-2</v>
      </c>
      <c r="DF68">
        <v>31414.5</v>
      </c>
      <c r="DG68">
        <v>27509.7</v>
      </c>
      <c r="DH68">
        <v>31176.5</v>
      </c>
      <c r="DI68">
        <v>28091.5</v>
      </c>
      <c r="DJ68">
        <v>37575.800000000003</v>
      </c>
      <c r="DK68">
        <v>36076.6</v>
      </c>
      <c r="DL68">
        <v>44369.2</v>
      </c>
      <c r="DM68">
        <v>42580.800000000003</v>
      </c>
      <c r="DN68">
        <v>1.4689700000000001</v>
      </c>
      <c r="DO68">
        <v>2.06</v>
      </c>
      <c r="DP68">
        <v>9.0874700000000003E-2</v>
      </c>
      <c r="DQ68">
        <v>0.199549</v>
      </c>
      <c r="DR68">
        <v>25.494700000000002</v>
      </c>
      <c r="DS68">
        <v>25.265000000000001</v>
      </c>
      <c r="DT68">
        <v>57.2</v>
      </c>
      <c r="DU68">
        <v>28.9</v>
      </c>
      <c r="DV68">
        <v>23.027699999999999</v>
      </c>
      <c r="DW68">
        <v>62.014699999999998</v>
      </c>
      <c r="DX68">
        <v>35.104199999999999</v>
      </c>
      <c r="DY68">
        <v>1</v>
      </c>
      <c r="DZ68">
        <v>-8.5919700000000002E-2</v>
      </c>
      <c r="EA68">
        <v>0.75968999999999998</v>
      </c>
      <c r="EB68">
        <v>20.186800000000002</v>
      </c>
      <c r="EC68">
        <v>5.2403500000000003</v>
      </c>
      <c r="ED68">
        <v>12.039899999999999</v>
      </c>
      <c r="EE68">
        <v>5.01675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</v>
      </c>
      <c r="EL68">
        <v>1.8646199999999999</v>
      </c>
      <c r="EM68">
        <v>1.8691899999999999</v>
      </c>
      <c r="EN68">
        <v>1.8672200000000001</v>
      </c>
      <c r="EO68">
        <v>1.8633900000000001</v>
      </c>
      <c r="EP68">
        <v>1.8644700000000001</v>
      </c>
      <c r="EQ68">
        <v>1.87015</v>
      </c>
      <c r="ER68">
        <v>1.86938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-0.27500000000000002</v>
      </c>
      <c r="FG68">
        <v>0.28149999999999997</v>
      </c>
      <c r="FH68">
        <v>0.23539598422606861</v>
      </c>
      <c r="FI68">
        <v>-6.1462078757559423E-4</v>
      </c>
      <c r="FJ68">
        <v>-1.8861989874597051E-7</v>
      </c>
      <c r="FK68">
        <v>1.1980462299894961E-10</v>
      </c>
      <c r="FL68">
        <v>0.28151999999999688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17.899999999999999</v>
      </c>
      <c r="FU68">
        <v>18.100000000000001</v>
      </c>
      <c r="FV68">
        <v>1.79321</v>
      </c>
      <c r="FW68">
        <v>2.5903299999999998</v>
      </c>
      <c r="FX68">
        <v>1.5490699999999999</v>
      </c>
      <c r="FY68">
        <v>2.3290999999999999</v>
      </c>
      <c r="FZ68">
        <v>1.50146</v>
      </c>
      <c r="GA68">
        <v>2.34497</v>
      </c>
      <c r="GB68">
        <v>33.6479</v>
      </c>
      <c r="GC68">
        <v>23.973700000000001</v>
      </c>
      <c r="GD68">
        <v>19</v>
      </c>
      <c r="GE68">
        <v>280.09800000000001</v>
      </c>
      <c r="GF68">
        <v>603.55600000000004</v>
      </c>
      <c r="GG68">
        <v>24.376000000000001</v>
      </c>
      <c r="GH68">
        <v>26.312200000000001</v>
      </c>
      <c r="GI68">
        <v>30.000699999999998</v>
      </c>
      <c r="GJ68">
        <v>26.416899999999998</v>
      </c>
      <c r="GK68">
        <v>26.3919</v>
      </c>
      <c r="GL68">
        <v>35.846800000000002</v>
      </c>
      <c r="GM68">
        <v>25.4512</v>
      </c>
      <c r="GN68">
        <v>100</v>
      </c>
      <c r="GO68">
        <v>24.3584</v>
      </c>
      <c r="GP68">
        <v>800</v>
      </c>
      <c r="GQ68">
        <v>19.306100000000001</v>
      </c>
      <c r="GR68">
        <v>99.754300000000001</v>
      </c>
      <c r="GS68">
        <v>99.607799999999997</v>
      </c>
    </row>
    <row r="69" spans="1:201" x14ac:dyDescent="0.25">
      <c r="A69">
        <v>53</v>
      </c>
      <c r="B69">
        <v>1690301559.5</v>
      </c>
      <c r="C69">
        <v>655.5</v>
      </c>
      <c r="D69" t="s">
        <v>437</v>
      </c>
      <c r="E69" t="s">
        <v>438</v>
      </c>
      <c r="F69" t="s">
        <v>330</v>
      </c>
      <c r="H69">
        <v>1690301559.5</v>
      </c>
      <c r="I69">
        <f t="shared" si="0"/>
        <v>3.9484434353490125E-4</v>
      </c>
      <c r="J69">
        <f t="shared" si="1"/>
        <v>0.39484434353490128</v>
      </c>
      <c r="K69">
        <f t="shared" si="2"/>
        <v>5.3468924254942269</v>
      </c>
      <c r="L69">
        <f t="shared" si="3"/>
        <v>738.53300000000002</v>
      </c>
      <c r="M69">
        <f t="shared" si="4"/>
        <v>358.27924491022054</v>
      </c>
      <c r="N69">
        <f t="shared" si="5"/>
        <v>35.620763812994589</v>
      </c>
      <c r="O69">
        <f t="shared" si="6"/>
        <v>73.426272760216705</v>
      </c>
      <c r="P69">
        <f t="shared" si="7"/>
        <v>2.3533213472784115E-2</v>
      </c>
      <c r="Q69">
        <f t="shared" si="8"/>
        <v>2.114395682294842</v>
      </c>
      <c r="R69">
        <f t="shared" si="9"/>
        <v>2.3388664812823798E-2</v>
      </c>
      <c r="S69">
        <f t="shared" si="10"/>
        <v>1.4630828509746042E-2</v>
      </c>
      <c r="T69">
        <f t="shared" si="11"/>
        <v>276.11248852120843</v>
      </c>
      <c r="U69">
        <f t="shared" si="12"/>
        <v>28.75117194007975</v>
      </c>
      <c r="V69">
        <f t="shared" si="13"/>
        <v>28.75117194007975</v>
      </c>
      <c r="W69">
        <f t="shared" si="14"/>
        <v>3.9642272853184362</v>
      </c>
      <c r="X69">
        <f t="shared" si="15"/>
        <v>66.547782907681906</v>
      </c>
      <c r="Y69">
        <f t="shared" si="16"/>
        <v>2.3390069713663899</v>
      </c>
      <c r="Z69">
        <f t="shared" si="17"/>
        <v>3.5147782077295737</v>
      </c>
      <c r="AA69">
        <f t="shared" si="18"/>
        <v>1.6252203139520462</v>
      </c>
      <c r="AB69">
        <f t="shared" si="19"/>
        <v>-17.412635549889146</v>
      </c>
      <c r="AC69">
        <f t="shared" si="20"/>
        <v>-234.80748033240181</v>
      </c>
      <c r="AD69">
        <f t="shared" si="21"/>
        <v>-24.139832925123823</v>
      </c>
      <c r="AE69">
        <f t="shared" si="22"/>
        <v>-0.24746028620634775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52443.421416367593</v>
      </c>
      <c r="AK69">
        <f t="shared" si="26"/>
        <v>1799.99</v>
      </c>
      <c r="AL69">
        <f t="shared" si="27"/>
        <v>1499.1037903993399</v>
      </c>
      <c r="AM69">
        <f t="shared" si="28"/>
        <v>0.83284006599999993</v>
      </c>
      <c r="AN69">
        <f t="shared" si="29"/>
        <v>0.15339667916000002</v>
      </c>
      <c r="AO69">
        <v>32.700000000000003</v>
      </c>
      <c r="AP69">
        <v>0.5</v>
      </c>
      <c r="AQ69" t="s">
        <v>331</v>
      </c>
      <c r="AR69">
        <v>2</v>
      </c>
      <c r="AS69">
        <v>1690301559.5</v>
      </c>
      <c r="AT69">
        <v>738.53300000000002</v>
      </c>
      <c r="AU69">
        <v>799.94799999999998</v>
      </c>
      <c r="AV69">
        <v>23.5261</v>
      </c>
      <c r="AW69">
        <v>19.326599999999999</v>
      </c>
      <c r="AX69">
        <v>738.80600000000004</v>
      </c>
      <c r="AY69">
        <v>23.244599999999998</v>
      </c>
      <c r="AZ69">
        <v>300.21800000000002</v>
      </c>
      <c r="BA69">
        <v>99.321799999999996</v>
      </c>
      <c r="BB69">
        <v>9.9989900000000007E-2</v>
      </c>
      <c r="BC69">
        <v>26.691299999999998</v>
      </c>
      <c r="BD69">
        <v>27.0046</v>
      </c>
      <c r="BE69">
        <v>28.4894</v>
      </c>
      <c r="BF69">
        <v>0</v>
      </c>
      <c r="BG69">
        <v>0</v>
      </c>
      <c r="BH69">
        <v>9974.3799999999992</v>
      </c>
      <c r="BI69">
        <v>1076.1099999999999</v>
      </c>
      <c r="BJ69">
        <v>1.96231</v>
      </c>
      <c r="BK69">
        <v>-61.415199999999999</v>
      </c>
      <c r="BL69">
        <v>756.32600000000002</v>
      </c>
      <c r="BM69">
        <v>815.71299999999997</v>
      </c>
      <c r="BN69">
        <v>4.1995300000000002</v>
      </c>
      <c r="BO69">
        <v>799.94799999999998</v>
      </c>
      <c r="BP69">
        <v>19.326599999999999</v>
      </c>
      <c r="BQ69">
        <v>2.3366600000000002</v>
      </c>
      <c r="BR69">
        <v>1.9195500000000001</v>
      </c>
      <c r="BS69">
        <v>19.9314</v>
      </c>
      <c r="BT69">
        <v>16.7959</v>
      </c>
      <c r="BU69">
        <v>1799.99</v>
      </c>
      <c r="BV69">
        <v>0.91001699999999996</v>
      </c>
      <c r="BW69">
        <v>3.4003600000000002E-2</v>
      </c>
      <c r="BX69">
        <v>2.1991799999999999E-2</v>
      </c>
      <c r="BY69">
        <v>3.3987200000000002E-2</v>
      </c>
      <c r="BZ69">
        <v>25</v>
      </c>
      <c r="CA69">
        <v>33528.199999999997</v>
      </c>
      <c r="CB69">
        <v>1690300477.5</v>
      </c>
      <c r="CC69" t="s">
        <v>332</v>
      </c>
      <c r="CD69">
        <v>1690300477.5</v>
      </c>
      <c r="CE69">
        <v>1690300465.5</v>
      </c>
      <c r="CF69">
        <v>7</v>
      </c>
      <c r="CG69">
        <v>5.0999999999999997E-2</v>
      </c>
      <c r="CH69">
        <v>-8.0000000000000002E-3</v>
      </c>
      <c r="CI69">
        <v>-0.316</v>
      </c>
      <c r="CJ69">
        <v>0.28199999999999997</v>
      </c>
      <c r="CK69">
        <v>800</v>
      </c>
      <c r="CL69">
        <v>24</v>
      </c>
      <c r="CM69">
        <v>0.25</v>
      </c>
      <c r="CN69">
        <v>0.13</v>
      </c>
      <c r="CO69">
        <v>-58.320034999999997</v>
      </c>
      <c r="CP69">
        <v>-16.716337711069279</v>
      </c>
      <c r="CQ69">
        <v>1.6083061774037311</v>
      </c>
      <c r="CR69">
        <v>-1</v>
      </c>
      <c r="CS69">
        <v>4.1062750000000001</v>
      </c>
      <c r="CT69">
        <v>0.59380277673545323</v>
      </c>
      <c r="CU69">
        <v>5.7638129350283368E-2</v>
      </c>
      <c r="CV69">
        <v>-1</v>
      </c>
      <c r="CW69">
        <v>0</v>
      </c>
      <c r="CX69">
        <v>0</v>
      </c>
      <c r="CY69" t="s">
        <v>333</v>
      </c>
      <c r="CZ69">
        <v>2.3644799999999999</v>
      </c>
      <c r="DA69">
        <v>2.7137600000000002</v>
      </c>
      <c r="DB69">
        <v>0.13941300000000001</v>
      </c>
      <c r="DC69">
        <v>0.14668300000000001</v>
      </c>
      <c r="DD69">
        <v>0.112245</v>
      </c>
      <c r="DE69">
        <v>9.6537499999999998E-2</v>
      </c>
      <c r="DF69">
        <v>31428.2</v>
      </c>
      <c r="DG69">
        <v>27510.400000000001</v>
      </c>
      <c r="DH69">
        <v>31176.799999999999</v>
      </c>
      <c r="DI69">
        <v>28091.8</v>
      </c>
      <c r="DJ69">
        <v>37578.199999999997</v>
      </c>
      <c r="DK69">
        <v>36090.800000000003</v>
      </c>
      <c r="DL69">
        <v>44369.7</v>
      </c>
      <c r="DM69">
        <v>42581.3</v>
      </c>
      <c r="DN69">
        <v>1.47</v>
      </c>
      <c r="DO69">
        <v>2.0600999999999998</v>
      </c>
      <c r="DP69">
        <v>9.2476600000000006E-2</v>
      </c>
      <c r="DQ69">
        <v>0.19725400000000001</v>
      </c>
      <c r="DR69">
        <v>25.490400000000001</v>
      </c>
      <c r="DS69">
        <v>25.262799999999999</v>
      </c>
      <c r="DT69">
        <v>57.2</v>
      </c>
      <c r="DU69">
        <v>28.9</v>
      </c>
      <c r="DV69">
        <v>23.028700000000001</v>
      </c>
      <c r="DW69">
        <v>61.584699999999998</v>
      </c>
      <c r="DX69">
        <v>35.741199999999999</v>
      </c>
      <c r="DY69">
        <v>1</v>
      </c>
      <c r="DZ69">
        <v>-8.6593000000000003E-2</v>
      </c>
      <c r="EA69">
        <v>0.27584399999999998</v>
      </c>
      <c r="EB69">
        <v>20.189299999999999</v>
      </c>
      <c r="EC69">
        <v>5.2411000000000003</v>
      </c>
      <c r="ED69">
        <v>12.039899999999999</v>
      </c>
      <c r="EE69">
        <v>5.0170500000000002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1.8646199999999999</v>
      </c>
      <c r="EM69">
        <v>1.8692</v>
      </c>
      <c r="EN69">
        <v>1.8672200000000001</v>
      </c>
      <c r="EO69">
        <v>1.8633900000000001</v>
      </c>
      <c r="EP69">
        <v>1.8644700000000001</v>
      </c>
      <c r="EQ69">
        <v>1.87015</v>
      </c>
      <c r="ER69">
        <v>1.86937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-0.27300000000000002</v>
      </c>
      <c r="FG69">
        <v>0.28149999999999997</v>
      </c>
      <c r="FH69">
        <v>0.23539598422606861</v>
      </c>
      <c r="FI69">
        <v>-6.1462078757559423E-4</v>
      </c>
      <c r="FJ69">
        <v>-1.8861989874597051E-7</v>
      </c>
      <c r="FK69">
        <v>1.1980462299894961E-10</v>
      </c>
      <c r="FL69">
        <v>0.28151999999999688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18</v>
      </c>
      <c r="FU69">
        <v>18.2</v>
      </c>
      <c r="FV69">
        <v>1.79321</v>
      </c>
      <c r="FW69">
        <v>2.5878899999999998</v>
      </c>
      <c r="FX69">
        <v>1.5490699999999999</v>
      </c>
      <c r="FY69">
        <v>2.3290999999999999</v>
      </c>
      <c r="FZ69">
        <v>1.50146</v>
      </c>
      <c r="GA69">
        <v>2.4108900000000002</v>
      </c>
      <c r="GB69">
        <v>33.6479</v>
      </c>
      <c r="GC69">
        <v>23.982399999999998</v>
      </c>
      <c r="GD69">
        <v>19</v>
      </c>
      <c r="GE69">
        <v>280.51799999999997</v>
      </c>
      <c r="GF69">
        <v>603.62699999999995</v>
      </c>
      <c r="GG69">
        <v>24.322199999999999</v>
      </c>
      <c r="GH69">
        <v>26.307700000000001</v>
      </c>
      <c r="GI69">
        <v>29.9999</v>
      </c>
      <c r="GJ69">
        <v>26.413900000000002</v>
      </c>
      <c r="GK69">
        <v>26.390699999999999</v>
      </c>
      <c r="GL69">
        <v>35.846899999999998</v>
      </c>
      <c r="GM69">
        <v>25.733499999999999</v>
      </c>
      <c r="GN69">
        <v>100</v>
      </c>
      <c r="GO69">
        <v>24.3691</v>
      </c>
      <c r="GP69">
        <v>800</v>
      </c>
      <c r="GQ69">
        <v>19.230399999999999</v>
      </c>
      <c r="GR69">
        <v>99.755300000000005</v>
      </c>
      <c r="GS69">
        <v>99.608900000000006</v>
      </c>
    </row>
    <row r="70" spans="1:201" x14ac:dyDescent="0.25">
      <c r="A70">
        <v>54</v>
      </c>
      <c r="B70">
        <v>1690301569.5</v>
      </c>
      <c r="C70">
        <v>665.5</v>
      </c>
      <c r="D70" t="s">
        <v>439</v>
      </c>
      <c r="E70" t="s">
        <v>440</v>
      </c>
      <c r="F70" t="s">
        <v>330</v>
      </c>
      <c r="H70">
        <v>1690301569.5</v>
      </c>
      <c r="I70">
        <f t="shared" si="0"/>
        <v>4.0569130373337191E-4</v>
      </c>
      <c r="J70">
        <f t="shared" si="1"/>
        <v>0.40569130373337192</v>
      </c>
      <c r="K70">
        <f t="shared" si="2"/>
        <v>5.6272332486858403</v>
      </c>
      <c r="L70">
        <f t="shared" si="3"/>
        <v>735.49599999999998</v>
      </c>
      <c r="M70">
        <f t="shared" si="4"/>
        <v>348.38798448287241</v>
      </c>
      <c r="N70">
        <f t="shared" si="5"/>
        <v>34.636783236768956</v>
      </c>
      <c r="O70">
        <f t="shared" si="6"/>
        <v>73.123117495927985</v>
      </c>
      <c r="P70">
        <f t="shared" si="7"/>
        <v>2.4299130032540316E-2</v>
      </c>
      <c r="Q70">
        <f t="shared" si="8"/>
        <v>2.1178989559777275</v>
      </c>
      <c r="R70">
        <f t="shared" si="9"/>
        <v>2.4145305606942502E-2</v>
      </c>
      <c r="S70">
        <f t="shared" si="10"/>
        <v>1.5104555234422482E-2</v>
      </c>
      <c r="T70">
        <f t="shared" si="11"/>
        <v>276.11394260400004</v>
      </c>
      <c r="U70">
        <f t="shared" si="12"/>
        <v>28.732110438165037</v>
      </c>
      <c r="V70">
        <f t="shared" si="13"/>
        <v>28.732110438165037</v>
      </c>
      <c r="W70">
        <f t="shared" si="14"/>
        <v>3.9598487688585169</v>
      </c>
      <c r="X70">
        <f t="shared" si="15"/>
        <v>66.690169517570581</v>
      </c>
      <c r="Y70">
        <f t="shared" si="16"/>
        <v>2.3423286270657</v>
      </c>
      <c r="Z70">
        <f t="shared" si="17"/>
        <v>3.512254720613023</v>
      </c>
      <c r="AA70">
        <f t="shared" si="18"/>
        <v>1.6175201417928169</v>
      </c>
      <c r="AB70">
        <f t="shared" si="19"/>
        <v>-17.890986494641702</v>
      </c>
      <c r="AC70">
        <f t="shared" si="20"/>
        <v>-234.41307779206321</v>
      </c>
      <c r="AD70">
        <f t="shared" si="21"/>
        <v>-24.055669037586238</v>
      </c>
      <c r="AE70">
        <f t="shared" si="22"/>
        <v>-0.24579072029109739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52599.106751546504</v>
      </c>
      <c r="AK70">
        <f t="shared" si="26"/>
        <v>1800</v>
      </c>
      <c r="AL70">
        <f t="shared" si="27"/>
        <v>1499.1110243999999</v>
      </c>
      <c r="AM70">
        <f t="shared" si="28"/>
        <v>0.83283945799999992</v>
      </c>
      <c r="AN70">
        <f t="shared" si="29"/>
        <v>0.15339663478000001</v>
      </c>
      <c r="AO70">
        <v>32.700000000000003</v>
      </c>
      <c r="AP70">
        <v>0.5</v>
      </c>
      <c r="AQ70" t="s">
        <v>331</v>
      </c>
      <c r="AR70">
        <v>2</v>
      </c>
      <c r="AS70">
        <v>1690301569.5</v>
      </c>
      <c r="AT70">
        <v>735.49599999999998</v>
      </c>
      <c r="AU70">
        <v>800.06500000000005</v>
      </c>
      <c r="AV70">
        <v>23.559899999999999</v>
      </c>
      <c r="AW70">
        <v>19.243400000000001</v>
      </c>
      <c r="AX70">
        <v>735.76800000000003</v>
      </c>
      <c r="AY70">
        <v>23.278400000000001</v>
      </c>
      <c r="AZ70">
        <v>300.09399999999999</v>
      </c>
      <c r="BA70">
        <v>99.320099999999996</v>
      </c>
      <c r="BB70">
        <v>0.10004300000000001</v>
      </c>
      <c r="BC70">
        <v>26.679099999999998</v>
      </c>
      <c r="BD70">
        <v>26.952200000000001</v>
      </c>
      <c r="BE70">
        <v>28.478899999999999</v>
      </c>
      <c r="BF70">
        <v>0</v>
      </c>
      <c r="BG70">
        <v>0</v>
      </c>
      <c r="BH70">
        <v>10005</v>
      </c>
      <c r="BI70">
        <v>1076.1199999999999</v>
      </c>
      <c r="BJ70">
        <v>1.96231</v>
      </c>
      <c r="BK70">
        <v>-64.569000000000003</v>
      </c>
      <c r="BL70">
        <v>753.24300000000005</v>
      </c>
      <c r="BM70">
        <v>815.76300000000003</v>
      </c>
      <c r="BN70">
        <v>4.3164899999999999</v>
      </c>
      <c r="BO70">
        <v>800.06500000000005</v>
      </c>
      <c r="BP70">
        <v>19.243400000000001</v>
      </c>
      <c r="BQ70">
        <v>2.3399700000000001</v>
      </c>
      <c r="BR70">
        <v>1.91126</v>
      </c>
      <c r="BS70">
        <v>19.9543</v>
      </c>
      <c r="BT70">
        <v>16.727699999999999</v>
      </c>
      <c r="BU70">
        <v>1800</v>
      </c>
      <c r="BV70">
        <v>0.91000999999999999</v>
      </c>
      <c r="BW70">
        <v>3.4001299999999998E-2</v>
      </c>
      <c r="BX70">
        <v>2.19904E-2</v>
      </c>
      <c r="BY70">
        <v>3.3998E-2</v>
      </c>
      <c r="BZ70">
        <v>25</v>
      </c>
      <c r="CA70">
        <v>33528.5</v>
      </c>
      <c r="CB70">
        <v>1690300477.5</v>
      </c>
      <c r="CC70" t="s">
        <v>332</v>
      </c>
      <c r="CD70">
        <v>1690300477.5</v>
      </c>
      <c r="CE70">
        <v>1690300465.5</v>
      </c>
      <c r="CF70">
        <v>7</v>
      </c>
      <c r="CG70">
        <v>5.0999999999999997E-2</v>
      </c>
      <c r="CH70">
        <v>-8.0000000000000002E-3</v>
      </c>
      <c r="CI70">
        <v>-0.316</v>
      </c>
      <c r="CJ70">
        <v>0.28199999999999997</v>
      </c>
      <c r="CK70">
        <v>800</v>
      </c>
      <c r="CL70">
        <v>24</v>
      </c>
      <c r="CM70">
        <v>0.25</v>
      </c>
      <c r="CN70">
        <v>0.13</v>
      </c>
      <c r="CO70">
        <v>-61.23187317073171</v>
      </c>
      <c r="CP70">
        <v>-17.50894494773534</v>
      </c>
      <c r="CQ70">
        <v>1.7275810172699311</v>
      </c>
      <c r="CR70">
        <v>-1</v>
      </c>
      <c r="CS70">
        <v>4.1944853658536578</v>
      </c>
      <c r="CT70">
        <v>0.50025679442509241</v>
      </c>
      <c r="CU70">
        <v>5.0003949897522611E-2</v>
      </c>
      <c r="CV70">
        <v>-1</v>
      </c>
      <c r="CW70">
        <v>0</v>
      </c>
      <c r="CX70">
        <v>0</v>
      </c>
      <c r="CY70" t="s">
        <v>333</v>
      </c>
      <c r="CZ70">
        <v>2.3640699999999999</v>
      </c>
      <c r="DA70">
        <v>2.7138399999999998</v>
      </c>
      <c r="DB70">
        <v>0.13902300000000001</v>
      </c>
      <c r="DC70">
        <v>0.14669399999999999</v>
      </c>
      <c r="DD70">
        <v>0.112358</v>
      </c>
      <c r="DE70">
        <v>9.6240199999999998E-2</v>
      </c>
      <c r="DF70">
        <v>31443.1</v>
      </c>
      <c r="DG70">
        <v>27510.6</v>
      </c>
      <c r="DH70">
        <v>31177.3</v>
      </c>
      <c r="DI70">
        <v>28092.3</v>
      </c>
      <c r="DJ70">
        <v>37573.9</v>
      </c>
      <c r="DK70">
        <v>36103.300000000003</v>
      </c>
      <c r="DL70">
        <v>44370.5</v>
      </c>
      <c r="DM70">
        <v>42582.1</v>
      </c>
      <c r="DN70">
        <v>1.4699</v>
      </c>
      <c r="DO70">
        <v>2.0598800000000002</v>
      </c>
      <c r="DP70">
        <v>8.9533600000000005E-2</v>
      </c>
      <c r="DQ70">
        <v>0.19674</v>
      </c>
      <c r="DR70">
        <v>25.4861</v>
      </c>
      <c r="DS70">
        <v>25.2607</v>
      </c>
      <c r="DT70">
        <v>57.2</v>
      </c>
      <c r="DU70">
        <v>28.9</v>
      </c>
      <c r="DV70">
        <v>23.030899999999999</v>
      </c>
      <c r="DW70">
        <v>61.544699999999999</v>
      </c>
      <c r="DX70">
        <v>36.141800000000003</v>
      </c>
      <c r="DY70">
        <v>1</v>
      </c>
      <c r="DZ70">
        <v>-8.7883600000000006E-2</v>
      </c>
      <c r="EA70">
        <v>0.125057</v>
      </c>
      <c r="EB70">
        <v>20.189800000000002</v>
      </c>
      <c r="EC70">
        <v>5.2408000000000001</v>
      </c>
      <c r="ED70">
        <v>12.039899999999999</v>
      </c>
      <c r="EE70">
        <v>5.0171000000000001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</v>
      </c>
      <c r="EL70">
        <v>1.8646199999999999</v>
      </c>
      <c r="EM70">
        <v>1.8691899999999999</v>
      </c>
      <c r="EN70">
        <v>1.8672299999999999</v>
      </c>
      <c r="EO70">
        <v>1.8633999999999999</v>
      </c>
      <c r="EP70">
        <v>1.8644700000000001</v>
      </c>
      <c r="EQ70">
        <v>1.8701700000000001</v>
      </c>
      <c r="ER70">
        <v>1.86938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-0.27200000000000002</v>
      </c>
      <c r="FG70">
        <v>0.28149999999999997</v>
      </c>
      <c r="FH70">
        <v>0.23539598422606861</v>
      </c>
      <c r="FI70">
        <v>-6.1462078757559423E-4</v>
      </c>
      <c r="FJ70">
        <v>-1.8861989874597051E-7</v>
      </c>
      <c r="FK70">
        <v>1.1980462299894961E-10</v>
      </c>
      <c r="FL70">
        <v>0.28151999999999688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18.2</v>
      </c>
      <c r="FU70">
        <v>18.399999999999999</v>
      </c>
      <c r="FV70">
        <v>1.79199</v>
      </c>
      <c r="FW70">
        <v>2.5866699999999998</v>
      </c>
      <c r="FX70">
        <v>1.5490699999999999</v>
      </c>
      <c r="FY70">
        <v>2.3290999999999999</v>
      </c>
      <c r="FZ70">
        <v>1.50146</v>
      </c>
      <c r="GA70">
        <v>2.3315399999999999</v>
      </c>
      <c r="GB70">
        <v>33.6479</v>
      </c>
      <c r="GC70">
        <v>23.982399999999998</v>
      </c>
      <c r="GD70">
        <v>19</v>
      </c>
      <c r="GE70">
        <v>280.46600000000001</v>
      </c>
      <c r="GF70">
        <v>603.41700000000003</v>
      </c>
      <c r="GG70">
        <v>24.369199999999999</v>
      </c>
      <c r="GH70">
        <v>26.302700000000002</v>
      </c>
      <c r="GI70">
        <v>29.999700000000001</v>
      </c>
      <c r="GJ70">
        <v>26.4117</v>
      </c>
      <c r="GK70">
        <v>26.389099999999999</v>
      </c>
      <c r="GL70">
        <v>35.841299999999997</v>
      </c>
      <c r="GM70">
        <v>26.013999999999999</v>
      </c>
      <c r="GN70">
        <v>100</v>
      </c>
      <c r="GO70">
        <v>24.401199999999999</v>
      </c>
      <c r="GP70">
        <v>800</v>
      </c>
      <c r="GQ70">
        <v>19.116</v>
      </c>
      <c r="GR70">
        <v>99.757099999999994</v>
      </c>
      <c r="GS70">
        <v>99.610699999999994</v>
      </c>
    </row>
    <row r="71" spans="1:201" x14ac:dyDescent="0.25">
      <c r="A71">
        <v>55</v>
      </c>
      <c r="B71">
        <v>1690301579.5</v>
      </c>
      <c r="C71">
        <v>675.5</v>
      </c>
      <c r="D71" t="s">
        <v>441</v>
      </c>
      <c r="E71" t="s">
        <v>442</v>
      </c>
      <c r="F71" t="s">
        <v>330</v>
      </c>
      <c r="H71">
        <v>1690301579.5</v>
      </c>
      <c r="I71">
        <f t="shared" si="0"/>
        <v>4.1991465172696446E-4</v>
      </c>
      <c r="J71">
        <f t="shared" si="1"/>
        <v>0.41991465172696446</v>
      </c>
      <c r="K71">
        <f t="shared" si="2"/>
        <v>5.9012178405614817</v>
      </c>
      <c r="L71">
        <f t="shared" si="3"/>
        <v>732.26800000000003</v>
      </c>
      <c r="M71">
        <f t="shared" si="4"/>
        <v>342.02680026347747</v>
      </c>
      <c r="N71">
        <f t="shared" si="5"/>
        <v>34.006169246512648</v>
      </c>
      <c r="O71">
        <f t="shared" si="6"/>
        <v>72.806076958362794</v>
      </c>
      <c r="P71">
        <f t="shared" si="7"/>
        <v>2.5262140748855161E-2</v>
      </c>
      <c r="Q71">
        <f t="shared" si="8"/>
        <v>2.1219759889901972</v>
      </c>
      <c r="R71">
        <f t="shared" si="9"/>
        <v>2.5096244230647997E-2</v>
      </c>
      <c r="S71">
        <f t="shared" si="10"/>
        <v>1.5699966861906001E-2</v>
      </c>
      <c r="T71">
        <f t="shared" si="11"/>
        <v>276.11402263468551</v>
      </c>
      <c r="U71">
        <f t="shared" si="12"/>
        <v>28.7229524839059</v>
      </c>
      <c r="V71">
        <f t="shared" si="13"/>
        <v>28.7229524839059</v>
      </c>
      <c r="W71">
        <f t="shared" si="14"/>
        <v>3.9577466441142466</v>
      </c>
      <c r="X71">
        <f t="shared" si="15"/>
        <v>66.822345587075162</v>
      </c>
      <c r="Y71">
        <f t="shared" si="16"/>
        <v>2.3468880840944504</v>
      </c>
      <c r="Z71">
        <f t="shared" si="17"/>
        <v>3.5121306555099254</v>
      </c>
      <c r="AA71">
        <f t="shared" si="18"/>
        <v>1.6108585600197962</v>
      </c>
      <c r="AB71">
        <f t="shared" si="19"/>
        <v>-18.518236141159132</v>
      </c>
      <c r="AC71">
        <f t="shared" si="20"/>
        <v>-233.88530184073292</v>
      </c>
      <c r="AD71">
        <f t="shared" si="21"/>
        <v>-23.954224882624846</v>
      </c>
      <c r="AE71">
        <f t="shared" si="22"/>
        <v>-0.24374022983138843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52778.453660309242</v>
      </c>
      <c r="AK71">
        <f t="shared" si="26"/>
        <v>1799.99</v>
      </c>
      <c r="AL71">
        <f t="shared" si="27"/>
        <v>1499.1015566117499</v>
      </c>
      <c r="AM71">
        <f t="shared" si="28"/>
        <v>0.83283882499999995</v>
      </c>
      <c r="AN71">
        <f t="shared" si="29"/>
        <v>0.15339753145000001</v>
      </c>
      <c r="AO71">
        <v>32.700000000000003</v>
      </c>
      <c r="AP71">
        <v>0.5</v>
      </c>
      <c r="AQ71" t="s">
        <v>331</v>
      </c>
      <c r="AR71">
        <v>2</v>
      </c>
      <c r="AS71">
        <v>1690301579.5</v>
      </c>
      <c r="AT71">
        <v>732.26800000000003</v>
      </c>
      <c r="AU71">
        <v>799.89400000000001</v>
      </c>
      <c r="AV71">
        <v>23.604500000000002</v>
      </c>
      <c r="AW71">
        <v>19.1387</v>
      </c>
      <c r="AX71">
        <v>732.53700000000003</v>
      </c>
      <c r="AY71">
        <v>23.323</v>
      </c>
      <c r="AZ71">
        <v>300.21699999999998</v>
      </c>
      <c r="BA71">
        <v>99.325500000000005</v>
      </c>
      <c r="BB71">
        <v>9.9952100000000002E-2</v>
      </c>
      <c r="BC71">
        <v>26.6785</v>
      </c>
      <c r="BD71">
        <v>26.951499999999999</v>
      </c>
      <c r="BE71">
        <v>28.4664</v>
      </c>
      <c r="BF71">
        <v>0</v>
      </c>
      <c r="BG71">
        <v>0</v>
      </c>
      <c r="BH71">
        <v>10040</v>
      </c>
      <c r="BI71">
        <v>1076.1099999999999</v>
      </c>
      <c r="BJ71">
        <v>1.96231</v>
      </c>
      <c r="BK71">
        <v>-67.625900000000001</v>
      </c>
      <c r="BL71">
        <v>749.971</v>
      </c>
      <c r="BM71">
        <v>815.50099999999998</v>
      </c>
      <c r="BN71">
        <v>4.4658100000000003</v>
      </c>
      <c r="BO71">
        <v>799.89400000000001</v>
      </c>
      <c r="BP71">
        <v>19.1387</v>
      </c>
      <c r="BQ71">
        <v>2.3445299999999998</v>
      </c>
      <c r="BR71">
        <v>1.90096</v>
      </c>
      <c r="BS71">
        <v>19.985700000000001</v>
      </c>
      <c r="BT71">
        <v>16.642700000000001</v>
      </c>
      <c r="BU71">
        <v>1799.99</v>
      </c>
      <c r="BV71">
        <v>0.90998800000000002</v>
      </c>
      <c r="BW71">
        <v>3.39992E-2</v>
      </c>
      <c r="BX71">
        <v>2.2002000000000001E-2</v>
      </c>
      <c r="BY71">
        <v>3.40103E-2</v>
      </c>
      <c r="BZ71">
        <v>25</v>
      </c>
      <c r="CA71">
        <v>33528.199999999997</v>
      </c>
      <c r="CB71">
        <v>1690300477.5</v>
      </c>
      <c r="CC71" t="s">
        <v>332</v>
      </c>
      <c r="CD71">
        <v>1690300477.5</v>
      </c>
      <c r="CE71">
        <v>1690300465.5</v>
      </c>
      <c r="CF71">
        <v>7</v>
      </c>
      <c r="CG71">
        <v>5.0999999999999997E-2</v>
      </c>
      <c r="CH71">
        <v>-8.0000000000000002E-3</v>
      </c>
      <c r="CI71">
        <v>-0.316</v>
      </c>
      <c r="CJ71">
        <v>0.28199999999999997</v>
      </c>
      <c r="CK71">
        <v>800</v>
      </c>
      <c r="CL71">
        <v>24</v>
      </c>
      <c r="CM71">
        <v>0.25</v>
      </c>
      <c r="CN71">
        <v>0.13</v>
      </c>
      <c r="CO71">
        <v>-64.485147500000011</v>
      </c>
      <c r="CP71">
        <v>-18.90918236397728</v>
      </c>
      <c r="CQ71">
        <v>1.8191444722708949</v>
      </c>
      <c r="CR71">
        <v>-1</v>
      </c>
      <c r="CS71">
        <v>4.3163922499999998</v>
      </c>
      <c r="CT71">
        <v>0.87352851782362873</v>
      </c>
      <c r="CU71">
        <v>8.4474520758850757E-2</v>
      </c>
      <c r="CV71">
        <v>-1</v>
      </c>
      <c r="CW71">
        <v>0</v>
      </c>
      <c r="CX71">
        <v>0</v>
      </c>
      <c r="CY71" t="s">
        <v>333</v>
      </c>
      <c r="CZ71">
        <v>2.36449</v>
      </c>
      <c r="DA71">
        <v>2.7137799999999999</v>
      </c>
      <c r="DB71">
        <v>0.13861799999999999</v>
      </c>
      <c r="DC71">
        <v>0.146679</v>
      </c>
      <c r="DD71">
        <v>0.112516</v>
      </c>
      <c r="DE71">
        <v>9.5872100000000002E-2</v>
      </c>
      <c r="DF71">
        <v>31458.1</v>
      </c>
      <c r="DG71">
        <v>27511.1</v>
      </c>
      <c r="DH71">
        <v>31177.5</v>
      </c>
      <c r="DI71">
        <v>28092.400000000001</v>
      </c>
      <c r="DJ71">
        <v>37567.5</v>
      </c>
      <c r="DK71">
        <v>36118.1</v>
      </c>
      <c r="DL71">
        <v>44370.9</v>
      </c>
      <c r="DM71">
        <v>42582.1</v>
      </c>
      <c r="DN71">
        <v>1.4700500000000001</v>
      </c>
      <c r="DO71">
        <v>2.0601699999999998</v>
      </c>
      <c r="DP71">
        <v>8.9675199999999997E-2</v>
      </c>
      <c r="DQ71">
        <v>0.196211</v>
      </c>
      <c r="DR71">
        <v>25.4831</v>
      </c>
      <c r="DS71">
        <v>25.256799999999998</v>
      </c>
      <c r="DT71">
        <v>57.2</v>
      </c>
      <c r="DU71">
        <v>28.9</v>
      </c>
      <c r="DV71">
        <v>23.028199999999998</v>
      </c>
      <c r="DW71">
        <v>61.4148</v>
      </c>
      <c r="DX71">
        <v>35</v>
      </c>
      <c r="DY71">
        <v>1</v>
      </c>
      <c r="DZ71">
        <v>-8.8633100000000006E-2</v>
      </c>
      <c r="EA71">
        <v>-1.1372500000000001E-2</v>
      </c>
      <c r="EB71">
        <v>20.189900000000002</v>
      </c>
      <c r="EC71">
        <v>5.2409499999999998</v>
      </c>
      <c r="ED71">
        <v>12.039899999999999</v>
      </c>
      <c r="EE71">
        <v>5.0168499999999998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1.8646199999999999</v>
      </c>
      <c r="EM71">
        <v>1.8692</v>
      </c>
      <c r="EN71">
        <v>1.8672200000000001</v>
      </c>
      <c r="EO71">
        <v>1.86338</v>
      </c>
      <c r="EP71">
        <v>1.8644700000000001</v>
      </c>
      <c r="EQ71">
        <v>1.87016</v>
      </c>
      <c r="ER71">
        <v>1.86938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-0.26900000000000002</v>
      </c>
      <c r="FG71">
        <v>0.28149999999999997</v>
      </c>
      <c r="FH71">
        <v>0.23539598422606861</v>
      </c>
      <c r="FI71">
        <v>-6.1462078757559423E-4</v>
      </c>
      <c r="FJ71">
        <v>-1.8861989874597051E-7</v>
      </c>
      <c r="FK71">
        <v>1.1980462299894961E-10</v>
      </c>
      <c r="FL71">
        <v>0.28151999999999688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18.399999999999999</v>
      </c>
      <c r="FU71">
        <v>18.600000000000001</v>
      </c>
      <c r="FV71">
        <v>1.79321</v>
      </c>
      <c r="FW71">
        <v>2.5903299999999998</v>
      </c>
      <c r="FX71">
        <v>1.5490699999999999</v>
      </c>
      <c r="FY71">
        <v>2.3290999999999999</v>
      </c>
      <c r="FZ71">
        <v>1.50146</v>
      </c>
      <c r="GA71">
        <v>2.34131</v>
      </c>
      <c r="GB71">
        <v>33.6479</v>
      </c>
      <c r="GC71">
        <v>23.973700000000001</v>
      </c>
      <c r="GD71">
        <v>19</v>
      </c>
      <c r="GE71">
        <v>280.52100000000002</v>
      </c>
      <c r="GF71">
        <v>603.64499999999998</v>
      </c>
      <c r="GG71">
        <v>24.447399999999998</v>
      </c>
      <c r="GH71">
        <v>26.297699999999999</v>
      </c>
      <c r="GI71">
        <v>29.999700000000001</v>
      </c>
      <c r="GJ71">
        <v>26.409500000000001</v>
      </c>
      <c r="GK71">
        <v>26.386900000000001</v>
      </c>
      <c r="GL71">
        <v>35.844900000000003</v>
      </c>
      <c r="GM71">
        <v>26.593299999999999</v>
      </c>
      <c r="GN71">
        <v>100</v>
      </c>
      <c r="GO71">
        <v>24.479099999999999</v>
      </c>
      <c r="GP71">
        <v>800</v>
      </c>
      <c r="GQ71">
        <v>18.991800000000001</v>
      </c>
      <c r="GR71">
        <v>99.757900000000006</v>
      </c>
      <c r="GS71">
        <v>99.610900000000001</v>
      </c>
    </row>
    <row r="72" spans="1:201" x14ac:dyDescent="0.25">
      <c r="A72">
        <v>56</v>
      </c>
      <c r="B72">
        <v>1690301589.5</v>
      </c>
      <c r="C72">
        <v>685.5</v>
      </c>
      <c r="D72" t="s">
        <v>443</v>
      </c>
      <c r="E72" t="s">
        <v>444</v>
      </c>
      <c r="F72" t="s">
        <v>330</v>
      </c>
      <c r="H72">
        <v>1690301589.5</v>
      </c>
      <c r="I72">
        <f t="shared" si="0"/>
        <v>4.3975754145973641E-4</v>
      </c>
      <c r="J72">
        <f t="shared" si="1"/>
        <v>0.43975754145973639</v>
      </c>
      <c r="K72">
        <f t="shared" si="2"/>
        <v>6.2029447791827925</v>
      </c>
      <c r="L72">
        <f t="shared" si="3"/>
        <v>729.00199999999995</v>
      </c>
      <c r="M72">
        <f t="shared" si="4"/>
        <v>338.29667422498864</v>
      </c>
      <c r="N72">
        <f t="shared" si="5"/>
        <v>33.635402587105204</v>
      </c>
      <c r="O72">
        <f t="shared" si="6"/>
        <v>72.48157497551199</v>
      </c>
      <c r="P72">
        <f t="shared" si="7"/>
        <v>2.6520007922930793E-2</v>
      </c>
      <c r="Q72">
        <f t="shared" si="8"/>
        <v>2.1182509548020576</v>
      </c>
      <c r="R72">
        <f t="shared" si="9"/>
        <v>2.6336924758168428E-2</v>
      </c>
      <c r="S72">
        <f t="shared" si="10"/>
        <v>1.6476921800088598E-2</v>
      </c>
      <c r="T72">
        <f t="shared" si="11"/>
        <v>276.11497540539233</v>
      </c>
      <c r="U72">
        <f t="shared" si="12"/>
        <v>28.729448408118888</v>
      </c>
      <c r="V72">
        <f t="shared" si="13"/>
        <v>28.729448408118888</v>
      </c>
      <c r="W72">
        <f t="shared" si="14"/>
        <v>3.9592376238184461</v>
      </c>
      <c r="X72">
        <f t="shared" si="15"/>
        <v>66.921350645675247</v>
      </c>
      <c r="Y72">
        <f t="shared" si="16"/>
        <v>2.3517770621216001</v>
      </c>
      <c r="Z72">
        <f t="shared" si="17"/>
        <v>3.5142402827065209</v>
      </c>
      <c r="AA72">
        <f t="shared" si="18"/>
        <v>1.607460561696846</v>
      </c>
      <c r="AB72">
        <f t="shared" si="19"/>
        <v>-19.393307578374376</v>
      </c>
      <c r="AC72">
        <f t="shared" si="20"/>
        <v>-233.05172433723226</v>
      </c>
      <c r="AD72">
        <f t="shared" si="21"/>
        <v>-23.912815813495598</v>
      </c>
      <c r="AE72">
        <f t="shared" si="22"/>
        <v>-0.24287232370988932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52612.991722364102</v>
      </c>
      <c r="AK72">
        <f t="shared" si="26"/>
        <v>1799.99</v>
      </c>
      <c r="AL72">
        <f t="shared" si="27"/>
        <v>1499.1032792021797</v>
      </c>
      <c r="AM72">
        <f t="shared" si="28"/>
        <v>0.83283978199999986</v>
      </c>
      <c r="AN72">
        <f t="shared" si="29"/>
        <v>0.15339806077000001</v>
      </c>
      <c r="AO72">
        <v>32.700000000000003</v>
      </c>
      <c r="AP72">
        <v>0.5</v>
      </c>
      <c r="AQ72" t="s">
        <v>331</v>
      </c>
      <c r="AR72">
        <v>2</v>
      </c>
      <c r="AS72">
        <v>1690301589.5</v>
      </c>
      <c r="AT72">
        <v>729.00199999999995</v>
      </c>
      <c r="AU72">
        <v>800.04499999999996</v>
      </c>
      <c r="AV72">
        <v>23.653600000000001</v>
      </c>
      <c r="AW72">
        <v>18.977799999999998</v>
      </c>
      <c r="AX72">
        <v>729.26900000000001</v>
      </c>
      <c r="AY72">
        <v>23.3721</v>
      </c>
      <c r="AZ72">
        <v>300.26799999999997</v>
      </c>
      <c r="BA72">
        <v>99.325699999999998</v>
      </c>
      <c r="BB72">
        <v>0.10005600000000001</v>
      </c>
      <c r="BC72">
        <v>26.688700000000001</v>
      </c>
      <c r="BD72">
        <v>26.957999999999998</v>
      </c>
      <c r="BE72">
        <v>28.456600000000002</v>
      </c>
      <c r="BF72">
        <v>0</v>
      </c>
      <c r="BG72">
        <v>0</v>
      </c>
      <c r="BH72">
        <v>10007.5</v>
      </c>
      <c r="BI72">
        <v>1076.1400000000001</v>
      </c>
      <c r="BJ72">
        <v>1.96231</v>
      </c>
      <c r="BK72">
        <v>-71.043199999999999</v>
      </c>
      <c r="BL72">
        <v>746.66300000000001</v>
      </c>
      <c r="BM72">
        <v>815.52200000000005</v>
      </c>
      <c r="BN72">
        <v>4.6757499999999999</v>
      </c>
      <c r="BO72">
        <v>800.04499999999996</v>
      </c>
      <c r="BP72">
        <v>18.977799999999998</v>
      </c>
      <c r="BQ72">
        <v>2.3494100000000002</v>
      </c>
      <c r="BR72">
        <v>1.8849899999999999</v>
      </c>
      <c r="BS72">
        <v>20.019200000000001</v>
      </c>
      <c r="BT72">
        <v>16.510000000000002</v>
      </c>
      <c r="BU72">
        <v>1799.99</v>
      </c>
      <c r="BV72">
        <v>0.90998400000000002</v>
      </c>
      <c r="BW72">
        <v>3.3996499999999999E-2</v>
      </c>
      <c r="BX72">
        <v>2.2008099999999999E-2</v>
      </c>
      <c r="BY72">
        <v>3.40115E-2</v>
      </c>
      <c r="BZ72">
        <v>25</v>
      </c>
      <c r="CA72">
        <v>33528.1</v>
      </c>
      <c r="CB72">
        <v>1690300477.5</v>
      </c>
      <c r="CC72" t="s">
        <v>332</v>
      </c>
      <c r="CD72">
        <v>1690300477.5</v>
      </c>
      <c r="CE72">
        <v>1690300465.5</v>
      </c>
      <c r="CF72">
        <v>7</v>
      </c>
      <c r="CG72">
        <v>5.0999999999999997E-2</v>
      </c>
      <c r="CH72">
        <v>-8.0000000000000002E-3</v>
      </c>
      <c r="CI72">
        <v>-0.316</v>
      </c>
      <c r="CJ72">
        <v>0.28199999999999997</v>
      </c>
      <c r="CK72">
        <v>800</v>
      </c>
      <c r="CL72">
        <v>24</v>
      </c>
      <c r="CM72">
        <v>0.25</v>
      </c>
      <c r="CN72">
        <v>0.13</v>
      </c>
      <c r="CO72">
        <v>-67.351839999999996</v>
      </c>
      <c r="CP72">
        <v>-19.25861313320809</v>
      </c>
      <c r="CQ72">
        <v>1.853167560799617</v>
      </c>
      <c r="CR72">
        <v>-1</v>
      </c>
      <c r="CS72">
        <v>4.45714275</v>
      </c>
      <c r="CT72">
        <v>0.98455328330205683</v>
      </c>
      <c r="CU72">
        <v>9.5119245712618511E-2</v>
      </c>
      <c r="CV72">
        <v>-1</v>
      </c>
      <c r="CW72">
        <v>0</v>
      </c>
      <c r="CX72">
        <v>0</v>
      </c>
      <c r="CY72" t="s">
        <v>333</v>
      </c>
      <c r="CZ72">
        <v>2.3646500000000001</v>
      </c>
      <c r="DA72">
        <v>2.7138599999999999</v>
      </c>
      <c r="DB72">
        <v>0.13819999999999999</v>
      </c>
      <c r="DC72">
        <v>0.14669599999999999</v>
      </c>
      <c r="DD72">
        <v>0.11268300000000001</v>
      </c>
      <c r="DE72">
        <v>9.5297699999999999E-2</v>
      </c>
      <c r="DF72">
        <v>31473.9</v>
      </c>
      <c r="DG72">
        <v>27510.7</v>
      </c>
      <c r="DH72">
        <v>31178</v>
      </c>
      <c r="DI72">
        <v>28092.5</v>
      </c>
      <c r="DJ72">
        <v>37560.699999999997</v>
      </c>
      <c r="DK72">
        <v>36141.199999999997</v>
      </c>
      <c r="DL72">
        <v>44371.5</v>
      </c>
      <c r="DM72">
        <v>42582.3</v>
      </c>
      <c r="DN72">
        <v>1.47028</v>
      </c>
      <c r="DO72">
        <v>2.05993</v>
      </c>
      <c r="DP72">
        <v>9.0204199999999998E-2</v>
      </c>
      <c r="DQ72">
        <v>0.19576399999999999</v>
      </c>
      <c r="DR72">
        <v>25.481000000000002</v>
      </c>
      <c r="DS72">
        <v>25.254300000000001</v>
      </c>
      <c r="DT72">
        <v>57.2</v>
      </c>
      <c r="DU72">
        <v>28.9</v>
      </c>
      <c r="DV72">
        <v>23.026599999999998</v>
      </c>
      <c r="DW72">
        <v>61.854799999999997</v>
      </c>
      <c r="DX72">
        <v>35.857399999999998</v>
      </c>
      <c r="DY72">
        <v>1</v>
      </c>
      <c r="DZ72">
        <v>-8.9115899999999998E-2</v>
      </c>
      <c r="EA72">
        <v>1.0476600000000001E-2</v>
      </c>
      <c r="EB72">
        <v>20.190200000000001</v>
      </c>
      <c r="EC72">
        <v>5.2408000000000001</v>
      </c>
      <c r="ED72">
        <v>12.039899999999999</v>
      </c>
      <c r="EE72">
        <v>5.0163000000000002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</v>
      </c>
      <c r="EL72">
        <v>1.8646100000000001</v>
      </c>
      <c r="EM72">
        <v>1.8691899999999999</v>
      </c>
      <c r="EN72">
        <v>1.8672200000000001</v>
      </c>
      <c r="EO72">
        <v>1.86337</v>
      </c>
      <c r="EP72">
        <v>1.86446</v>
      </c>
      <c r="EQ72">
        <v>1.87016</v>
      </c>
      <c r="ER72">
        <v>1.86938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-0.26700000000000002</v>
      </c>
      <c r="FG72">
        <v>0.28149999999999997</v>
      </c>
      <c r="FH72">
        <v>0.23539598422606861</v>
      </c>
      <c r="FI72">
        <v>-6.1462078757559423E-4</v>
      </c>
      <c r="FJ72">
        <v>-1.8861989874597051E-7</v>
      </c>
      <c r="FK72">
        <v>1.1980462299894961E-10</v>
      </c>
      <c r="FL72">
        <v>0.28151999999999688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18.5</v>
      </c>
      <c r="FU72">
        <v>18.7</v>
      </c>
      <c r="FV72">
        <v>1.79199</v>
      </c>
      <c r="FW72">
        <v>2.5866699999999998</v>
      </c>
      <c r="FX72">
        <v>1.5490699999999999</v>
      </c>
      <c r="FY72">
        <v>2.3290999999999999</v>
      </c>
      <c r="FZ72">
        <v>1.50146</v>
      </c>
      <c r="GA72">
        <v>2.4304199999999998</v>
      </c>
      <c r="GB72">
        <v>33.6479</v>
      </c>
      <c r="GC72">
        <v>23.982399999999998</v>
      </c>
      <c r="GD72">
        <v>19</v>
      </c>
      <c r="GE72">
        <v>280.60199999999998</v>
      </c>
      <c r="GF72">
        <v>603.40099999999995</v>
      </c>
      <c r="GG72">
        <v>24.524799999999999</v>
      </c>
      <c r="GH72">
        <v>26.293299999999999</v>
      </c>
      <c r="GI72">
        <v>29.9998</v>
      </c>
      <c r="GJ72">
        <v>26.406199999999998</v>
      </c>
      <c r="GK72">
        <v>26.3841</v>
      </c>
      <c r="GL72">
        <v>35.836500000000001</v>
      </c>
      <c r="GM72">
        <v>27.200700000000001</v>
      </c>
      <c r="GN72">
        <v>100</v>
      </c>
      <c r="GO72">
        <v>24.5304</v>
      </c>
      <c r="GP72">
        <v>800</v>
      </c>
      <c r="GQ72">
        <v>18.855599999999999</v>
      </c>
      <c r="GR72">
        <v>99.759399999999999</v>
      </c>
      <c r="GS72">
        <v>99.6113</v>
      </c>
    </row>
    <row r="73" spans="1:201" x14ac:dyDescent="0.25">
      <c r="A73">
        <v>57</v>
      </c>
      <c r="B73">
        <v>1690301599.5</v>
      </c>
      <c r="C73">
        <v>695.5</v>
      </c>
      <c r="D73" t="s">
        <v>445</v>
      </c>
      <c r="E73" t="s">
        <v>446</v>
      </c>
      <c r="F73" t="s">
        <v>330</v>
      </c>
      <c r="H73">
        <v>1690301599.5</v>
      </c>
      <c r="I73">
        <f t="shared" si="0"/>
        <v>4.5389761375487774E-4</v>
      </c>
      <c r="J73">
        <f t="shared" si="1"/>
        <v>0.45389761375487775</v>
      </c>
      <c r="K73">
        <f t="shared" si="2"/>
        <v>6.5091557946440508</v>
      </c>
      <c r="L73">
        <f t="shared" si="3"/>
        <v>725.58199999999999</v>
      </c>
      <c r="M73">
        <f t="shared" si="4"/>
        <v>329.62284046195532</v>
      </c>
      <c r="N73">
        <f t="shared" si="5"/>
        <v>32.771934766776923</v>
      </c>
      <c r="O73">
        <f t="shared" si="6"/>
        <v>72.139193808968002</v>
      </c>
      <c r="P73">
        <f t="shared" si="7"/>
        <v>2.7438140610859477E-2</v>
      </c>
      <c r="Q73">
        <f t="shared" si="8"/>
        <v>2.1160583622142259</v>
      </c>
      <c r="R73">
        <f t="shared" si="9"/>
        <v>2.7242010278485263E-2</v>
      </c>
      <c r="S73">
        <f t="shared" si="10"/>
        <v>1.7043760983005533E-2</v>
      </c>
      <c r="T73">
        <f t="shared" si="11"/>
        <v>276.1146790370388</v>
      </c>
      <c r="U73">
        <f t="shared" si="12"/>
        <v>28.730695724393897</v>
      </c>
      <c r="V73">
        <f t="shared" si="13"/>
        <v>28.730695724393897</v>
      </c>
      <c r="W73">
        <f t="shared" si="14"/>
        <v>3.9595239706575875</v>
      </c>
      <c r="X73">
        <f t="shared" si="15"/>
        <v>67.012829016850404</v>
      </c>
      <c r="Y73">
        <f t="shared" si="16"/>
        <v>2.3555880343747999</v>
      </c>
      <c r="Z73">
        <f t="shared" si="17"/>
        <v>3.5151299668045448</v>
      </c>
      <c r="AA73">
        <f t="shared" si="18"/>
        <v>1.6039359362827876</v>
      </c>
      <c r="AB73">
        <f t="shared" si="19"/>
        <v>-20.01688476659011</v>
      </c>
      <c r="AC73">
        <f t="shared" si="20"/>
        <v>-232.4622404608032</v>
      </c>
      <c r="AD73">
        <f t="shared" si="21"/>
        <v>-23.877705359004192</v>
      </c>
      <c r="AE73">
        <f t="shared" si="22"/>
        <v>-0.242151549358681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52515.99174929702</v>
      </c>
      <c r="AK73">
        <f t="shared" si="26"/>
        <v>1799.99</v>
      </c>
      <c r="AL73">
        <f t="shared" si="27"/>
        <v>1499.1039991981797</v>
      </c>
      <c r="AM73">
        <f t="shared" si="28"/>
        <v>0.83284018199999987</v>
      </c>
      <c r="AN73">
        <f t="shared" si="29"/>
        <v>0.15339789611999999</v>
      </c>
      <c r="AO73">
        <v>32.700000000000003</v>
      </c>
      <c r="AP73">
        <v>0.5</v>
      </c>
      <c r="AQ73" t="s">
        <v>331</v>
      </c>
      <c r="AR73">
        <v>2</v>
      </c>
      <c r="AS73">
        <v>1690301599.5</v>
      </c>
      <c r="AT73">
        <v>725.58199999999999</v>
      </c>
      <c r="AU73">
        <v>800.09900000000005</v>
      </c>
      <c r="AV73">
        <v>23.692699999999999</v>
      </c>
      <c r="AW73">
        <v>18.863900000000001</v>
      </c>
      <c r="AX73">
        <v>725.846</v>
      </c>
      <c r="AY73">
        <v>23.411200000000001</v>
      </c>
      <c r="AZ73">
        <v>300.09100000000001</v>
      </c>
      <c r="BA73">
        <v>99.322500000000005</v>
      </c>
      <c r="BB73">
        <v>0.100024</v>
      </c>
      <c r="BC73">
        <v>26.693000000000001</v>
      </c>
      <c r="BD73">
        <v>26.944500000000001</v>
      </c>
      <c r="BE73">
        <v>28.464600000000001</v>
      </c>
      <c r="BF73">
        <v>0</v>
      </c>
      <c r="BG73">
        <v>0</v>
      </c>
      <c r="BH73">
        <v>9988.75</v>
      </c>
      <c r="BI73">
        <v>1076.04</v>
      </c>
      <c r="BJ73">
        <v>1.96231</v>
      </c>
      <c r="BK73">
        <v>-74.517899999999997</v>
      </c>
      <c r="BL73">
        <v>743.19</v>
      </c>
      <c r="BM73">
        <v>815.48299999999995</v>
      </c>
      <c r="BN73">
        <v>4.8288599999999997</v>
      </c>
      <c r="BO73">
        <v>800.09900000000005</v>
      </c>
      <c r="BP73">
        <v>18.863900000000001</v>
      </c>
      <c r="BQ73">
        <v>2.3532199999999999</v>
      </c>
      <c r="BR73">
        <v>1.87361</v>
      </c>
      <c r="BS73">
        <v>20.045400000000001</v>
      </c>
      <c r="BT73">
        <v>16.4148</v>
      </c>
      <c r="BU73">
        <v>1799.99</v>
      </c>
      <c r="BV73">
        <v>0.90998999999999997</v>
      </c>
      <c r="BW73">
        <v>3.3994200000000002E-2</v>
      </c>
      <c r="BX73">
        <v>2.2006600000000001E-2</v>
      </c>
      <c r="BY73">
        <v>3.4009200000000003E-2</v>
      </c>
      <c r="BZ73">
        <v>25</v>
      </c>
      <c r="CA73">
        <v>33528.199999999997</v>
      </c>
      <c r="CB73">
        <v>1690300477.5</v>
      </c>
      <c r="CC73" t="s">
        <v>332</v>
      </c>
      <c r="CD73">
        <v>1690300477.5</v>
      </c>
      <c r="CE73">
        <v>1690300465.5</v>
      </c>
      <c r="CF73">
        <v>7</v>
      </c>
      <c r="CG73">
        <v>5.0999999999999997E-2</v>
      </c>
      <c r="CH73">
        <v>-8.0000000000000002E-3</v>
      </c>
      <c r="CI73">
        <v>-0.316</v>
      </c>
      <c r="CJ73">
        <v>0.28199999999999997</v>
      </c>
      <c r="CK73">
        <v>800</v>
      </c>
      <c r="CL73">
        <v>24</v>
      </c>
      <c r="CM73">
        <v>0.25</v>
      </c>
      <c r="CN73">
        <v>0.13</v>
      </c>
      <c r="CO73">
        <v>-70.708870731707307</v>
      </c>
      <c r="CP73">
        <v>-20.194095470383331</v>
      </c>
      <c r="CQ73">
        <v>1.991516562853288</v>
      </c>
      <c r="CR73">
        <v>-1</v>
      </c>
      <c r="CS73">
        <v>4.6407695121951216</v>
      </c>
      <c r="CT73">
        <v>1.139139094076661</v>
      </c>
      <c r="CU73">
        <v>0.11303881763555811</v>
      </c>
      <c r="CV73">
        <v>-1</v>
      </c>
      <c r="CW73">
        <v>0</v>
      </c>
      <c r="CX73">
        <v>0</v>
      </c>
      <c r="CY73" t="s">
        <v>333</v>
      </c>
      <c r="CZ73">
        <v>2.36409</v>
      </c>
      <c r="DA73">
        <v>2.7138</v>
      </c>
      <c r="DB73">
        <v>0.13775599999999999</v>
      </c>
      <c r="DC73">
        <v>0.14669599999999999</v>
      </c>
      <c r="DD73">
        <v>0.112813</v>
      </c>
      <c r="DE73">
        <v>9.4886499999999999E-2</v>
      </c>
      <c r="DF73">
        <v>31489.5</v>
      </c>
      <c r="DG73">
        <v>27510.9</v>
      </c>
      <c r="DH73">
        <v>31177.5</v>
      </c>
      <c r="DI73">
        <v>28092.7</v>
      </c>
      <c r="DJ73">
        <v>37554.5</v>
      </c>
      <c r="DK73">
        <v>36157.599999999999</v>
      </c>
      <c r="DL73">
        <v>44370.8</v>
      </c>
      <c r="DM73">
        <v>42582.3</v>
      </c>
      <c r="DN73">
        <v>1.47045</v>
      </c>
      <c r="DO73">
        <v>2.05945</v>
      </c>
      <c r="DP73">
        <v>8.9511300000000002E-2</v>
      </c>
      <c r="DQ73">
        <v>0.196382</v>
      </c>
      <c r="DR73">
        <v>25.4788</v>
      </c>
      <c r="DS73">
        <v>25.252199999999998</v>
      </c>
      <c r="DT73">
        <v>57.2</v>
      </c>
      <c r="DU73">
        <v>28.9</v>
      </c>
      <c r="DV73">
        <v>23.0242</v>
      </c>
      <c r="DW73">
        <v>61.964700000000001</v>
      </c>
      <c r="DX73">
        <v>36.241999999999997</v>
      </c>
      <c r="DY73">
        <v>1</v>
      </c>
      <c r="DZ73">
        <v>-8.9522400000000002E-2</v>
      </c>
      <c r="EA73">
        <v>-6.9036E-2</v>
      </c>
      <c r="EB73">
        <v>20.190000000000001</v>
      </c>
      <c r="EC73">
        <v>5.2409499999999998</v>
      </c>
      <c r="ED73">
        <v>12.039899999999999</v>
      </c>
      <c r="EE73">
        <v>5.0160999999999998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</v>
      </c>
      <c r="EL73">
        <v>1.8646199999999999</v>
      </c>
      <c r="EM73">
        <v>1.8692</v>
      </c>
      <c r="EN73">
        <v>1.8672200000000001</v>
      </c>
      <c r="EO73">
        <v>1.8633599999999999</v>
      </c>
      <c r="EP73">
        <v>1.8644700000000001</v>
      </c>
      <c r="EQ73">
        <v>1.8701399999999999</v>
      </c>
      <c r="ER73">
        <v>1.8693599999999999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-0.26400000000000001</v>
      </c>
      <c r="FG73">
        <v>0.28149999999999997</v>
      </c>
      <c r="FH73">
        <v>0.23539598422606861</v>
      </c>
      <c r="FI73">
        <v>-6.1462078757559423E-4</v>
      </c>
      <c r="FJ73">
        <v>-1.8861989874597051E-7</v>
      </c>
      <c r="FK73">
        <v>1.1980462299894961E-10</v>
      </c>
      <c r="FL73">
        <v>0.28151999999999688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18.7</v>
      </c>
      <c r="FU73">
        <v>18.899999999999999</v>
      </c>
      <c r="FV73">
        <v>1.79199</v>
      </c>
      <c r="FW73">
        <v>2.5842299999999998</v>
      </c>
      <c r="FX73">
        <v>1.5490699999999999</v>
      </c>
      <c r="FY73">
        <v>2.3290999999999999</v>
      </c>
      <c r="FZ73">
        <v>1.50146</v>
      </c>
      <c r="GA73">
        <v>2.36206</v>
      </c>
      <c r="GB73">
        <v>33.6479</v>
      </c>
      <c r="GC73">
        <v>23.982399999999998</v>
      </c>
      <c r="GD73">
        <v>19</v>
      </c>
      <c r="GE73">
        <v>280.66500000000002</v>
      </c>
      <c r="GF73">
        <v>602.96600000000001</v>
      </c>
      <c r="GG73">
        <v>24.575299999999999</v>
      </c>
      <c r="GH73">
        <v>26.288900000000002</v>
      </c>
      <c r="GI73">
        <v>30</v>
      </c>
      <c r="GJ73">
        <v>26.403600000000001</v>
      </c>
      <c r="GK73">
        <v>26.381399999999999</v>
      </c>
      <c r="GL73">
        <v>35.829799999999999</v>
      </c>
      <c r="GM73">
        <v>27.802900000000001</v>
      </c>
      <c r="GN73">
        <v>100</v>
      </c>
      <c r="GO73">
        <v>24.604600000000001</v>
      </c>
      <c r="GP73">
        <v>800</v>
      </c>
      <c r="GQ73">
        <v>18.718699999999998</v>
      </c>
      <c r="GR73">
        <v>99.7577</v>
      </c>
      <c r="GS73">
        <v>99.611500000000007</v>
      </c>
    </row>
    <row r="74" spans="1:201" x14ac:dyDescent="0.25">
      <c r="A74">
        <v>58</v>
      </c>
      <c r="B74">
        <v>1690301609.5</v>
      </c>
      <c r="C74">
        <v>705.5</v>
      </c>
      <c r="D74" t="s">
        <v>447</v>
      </c>
      <c r="E74" t="s">
        <v>448</v>
      </c>
      <c r="F74" t="s">
        <v>330</v>
      </c>
      <c r="H74">
        <v>1690301609.5</v>
      </c>
      <c r="I74">
        <f t="shared" si="0"/>
        <v>4.7096926204428228E-4</v>
      </c>
      <c r="J74">
        <f t="shared" si="1"/>
        <v>0.4709692620442823</v>
      </c>
      <c r="K74">
        <f t="shared" si="2"/>
        <v>6.8077836239828269</v>
      </c>
      <c r="L74">
        <f t="shared" si="3"/>
        <v>722.08699999999999</v>
      </c>
      <c r="M74">
        <f t="shared" si="4"/>
        <v>323.87711018839627</v>
      </c>
      <c r="N74">
        <f t="shared" si="5"/>
        <v>32.200539100927521</v>
      </c>
      <c r="O74">
        <f t="shared" si="6"/>
        <v>71.791398485203899</v>
      </c>
      <c r="P74">
        <f t="shared" si="7"/>
        <v>2.8524881600984934E-2</v>
      </c>
      <c r="Q74">
        <f t="shared" si="8"/>
        <v>2.1159098951053106</v>
      </c>
      <c r="R74">
        <f t="shared" si="9"/>
        <v>2.8312957343359969E-2</v>
      </c>
      <c r="S74">
        <f t="shared" si="10"/>
        <v>1.7714507542417622E-2</v>
      </c>
      <c r="T74">
        <f t="shared" si="11"/>
        <v>276.11433558094683</v>
      </c>
      <c r="U74">
        <f t="shared" si="12"/>
        <v>28.734314272466634</v>
      </c>
      <c r="V74">
        <f t="shared" si="13"/>
        <v>28.734314272466634</v>
      </c>
      <c r="W74">
        <f t="shared" si="14"/>
        <v>3.96035478422335</v>
      </c>
      <c r="X74">
        <f t="shared" si="15"/>
        <v>67.074858917182937</v>
      </c>
      <c r="Y74">
        <f t="shared" si="16"/>
        <v>2.3590873444016003</v>
      </c>
      <c r="Z74">
        <f t="shared" si="17"/>
        <v>3.5170962451286796</v>
      </c>
      <c r="AA74">
        <f t="shared" si="18"/>
        <v>1.6012674398217497</v>
      </c>
      <c r="AB74">
        <f t="shared" si="19"/>
        <v>-20.76974445615285</v>
      </c>
      <c r="AC74">
        <f t="shared" si="20"/>
        <v>-231.77501594160742</v>
      </c>
      <c r="AD74">
        <f t="shared" si="21"/>
        <v>-23.810342976568091</v>
      </c>
      <c r="AE74">
        <f t="shared" si="22"/>
        <v>-0.240767793381508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52507.810649522515</v>
      </c>
      <c r="AK74">
        <f t="shared" si="26"/>
        <v>1799.99</v>
      </c>
      <c r="AL74">
        <f t="shared" si="27"/>
        <v>1499.1041683972401</v>
      </c>
      <c r="AM74">
        <f t="shared" si="28"/>
        <v>0.83284027599999999</v>
      </c>
      <c r="AN74">
        <f t="shared" si="29"/>
        <v>0.15339770530999997</v>
      </c>
      <c r="AO74">
        <v>32.700000000000003</v>
      </c>
      <c r="AP74">
        <v>0.5</v>
      </c>
      <c r="AQ74" t="s">
        <v>331</v>
      </c>
      <c r="AR74">
        <v>2</v>
      </c>
      <c r="AS74">
        <v>1690301609.5</v>
      </c>
      <c r="AT74">
        <v>722.08699999999999</v>
      </c>
      <c r="AU74">
        <v>799.94500000000005</v>
      </c>
      <c r="AV74">
        <v>23.728000000000002</v>
      </c>
      <c r="AW74">
        <v>18.7197</v>
      </c>
      <c r="AX74">
        <v>722.34900000000005</v>
      </c>
      <c r="AY74">
        <v>23.4465</v>
      </c>
      <c r="AZ74">
        <v>300.20699999999999</v>
      </c>
      <c r="BA74">
        <v>99.322100000000006</v>
      </c>
      <c r="BB74">
        <v>9.9989700000000001E-2</v>
      </c>
      <c r="BC74">
        <v>26.702500000000001</v>
      </c>
      <c r="BD74">
        <v>26.950800000000001</v>
      </c>
      <c r="BE74">
        <v>28.470500000000001</v>
      </c>
      <c r="BF74">
        <v>0</v>
      </c>
      <c r="BG74">
        <v>0</v>
      </c>
      <c r="BH74">
        <v>9987.5</v>
      </c>
      <c r="BI74">
        <v>1076.07</v>
      </c>
      <c r="BJ74">
        <v>1.96231</v>
      </c>
      <c r="BK74">
        <v>-77.858000000000004</v>
      </c>
      <c r="BL74">
        <v>739.63699999999994</v>
      </c>
      <c r="BM74">
        <v>815.20600000000002</v>
      </c>
      <c r="BN74">
        <v>5.0083399999999996</v>
      </c>
      <c r="BO74">
        <v>799.94500000000005</v>
      </c>
      <c r="BP74">
        <v>18.7197</v>
      </c>
      <c r="BQ74">
        <v>2.3567200000000001</v>
      </c>
      <c r="BR74">
        <v>1.85928</v>
      </c>
      <c r="BS74">
        <v>20.069400000000002</v>
      </c>
      <c r="BT74">
        <v>16.2943</v>
      </c>
      <c r="BU74">
        <v>1799.99</v>
      </c>
      <c r="BV74">
        <v>0.909995</v>
      </c>
      <c r="BW74">
        <v>3.39922E-2</v>
      </c>
      <c r="BX74">
        <v>2.2005299999999998E-2</v>
      </c>
      <c r="BY74">
        <v>3.4007099999999998E-2</v>
      </c>
      <c r="BZ74">
        <v>25</v>
      </c>
      <c r="CA74">
        <v>33528.199999999997</v>
      </c>
      <c r="CB74">
        <v>1690300477.5</v>
      </c>
      <c r="CC74" t="s">
        <v>332</v>
      </c>
      <c r="CD74">
        <v>1690300477.5</v>
      </c>
      <c r="CE74">
        <v>1690300465.5</v>
      </c>
      <c r="CF74">
        <v>7</v>
      </c>
      <c r="CG74">
        <v>5.0999999999999997E-2</v>
      </c>
      <c r="CH74">
        <v>-8.0000000000000002E-3</v>
      </c>
      <c r="CI74">
        <v>-0.316</v>
      </c>
      <c r="CJ74">
        <v>0.28199999999999997</v>
      </c>
      <c r="CK74">
        <v>800</v>
      </c>
      <c r="CL74">
        <v>24</v>
      </c>
      <c r="CM74">
        <v>0.25</v>
      </c>
      <c r="CN74">
        <v>0.13</v>
      </c>
      <c r="CO74">
        <v>-74.376770000000008</v>
      </c>
      <c r="CP74">
        <v>-20.753934709193231</v>
      </c>
      <c r="CQ74">
        <v>1.9967406488074511</v>
      </c>
      <c r="CR74">
        <v>-1</v>
      </c>
      <c r="CS74">
        <v>4.8372505000000006</v>
      </c>
      <c r="CT74">
        <v>0.99688885553469786</v>
      </c>
      <c r="CU74">
        <v>9.6366751578280382E-2</v>
      </c>
      <c r="CV74">
        <v>-1</v>
      </c>
      <c r="CW74">
        <v>0</v>
      </c>
      <c r="CX74">
        <v>0</v>
      </c>
      <c r="CY74" t="s">
        <v>333</v>
      </c>
      <c r="CZ74">
        <v>2.3644699999999998</v>
      </c>
      <c r="DA74">
        <v>2.7137699999999998</v>
      </c>
      <c r="DB74">
        <v>0.13730500000000001</v>
      </c>
      <c r="DC74">
        <v>0.146675</v>
      </c>
      <c r="DD74">
        <v>0.112932</v>
      </c>
      <c r="DE74">
        <v>9.4367999999999994E-2</v>
      </c>
      <c r="DF74">
        <v>31506.2</v>
      </c>
      <c r="DG74">
        <v>27511.8</v>
      </c>
      <c r="DH74">
        <v>31177.599999999999</v>
      </c>
      <c r="DI74">
        <v>28092.9</v>
      </c>
      <c r="DJ74">
        <v>37549.5</v>
      </c>
      <c r="DK74">
        <v>36178.9</v>
      </c>
      <c r="DL74">
        <v>44370.9</v>
      </c>
      <c r="DM74">
        <v>42582.8</v>
      </c>
      <c r="DN74">
        <v>1.4704999999999999</v>
      </c>
      <c r="DO74">
        <v>2.0596000000000001</v>
      </c>
      <c r="DP74">
        <v>9.0166899999999994E-2</v>
      </c>
      <c r="DQ74">
        <v>0.19694900000000001</v>
      </c>
      <c r="DR74">
        <v>25.474299999999999</v>
      </c>
      <c r="DS74">
        <v>25.248799999999999</v>
      </c>
      <c r="DT74">
        <v>57.2</v>
      </c>
      <c r="DU74">
        <v>28.9</v>
      </c>
      <c r="DV74">
        <v>23.028199999999998</v>
      </c>
      <c r="DW74">
        <v>61.474699999999999</v>
      </c>
      <c r="DX74">
        <v>35.104199999999999</v>
      </c>
      <c r="DY74">
        <v>1</v>
      </c>
      <c r="DZ74">
        <v>-8.9591000000000004E-2</v>
      </c>
      <c r="EA74">
        <v>-8.4237500000000007E-2</v>
      </c>
      <c r="EB74">
        <v>20.190100000000001</v>
      </c>
      <c r="EC74">
        <v>5.2408000000000001</v>
      </c>
      <c r="ED74">
        <v>12.039899999999999</v>
      </c>
      <c r="EE74">
        <v>5.0163000000000002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1.8646100000000001</v>
      </c>
      <c r="EM74">
        <v>1.8692</v>
      </c>
      <c r="EN74">
        <v>1.8672200000000001</v>
      </c>
      <c r="EO74">
        <v>1.86337</v>
      </c>
      <c r="EP74">
        <v>1.8644700000000001</v>
      </c>
      <c r="EQ74">
        <v>1.8701300000000001</v>
      </c>
      <c r="ER74">
        <v>1.86938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-0.26200000000000001</v>
      </c>
      <c r="FG74">
        <v>0.28149999999999997</v>
      </c>
      <c r="FH74">
        <v>0.23539598422606861</v>
      </c>
      <c r="FI74">
        <v>-6.1462078757559423E-4</v>
      </c>
      <c r="FJ74">
        <v>-1.8861989874597051E-7</v>
      </c>
      <c r="FK74">
        <v>1.1980462299894961E-10</v>
      </c>
      <c r="FL74">
        <v>0.28151999999999688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18.899999999999999</v>
      </c>
      <c r="FU74">
        <v>19.100000000000001</v>
      </c>
      <c r="FV74">
        <v>1.79199</v>
      </c>
      <c r="FW74">
        <v>2.5915499999999998</v>
      </c>
      <c r="FX74">
        <v>1.5490699999999999</v>
      </c>
      <c r="FY74">
        <v>2.3290999999999999</v>
      </c>
      <c r="FZ74">
        <v>1.50146</v>
      </c>
      <c r="GA74">
        <v>2.323</v>
      </c>
      <c r="GB74">
        <v>33.6479</v>
      </c>
      <c r="GC74">
        <v>23.973700000000001</v>
      </c>
      <c r="GD74">
        <v>19</v>
      </c>
      <c r="GE74">
        <v>280.67599999999999</v>
      </c>
      <c r="GF74">
        <v>603.06700000000001</v>
      </c>
      <c r="GG74">
        <v>24.656600000000001</v>
      </c>
      <c r="GH74">
        <v>26.284400000000002</v>
      </c>
      <c r="GI74">
        <v>30</v>
      </c>
      <c r="GJ74">
        <v>26.401399999999999</v>
      </c>
      <c r="GK74">
        <v>26.379100000000001</v>
      </c>
      <c r="GL74">
        <v>35.829700000000003</v>
      </c>
      <c r="GM74">
        <v>28.378599999999999</v>
      </c>
      <c r="GN74">
        <v>100</v>
      </c>
      <c r="GO74">
        <v>24.666499999999999</v>
      </c>
      <c r="GP74">
        <v>800</v>
      </c>
      <c r="GQ74">
        <v>18.5794</v>
      </c>
      <c r="GR74">
        <v>99.757999999999996</v>
      </c>
      <c r="GS74">
        <v>99.6126</v>
      </c>
    </row>
    <row r="75" spans="1:201" x14ac:dyDescent="0.25">
      <c r="A75">
        <v>59</v>
      </c>
      <c r="B75">
        <v>1690301619.5</v>
      </c>
      <c r="C75">
        <v>715.5</v>
      </c>
      <c r="D75" t="s">
        <v>449</v>
      </c>
      <c r="E75" t="s">
        <v>450</v>
      </c>
      <c r="F75" t="s">
        <v>330</v>
      </c>
      <c r="H75">
        <v>1690301619.5</v>
      </c>
      <c r="I75">
        <f t="shared" si="0"/>
        <v>4.8811421102408844E-4</v>
      </c>
      <c r="J75">
        <f t="shared" si="1"/>
        <v>0.48811421102408842</v>
      </c>
      <c r="K75">
        <f t="shared" si="2"/>
        <v>7.1421712599953135</v>
      </c>
      <c r="L75">
        <f t="shared" si="3"/>
        <v>718.39200000000005</v>
      </c>
      <c r="M75">
        <f t="shared" si="4"/>
        <v>316.294332365797</v>
      </c>
      <c r="N75">
        <f t="shared" si="5"/>
        <v>31.446242391231007</v>
      </c>
      <c r="O75">
        <f t="shared" si="6"/>
        <v>71.423122870867203</v>
      </c>
      <c r="P75">
        <f t="shared" si="7"/>
        <v>2.9620442646143372E-2</v>
      </c>
      <c r="Q75">
        <f t="shared" si="8"/>
        <v>2.1144567019043956</v>
      </c>
      <c r="R75">
        <f t="shared" si="9"/>
        <v>2.9391841586878298E-2</v>
      </c>
      <c r="S75">
        <f t="shared" si="10"/>
        <v>1.8390292723887414E-2</v>
      </c>
      <c r="T75">
        <f t="shared" si="11"/>
        <v>276.115893228</v>
      </c>
      <c r="U75">
        <f t="shared" si="12"/>
        <v>28.737658825630913</v>
      </c>
      <c r="V75">
        <f t="shared" si="13"/>
        <v>28.737658825630913</v>
      </c>
      <c r="W75">
        <f t="shared" si="14"/>
        <v>3.9611228241368805</v>
      </c>
      <c r="X75">
        <f t="shared" si="15"/>
        <v>67.140922084294644</v>
      </c>
      <c r="Y75">
        <f t="shared" si="16"/>
        <v>2.3625369836807999</v>
      </c>
      <c r="Z75">
        <f t="shared" si="17"/>
        <v>3.5187735144814698</v>
      </c>
      <c r="AA75">
        <f t="shared" si="18"/>
        <v>1.5985858404560807</v>
      </c>
      <c r="AB75">
        <f t="shared" si="19"/>
        <v>-21.525836706162302</v>
      </c>
      <c r="AC75">
        <f t="shared" si="20"/>
        <v>-231.07373915205301</v>
      </c>
      <c r="AD75">
        <f t="shared" si="21"/>
        <v>-23.75596984375267</v>
      </c>
      <c r="AE75">
        <f t="shared" si="22"/>
        <v>-0.23965247396796485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52442.697476464054</v>
      </c>
      <c r="AK75">
        <f t="shared" si="26"/>
        <v>1800</v>
      </c>
      <c r="AL75">
        <f t="shared" si="27"/>
        <v>1499.1129647999999</v>
      </c>
      <c r="AM75">
        <f t="shared" si="28"/>
        <v>0.83284053599999996</v>
      </c>
      <c r="AN75">
        <f t="shared" si="29"/>
        <v>0.15339771846</v>
      </c>
      <c r="AO75">
        <v>32.700000000000003</v>
      </c>
      <c r="AP75">
        <v>0.5</v>
      </c>
      <c r="AQ75" t="s">
        <v>331</v>
      </c>
      <c r="AR75">
        <v>2</v>
      </c>
      <c r="AS75">
        <v>1690301619.5</v>
      </c>
      <c r="AT75">
        <v>718.39200000000005</v>
      </c>
      <c r="AU75">
        <v>800.029</v>
      </c>
      <c r="AV75">
        <v>23.763000000000002</v>
      </c>
      <c r="AW75">
        <v>18.571200000000001</v>
      </c>
      <c r="AX75">
        <v>718.65099999999995</v>
      </c>
      <c r="AY75">
        <v>23.4815</v>
      </c>
      <c r="AZ75">
        <v>300.12799999999999</v>
      </c>
      <c r="BA75">
        <v>99.320899999999995</v>
      </c>
      <c r="BB75">
        <v>9.9921599999999999E-2</v>
      </c>
      <c r="BC75">
        <v>26.710599999999999</v>
      </c>
      <c r="BD75">
        <v>26.966999999999999</v>
      </c>
      <c r="BE75">
        <v>28.499199999999998</v>
      </c>
      <c r="BF75">
        <v>0</v>
      </c>
      <c r="BG75">
        <v>0</v>
      </c>
      <c r="BH75">
        <v>9975</v>
      </c>
      <c r="BI75">
        <v>1076.08</v>
      </c>
      <c r="BJ75">
        <v>1.96231</v>
      </c>
      <c r="BK75">
        <v>-81.6374</v>
      </c>
      <c r="BL75">
        <v>735.87900000000002</v>
      </c>
      <c r="BM75">
        <v>815.16800000000001</v>
      </c>
      <c r="BN75">
        <v>5.1918300000000004</v>
      </c>
      <c r="BO75">
        <v>800.029</v>
      </c>
      <c r="BP75">
        <v>18.571200000000001</v>
      </c>
      <c r="BQ75">
        <v>2.3601700000000001</v>
      </c>
      <c r="BR75">
        <v>1.8445100000000001</v>
      </c>
      <c r="BS75">
        <v>20.093</v>
      </c>
      <c r="BT75">
        <v>16.1692</v>
      </c>
      <c r="BU75">
        <v>1800</v>
      </c>
      <c r="BV75">
        <v>0.90999600000000003</v>
      </c>
      <c r="BW75">
        <v>3.3995699999999997E-2</v>
      </c>
      <c r="BX75">
        <v>2.20038E-2</v>
      </c>
      <c r="BY75">
        <v>3.4004800000000002E-2</v>
      </c>
      <c r="BZ75">
        <v>25</v>
      </c>
      <c r="CA75">
        <v>33528.300000000003</v>
      </c>
      <c r="CB75">
        <v>1690300477.5</v>
      </c>
      <c r="CC75" t="s">
        <v>332</v>
      </c>
      <c r="CD75">
        <v>1690300477.5</v>
      </c>
      <c r="CE75">
        <v>1690300465.5</v>
      </c>
      <c r="CF75">
        <v>7</v>
      </c>
      <c r="CG75">
        <v>5.0999999999999997E-2</v>
      </c>
      <c r="CH75">
        <v>-8.0000000000000002E-3</v>
      </c>
      <c r="CI75">
        <v>-0.316</v>
      </c>
      <c r="CJ75">
        <v>0.28199999999999997</v>
      </c>
      <c r="CK75">
        <v>800</v>
      </c>
      <c r="CL75">
        <v>24</v>
      </c>
      <c r="CM75">
        <v>0.25</v>
      </c>
      <c r="CN75">
        <v>0.13</v>
      </c>
      <c r="CO75">
        <v>-77.641373170731711</v>
      </c>
      <c r="CP75">
        <v>-21.45454912891973</v>
      </c>
      <c r="CQ75">
        <v>2.1164171052574998</v>
      </c>
      <c r="CR75">
        <v>-1</v>
      </c>
      <c r="CS75">
        <v>5.0012707317073168</v>
      </c>
      <c r="CT75">
        <v>1.10619344947736</v>
      </c>
      <c r="CU75">
        <v>0.1094107567813357</v>
      </c>
      <c r="CV75">
        <v>-1</v>
      </c>
      <c r="CW75">
        <v>0</v>
      </c>
      <c r="CX75">
        <v>0</v>
      </c>
      <c r="CY75" t="s">
        <v>333</v>
      </c>
      <c r="CZ75">
        <v>2.3642400000000001</v>
      </c>
      <c r="DA75">
        <v>2.7136900000000002</v>
      </c>
      <c r="DB75">
        <v>0.136827</v>
      </c>
      <c r="DC75">
        <v>0.14668100000000001</v>
      </c>
      <c r="DD75">
        <v>0.11305</v>
      </c>
      <c r="DE75">
        <v>9.3831700000000004E-2</v>
      </c>
      <c r="DF75">
        <v>31524.2</v>
      </c>
      <c r="DG75">
        <v>27511.5</v>
      </c>
      <c r="DH75">
        <v>31178.2</v>
      </c>
      <c r="DI75">
        <v>28092.799999999999</v>
      </c>
      <c r="DJ75">
        <v>37545.1</v>
      </c>
      <c r="DK75">
        <v>36200.300000000003</v>
      </c>
      <c r="DL75">
        <v>44371.8</v>
      </c>
      <c r="DM75">
        <v>42582.8</v>
      </c>
      <c r="DN75">
        <v>1.4705999999999999</v>
      </c>
      <c r="DO75">
        <v>2.0596700000000001</v>
      </c>
      <c r="DP75">
        <v>9.1426099999999996E-2</v>
      </c>
      <c r="DQ75">
        <v>0.19889299999999999</v>
      </c>
      <c r="DR75">
        <v>25.47</v>
      </c>
      <c r="DS75">
        <v>25.245799999999999</v>
      </c>
      <c r="DT75">
        <v>57.2</v>
      </c>
      <c r="DU75">
        <v>28.9</v>
      </c>
      <c r="DV75">
        <v>23.029699999999998</v>
      </c>
      <c r="DW75">
        <v>61.6447</v>
      </c>
      <c r="DX75">
        <v>35.929499999999997</v>
      </c>
      <c r="DY75">
        <v>1</v>
      </c>
      <c r="DZ75">
        <v>-9.0137200000000001E-2</v>
      </c>
      <c r="EA75">
        <v>-0.108783</v>
      </c>
      <c r="EB75">
        <v>20.190100000000001</v>
      </c>
      <c r="EC75">
        <v>5.2409499999999998</v>
      </c>
      <c r="ED75">
        <v>12.039899999999999</v>
      </c>
      <c r="EE75">
        <v>5.0162000000000004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</v>
      </c>
      <c r="EL75">
        <v>1.8646</v>
      </c>
      <c r="EM75">
        <v>1.8692</v>
      </c>
      <c r="EN75">
        <v>1.8672200000000001</v>
      </c>
      <c r="EO75">
        <v>1.86338</v>
      </c>
      <c r="EP75">
        <v>1.8644700000000001</v>
      </c>
      <c r="EQ75">
        <v>1.8701399999999999</v>
      </c>
      <c r="ER75">
        <v>1.8693599999999999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-0.25900000000000001</v>
      </c>
      <c r="FG75">
        <v>0.28149999999999997</v>
      </c>
      <c r="FH75">
        <v>0.23539598422606861</v>
      </c>
      <c r="FI75">
        <v>-6.1462078757559423E-4</v>
      </c>
      <c r="FJ75">
        <v>-1.8861989874597051E-7</v>
      </c>
      <c r="FK75">
        <v>1.1980462299894961E-10</v>
      </c>
      <c r="FL75">
        <v>0.28151999999999688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19</v>
      </c>
      <c r="FU75">
        <v>19.2</v>
      </c>
      <c r="FV75">
        <v>1.79199</v>
      </c>
      <c r="FW75">
        <v>2.5842299999999998</v>
      </c>
      <c r="FX75">
        <v>1.5490699999999999</v>
      </c>
      <c r="FY75">
        <v>2.3290999999999999</v>
      </c>
      <c r="FZ75">
        <v>1.50146</v>
      </c>
      <c r="GA75">
        <v>2.4108900000000002</v>
      </c>
      <c r="GB75">
        <v>33.6479</v>
      </c>
      <c r="GC75">
        <v>23.982399999999998</v>
      </c>
      <c r="GD75">
        <v>19</v>
      </c>
      <c r="GE75">
        <v>280.70299999999997</v>
      </c>
      <c r="GF75">
        <v>603.09900000000005</v>
      </c>
      <c r="GG75">
        <v>24.712399999999999</v>
      </c>
      <c r="GH75">
        <v>26.28</v>
      </c>
      <c r="GI75">
        <v>30</v>
      </c>
      <c r="GJ75">
        <v>26.3978</v>
      </c>
      <c r="GK75">
        <v>26.3765</v>
      </c>
      <c r="GL75">
        <v>35.823999999999998</v>
      </c>
      <c r="GM75">
        <v>28.953600000000002</v>
      </c>
      <c r="GN75">
        <v>100</v>
      </c>
      <c r="GO75">
        <v>24.725899999999999</v>
      </c>
      <c r="GP75">
        <v>800</v>
      </c>
      <c r="GQ75">
        <v>18.431899999999999</v>
      </c>
      <c r="GR75">
        <v>99.759900000000002</v>
      </c>
      <c r="GS75">
        <v>99.612300000000005</v>
      </c>
    </row>
    <row r="76" spans="1:201" x14ac:dyDescent="0.25">
      <c r="A76">
        <v>60</v>
      </c>
      <c r="B76">
        <v>1690301629.5</v>
      </c>
      <c r="C76">
        <v>725.5</v>
      </c>
      <c r="D76" t="s">
        <v>451</v>
      </c>
      <c r="E76" t="s">
        <v>452</v>
      </c>
      <c r="F76" t="s">
        <v>330</v>
      </c>
      <c r="H76">
        <v>1690301629.5</v>
      </c>
      <c r="I76">
        <f t="shared" si="0"/>
        <v>5.057159868482546E-4</v>
      </c>
      <c r="J76">
        <f t="shared" si="1"/>
        <v>0.50571598684825458</v>
      </c>
      <c r="K76">
        <f t="shared" si="2"/>
        <v>7.4921903588543186</v>
      </c>
      <c r="L76">
        <f t="shared" si="3"/>
        <v>714.51900000000001</v>
      </c>
      <c r="M76">
        <f t="shared" si="4"/>
        <v>309.0160460323126</v>
      </c>
      <c r="N76">
        <f t="shared" si="5"/>
        <v>30.723476413409347</v>
      </c>
      <c r="O76">
        <f t="shared" si="6"/>
        <v>71.040025025552708</v>
      </c>
      <c r="P76">
        <f t="shared" si="7"/>
        <v>3.0794529206072698E-2</v>
      </c>
      <c r="Q76">
        <f t="shared" si="8"/>
        <v>2.1193058822612052</v>
      </c>
      <c r="R76">
        <f t="shared" si="9"/>
        <v>3.054808835411502E-2</v>
      </c>
      <c r="S76">
        <f t="shared" si="10"/>
        <v>1.9114532461361456E-2</v>
      </c>
      <c r="T76">
        <f t="shared" si="11"/>
        <v>276.11421242563108</v>
      </c>
      <c r="U76">
        <f t="shared" si="12"/>
        <v>28.731559278421493</v>
      </c>
      <c r="V76">
        <f t="shared" si="13"/>
        <v>28.731559278421493</v>
      </c>
      <c r="W76">
        <f t="shared" si="14"/>
        <v>3.9597222276420401</v>
      </c>
      <c r="X76">
        <f t="shared" si="15"/>
        <v>67.226627915183698</v>
      </c>
      <c r="Y76">
        <f t="shared" si="16"/>
        <v>2.36615155590771</v>
      </c>
      <c r="Z76">
        <f t="shared" si="17"/>
        <v>3.5196642004608036</v>
      </c>
      <c r="AA76">
        <f t="shared" si="18"/>
        <v>1.5935706717343301</v>
      </c>
      <c r="AB76">
        <f t="shared" si="19"/>
        <v>-22.302075020008029</v>
      </c>
      <c r="AC76">
        <f t="shared" si="20"/>
        <v>-230.41546027619438</v>
      </c>
      <c r="AD76">
        <f t="shared" si="21"/>
        <v>-23.633878213098257</v>
      </c>
      <c r="AE76">
        <f t="shared" si="22"/>
        <v>-0.23720108366958925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52654.658895838431</v>
      </c>
      <c r="AK76">
        <f t="shared" si="26"/>
        <v>1799.99</v>
      </c>
      <c r="AL76">
        <f t="shared" si="27"/>
        <v>1499.10140181261</v>
      </c>
      <c r="AM76">
        <f t="shared" si="28"/>
        <v>0.83283873899999994</v>
      </c>
      <c r="AN76">
        <f t="shared" si="29"/>
        <v>0.15339763688999999</v>
      </c>
      <c r="AO76">
        <v>32.700000000000003</v>
      </c>
      <c r="AP76">
        <v>0.5</v>
      </c>
      <c r="AQ76" t="s">
        <v>331</v>
      </c>
      <c r="AR76">
        <v>2</v>
      </c>
      <c r="AS76">
        <v>1690301629.5</v>
      </c>
      <c r="AT76">
        <v>714.51900000000001</v>
      </c>
      <c r="AU76">
        <v>800.09199999999998</v>
      </c>
      <c r="AV76">
        <v>23.7987</v>
      </c>
      <c r="AW76">
        <v>18.419499999999999</v>
      </c>
      <c r="AX76">
        <v>714.77599999999995</v>
      </c>
      <c r="AY76">
        <v>23.517199999999999</v>
      </c>
      <c r="AZ76">
        <v>300.10700000000003</v>
      </c>
      <c r="BA76">
        <v>99.323599999999999</v>
      </c>
      <c r="BB76">
        <v>9.9963300000000005E-2</v>
      </c>
      <c r="BC76">
        <v>26.7149</v>
      </c>
      <c r="BD76">
        <v>27.000699999999998</v>
      </c>
      <c r="BE76">
        <v>28.5063</v>
      </c>
      <c r="BF76">
        <v>0</v>
      </c>
      <c r="BG76">
        <v>0</v>
      </c>
      <c r="BH76">
        <v>10016.9</v>
      </c>
      <c r="BI76">
        <v>1076.05</v>
      </c>
      <c r="BJ76">
        <v>1.96231</v>
      </c>
      <c r="BK76">
        <v>-85.573099999999997</v>
      </c>
      <c r="BL76">
        <v>731.93799999999999</v>
      </c>
      <c r="BM76">
        <v>815.10599999999999</v>
      </c>
      <c r="BN76">
        <v>5.3791500000000001</v>
      </c>
      <c r="BO76">
        <v>800.09199999999998</v>
      </c>
      <c r="BP76">
        <v>18.419499999999999</v>
      </c>
      <c r="BQ76">
        <v>2.3637700000000001</v>
      </c>
      <c r="BR76">
        <v>1.8294900000000001</v>
      </c>
      <c r="BS76">
        <v>20.117699999999999</v>
      </c>
      <c r="BT76">
        <v>16.0411</v>
      </c>
      <c r="BU76">
        <v>1799.99</v>
      </c>
      <c r="BV76">
        <v>0.90998800000000002</v>
      </c>
      <c r="BW76">
        <v>3.40074E-2</v>
      </c>
      <c r="BX76">
        <v>2.20022E-2</v>
      </c>
      <c r="BY76">
        <v>3.4002299999999999E-2</v>
      </c>
      <c r="BZ76">
        <v>25</v>
      </c>
      <c r="CA76">
        <v>33528.1</v>
      </c>
      <c r="CB76">
        <v>1690300477.5</v>
      </c>
      <c r="CC76" t="s">
        <v>332</v>
      </c>
      <c r="CD76">
        <v>1690300477.5</v>
      </c>
      <c r="CE76">
        <v>1690300465.5</v>
      </c>
      <c r="CF76">
        <v>7</v>
      </c>
      <c r="CG76">
        <v>5.0999999999999997E-2</v>
      </c>
      <c r="CH76">
        <v>-8.0000000000000002E-3</v>
      </c>
      <c r="CI76">
        <v>-0.316</v>
      </c>
      <c r="CJ76">
        <v>0.28199999999999997</v>
      </c>
      <c r="CK76">
        <v>800</v>
      </c>
      <c r="CL76">
        <v>24</v>
      </c>
      <c r="CM76">
        <v>0.25</v>
      </c>
      <c r="CN76">
        <v>0.13</v>
      </c>
      <c r="CO76">
        <v>-81.592965000000007</v>
      </c>
      <c r="CP76">
        <v>-22.818821763602159</v>
      </c>
      <c r="CQ76">
        <v>2.1955117015800658</v>
      </c>
      <c r="CR76">
        <v>-1</v>
      </c>
      <c r="CS76">
        <v>5.19656275</v>
      </c>
      <c r="CT76">
        <v>1.0854786866791539</v>
      </c>
      <c r="CU76">
        <v>0.1048544954684229</v>
      </c>
      <c r="CV76">
        <v>-1</v>
      </c>
      <c r="CW76">
        <v>0</v>
      </c>
      <c r="CX76">
        <v>0</v>
      </c>
      <c r="CY76" t="s">
        <v>333</v>
      </c>
      <c r="CZ76">
        <v>2.36416</v>
      </c>
      <c r="DA76">
        <v>2.7137699999999998</v>
      </c>
      <c r="DB76">
        <v>0.13632900000000001</v>
      </c>
      <c r="DC76">
        <v>0.14668999999999999</v>
      </c>
      <c r="DD76">
        <v>0.113174</v>
      </c>
      <c r="DE76">
        <v>9.3285699999999999E-2</v>
      </c>
      <c r="DF76">
        <v>31542.7</v>
      </c>
      <c r="DG76">
        <v>27511.5</v>
      </c>
      <c r="DH76">
        <v>31178.5</v>
      </c>
      <c r="DI76">
        <v>28093.1</v>
      </c>
      <c r="DJ76">
        <v>37540.1</v>
      </c>
      <c r="DK76">
        <v>36222.6</v>
      </c>
      <c r="DL76">
        <v>44372.2</v>
      </c>
      <c r="DM76">
        <v>42583.199999999997</v>
      </c>
      <c r="DN76">
        <v>1.47078</v>
      </c>
      <c r="DO76">
        <v>2.0592000000000001</v>
      </c>
      <c r="DP76">
        <v>9.3601599999999993E-2</v>
      </c>
      <c r="DQ76">
        <v>0.199325</v>
      </c>
      <c r="DR76">
        <v>25.468</v>
      </c>
      <c r="DS76">
        <v>25.245799999999999</v>
      </c>
      <c r="DT76">
        <v>57.2</v>
      </c>
      <c r="DU76">
        <v>28.9</v>
      </c>
      <c r="DV76">
        <v>23.0273</v>
      </c>
      <c r="DW76">
        <v>61.274799999999999</v>
      </c>
      <c r="DX76">
        <v>36.2941</v>
      </c>
      <c r="DY76">
        <v>1</v>
      </c>
      <c r="DZ76">
        <v>-9.0111800000000006E-2</v>
      </c>
      <c r="EA76">
        <v>-0.107639</v>
      </c>
      <c r="EB76">
        <v>20.189900000000002</v>
      </c>
      <c r="EC76">
        <v>5.2408000000000001</v>
      </c>
      <c r="ED76">
        <v>12.039899999999999</v>
      </c>
      <c r="EE76">
        <v>5.01675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</v>
      </c>
      <c r="EL76">
        <v>1.8646100000000001</v>
      </c>
      <c r="EM76">
        <v>1.8692</v>
      </c>
      <c r="EN76">
        <v>1.8672299999999999</v>
      </c>
      <c r="EO76">
        <v>1.86338</v>
      </c>
      <c r="EP76">
        <v>1.8644700000000001</v>
      </c>
      <c r="EQ76">
        <v>1.8701700000000001</v>
      </c>
      <c r="ER76">
        <v>1.8693900000000001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-0.25700000000000001</v>
      </c>
      <c r="FG76">
        <v>0.28149999999999997</v>
      </c>
      <c r="FH76">
        <v>0.23539598422606861</v>
      </c>
      <c r="FI76">
        <v>-6.1462078757559423E-4</v>
      </c>
      <c r="FJ76">
        <v>-1.8861989874597051E-7</v>
      </c>
      <c r="FK76">
        <v>1.1980462299894961E-10</v>
      </c>
      <c r="FL76">
        <v>0.28151999999999688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19.2</v>
      </c>
      <c r="FU76">
        <v>19.399999999999999</v>
      </c>
      <c r="FV76">
        <v>1.79077</v>
      </c>
      <c r="FW76">
        <v>2.5866699999999998</v>
      </c>
      <c r="FX76">
        <v>1.5490699999999999</v>
      </c>
      <c r="FY76">
        <v>2.3290999999999999</v>
      </c>
      <c r="FZ76">
        <v>1.50146</v>
      </c>
      <c r="GA76">
        <v>2.33765</v>
      </c>
      <c r="GB76">
        <v>33.6479</v>
      </c>
      <c r="GC76">
        <v>23.982399999999998</v>
      </c>
      <c r="GD76">
        <v>19</v>
      </c>
      <c r="GE76">
        <v>280.76299999999998</v>
      </c>
      <c r="GF76">
        <v>602.67100000000005</v>
      </c>
      <c r="GG76">
        <v>24.7622</v>
      </c>
      <c r="GH76">
        <v>26.275600000000001</v>
      </c>
      <c r="GI76">
        <v>30</v>
      </c>
      <c r="GJ76">
        <v>26.3947</v>
      </c>
      <c r="GK76">
        <v>26.374300000000002</v>
      </c>
      <c r="GL76">
        <v>35.818600000000004</v>
      </c>
      <c r="GM76">
        <v>29.249099999999999</v>
      </c>
      <c r="GN76">
        <v>100</v>
      </c>
      <c r="GO76">
        <v>24.770499999999998</v>
      </c>
      <c r="GP76">
        <v>800</v>
      </c>
      <c r="GQ76">
        <v>18.276900000000001</v>
      </c>
      <c r="GR76">
        <v>99.760900000000007</v>
      </c>
      <c r="GS76">
        <v>99.613399999999999</v>
      </c>
    </row>
    <row r="77" spans="1:201" x14ac:dyDescent="0.25">
      <c r="A77">
        <v>61</v>
      </c>
      <c r="B77">
        <v>1690301639.5</v>
      </c>
      <c r="C77">
        <v>735.5</v>
      </c>
      <c r="D77" t="s">
        <v>453</v>
      </c>
      <c r="E77" t="s">
        <v>454</v>
      </c>
      <c r="F77" t="s">
        <v>330</v>
      </c>
      <c r="H77">
        <v>1690301639.5</v>
      </c>
      <c r="I77">
        <f t="shared" si="0"/>
        <v>5.2449810015430106E-4</v>
      </c>
      <c r="J77">
        <f t="shared" si="1"/>
        <v>0.52449810015430109</v>
      </c>
      <c r="K77">
        <f t="shared" si="2"/>
        <v>7.8428575358504711</v>
      </c>
      <c r="L77">
        <f t="shared" si="3"/>
        <v>710.58500000000004</v>
      </c>
      <c r="M77">
        <f t="shared" si="4"/>
        <v>302.11262447427981</v>
      </c>
      <c r="N77">
        <f t="shared" si="5"/>
        <v>30.036895910579229</v>
      </c>
      <c r="O77">
        <f t="shared" si="6"/>
        <v>70.648380608921016</v>
      </c>
      <c r="P77">
        <f t="shared" si="7"/>
        <v>3.198894650824894E-2</v>
      </c>
      <c r="Q77">
        <f t="shared" si="8"/>
        <v>2.1192174451173065</v>
      </c>
      <c r="R77">
        <f t="shared" si="9"/>
        <v>3.172309571442819E-2</v>
      </c>
      <c r="S77">
        <f t="shared" si="10"/>
        <v>1.9850636203851867E-2</v>
      </c>
      <c r="T77">
        <f t="shared" si="11"/>
        <v>276.1139546490632</v>
      </c>
      <c r="U77">
        <f t="shared" si="12"/>
        <v>28.73832753914817</v>
      </c>
      <c r="V77">
        <f t="shared" si="13"/>
        <v>28.73832753914817</v>
      </c>
      <c r="W77">
        <f t="shared" si="14"/>
        <v>3.9612764024354679</v>
      </c>
      <c r="X77">
        <f t="shared" si="15"/>
        <v>67.277409374325032</v>
      </c>
      <c r="Y77">
        <f t="shared" si="16"/>
        <v>2.3697931647923003</v>
      </c>
      <c r="Z77">
        <f t="shared" si="17"/>
        <v>3.5224203589751792</v>
      </c>
      <c r="AA77">
        <f t="shared" si="18"/>
        <v>1.5914832376431676</v>
      </c>
      <c r="AB77">
        <f t="shared" si="19"/>
        <v>-23.130366216804678</v>
      </c>
      <c r="AC77">
        <f t="shared" si="20"/>
        <v>-229.65958581855725</v>
      </c>
      <c r="AD77">
        <f t="shared" si="21"/>
        <v>-23.55968709792252</v>
      </c>
      <c r="AE77">
        <f t="shared" si="22"/>
        <v>-0.23568448422122401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52648.42377533306</v>
      </c>
      <c r="AK77">
        <f t="shared" si="26"/>
        <v>1799.99</v>
      </c>
      <c r="AL77">
        <f t="shared" si="27"/>
        <v>1499.1019670094702</v>
      </c>
      <c r="AM77">
        <f t="shared" si="28"/>
        <v>0.83283905300000005</v>
      </c>
      <c r="AN77">
        <f t="shared" si="29"/>
        <v>0.15339749368</v>
      </c>
      <c r="AO77">
        <v>32.700000000000003</v>
      </c>
      <c r="AP77">
        <v>0.5</v>
      </c>
      <c r="AQ77" t="s">
        <v>331</v>
      </c>
      <c r="AR77">
        <v>2</v>
      </c>
      <c r="AS77">
        <v>1690301639.5</v>
      </c>
      <c r="AT77">
        <v>710.58500000000004</v>
      </c>
      <c r="AU77">
        <v>800.06299999999999</v>
      </c>
      <c r="AV77">
        <v>23.8355</v>
      </c>
      <c r="AW77">
        <v>18.2592</v>
      </c>
      <c r="AX77">
        <v>710.83900000000006</v>
      </c>
      <c r="AY77">
        <v>23.553999999999998</v>
      </c>
      <c r="AZ77">
        <v>300.24</v>
      </c>
      <c r="BA77">
        <v>99.322900000000004</v>
      </c>
      <c r="BB77">
        <v>9.9942600000000006E-2</v>
      </c>
      <c r="BC77">
        <v>26.728200000000001</v>
      </c>
      <c r="BD77">
        <v>27.005199999999999</v>
      </c>
      <c r="BE77">
        <v>28.4922</v>
      </c>
      <c r="BF77">
        <v>0</v>
      </c>
      <c r="BG77">
        <v>0</v>
      </c>
      <c r="BH77">
        <v>10016.200000000001</v>
      </c>
      <c r="BI77">
        <v>1076.17</v>
      </c>
      <c r="BJ77">
        <v>1.96231</v>
      </c>
      <c r="BK77">
        <v>-89.478300000000004</v>
      </c>
      <c r="BL77">
        <v>727.93600000000004</v>
      </c>
      <c r="BM77">
        <v>814.94299999999998</v>
      </c>
      <c r="BN77">
        <v>5.5762799999999997</v>
      </c>
      <c r="BO77">
        <v>800.06299999999999</v>
      </c>
      <c r="BP77">
        <v>18.2592</v>
      </c>
      <c r="BQ77">
        <v>2.36741</v>
      </c>
      <c r="BR77">
        <v>1.8135600000000001</v>
      </c>
      <c r="BS77">
        <v>20.142600000000002</v>
      </c>
      <c r="BT77">
        <v>15.9041</v>
      </c>
      <c r="BU77">
        <v>1799.99</v>
      </c>
      <c r="BV77">
        <v>0.90999300000000005</v>
      </c>
      <c r="BW77">
        <v>3.4005500000000001E-2</v>
      </c>
      <c r="BX77">
        <v>2.20009E-2</v>
      </c>
      <c r="BY77">
        <v>3.40004E-2</v>
      </c>
      <c r="BZ77">
        <v>25</v>
      </c>
      <c r="CA77">
        <v>33528.1</v>
      </c>
      <c r="CB77">
        <v>1690300477.5</v>
      </c>
      <c r="CC77" t="s">
        <v>332</v>
      </c>
      <c r="CD77">
        <v>1690300477.5</v>
      </c>
      <c r="CE77">
        <v>1690300465.5</v>
      </c>
      <c r="CF77">
        <v>7</v>
      </c>
      <c r="CG77">
        <v>5.0999999999999997E-2</v>
      </c>
      <c r="CH77">
        <v>-8.0000000000000002E-3</v>
      </c>
      <c r="CI77">
        <v>-0.316</v>
      </c>
      <c r="CJ77">
        <v>0.28199999999999997</v>
      </c>
      <c r="CK77">
        <v>800</v>
      </c>
      <c r="CL77">
        <v>24</v>
      </c>
      <c r="CM77">
        <v>0.25</v>
      </c>
      <c r="CN77">
        <v>0.13</v>
      </c>
      <c r="CO77">
        <v>-85.045214999999999</v>
      </c>
      <c r="CP77">
        <v>-23.436155347091841</v>
      </c>
      <c r="CQ77">
        <v>2.2546686735028261</v>
      </c>
      <c r="CR77">
        <v>-1</v>
      </c>
      <c r="CS77">
        <v>5.3621457499999998</v>
      </c>
      <c r="CT77">
        <v>1.171403414634143</v>
      </c>
      <c r="CU77">
        <v>0.1129226020309375</v>
      </c>
      <c r="CV77">
        <v>-1</v>
      </c>
      <c r="CW77">
        <v>0</v>
      </c>
      <c r="CX77">
        <v>0</v>
      </c>
      <c r="CY77" t="s">
        <v>333</v>
      </c>
      <c r="CZ77">
        <v>2.3645999999999998</v>
      </c>
      <c r="DA77">
        <v>2.7137500000000001</v>
      </c>
      <c r="DB77">
        <v>0.13581699999999999</v>
      </c>
      <c r="DC77">
        <v>0.14668400000000001</v>
      </c>
      <c r="DD77">
        <v>0.113299</v>
      </c>
      <c r="DE77">
        <v>9.2703599999999997E-2</v>
      </c>
      <c r="DF77">
        <v>31561.599999999999</v>
      </c>
      <c r="DG77">
        <v>27511.9</v>
      </c>
      <c r="DH77">
        <v>31178.7</v>
      </c>
      <c r="DI77">
        <v>28093.3</v>
      </c>
      <c r="DJ77">
        <v>37535.1</v>
      </c>
      <c r="DK77">
        <v>36246</v>
      </c>
      <c r="DL77">
        <v>44372.6</v>
      </c>
      <c r="DM77">
        <v>42583.4</v>
      </c>
      <c r="DN77">
        <v>1.4710700000000001</v>
      </c>
      <c r="DO77">
        <v>2.0592999999999999</v>
      </c>
      <c r="DP77">
        <v>9.3877299999999997E-2</v>
      </c>
      <c r="DQ77">
        <v>0.19828999999999999</v>
      </c>
      <c r="DR77">
        <v>25.468</v>
      </c>
      <c r="DS77">
        <v>25.248699999999999</v>
      </c>
      <c r="DT77">
        <v>57.2</v>
      </c>
      <c r="DU77">
        <v>28.9</v>
      </c>
      <c r="DV77">
        <v>23.028199999999998</v>
      </c>
      <c r="DW77">
        <v>61.714700000000001</v>
      </c>
      <c r="DX77">
        <v>35.096200000000003</v>
      </c>
      <c r="DY77">
        <v>1</v>
      </c>
      <c r="DZ77">
        <v>-9.0647900000000003E-2</v>
      </c>
      <c r="EA77">
        <v>-7.3368699999999995E-2</v>
      </c>
      <c r="EB77">
        <v>20.190000000000001</v>
      </c>
      <c r="EC77">
        <v>5.2406499999999996</v>
      </c>
      <c r="ED77">
        <v>12.039899999999999</v>
      </c>
      <c r="EE77">
        <v>5.0163000000000002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</v>
      </c>
      <c r="EL77">
        <v>1.8646199999999999</v>
      </c>
      <c r="EM77">
        <v>1.8692</v>
      </c>
      <c r="EN77">
        <v>1.8672200000000001</v>
      </c>
      <c r="EO77">
        <v>1.86338</v>
      </c>
      <c r="EP77">
        <v>1.8644700000000001</v>
      </c>
      <c r="EQ77">
        <v>1.8701399999999999</v>
      </c>
      <c r="ER77">
        <v>1.86937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-0.254</v>
      </c>
      <c r="FG77">
        <v>0.28149999999999997</v>
      </c>
      <c r="FH77">
        <v>0.23539598422606861</v>
      </c>
      <c r="FI77">
        <v>-6.1462078757559423E-4</v>
      </c>
      <c r="FJ77">
        <v>-1.8861989874597051E-7</v>
      </c>
      <c r="FK77">
        <v>1.1980462299894961E-10</v>
      </c>
      <c r="FL77">
        <v>0.28151999999999688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19.399999999999999</v>
      </c>
      <c r="FU77">
        <v>19.600000000000001</v>
      </c>
      <c r="FV77">
        <v>1.79077</v>
      </c>
      <c r="FW77">
        <v>2.5927699999999998</v>
      </c>
      <c r="FX77">
        <v>1.5490699999999999</v>
      </c>
      <c r="FY77">
        <v>2.3290999999999999</v>
      </c>
      <c r="FZ77">
        <v>1.50146</v>
      </c>
      <c r="GA77">
        <v>2.2912599999999999</v>
      </c>
      <c r="GB77">
        <v>33.6479</v>
      </c>
      <c r="GC77">
        <v>23.973700000000001</v>
      </c>
      <c r="GD77">
        <v>19</v>
      </c>
      <c r="GE77">
        <v>280.88099999999997</v>
      </c>
      <c r="GF77">
        <v>602.73</v>
      </c>
      <c r="GG77">
        <v>24.786000000000001</v>
      </c>
      <c r="GH77">
        <v>26.271100000000001</v>
      </c>
      <c r="GI77">
        <v>29.9999</v>
      </c>
      <c r="GJ77">
        <v>26.392499999999998</v>
      </c>
      <c r="GK77">
        <v>26.3721</v>
      </c>
      <c r="GL77">
        <v>35.8123</v>
      </c>
      <c r="GM77">
        <v>29.810300000000002</v>
      </c>
      <c r="GN77">
        <v>99.625299999999996</v>
      </c>
      <c r="GO77">
        <v>24.791399999999999</v>
      </c>
      <c r="GP77">
        <v>800</v>
      </c>
      <c r="GQ77">
        <v>18.116199999999999</v>
      </c>
      <c r="GR77">
        <v>99.761700000000005</v>
      </c>
      <c r="GS77">
        <v>99.614000000000004</v>
      </c>
    </row>
    <row r="78" spans="1:201" x14ac:dyDescent="0.25">
      <c r="A78">
        <v>62</v>
      </c>
      <c r="B78">
        <v>1690301649.5</v>
      </c>
      <c r="C78">
        <v>745.5</v>
      </c>
      <c r="D78" t="s">
        <v>455</v>
      </c>
      <c r="E78" t="s">
        <v>456</v>
      </c>
      <c r="F78" t="s">
        <v>330</v>
      </c>
      <c r="H78">
        <v>1690301649.5</v>
      </c>
      <c r="I78">
        <f t="shared" si="0"/>
        <v>5.4201521656331358E-4</v>
      </c>
      <c r="J78">
        <f t="shared" si="1"/>
        <v>0.54201521656331353</v>
      </c>
      <c r="K78">
        <f t="shared" si="2"/>
        <v>8.2149793281526371</v>
      </c>
      <c r="L78">
        <f t="shared" si="3"/>
        <v>706.46100000000001</v>
      </c>
      <c r="M78">
        <f t="shared" si="4"/>
        <v>293.74306944921261</v>
      </c>
      <c r="N78">
        <f t="shared" si="5"/>
        <v>29.204760501436663</v>
      </c>
      <c r="O78">
        <f t="shared" si="6"/>
        <v>70.238335656027004</v>
      </c>
      <c r="P78">
        <f t="shared" si="7"/>
        <v>3.3143085707920815E-2</v>
      </c>
      <c r="Q78">
        <f t="shared" si="8"/>
        <v>2.1165645607904233</v>
      </c>
      <c r="R78">
        <f t="shared" si="9"/>
        <v>3.285744347363919E-2</v>
      </c>
      <c r="S78">
        <f t="shared" si="10"/>
        <v>2.0561360708226832E-2</v>
      </c>
      <c r="T78">
        <f t="shared" si="11"/>
        <v>276.11517351600003</v>
      </c>
      <c r="U78">
        <f t="shared" si="12"/>
        <v>28.732582622037548</v>
      </c>
      <c r="V78">
        <f t="shared" si="13"/>
        <v>28.732582622037548</v>
      </c>
      <c r="W78">
        <f t="shared" si="14"/>
        <v>3.9599571807450111</v>
      </c>
      <c r="X78">
        <f t="shared" si="15"/>
        <v>67.350681862496458</v>
      </c>
      <c r="Y78">
        <f t="shared" si="16"/>
        <v>2.3721088676516002</v>
      </c>
      <c r="Z78">
        <f t="shared" si="17"/>
        <v>3.5220265067167564</v>
      </c>
      <c r="AA78">
        <f t="shared" si="18"/>
        <v>1.5878483130934109</v>
      </c>
      <c r="AB78">
        <f t="shared" si="19"/>
        <v>-23.90287105044213</v>
      </c>
      <c r="AC78">
        <f t="shared" si="20"/>
        <v>-228.93335607434304</v>
      </c>
      <c r="AD78">
        <f t="shared" si="21"/>
        <v>-23.513725140462601</v>
      </c>
      <c r="AE78">
        <f t="shared" si="22"/>
        <v>-0.23477874924773801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52532.354466787721</v>
      </c>
      <c r="AK78">
        <f t="shared" si="26"/>
        <v>1800</v>
      </c>
      <c r="AL78">
        <f t="shared" si="27"/>
        <v>1499.1105996000001</v>
      </c>
      <c r="AM78">
        <f t="shared" si="28"/>
        <v>0.83283922200000005</v>
      </c>
      <c r="AN78">
        <f t="shared" si="29"/>
        <v>0.15339731862</v>
      </c>
      <c r="AO78">
        <v>32.700000000000003</v>
      </c>
      <c r="AP78">
        <v>0.5</v>
      </c>
      <c r="AQ78" t="s">
        <v>331</v>
      </c>
      <c r="AR78">
        <v>2</v>
      </c>
      <c r="AS78">
        <v>1690301649.5</v>
      </c>
      <c r="AT78">
        <v>706.46100000000001</v>
      </c>
      <c r="AU78">
        <v>800.09500000000003</v>
      </c>
      <c r="AV78">
        <v>23.858799999999999</v>
      </c>
      <c r="AW78">
        <v>18.096900000000002</v>
      </c>
      <c r="AX78">
        <v>706.71199999999999</v>
      </c>
      <c r="AY78">
        <v>23.577200000000001</v>
      </c>
      <c r="AZ78">
        <v>300.26600000000002</v>
      </c>
      <c r="BA78">
        <v>99.322800000000001</v>
      </c>
      <c r="BB78">
        <v>0.100007</v>
      </c>
      <c r="BC78">
        <v>26.726299999999998</v>
      </c>
      <c r="BD78">
        <v>26.995999999999999</v>
      </c>
      <c r="BE78">
        <v>28.491700000000002</v>
      </c>
      <c r="BF78">
        <v>0</v>
      </c>
      <c r="BG78">
        <v>0</v>
      </c>
      <c r="BH78">
        <v>9993.1200000000008</v>
      </c>
      <c r="BI78">
        <v>1076.26</v>
      </c>
      <c r="BJ78">
        <v>1.96231</v>
      </c>
      <c r="BK78">
        <v>-93.634</v>
      </c>
      <c r="BL78">
        <v>723.72799999999995</v>
      </c>
      <c r="BM78">
        <v>814.84100000000001</v>
      </c>
      <c r="BN78">
        <v>5.7618499999999999</v>
      </c>
      <c r="BO78">
        <v>800.09500000000003</v>
      </c>
      <c r="BP78">
        <v>18.096900000000002</v>
      </c>
      <c r="BQ78">
        <v>2.36972</v>
      </c>
      <c r="BR78">
        <v>1.7974399999999999</v>
      </c>
      <c r="BS78">
        <v>20.158300000000001</v>
      </c>
      <c r="BT78">
        <v>15.7645</v>
      </c>
      <c r="BU78">
        <v>1800</v>
      </c>
      <c r="BV78">
        <v>0.90999799999999997</v>
      </c>
      <c r="BW78">
        <v>3.4003499999999999E-2</v>
      </c>
      <c r="BX78">
        <v>2.1999600000000001E-2</v>
      </c>
      <c r="BY78">
        <v>3.3998399999999998E-2</v>
      </c>
      <c r="BZ78">
        <v>25</v>
      </c>
      <c r="CA78">
        <v>33528.300000000003</v>
      </c>
      <c r="CB78">
        <v>1690300477.5</v>
      </c>
      <c r="CC78" t="s">
        <v>332</v>
      </c>
      <c r="CD78">
        <v>1690300477.5</v>
      </c>
      <c r="CE78">
        <v>1690300465.5</v>
      </c>
      <c r="CF78">
        <v>7</v>
      </c>
      <c r="CG78">
        <v>5.0999999999999997E-2</v>
      </c>
      <c r="CH78">
        <v>-8.0000000000000002E-3</v>
      </c>
      <c r="CI78">
        <v>-0.316</v>
      </c>
      <c r="CJ78">
        <v>0.28199999999999997</v>
      </c>
      <c r="CK78">
        <v>800</v>
      </c>
      <c r="CL78">
        <v>24</v>
      </c>
      <c r="CM78">
        <v>0.25</v>
      </c>
      <c r="CN78">
        <v>0.13</v>
      </c>
      <c r="CO78">
        <v>-89.088770731707314</v>
      </c>
      <c r="CP78">
        <v>-23.85544808362377</v>
      </c>
      <c r="CQ78">
        <v>2.3526885517599632</v>
      </c>
      <c r="CR78">
        <v>-1</v>
      </c>
      <c r="CS78">
        <v>5.5529456097560974</v>
      </c>
      <c r="CT78">
        <v>1.107920278745655</v>
      </c>
      <c r="CU78">
        <v>0.1094762622014645</v>
      </c>
      <c r="CV78">
        <v>-1</v>
      </c>
      <c r="CW78">
        <v>0</v>
      </c>
      <c r="CX78">
        <v>0</v>
      </c>
      <c r="CY78" t="s">
        <v>333</v>
      </c>
      <c r="CZ78">
        <v>2.3647</v>
      </c>
      <c r="DA78">
        <v>2.7137899999999999</v>
      </c>
      <c r="DB78">
        <v>0.13528000000000001</v>
      </c>
      <c r="DC78">
        <v>0.14668500000000001</v>
      </c>
      <c r="DD78">
        <v>0.11337800000000001</v>
      </c>
      <c r="DE78">
        <v>9.2112299999999994E-2</v>
      </c>
      <c r="DF78">
        <v>31581.5</v>
      </c>
      <c r="DG78">
        <v>27511.9</v>
      </c>
      <c r="DH78">
        <v>31178.9</v>
      </c>
      <c r="DI78">
        <v>28093.4</v>
      </c>
      <c r="DJ78">
        <v>37531.9</v>
      </c>
      <c r="DK78">
        <v>36269.9</v>
      </c>
      <c r="DL78">
        <v>44373</v>
      </c>
      <c r="DM78">
        <v>42583.6</v>
      </c>
      <c r="DN78">
        <v>1.4708000000000001</v>
      </c>
      <c r="DO78">
        <v>2.05897</v>
      </c>
      <c r="DP78">
        <v>9.3445200000000006E-2</v>
      </c>
      <c r="DQ78">
        <v>0.198126</v>
      </c>
      <c r="DR78">
        <v>25.465900000000001</v>
      </c>
      <c r="DS78">
        <v>25.250800000000002</v>
      </c>
      <c r="DT78">
        <v>57.2</v>
      </c>
      <c r="DU78">
        <v>28.9</v>
      </c>
      <c r="DV78">
        <v>23.034400000000002</v>
      </c>
      <c r="DW78">
        <v>61.314700000000002</v>
      </c>
      <c r="DX78">
        <v>35.4527</v>
      </c>
      <c r="DY78">
        <v>1</v>
      </c>
      <c r="DZ78">
        <v>-8.9918700000000004E-2</v>
      </c>
      <c r="EA78">
        <v>0.57128500000000004</v>
      </c>
      <c r="EB78">
        <v>20.188300000000002</v>
      </c>
      <c r="EC78">
        <v>5.2409499999999998</v>
      </c>
      <c r="ED78">
        <v>12.039899999999999</v>
      </c>
      <c r="EE78">
        <v>5.0164499999999999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</v>
      </c>
      <c r="EL78">
        <v>1.8646199999999999</v>
      </c>
      <c r="EM78">
        <v>1.8692</v>
      </c>
      <c r="EN78">
        <v>1.8672200000000001</v>
      </c>
      <c r="EO78">
        <v>1.8633999999999999</v>
      </c>
      <c r="EP78">
        <v>1.8644700000000001</v>
      </c>
      <c r="EQ78">
        <v>1.8701399999999999</v>
      </c>
      <c r="ER78">
        <v>1.86938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-0.251</v>
      </c>
      <c r="FG78">
        <v>0.28160000000000002</v>
      </c>
      <c r="FH78">
        <v>0.23539598422606861</v>
      </c>
      <c r="FI78">
        <v>-6.1462078757559423E-4</v>
      </c>
      <c r="FJ78">
        <v>-1.8861989874597051E-7</v>
      </c>
      <c r="FK78">
        <v>1.1980462299894961E-10</v>
      </c>
      <c r="FL78">
        <v>0.28151999999999688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19.5</v>
      </c>
      <c r="FU78">
        <v>19.7</v>
      </c>
      <c r="FV78">
        <v>1.79077</v>
      </c>
      <c r="FW78">
        <v>2.5854499999999998</v>
      </c>
      <c r="FX78">
        <v>1.5490699999999999</v>
      </c>
      <c r="FY78">
        <v>2.3290999999999999</v>
      </c>
      <c r="FZ78">
        <v>1.50146</v>
      </c>
      <c r="GA78">
        <v>2.3974600000000001</v>
      </c>
      <c r="GB78">
        <v>33.6479</v>
      </c>
      <c r="GC78">
        <v>23.982399999999998</v>
      </c>
      <c r="GD78">
        <v>19</v>
      </c>
      <c r="GE78">
        <v>280.74900000000002</v>
      </c>
      <c r="GF78">
        <v>602.41499999999996</v>
      </c>
      <c r="GG78">
        <v>24.580500000000001</v>
      </c>
      <c r="GH78">
        <v>26.2667</v>
      </c>
      <c r="GI78">
        <v>30.000299999999999</v>
      </c>
      <c r="GJ78">
        <v>26.3889</v>
      </c>
      <c r="GK78">
        <v>26.3687</v>
      </c>
      <c r="GL78">
        <v>35.810600000000001</v>
      </c>
      <c r="GM78">
        <v>30.403700000000001</v>
      </c>
      <c r="GN78">
        <v>99.625299999999996</v>
      </c>
      <c r="GO78">
        <v>24.553799999999999</v>
      </c>
      <c r="GP78">
        <v>800</v>
      </c>
      <c r="GQ78">
        <v>17.965</v>
      </c>
      <c r="GR78">
        <v>99.762500000000003</v>
      </c>
      <c r="GS78">
        <v>99.614400000000003</v>
      </c>
    </row>
    <row r="79" spans="1:201" x14ac:dyDescent="0.25">
      <c r="A79">
        <v>63</v>
      </c>
      <c r="B79">
        <v>1690301659.5</v>
      </c>
      <c r="C79">
        <v>755.5</v>
      </c>
      <c r="D79" t="s">
        <v>457</v>
      </c>
      <c r="E79" t="s">
        <v>458</v>
      </c>
      <c r="F79" t="s">
        <v>330</v>
      </c>
      <c r="H79">
        <v>1690301659.5</v>
      </c>
      <c r="I79">
        <f t="shared" si="0"/>
        <v>5.5570045357055114E-4</v>
      </c>
      <c r="J79">
        <f t="shared" si="1"/>
        <v>0.55570045357055109</v>
      </c>
      <c r="K79">
        <f t="shared" si="2"/>
        <v>8.5876810285958971</v>
      </c>
      <c r="L79">
        <f t="shared" si="3"/>
        <v>702.29399999999998</v>
      </c>
      <c r="M79">
        <f t="shared" si="4"/>
        <v>283.02302600378778</v>
      </c>
      <c r="N79">
        <f t="shared" si="5"/>
        <v>28.13925643137431</v>
      </c>
      <c r="O79">
        <f t="shared" si="6"/>
        <v>69.824816854128002</v>
      </c>
      <c r="P79">
        <f t="shared" si="7"/>
        <v>3.4075741101097561E-2</v>
      </c>
      <c r="Q79">
        <f t="shared" si="8"/>
        <v>2.1140592935076414</v>
      </c>
      <c r="R79">
        <f t="shared" si="9"/>
        <v>3.3773521265103031E-2</v>
      </c>
      <c r="S79">
        <f t="shared" si="10"/>
        <v>2.1135380547012295E-2</v>
      </c>
      <c r="T79">
        <f t="shared" si="11"/>
        <v>276.11357785715649</v>
      </c>
      <c r="U79">
        <f t="shared" si="12"/>
        <v>28.714949576324202</v>
      </c>
      <c r="V79">
        <f t="shared" si="13"/>
        <v>28.714949576324202</v>
      </c>
      <c r="W79">
        <f t="shared" si="14"/>
        <v>3.9559104466847299</v>
      </c>
      <c r="X79">
        <f t="shared" si="15"/>
        <v>67.409221886305261</v>
      </c>
      <c r="Y79">
        <f t="shared" si="16"/>
        <v>2.3720755772783999</v>
      </c>
      <c r="Z79">
        <f t="shared" si="17"/>
        <v>3.5189184964621387</v>
      </c>
      <c r="AA79">
        <f t="shared" si="18"/>
        <v>1.58383486940633</v>
      </c>
      <c r="AB79">
        <f t="shared" si="19"/>
        <v>-24.506390002461305</v>
      </c>
      <c r="AC79">
        <f t="shared" si="20"/>
        <v>-228.36228302640154</v>
      </c>
      <c r="AD79">
        <f t="shared" si="21"/>
        <v>-23.479042979931318</v>
      </c>
      <c r="AE79">
        <f t="shared" si="22"/>
        <v>-0.23413815163766571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52425.236095732966</v>
      </c>
      <c r="AK79">
        <f t="shared" si="26"/>
        <v>1799.99</v>
      </c>
      <c r="AL79">
        <f t="shared" si="27"/>
        <v>1499.1036716000001</v>
      </c>
      <c r="AM79">
        <f t="shared" si="28"/>
        <v>0.83284000000000002</v>
      </c>
      <c r="AN79">
        <f t="shared" si="29"/>
        <v>0.15339728435</v>
      </c>
      <c r="AO79">
        <v>32.700000000000003</v>
      </c>
      <c r="AP79">
        <v>0.5</v>
      </c>
      <c r="AQ79" t="s">
        <v>331</v>
      </c>
      <c r="AR79">
        <v>2</v>
      </c>
      <c r="AS79">
        <v>1690301659.5</v>
      </c>
      <c r="AT79">
        <v>702.29399999999998</v>
      </c>
      <c r="AU79">
        <v>800.09199999999998</v>
      </c>
      <c r="AV79">
        <v>23.8582</v>
      </c>
      <c r="AW79">
        <v>17.949300000000001</v>
      </c>
      <c r="AX79">
        <v>702.54200000000003</v>
      </c>
      <c r="AY79">
        <v>23.576599999999999</v>
      </c>
      <c r="AZ79">
        <v>300.18900000000002</v>
      </c>
      <c r="BA79">
        <v>99.323899999999995</v>
      </c>
      <c r="BB79">
        <v>0.100012</v>
      </c>
      <c r="BC79">
        <v>26.711300000000001</v>
      </c>
      <c r="BD79">
        <v>26.949200000000001</v>
      </c>
      <c r="BE79">
        <v>28.5017</v>
      </c>
      <c r="BF79">
        <v>0</v>
      </c>
      <c r="BG79">
        <v>0</v>
      </c>
      <c r="BH79">
        <v>9971.25</v>
      </c>
      <c r="BI79">
        <v>1076.3800000000001</v>
      </c>
      <c r="BJ79">
        <v>1.96231</v>
      </c>
      <c r="BK79">
        <v>-97.797899999999998</v>
      </c>
      <c r="BL79">
        <v>719.45899999999995</v>
      </c>
      <c r="BM79">
        <v>814.71500000000003</v>
      </c>
      <c r="BN79">
        <v>5.9089099999999997</v>
      </c>
      <c r="BO79">
        <v>800.09199999999998</v>
      </c>
      <c r="BP79">
        <v>17.949300000000001</v>
      </c>
      <c r="BQ79">
        <v>2.3696899999999999</v>
      </c>
      <c r="BR79">
        <v>1.7827900000000001</v>
      </c>
      <c r="BS79">
        <v>20.158100000000001</v>
      </c>
      <c r="BT79">
        <v>15.636699999999999</v>
      </c>
      <c r="BU79">
        <v>1799.99</v>
      </c>
      <c r="BV79">
        <v>0.91000300000000001</v>
      </c>
      <c r="BW79">
        <v>3.4001799999999999E-2</v>
      </c>
      <c r="BX79">
        <v>2.1998500000000001E-2</v>
      </c>
      <c r="BY79">
        <v>3.3996699999999998E-2</v>
      </c>
      <c r="BZ79">
        <v>25</v>
      </c>
      <c r="CA79">
        <v>33528.300000000003</v>
      </c>
      <c r="CB79">
        <v>1690300477.5</v>
      </c>
      <c r="CC79" t="s">
        <v>332</v>
      </c>
      <c r="CD79">
        <v>1690300477.5</v>
      </c>
      <c r="CE79">
        <v>1690300465.5</v>
      </c>
      <c r="CF79">
        <v>7</v>
      </c>
      <c r="CG79">
        <v>5.0999999999999997E-2</v>
      </c>
      <c r="CH79">
        <v>-8.0000000000000002E-3</v>
      </c>
      <c r="CI79">
        <v>-0.316</v>
      </c>
      <c r="CJ79">
        <v>0.28199999999999997</v>
      </c>
      <c r="CK79">
        <v>800</v>
      </c>
      <c r="CL79">
        <v>24</v>
      </c>
      <c r="CM79">
        <v>0.25</v>
      </c>
      <c r="CN79">
        <v>0.13</v>
      </c>
      <c r="CO79">
        <v>-93.153302439024387</v>
      </c>
      <c r="CP79">
        <v>-24.793386062717779</v>
      </c>
      <c r="CQ79">
        <v>2.4449572031256501</v>
      </c>
      <c r="CR79">
        <v>-1</v>
      </c>
      <c r="CS79">
        <v>5.7283656097560982</v>
      </c>
      <c r="CT79">
        <v>0.98873310104529288</v>
      </c>
      <c r="CU79">
        <v>9.7922112579055753E-2</v>
      </c>
      <c r="CV79">
        <v>-1</v>
      </c>
      <c r="CW79">
        <v>0</v>
      </c>
      <c r="CX79">
        <v>0</v>
      </c>
      <c r="CY79" t="s">
        <v>333</v>
      </c>
      <c r="CZ79">
        <v>2.3644599999999998</v>
      </c>
      <c r="DA79">
        <v>2.7137799999999999</v>
      </c>
      <c r="DB79">
        <v>0.13473599999999999</v>
      </c>
      <c r="DC79">
        <v>0.14668400000000001</v>
      </c>
      <c r="DD79">
        <v>0.11337800000000001</v>
      </c>
      <c r="DE79">
        <v>9.1573799999999997E-2</v>
      </c>
      <c r="DF79">
        <v>31601.4</v>
      </c>
      <c r="DG79">
        <v>27512.400000000001</v>
      </c>
      <c r="DH79">
        <v>31179</v>
      </c>
      <c r="DI79">
        <v>28093.9</v>
      </c>
      <c r="DJ79">
        <v>37532</v>
      </c>
      <c r="DK79">
        <v>36292.1</v>
      </c>
      <c r="DL79">
        <v>44373.2</v>
      </c>
      <c r="DM79">
        <v>42584.4</v>
      </c>
      <c r="DN79">
        <v>1.4714799999999999</v>
      </c>
      <c r="DO79">
        <v>2.0588500000000001</v>
      </c>
      <c r="DP79">
        <v>9.0584200000000004E-2</v>
      </c>
      <c r="DQ79">
        <v>0.198655</v>
      </c>
      <c r="DR79">
        <v>25.465900000000001</v>
      </c>
      <c r="DS79">
        <v>25.252199999999998</v>
      </c>
      <c r="DT79">
        <v>57.2</v>
      </c>
      <c r="DU79">
        <v>28.9</v>
      </c>
      <c r="DV79">
        <v>23.029699999999998</v>
      </c>
      <c r="DW79">
        <v>61.484699999999997</v>
      </c>
      <c r="DX79">
        <v>36.069699999999997</v>
      </c>
      <c r="DY79">
        <v>1</v>
      </c>
      <c r="DZ79">
        <v>-9.0584399999999995E-2</v>
      </c>
      <c r="EA79">
        <v>0.107312</v>
      </c>
      <c r="EB79">
        <v>20.189800000000002</v>
      </c>
      <c r="EC79">
        <v>5.2409499999999998</v>
      </c>
      <c r="ED79">
        <v>12.039899999999999</v>
      </c>
      <c r="EE79">
        <v>5.0163000000000002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</v>
      </c>
      <c r="EL79">
        <v>1.8646199999999999</v>
      </c>
      <c r="EM79">
        <v>1.8691899999999999</v>
      </c>
      <c r="EN79">
        <v>1.8672200000000001</v>
      </c>
      <c r="EO79">
        <v>1.86338</v>
      </c>
      <c r="EP79">
        <v>1.8644700000000001</v>
      </c>
      <c r="EQ79">
        <v>1.8701399999999999</v>
      </c>
      <c r="ER79">
        <v>1.86938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-0.248</v>
      </c>
      <c r="FG79">
        <v>0.28160000000000002</v>
      </c>
      <c r="FH79">
        <v>0.23539598422606861</v>
      </c>
      <c r="FI79">
        <v>-6.1462078757559423E-4</v>
      </c>
      <c r="FJ79">
        <v>-1.8861989874597051E-7</v>
      </c>
      <c r="FK79">
        <v>1.1980462299894961E-10</v>
      </c>
      <c r="FL79">
        <v>0.28151999999999688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19.7</v>
      </c>
      <c r="FU79">
        <v>19.899999999999999</v>
      </c>
      <c r="FV79">
        <v>1.79077</v>
      </c>
      <c r="FW79">
        <v>2.5854499999999998</v>
      </c>
      <c r="FX79">
        <v>1.5490699999999999</v>
      </c>
      <c r="FY79">
        <v>2.3303199999999999</v>
      </c>
      <c r="FZ79">
        <v>1.50146</v>
      </c>
      <c r="GA79">
        <v>2.4243199999999998</v>
      </c>
      <c r="GB79">
        <v>33.625399999999999</v>
      </c>
      <c r="GC79">
        <v>23.982399999999998</v>
      </c>
      <c r="GD79">
        <v>19</v>
      </c>
      <c r="GE79">
        <v>281.02100000000002</v>
      </c>
      <c r="GF79">
        <v>602.28300000000002</v>
      </c>
      <c r="GG79">
        <v>24.533899999999999</v>
      </c>
      <c r="GH79">
        <v>26.262799999999999</v>
      </c>
      <c r="GI79">
        <v>29.999700000000001</v>
      </c>
      <c r="GJ79">
        <v>26.3856</v>
      </c>
      <c r="GK79">
        <v>26.366399999999999</v>
      </c>
      <c r="GL79">
        <v>35.803600000000003</v>
      </c>
      <c r="GM79">
        <v>30.959700000000002</v>
      </c>
      <c r="GN79">
        <v>99.250699999999995</v>
      </c>
      <c r="GO79">
        <v>24.5806</v>
      </c>
      <c r="GP79">
        <v>800</v>
      </c>
      <c r="GQ79">
        <v>17.817699999999999</v>
      </c>
      <c r="GR79">
        <v>99.762799999999999</v>
      </c>
      <c r="GS79">
        <v>99.616100000000003</v>
      </c>
    </row>
    <row r="80" spans="1:201" x14ac:dyDescent="0.25">
      <c r="A80">
        <v>64</v>
      </c>
      <c r="B80">
        <v>1690301669.5</v>
      </c>
      <c r="C80">
        <v>765.5</v>
      </c>
      <c r="D80" t="s">
        <v>459</v>
      </c>
      <c r="E80" t="s">
        <v>460</v>
      </c>
      <c r="F80" t="s">
        <v>330</v>
      </c>
      <c r="H80">
        <v>1690301669.5</v>
      </c>
      <c r="I80">
        <f t="shared" si="0"/>
        <v>5.7412650911307873E-4</v>
      </c>
      <c r="J80">
        <f t="shared" si="1"/>
        <v>0.57412650911307872</v>
      </c>
      <c r="K80">
        <f t="shared" si="2"/>
        <v>8.9721376333434044</v>
      </c>
      <c r="L80">
        <f t="shared" si="3"/>
        <v>697.97199999999998</v>
      </c>
      <c r="M80">
        <f t="shared" si="4"/>
        <v>276.63930332423558</v>
      </c>
      <c r="N80">
        <f t="shared" si="5"/>
        <v>27.503462025227599</v>
      </c>
      <c r="O80">
        <f t="shared" si="6"/>
        <v>69.392332058372403</v>
      </c>
      <c r="P80">
        <f t="shared" si="7"/>
        <v>3.541326457780445E-2</v>
      </c>
      <c r="Q80">
        <f t="shared" si="8"/>
        <v>2.1172519526509892</v>
      </c>
      <c r="R80">
        <f t="shared" si="9"/>
        <v>3.5087463654434499E-2</v>
      </c>
      <c r="S80">
        <f t="shared" si="10"/>
        <v>2.1958686802612516E-2</v>
      </c>
      <c r="T80">
        <f t="shared" si="11"/>
        <v>276.11334205846651</v>
      </c>
      <c r="U80">
        <f t="shared" si="12"/>
        <v>28.694663420627897</v>
      </c>
      <c r="V80">
        <f t="shared" si="13"/>
        <v>28.694663420627897</v>
      </c>
      <c r="W80">
        <f t="shared" si="14"/>
        <v>3.951259293142297</v>
      </c>
      <c r="X80">
        <f t="shared" si="15"/>
        <v>67.571866572045465</v>
      </c>
      <c r="Y80">
        <f t="shared" si="16"/>
        <v>2.37624584906037</v>
      </c>
      <c r="Z80">
        <f t="shared" si="17"/>
        <v>3.5166201107184221</v>
      </c>
      <c r="AA80">
        <f t="shared" si="18"/>
        <v>1.575013444081927</v>
      </c>
      <c r="AB80">
        <f t="shared" si="19"/>
        <v>-25.318979051886771</v>
      </c>
      <c r="AC80">
        <f t="shared" si="20"/>
        <v>-227.65860009971126</v>
      </c>
      <c r="AD80">
        <f t="shared" si="21"/>
        <v>-23.367737187497791</v>
      </c>
      <c r="AE80">
        <f t="shared" si="22"/>
        <v>-0.23197428062931635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52567.01557738884</v>
      </c>
      <c r="AK80">
        <f t="shared" si="26"/>
        <v>1799.99</v>
      </c>
      <c r="AL80">
        <f t="shared" si="27"/>
        <v>1499.1039775982999</v>
      </c>
      <c r="AM80">
        <f t="shared" si="28"/>
        <v>0.83284016999999999</v>
      </c>
      <c r="AN80">
        <f t="shared" si="29"/>
        <v>0.15339715335000001</v>
      </c>
      <c r="AO80">
        <v>32.700000000000003</v>
      </c>
      <c r="AP80">
        <v>0.5</v>
      </c>
      <c r="AQ80" t="s">
        <v>331</v>
      </c>
      <c r="AR80">
        <v>2</v>
      </c>
      <c r="AS80">
        <v>1690301669.5</v>
      </c>
      <c r="AT80">
        <v>697.97199999999998</v>
      </c>
      <c r="AU80">
        <v>800.11099999999999</v>
      </c>
      <c r="AV80">
        <v>23.9011</v>
      </c>
      <c r="AW80">
        <v>17.7942</v>
      </c>
      <c r="AX80">
        <v>698.21699999999998</v>
      </c>
      <c r="AY80">
        <v>23.619599999999998</v>
      </c>
      <c r="AZ80">
        <v>300.07400000000001</v>
      </c>
      <c r="BA80">
        <v>99.32</v>
      </c>
      <c r="BB80">
        <v>9.9936700000000003E-2</v>
      </c>
      <c r="BC80">
        <v>26.700199999999999</v>
      </c>
      <c r="BD80">
        <v>26.9541</v>
      </c>
      <c r="BE80">
        <v>28.450600000000001</v>
      </c>
      <c r="BF80">
        <v>0</v>
      </c>
      <c r="BG80">
        <v>0</v>
      </c>
      <c r="BH80">
        <v>9999.3799999999992</v>
      </c>
      <c r="BI80">
        <v>1076.43</v>
      </c>
      <c r="BJ80">
        <v>1.96231</v>
      </c>
      <c r="BK80">
        <v>-102.139</v>
      </c>
      <c r="BL80">
        <v>715.06299999999999</v>
      </c>
      <c r="BM80">
        <v>814.60599999999999</v>
      </c>
      <c r="BN80">
        <v>6.1069000000000004</v>
      </c>
      <c r="BO80">
        <v>800.11099999999999</v>
      </c>
      <c r="BP80">
        <v>17.7942</v>
      </c>
      <c r="BQ80">
        <v>2.3738600000000001</v>
      </c>
      <c r="BR80">
        <v>1.76732</v>
      </c>
      <c r="BS80">
        <v>20.186499999999999</v>
      </c>
      <c r="BT80">
        <v>15.5007</v>
      </c>
      <c r="BU80">
        <v>1799.99</v>
      </c>
      <c r="BV80">
        <v>0.91000700000000001</v>
      </c>
      <c r="BW80">
        <v>3.4000200000000001E-2</v>
      </c>
      <c r="BX80">
        <v>2.19975E-2</v>
      </c>
      <c r="BY80">
        <v>3.39951E-2</v>
      </c>
      <c r="BZ80">
        <v>25</v>
      </c>
      <c r="CA80">
        <v>33528.300000000003</v>
      </c>
      <c r="CB80">
        <v>1690300477.5</v>
      </c>
      <c r="CC80" t="s">
        <v>332</v>
      </c>
      <c r="CD80">
        <v>1690300477.5</v>
      </c>
      <c r="CE80">
        <v>1690300465.5</v>
      </c>
      <c r="CF80">
        <v>7</v>
      </c>
      <c r="CG80">
        <v>5.0999999999999997E-2</v>
      </c>
      <c r="CH80">
        <v>-8.0000000000000002E-3</v>
      </c>
      <c r="CI80">
        <v>-0.316</v>
      </c>
      <c r="CJ80">
        <v>0.28199999999999997</v>
      </c>
      <c r="CK80">
        <v>800</v>
      </c>
      <c r="CL80">
        <v>24</v>
      </c>
      <c r="CM80">
        <v>0.25</v>
      </c>
      <c r="CN80">
        <v>0.13</v>
      </c>
      <c r="CO80">
        <v>-97.2365475</v>
      </c>
      <c r="CP80">
        <v>-25.268576735459529</v>
      </c>
      <c r="CQ80">
        <v>2.4313534776938019</v>
      </c>
      <c r="CR80">
        <v>-1</v>
      </c>
      <c r="CS80">
        <v>5.8931057499999993</v>
      </c>
      <c r="CT80">
        <v>0.97496521575982864</v>
      </c>
      <c r="CU80">
        <v>9.4241945833251475E-2</v>
      </c>
      <c r="CV80">
        <v>-1</v>
      </c>
      <c r="CW80">
        <v>0</v>
      </c>
      <c r="CX80">
        <v>0</v>
      </c>
      <c r="CY80" t="s">
        <v>333</v>
      </c>
      <c r="CZ80">
        <v>2.36408</v>
      </c>
      <c r="DA80">
        <v>2.71373</v>
      </c>
      <c r="DB80">
        <v>0.13416500000000001</v>
      </c>
      <c r="DC80">
        <v>0.146679</v>
      </c>
      <c r="DD80">
        <v>0.11351899999999999</v>
      </c>
      <c r="DE80">
        <v>9.1002100000000002E-2</v>
      </c>
      <c r="DF80">
        <v>31623</v>
      </c>
      <c r="DG80">
        <v>27513</v>
      </c>
      <c r="DH80">
        <v>31179.599999999999</v>
      </c>
      <c r="DI80">
        <v>28094.3</v>
      </c>
      <c r="DJ80">
        <v>37526.699999999997</v>
      </c>
      <c r="DK80">
        <v>36315.199999999997</v>
      </c>
      <c r="DL80">
        <v>44374.1</v>
      </c>
      <c r="DM80">
        <v>42584.7</v>
      </c>
      <c r="DN80">
        <v>1.47133</v>
      </c>
      <c r="DO80">
        <v>2.0588500000000001</v>
      </c>
      <c r="DP80">
        <v>9.0882199999999996E-2</v>
      </c>
      <c r="DQ80">
        <v>0.19552600000000001</v>
      </c>
      <c r="DR80">
        <v>25.465900000000001</v>
      </c>
      <c r="DS80">
        <v>25.252199999999998</v>
      </c>
      <c r="DT80">
        <v>57.2</v>
      </c>
      <c r="DU80">
        <v>28.9</v>
      </c>
      <c r="DV80">
        <v>23.027999999999999</v>
      </c>
      <c r="DW80">
        <v>61.804699999999997</v>
      </c>
      <c r="DX80">
        <v>36.498399999999997</v>
      </c>
      <c r="DY80">
        <v>1</v>
      </c>
      <c r="DZ80">
        <v>-9.1615799999999997E-2</v>
      </c>
      <c r="EA80">
        <v>-0.10041700000000001</v>
      </c>
      <c r="EB80">
        <v>20.189900000000002</v>
      </c>
      <c r="EC80">
        <v>5.2401999999999997</v>
      </c>
      <c r="ED80">
        <v>12.039899999999999</v>
      </c>
      <c r="EE80">
        <v>5.0163000000000002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</v>
      </c>
      <c r="EL80">
        <v>1.8646199999999999</v>
      </c>
      <c r="EM80">
        <v>1.8691899999999999</v>
      </c>
      <c r="EN80">
        <v>1.8672200000000001</v>
      </c>
      <c r="EO80">
        <v>1.8633999999999999</v>
      </c>
      <c r="EP80">
        <v>1.8644700000000001</v>
      </c>
      <c r="EQ80">
        <v>1.8701700000000001</v>
      </c>
      <c r="ER80">
        <v>1.8693900000000001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-0.245</v>
      </c>
      <c r="FG80">
        <v>0.28149999999999997</v>
      </c>
      <c r="FH80">
        <v>0.23539598422606861</v>
      </c>
      <c r="FI80">
        <v>-6.1462078757559423E-4</v>
      </c>
      <c r="FJ80">
        <v>-1.8861989874597051E-7</v>
      </c>
      <c r="FK80">
        <v>1.1980462299894961E-10</v>
      </c>
      <c r="FL80">
        <v>0.28151999999999688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19.899999999999999</v>
      </c>
      <c r="FU80">
        <v>20.100000000000001</v>
      </c>
      <c r="FV80">
        <v>1.79077</v>
      </c>
      <c r="FW80">
        <v>2.5854499999999998</v>
      </c>
      <c r="FX80">
        <v>1.5490699999999999</v>
      </c>
      <c r="FY80">
        <v>2.3290999999999999</v>
      </c>
      <c r="FZ80">
        <v>1.50146</v>
      </c>
      <c r="GA80">
        <v>2.36816</v>
      </c>
      <c r="GB80">
        <v>33.6479</v>
      </c>
      <c r="GC80">
        <v>23.982399999999998</v>
      </c>
      <c r="GD80">
        <v>19</v>
      </c>
      <c r="GE80">
        <v>280.94299999999998</v>
      </c>
      <c r="GF80">
        <v>602.24599999999998</v>
      </c>
      <c r="GG80">
        <v>24.613600000000002</v>
      </c>
      <c r="GH80">
        <v>26.258400000000002</v>
      </c>
      <c r="GI80">
        <v>29.999700000000001</v>
      </c>
      <c r="GJ80">
        <v>26.382300000000001</v>
      </c>
      <c r="GK80">
        <v>26.363299999999999</v>
      </c>
      <c r="GL80">
        <v>35.799799999999998</v>
      </c>
      <c r="GM80">
        <v>31.820799999999998</v>
      </c>
      <c r="GN80">
        <v>99.250699999999995</v>
      </c>
      <c r="GO80">
        <v>24.647200000000002</v>
      </c>
      <c r="GP80">
        <v>800</v>
      </c>
      <c r="GQ80">
        <v>17.638999999999999</v>
      </c>
      <c r="GR80">
        <v>99.764899999999997</v>
      </c>
      <c r="GS80">
        <v>99.617199999999997</v>
      </c>
    </row>
    <row r="81" spans="1:201" x14ac:dyDescent="0.25">
      <c r="A81">
        <v>65</v>
      </c>
      <c r="B81">
        <v>1690301679.5</v>
      </c>
      <c r="C81">
        <v>775.5</v>
      </c>
      <c r="D81" t="s">
        <v>461</v>
      </c>
      <c r="E81" t="s">
        <v>462</v>
      </c>
      <c r="F81" t="s">
        <v>330</v>
      </c>
      <c r="H81">
        <v>1690301679.5</v>
      </c>
      <c r="I81">
        <f t="shared" ref="I81:I144" si="30">(J81)/1000</f>
        <v>5.9744753086546538E-4</v>
      </c>
      <c r="J81">
        <f t="shared" ref="J81:J144" si="31">1000*AZ81*AH81*(AV81-AW81)/(100*AO81*(1000-AH81*AV81))</f>
        <v>0.59744753086546543</v>
      </c>
      <c r="K81">
        <f t="shared" ref="K81:K144" si="32">AZ81*AH81*(AU81-AT81*(1000-AH81*AW81)/(1000-AH81*AV81))/(100*AO81)</f>
        <v>9.3640883371306991</v>
      </c>
      <c r="L81">
        <f t="shared" ref="L81:L144" si="33">AT81 - IF(AH81&gt;1, K81*AO81*100/(AJ81*BH81), 0)</f>
        <v>693.57299999999998</v>
      </c>
      <c r="M81">
        <f t="shared" ref="M81:M144" si="34">((S81-I81/2)*L81-K81)/(S81+I81/2)</f>
        <v>272.93997011197996</v>
      </c>
      <c r="N81">
        <f t="shared" ref="N81:N144" si="35">M81*(BA81+BB81)/1000</f>
        <v>27.135369759368313</v>
      </c>
      <c r="O81">
        <f t="shared" ref="O81:O144" si="36">(AT81 - IF(AH81&gt;1, K81*AO81*100/(AJ81*BH81), 0))*(BA81+BB81)/1000</f>
        <v>68.954209243859992</v>
      </c>
      <c r="P81">
        <f t="shared" ref="P81:P144" si="37">2/((1/R81-1/Q81)+SIGN(R81)*SQRT((1/R81-1/Q81)*(1/R81-1/Q81) + 4*AP81/((AP81+1)*(AP81+1))*(2*1/R81*1/Q81-1/Q81*1/Q81)))</f>
        <v>3.7022511114601912E-2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2.1170219412581277</v>
      </c>
      <c r="R81">
        <f t="shared" ref="R81:R144" si="39">I81*(1000-(1000*0.61365*EXP(17.502*V81/(240.97+V81))/(BA81+BB81)+AV81)/2)/(1000*0.61365*EXP(17.502*V81/(240.97+V81))/(BA81+BB81)-AV81)</f>
        <v>3.6666549659545487E-2</v>
      </c>
      <c r="S81">
        <f t="shared" ref="S81:S144" si="40">1/((AP81+1)/(P81/1.6)+1/(Q81/1.37)) + AP81/((AP81+1)/(P81/1.6) + AP81/(Q81/1.37))</f>
        <v>2.2948289946397867E-2</v>
      </c>
      <c r="T81">
        <f t="shared" ref="T81:T144" si="41">(AK81*AN81)</f>
        <v>276.11479560600003</v>
      </c>
      <c r="U81">
        <f t="shared" ref="U81:U144" si="42">(BC81+(T81+2*0.95*0.0000000567*(((BC81+$B$7)+273)^4-(BC81+273)^4)-44100*I81)/(1.84*29.3*Q81+8*0.95*0.0000000567*(BC81+273)^3))</f>
        <v>28.688488683939575</v>
      </c>
      <c r="V81">
        <f t="shared" ref="V81:V144" si="43">($C$7*BD81+$D$7*BE81+$E$7*U81)</f>
        <v>28.688488683939575</v>
      </c>
      <c r="W81">
        <f t="shared" ref="W81:W144" si="44">0.61365*EXP(17.502*V81/(240.97+V81))</f>
        <v>3.9498445137336513</v>
      </c>
      <c r="X81">
        <f t="shared" ref="X81:X144" si="45">(Y81/Z81*100)</f>
        <v>67.713769605231505</v>
      </c>
      <c r="Y81">
        <f t="shared" ref="Y81:Y144" si="46">AV81*(BA81+BB81)/1000</f>
        <v>2.3814883561619999</v>
      </c>
      <c r="Z81">
        <f t="shared" ref="Z81:Z144" si="47">0.61365*EXP(17.502*BC81/(240.97+BC81))</f>
        <v>3.5169927328606563</v>
      </c>
      <c r="AA81">
        <f t="shared" ref="AA81:AA144" si="48">(W81-AV81*(BA81+BB81)/1000)</f>
        <v>1.5683561575716514</v>
      </c>
      <c r="AB81">
        <f t="shared" ref="AB81:AB144" si="49">(-I81*44100)</f>
        <v>-26.347436111167024</v>
      </c>
      <c r="AC81">
        <f t="shared" ref="AC81:AC144" si="50">2*29.3*Q81*0.92*(BC81-V81)</f>
        <v>-226.72368828646057</v>
      </c>
      <c r="AD81">
        <f t="shared" ref="AD81:AD144" si="51">2*0.95*0.0000000567*(((BC81+$B$7)+273)^4-(V81+273)^4)</f>
        <v>-23.273792808941913</v>
      </c>
      <c r="AE81">
        <f t="shared" ref="AE81:AE144" si="52">T81+AD81+AB81+AC81</f>
        <v>-0.2301216005694755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52556.585248319498</v>
      </c>
      <c r="AK81">
        <f t="shared" ref="AK81:AK144" si="56">$B$11*BI81+$C$11*BJ81+$D$11*BU81</f>
        <v>1800</v>
      </c>
      <c r="AL81">
        <f t="shared" ref="AL81:AL144" si="57">AK81*AM81</f>
        <v>1499.1132906</v>
      </c>
      <c r="AM81">
        <f t="shared" ref="AM81:AM144" si="58">($B$11*$D$9+$C$11*$D$9+$D$11*(BV81*$E$9+BW81*$F$9+BX81*$G$9+BY81*$H$9))/($B$11+$C$11+$D$11)</f>
        <v>0.83284071700000006</v>
      </c>
      <c r="AN81">
        <f t="shared" ref="AN81:AN144" si="59">($B$11*$K$9+$C$11*$K$9+$D$11*(BV81*$L$9+BW81*$M$9+BX81*$N$9+BY81*$O$9))/($B$11+$C$11+$D$11)</f>
        <v>0.15339710867</v>
      </c>
      <c r="AO81">
        <v>32.700000000000003</v>
      </c>
      <c r="AP81">
        <v>0.5</v>
      </c>
      <c r="AQ81" t="s">
        <v>331</v>
      </c>
      <c r="AR81">
        <v>2</v>
      </c>
      <c r="AS81">
        <v>1690301679.5</v>
      </c>
      <c r="AT81">
        <v>693.57299999999998</v>
      </c>
      <c r="AU81">
        <v>800.07799999999997</v>
      </c>
      <c r="AV81">
        <v>23.9541</v>
      </c>
      <c r="AW81">
        <v>17.602699999999999</v>
      </c>
      <c r="AX81">
        <v>693.81500000000005</v>
      </c>
      <c r="AY81">
        <v>23.672599999999999</v>
      </c>
      <c r="AZ81">
        <v>300.226</v>
      </c>
      <c r="BA81">
        <v>99.318799999999996</v>
      </c>
      <c r="BB81">
        <v>0.10002</v>
      </c>
      <c r="BC81">
        <v>26.702000000000002</v>
      </c>
      <c r="BD81">
        <v>26.997199999999999</v>
      </c>
      <c r="BE81">
        <v>28.4466</v>
      </c>
      <c r="BF81">
        <v>0</v>
      </c>
      <c r="BG81">
        <v>0</v>
      </c>
      <c r="BH81">
        <v>9997.5</v>
      </c>
      <c r="BI81">
        <v>1076.56</v>
      </c>
      <c r="BJ81">
        <v>1.96231</v>
      </c>
      <c r="BK81">
        <v>-106.505</v>
      </c>
      <c r="BL81">
        <v>710.59500000000003</v>
      </c>
      <c r="BM81">
        <v>814.41399999999999</v>
      </c>
      <c r="BN81">
        <v>6.3513700000000002</v>
      </c>
      <c r="BO81">
        <v>800.07799999999997</v>
      </c>
      <c r="BP81">
        <v>17.602699999999999</v>
      </c>
      <c r="BQ81">
        <v>2.3790900000000001</v>
      </c>
      <c r="BR81">
        <v>1.7482800000000001</v>
      </c>
      <c r="BS81">
        <v>20.222100000000001</v>
      </c>
      <c r="BT81">
        <v>15.331899999999999</v>
      </c>
      <c r="BU81">
        <v>1800</v>
      </c>
      <c r="BV81">
        <v>0.91001100000000001</v>
      </c>
      <c r="BW81">
        <v>3.3998800000000003E-2</v>
      </c>
      <c r="BX81">
        <v>2.1996600000000002E-2</v>
      </c>
      <c r="BY81">
        <v>3.3993700000000002E-2</v>
      </c>
      <c r="BZ81">
        <v>25</v>
      </c>
      <c r="CA81">
        <v>33528.400000000001</v>
      </c>
      <c r="CB81">
        <v>1690300477.5</v>
      </c>
      <c r="CC81" t="s">
        <v>332</v>
      </c>
      <c r="CD81">
        <v>1690300477.5</v>
      </c>
      <c r="CE81">
        <v>1690300465.5</v>
      </c>
      <c r="CF81">
        <v>7</v>
      </c>
      <c r="CG81">
        <v>5.0999999999999997E-2</v>
      </c>
      <c r="CH81">
        <v>-8.0000000000000002E-3</v>
      </c>
      <c r="CI81">
        <v>-0.316</v>
      </c>
      <c r="CJ81">
        <v>0.28199999999999997</v>
      </c>
      <c r="CK81">
        <v>800</v>
      </c>
      <c r="CL81">
        <v>24</v>
      </c>
      <c r="CM81">
        <v>0.25</v>
      </c>
      <c r="CN81">
        <v>0.13</v>
      </c>
      <c r="CO81">
        <v>-101.54665749999999</v>
      </c>
      <c r="CP81">
        <v>-26.245892307692198</v>
      </c>
      <c r="CQ81">
        <v>2.5252285570703799</v>
      </c>
      <c r="CR81">
        <v>-1</v>
      </c>
      <c r="CS81">
        <v>6.0853475000000001</v>
      </c>
      <c r="CT81">
        <v>1.2836667917448239</v>
      </c>
      <c r="CU81">
        <v>0.1239158692974795</v>
      </c>
      <c r="CV81">
        <v>-1</v>
      </c>
      <c r="CW81">
        <v>0</v>
      </c>
      <c r="CX81">
        <v>0</v>
      </c>
      <c r="CY81" t="s">
        <v>333</v>
      </c>
      <c r="CZ81">
        <v>2.3645900000000002</v>
      </c>
      <c r="DA81">
        <v>2.7138100000000001</v>
      </c>
      <c r="DB81">
        <v>0.13358500000000001</v>
      </c>
      <c r="DC81">
        <v>0.14666999999999999</v>
      </c>
      <c r="DD81">
        <v>0.11369700000000001</v>
      </c>
      <c r="DE81">
        <v>9.0296100000000004E-2</v>
      </c>
      <c r="DF81">
        <v>31644.3</v>
      </c>
      <c r="DG81">
        <v>27513.599999999999</v>
      </c>
      <c r="DH81">
        <v>31179.8</v>
      </c>
      <c r="DI81">
        <v>28094.6</v>
      </c>
      <c r="DJ81">
        <v>37519.199999999997</v>
      </c>
      <c r="DK81">
        <v>36344.1</v>
      </c>
      <c r="DL81">
        <v>44374.400000000001</v>
      </c>
      <c r="DM81">
        <v>42585.4</v>
      </c>
      <c r="DN81">
        <v>1.4721200000000001</v>
      </c>
      <c r="DO81">
        <v>2.0584199999999999</v>
      </c>
      <c r="DP81">
        <v>9.3564400000000006E-2</v>
      </c>
      <c r="DQ81">
        <v>0.19514599999999999</v>
      </c>
      <c r="DR81">
        <v>25.465199999999999</v>
      </c>
      <c r="DS81">
        <v>25.254300000000001</v>
      </c>
      <c r="DT81">
        <v>57.2</v>
      </c>
      <c r="DU81">
        <v>28.9</v>
      </c>
      <c r="DV81">
        <v>23.031300000000002</v>
      </c>
      <c r="DW81">
        <v>61.494700000000002</v>
      </c>
      <c r="DX81">
        <v>35.633000000000003</v>
      </c>
      <c r="DY81">
        <v>1</v>
      </c>
      <c r="DZ81">
        <v>-9.2060500000000003E-2</v>
      </c>
      <c r="EA81">
        <v>-0.10979</v>
      </c>
      <c r="EB81">
        <v>20.190000000000001</v>
      </c>
      <c r="EC81">
        <v>5.2406499999999996</v>
      </c>
      <c r="ED81">
        <v>12.039899999999999</v>
      </c>
      <c r="EE81">
        <v>5.0167999999999999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</v>
      </c>
      <c r="EL81">
        <v>1.8646199999999999</v>
      </c>
      <c r="EM81">
        <v>1.8692</v>
      </c>
      <c r="EN81">
        <v>1.8672299999999999</v>
      </c>
      <c r="EO81">
        <v>1.8633900000000001</v>
      </c>
      <c r="EP81">
        <v>1.8644700000000001</v>
      </c>
      <c r="EQ81">
        <v>1.8701399999999999</v>
      </c>
      <c r="ER81">
        <v>1.86937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-0.24199999999999999</v>
      </c>
      <c r="FG81">
        <v>0.28149999999999997</v>
      </c>
      <c r="FH81">
        <v>0.23539598422606861</v>
      </c>
      <c r="FI81">
        <v>-6.1462078757559423E-4</v>
      </c>
      <c r="FJ81">
        <v>-1.8861989874597051E-7</v>
      </c>
      <c r="FK81">
        <v>1.1980462299894961E-10</v>
      </c>
      <c r="FL81">
        <v>0.28151999999999688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20</v>
      </c>
      <c r="FU81">
        <v>20.2</v>
      </c>
      <c r="FV81">
        <v>1.79077</v>
      </c>
      <c r="FW81">
        <v>2.5976599999999999</v>
      </c>
      <c r="FX81">
        <v>1.5490699999999999</v>
      </c>
      <c r="FY81">
        <v>2.3290999999999999</v>
      </c>
      <c r="FZ81">
        <v>1.50146</v>
      </c>
      <c r="GA81">
        <v>2.3168899999999999</v>
      </c>
      <c r="GB81">
        <v>33.6479</v>
      </c>
      <c r="GC81">
        <v>23.973700000000001</v>
      </c>
      <c r="GD81">
        <v>19</v>
      </c>
      <c r="GE81">
        <v>281.27</v>
      </c>
      <c r="GF81">
        <v>601.86</v>
      </c>
      <c r="GG81">
        <v>24.6904</v>
      </c>
      <c r="GH81">
        <v>26.2545</v>
      </c>
      <c r="GI81">
        <v>29.9999</v>
      </c>
      <c r="GJ81">
        <v>26.3795</v>
      </c>
      <c r="GK81">
        <v>26.3611</v>
      </c>
      <c r="GL81">
        <v>35.794800000000002</v>
      </c>
      <c r="GM81">
        <v>32.366199999999999</v>
      </c>
      <c r="GN81">
        <v>99.250699999999995</v>
      </c>
      <c r="GO81">
        <v>24.704599999999999</v>
      </c>
      <c r="GP81">
        <v>800</v>
      </c>
      <c r="GQ81">
        <v>17.444400000000002</v>
      </c>
      <c r="GR81">
        <v>99.765500000000003</v>
      </c>
      <c r="GS81">
        <v>99.618600000000001</v>
      </c>
    </row>
    <row r="82" spans="1:201" x14ac:dyDescent="0.25">
      <c r="A82">
        <v>66</v>
      </c>
      <c r="B82">
        <v>1690301689.5999999</v>
      </c>
      <c r="C82">
        <v>785.59999990463257</v>
      </c>
      <c r="D82" t="s">
        <v>463</v>
      </c>
      <c r="E82" t="s">
        <v>464</v>
      </c>
      <c r="F82" t="s">
        <v>330</v>
      </c>
      <c r="H82">
        <v>1690301689.5999999</v>
      </c>
      <c r="I82">
        <f t="shared" si="30"/>
        <v>6.1813131896894409E-4</v>
      </c>
      <c r="J82">
        <f t="shared" si="31"/>
        <v>0.61813131896894413</v>
      </c>
      <c r="K82">
        <f t="shared" si="32"/>
        <v>9.7658322604871035</v>
      </c>
      <c r="L82">
        <f t="shared" si="33"/>
        <v>689.01599999999996</v>
      </c>
      <c r="M82">
        <f t="shared" si="34"/>
        <v>265.89847953183676</v>
      </c>
      <c r="N82">
        <f t="shared" si="35"/>
        <v>26.435147313737222</v>
      </c>
      <c r="O82">
        <f t="shared" si="36"/>
        <v>68.500728148545605</v>
      </c>
      <c r="P82">
        <f t="shared" si="37"/>
        <v>3.8373135501372037E-2</v>
      </c>
      <c r="Q82">
        <f t="shared" si="38"/>
        <v>2.1155056713056739</v>
      </c>
      <c r="R82">
        <f t="shared" si="39"/>
        <v>3.7990602147650217E-2</v>
      </c>
      <c r="S82">
        <f t="shared" si="40"/>
        <v>2.3778177568073315E-2</v>
      </c>
      <c r="T82">
        <f t="shared" si="41"/>
        <v>276.11305481606229</v>
      </c>
      <c r="U82">
        <f t="shared" si="42"/>
        <v>28.698378666879542</v>
      </c>
      <c r="V82">
        <f t="shared" si="43"/>
        <v>28.698378666879542</v>
      </c>
      <c r="W82">
        <f t="shared" si="44"/>
        <v>3.9521107575854395</v>
      </c>
      <c r="X82">
        <f t="shared" si="45"/>
        <v>67.780761889877454</v>
      </c>
      <c r="Y82">
        <f t="shared" si="46"/>
        <v>2.3860764856786401</v>
      </c>
      <c r="Z82">
        <f t="shared" si="47"/>
        <v>3.5202857258454374</v>
      </c>
      <c r="AA82">
        <f t="shared" si="48"/>
        <v>1.5660342719067994</v>
      </c>
      <c r="AB82">
        <f t="shared" si="49"/>
        <v>-27.259591166530434</v>
      </c>
      <c r="AC82">
        <f t="shared" si="50"/>
        <v>-225.87585317196468</v>
      </c>
      <c r="AD82">
        <f t="shared" si="51"/>
        <v>-23.206362904972494</v>
      </c>
      <c r="AE82">
        <f t="shared" si="52"/>
        <v>-0.22875242740531121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52487.314297465433</v>
      </c>
      <c r="AK82">
        <f t="shared" si="56"/>
        <v>1799.99</v>
      </c>
      <c r="AL82">
        <f t="shared" si="57"/>
        <v>1499.1053941904299</v>
      </c>
      <c r="AM82">
        <f t="shared" si="58"/>
        <v>0.83284095699999994</v>
      </c>
      <c r="AN82">
        <f t="shared" si="59"/>
        <v>0.15339699376999999</v>
      </c>
      <c r="AO82">
        <v>32.700000000000003</v>
      </c>
      <c r="AP82">
        <v>0.5</v>
      </c>
      <c r="AQ82" t="s">
        <v>331</v>
      </c>
      <c r="AR82">
        <v>2</v>
      </c>
      <c r="AS82">
        <v>1690301689.5999999</v>
      </c>
      <c r="AT82">
        <v>689.01599999999996</v>
      </c>
      <c r="AU82">
        <v>800.07</v>
      </c>
      <c r="AV82">
        <v>24.000399999999999</v>
      </c>
      <c r="AW82">
        <v>17.426600000000001</v>
      </c>
      <c r="AX82">
        <v>689.255</v>
      </c>
      <c r="AY82">
        <v>23.718900000000001</v>
      </c>
      <c r="AZ82">
        <v>300.09699999999998</v>
      </c>
      <c r="BA82">
        <v>99.318200000000004</v>
      </c>
      <c r="BB82">
        <v>9.9996600000000005E-2</v>
      </c>
      <c r="BC82">
        <v>26.7179</v>
      </c>
      <c r="BD82">
        <v>26.949000000000002</v>
      </c>
      <c r="BE82">
        <v>28.465900000000001</v>
      </c>
      <c r="BF82">
        <v>0</v>
      </c>
      <c r="BG82">
        <v>0</v>
      </c>
      <c r="BH82">
        <v>9984.3799999999992</v>
      </c>
      <c r="BI82">
        <v>1076.6400000000001</v>
      </c>
      <c r="BJ82">
        <v>1.96231</v>
      </c>
      <c r="BK82">
        <v>-111.053</v>
      </c>
      <c r="BL82">
        <v>705.95899999999995</v>
      </c>
      <c r="BM82">
        <v>814.25900000000001</v>
      </c>
      <c r="BN82">
        <v>6.5738700000000003</v>
      </c>
      <c r="BO82">
        <v>800.07</v>
      </c>
      <c r="BP82">
        <v>17.426600000000001</v>
      </c>
      <c r="BQ82">
        <v>2.38368</v>
      </c>
      <c r="BR82">
        <v>1.7307699999999999</v>
      </c>
      <c r="BS82">
        <v>20.253299999999999</v>
      </c>
      <c r="BT82">
        <v>15.1752</v>
      </c>
      <c r="BU82">
        <v>1799.99</v>
      </c>
      <c r="BV82">
        <v>0.91001500000000002</v>
      </c>
      <c r="BW82">
        <v>3.3997300000000001E-2</v>
      </c>
      <c r="BX82">
        <v>2.1995600000000001E-2</v>
      </c>
      <c r="BY82">
        <v>3.3992099999999997E-2</v>
      </c>
      <c r="BZ82">
        <v>25</v>
      </c>
      <c r="CA82">
        <v>33528.400000000001</v>
      </c>
      <c r="CB82">
        <v>1690300477.5</v>
      </c>
      <c r="CC82" t="s">
        <v>332</v>
      </c>
      <c r="CD82">
        <v>1690300477.5</v>
      </c>
      <c r="CE82">
        <v>1690300465.5</v>
      </c>
      <c r="CF82">
        <v>7</v>
      </c>
      <c r="CG82">
        <v>5.0999999999999997E-2</v>
      </c>
      <c r="CH82">
        <v>-8.0000000000000002E-3</v>
      </c>
      <c r="CI82">
        <v>-0.316</v>
      </c>
      <c r="CJ82">
        <v>0.28199999999999997</v>
      </c>
      <c r="CK82">
        <v>800</v>
      </c>
      <c r="CL82">
        <v>24</v>
      </c>
      <c r="CM82">
        <v>0.25</v>
      </c>
      <c r="CN82">
        <v>0.13</v>
      </c>
      <c r="CO82">
        <v>-106.057756097561</v>
      </c>
      <c r="CP82">
        <v>-26.790208264258659</v>
      </c>
      <c r="CQ82">
        <v>2.5985387618061742</v>
      </c>
      <c r="CR82">
        <v>-1</v>
      </c>
      <c r="CS82">
        <v>6.3176960975609751</v>
      </c>
      <c r="CT82">
        <v>1.4150773935630701</v>
      </c>
      <c r="CU82">
        <v>0.13732004925077171</v>
      </c>
      <c r="CV82">
        <v>-1</v>
      </c>
      <c r="CW82">
        <v>0</v>
      </c>
      <c r="CX82">
        <v>0</v>
      </c>
      <c r="CY82" t="s">
        <v>333</v>
      </c>
      <c r="CZ82">
        <v>2.3641999999999999</v>
      </c>
      <c r="DA82">
        <v>2.7137699999999998</v>
      </c>
      <c r="DB82">
        <v>0.13298299999999999</v>
      </c>
      <c r="DC82">
        <v>0.14666499999999999</v>
      </c>
      <c r="DD82">
        <v>0.113853</v>
      </c>
      <c r="DE82">
        <v>8.9644600000000005E-2</v>
      </c>
      <c r="DF82">
        <v>31666.7</v>
      </c>
      <c r="DG82">
        <v>27514.1</v>
      </c>
      <c r="DH82">
        <v>31180.2</v>
      </c>
      <c r="DI82">
        <v>28094.9</v>
      </c>
      <c r="DJ82">
        <v>37512.9</v>
      </c>
      <c r="DK82">
        <v>36370.5</v>
      </c>
      <c r="DL82">
        <v>44374.9</v>
      </c>
      <c r="DM82">
        <v>42585.7</v>
      </c>
      <c r="DN82">
        <v>1.4717199999999999</v>
      </c>
      <c r="DO82">
        <v>2.0583300000000002</v>
      </c>
      <c r="DP82">
        <v>9.0818899999999994E-2</v>
      </c>
      <c r="DQ82">
        <v>0.19644200000000001</v>
      </c>
      <c r="DR82">
        <v>25.4619</v>
      </c>
      <c r="DS82">
        <v>25.252500000000001</v>
      </c>
      <c r="DT82">
        <v>57.3</v>
      </c>
      <c r="DU82">
        <v>28.9</v>
      </c>
      <c r="DV82">
        <v>23.0718</v>
      </c>
      <c r="DW82">
        <v>61.831099999999999</v>
      </c>
      <c r="DX82">
        <v>36.642600000000002</v>
      </c>
      <c r="DY82">
        <v>1</v>
      </c>
      <c r="DZ82">
        <v>-9.2309500000000003E-2</v>
      </c>
      <c r="EA82">
        <v>-5.8374200000000001E-2</v>
      </c>
      <c r="EB82">
        <v>20.189900000000002</v>
      </c>
      <c r="EC82">
        <v>5.2408000000000001</v>
      </c>
      <c r="ED82">
        <v>12.039899999999999</v>
      </c>
      <c r="EE82">
        <v>5.0170500000000002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1.8646199999999999</v>
      </c>
      <c r="EM82">
        <v>1.8691899999999999</v>
      </c>
      <c r="EN82">
        <v>1.8672200000000001</v>
      </c>
      <c r="EO82">
        <v>1.8633900000000001</v>
      </c>
      <c r="EP82">
        <v>1.8644700000000001</v>
      </c>
      <c r="EQ82">
        <v>1.8701399999999999</v>
      </c>
      <c r="ER82">
        <v>1.86937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-0.23899999999999999</v>
      </c>
      <c r="FG82">
        <v>0.28149999999999997</v>
      </c>
      <c r="FH82">
        <v>0.23539598422606861</v>
      </c>
      <c r="FI82">
        <v>-6.1462078757559423E-4</v>
      </c>
      <c r="FJ82">
        <v>-1.8861989874597051E-7</v>
      </c>
      <c r="FK82">
        <v>1.1980462299894961E-10</v>
      </c>
      <c r="FL82">
        <v>0.28151999999999688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20.2</v>
      </c>
      <c r="FU82">
        <v>20.399999999999999</v>
      </c>
      <c r="FV82">
        <v>1.78955</v>
      </c>
      <c r="FW82">
        <v>2.5915499999999998</v>
      </c>
      <c r="FX82">
        <v>1.5490699999999999</v>
      </c>
      <c r="FY82">
        <v>2.3303199999999999</v>
      </c>
      <c r="FZ82">
        <v>1.50146</v>
      </c>
      <c r="GA82">
        <v>2.2656200000000002</v>
      </c>
      <c r="GB82">
        <v>33.625399999999999</v>
      </c>
      <c r="GC82">
        <v>23.982399999999998</v>
      </c>
      <c r="GD82">
        <v>19</v>
      </c>
      <c r="GE82">
        <v>281.089</v>
      </c>
      <c r="GF82">
        <v>601.74199999999996</v>
      </c>
      <c r="GG82">
        <v>24.7257</v>
      </c>
      <c r="GH82">
        <v>26.25</v>
      </c>
      <c r="GI82">
        <v>29.9998</v>
      </c>
      <c r="GJ82">
        <v>26.376999999999999</v>
      </c>
      <c r="GK82">
        <v>26.3581</v>
      </c>
      <c r="GL82">
        <v>35.7913</v>
      </c>
      <c r="GM82">
        <v>33.234699999999997</v>
      </c>
      <c r="GN82">
        <v>98.873599999999996</v>
      </c>
      <c r="GO82">
        <v>24.733000000000001</v>
      </c>
      <c r="GP82">
        <v>800</v>
      </c>
      <c r="GQ82">
        <v>17.250800000000002</v>
      </c>
      <c r="GR82">
        <v>99.7667</v>
      </c>
      <c r="GS82">
        <v>99.619500000000002</v>
      </c>
    </row>
    <row r="83" spans="1:201" x14ac:dyDescent="0.25">
      <c r="A83">
        <v>67</v>
      </c>
      <c r="B83">
        <v>1690301699.5999999</v>
      </c>
      <c r="C83">
        <v>795.59999990463257</v>
      </c>
      <c r="D83" t="s">
        <v>465</v>
      </c>
      <c r="E83" t="s">
        <v>466</v>
      </c>
      <c r="F83" t="s">
        <v>330</v>
      </c>
      <c r="H83">
        <v>1690301699.5999999</v>
      </c>
      <c r="I83">
        <f t="shared" si="30"/>
        <v>6.4090654812824614E-4</v>
      </c>
      <c r="J83">
        <f t="shared" si="31"/>
        <v>0.6409065481282461</v>
      </c>
      <c r="K83">
        <f t="shared" si="32"/>
        <v>10.171563510651881</v>
      </c>
      <c r="L83">
        <f t="shared" si="33"/>
        <v>684.45799999999997</v>
      </c>
      <c r="M83">
        <f t="shared" si="34"/>
        <v>261.92239098317941</v>
      </c>
      <c r="N83">
        <f t="shared" si="35"/>
        <v>26.040142861253138</v>
      </c>
      <c r="O83">
        <f t="shared" si="36"/>
        <v>68.048340715064001</v>
      </c>
      <c r="P83">
        <f t="shared" si="37"/>
        <v>4.0020038824496937E-2</v>
      </c>
      <c r="Q83">
        <f t="shared" si="38"/>
        <v>2.1233347855945435</v>
      </c>
      <c r="R83">
        <f t="shared" si="39"/>
        <v>3.960567388000763E-2</v>
      </c>
      <c r="S83">
        <f t="shared" si="40"/>
        <v>2.4790417616697341E-2</v>
      </c>
      <c r="T83">
        <f t="shared" si="41"/>
        <v>276.1129138228456</v>
      </c>
      <c r="U83">
        <f t="shared" si="42"/>
        <v>28.678789653013503</v>
      </c>
      <c r="V83">
        <f t="shared" si="43"/>
        <v>28.678789653013503</v>
      </c>
      <c r="W83">
        <f t="shared" si="44"/>
        <v>3.9476231264684727</v>
      </c>
      <c r="X83">
        <f t="shared" si="45"/>
        <v>67.914470345320851</v>
      </c>
      <c r="Y83">
        <f t="shared" si="46"/>
        <v>2.3900799320432</v>
      </c>
      <c r="Z83">
        <f t="shared" si="47"/>
        <v>3.5192499034307363</v>
      </c>
      <c r="AA83">
        <f t="shared" si="48"/>
        <v>1.5575431944252727</v>
      </c>
      <c r="AB83">
        <f t="shared" si="49"/>
        <v>-28.263978772455655</v>
      </c>
      <c r="AC83">
        <f t="shared" si="50"/>
        <v>-225.04172849786383</v>
      </c>
      <c r="AD83">
        <f t="shared" si="51"/>
        <v>-23.032586416013523</v>
      </c>
      <c r="AE83">
        <f t="shared" si="52"/>
        <v>-0.22537986348740446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52832.040531616847</v>
      </c>
      <c r="AK83">
        <f t="shared" si="56"/>
        <v>1799.99</v>
      </c>
      <c r="AL83">
        <f t="shared" si="57"/>
        <v>1499.1067927826598</v>
      </c>
      <c r="AM83">
        <f t="shared" si="58"/>
        <v>0.83284173399999994</v>
      </c>
      <c r="AN83">
        <f t="shared" si="59"/>
        <v>0.15339691544</v>
      </c>
      <c r="AO83">
        <v>32.700000000000003</v>
      </c>
      <c r="AP83">
        <v>0.5</v>
      </c>
      <c r="AQ83" t="s">
        <v>331</v>
      </c>
      <c r="AR83">
        <v>2</v>
      </c>
      <c r="AS83">
        <v>1690301699.5999999</v>
      </c>
      <c r="AT83">
        <v>684.45799999999997</v>
      </c>
      <c r="AU83">
        <v>800.03599999999994</v>
      </c>
      <c r="AV83">
        <v>24.040400000000002</v>
      </c>
      <c r="AW83">
        <v>17.226800000000001</v>
      </c>
      <c r="AX83">
        <v>684.69299999999998</v>
      </c>
      <c r="AY83">
        <v>23.758900000000001</v>
      </c>
      <c r="AZ83">
        <v>300.19099999999997</v>
      </c>
      <c r="BA83">
        <v>99.319299999999998</v>
      </c>
      <c r="BB83">
        <v>0.100008</v>
      </c>
      <c r="BC83">
        <v>26.712900000000001</v>
      </c>
      <c r="BD83">
        <v>26.975000000000001</v>
      </c>
      <c r="BE83">
        <v>28.442699999999999</v>
      </c>
      <c r="BF83">
        <v>0</v>
      </c>
      <c r="BG83">
        <v>0</v>
      </c>
      <c r="BH83">
        <v>10052.5</v>
      </c>
      <c r="BI83">
        <v>1076.6099999999999</v>
      </c>
      <c r="BJ83">
        <v>1.96231</v>
      </c>
      <c r="BK83">
        <v>-115.578</v>
      </c>
      <c r="BL83">
        <v>701.31799999999998</v>
      </c>
      <c r="BM83">
        <v>814.06</v>
      </c>
      <c r="BN83">
        <v>6.8136299999999999</v>
      </c>
      <c r="BO83">
        <v>800.03599999999994</v>
      </c>
      <c r="BP83">
        <v>17.226800000000001</v>
      </c>
      <c r="BQ83">
        <v>2.38768</v>
      </c>
      <c r="BR83">
        <v>1.71096</v>
      </c>
      <c r="BS83">
        <v>20.2805</v>
      </c>
      <c r="BT83">
        <v>14.9962</v>
      </c>
      <c r="BU83">
        <v>1799.99</v>
      </c>
      <c r="BV83">
        <v>0.91002099999999997</v>
      </c>
      <c r="BW83">
        <v>3.3995200000000003E-2</v>
      </c>
      <c r="BX83">
        <v>2.1994199999999998E-2</v>
      </c>
      <c r="BY83">
        <v>3.3989999999999999E-2</v>
      </c>
      <c r="BZ83">
        <v>25</v>
      </c>
      <c r="CA83">
        <v>33528.400000000001</v>
      </c>
      <c r="CB83">
        <v>1690300477.5</v>
      </c>
      <c r="CC83" t="s">
        <v>332</v>
      </c>
      <c r="CD83">
        <v>1690300477.5</v>
      </c>
      <c r="CE83">
        <v>1690300465.5</v>
      </c>
      <c r="CF83">
        <v>7</v>
      </c>
      <c r="CG83">
        <v>5.0999999999999997E-2</v>
      </c>
      <c r="CH83">
        <v>-8.0000000000000002E-3</v>
      </c>
      <c r="CI83">
        <v>-0.316</v>
      </c>
      <c r="CJ83">
        <v>0.28199999999999997</v>
      </c>
      <c r="CK83">
        <v>800</v>
      </c>
      <c r="CL83">
        <v>24</v>
      </c>
      <c r="CM83">
        <v>0.25</v>
      </c>
      <c r="CN83">
        <v>0.13</v>
      </c>
      <c r="CO83">
        <v>-110.45519512195121</v>
      </c>
      <c r="CP83">
        <v>-27.1161534794151</v>
      </c>
      <c r="CQ83">
        <v>2.603856335435188</v>
      </c>
      <c r="CR83">
        <v>-1</v>
      </c>
      <c r="CS83">
        <v>6.5490000000000004</v>
      </c>
      <c r="CT83">
        <v>1.398964490860179</v>
      </c>
      <c r="CU83">
        <v>0.1344017630183437</v>
      </c>
      <c r="CV83">
        <v>-1</v>
      </c>
      <c r="CW83">
        <v>0</v>
      </c>
      <c r="CX83">
        <v>0</v>
      </c>
      <c r="CY83" t="s">
        <v>333</v>
      </c>
      <c r="CZ83">
        <v>2.3645100000000001</v>
      </c>
      <c r="DA83">
        <v>2.7138499999999999</v>
      </c>
      <c r="DB83">
        <v>0.132381</v>
      </c>
      <c r="DC83">
        <v>0.14666000000000001</v>
      </c>
      <c r="DD83">
        <v>0.11398999999999999</v>
      </c>
      <c r="DE83">
        <v>8.8904399999999995E-2</v>
      </c>
      <c r="DF83">
        <v>31688.799999999999</v>
      </c>
      <c r="DG83">
        <v>27514.5</v>
      </c>
      <c r="DH83">
        <v>31180.3</v>
      </c>
      <c r="DI83">
        <v>28095.1</v>
      </c>
      <c r="DJ83">
        <v>37507.1</v>
      </c>
      <c r="DK83">
        <v>36400.400000000001</v>
      </c>
      <c r="DL83">
        <v>44375</v>
      </c>
      <c r="DM83">
        <v>42586</v>
      </c>
      <c r="DN83">
        <v>1.4721500000000001</v>
      </c>
      <c r="DO83">
        <v>2.0580699999999998</v>
      </c>
      <c r="DP83">
        <v>9.2551099999999997E-2</v>
      </c>
      <c r="DQ83">
        <v>0.19504099999999999</v>
      </c>
      <c r="DR83">
        <v>25.459499999999998</v>
      </c>
      <c r="DS83">
        <v>25.252199999999998</v>
      </c>
      <c r="DT83">
        <v>57.2</v>
      </c>
      <c r="DU83">
        <v>28.9</v>
      </c>
      <c r="DV83">
        <v>23.0289</v>
      </c>
      <c r="DW83">
        <v>61.0411</v>
      </c>
      <c r="DX83">
        <v>35.817300000000003</v>
      </c>
      <c r="DY83">
        <v>1</v>
      </c>
      <c r="DZ83">
        <v>-9.2586399999999999E-2</v>
      </c>
      <c r="EA83">
        <v>-0.119101</v>
      </c>
      <c r="EB83">
        <v>20.189800000000002</v>
      </c>
      <c r="EC83">
        <v>5.2406499999999996</v>
      </c>
      <c r="ED83">
        <v>12.039899999999999</v>
      </c>
      <c r="EE83">
        <v>5.0168499999999998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1.8646199999999999</v>
      </c>
      <c r="EM83">
        <v>1.8691899999999999</v>
      </c>
      <c r="EN83">
        <v>1.8672200000000001</v>
      </c>
      <c r="EO83">
        <v>1.86338</v>
      </c>
      <c r="EP83">
        <v>1.8644700000000001</v>
      </c>
      <c r="EQ83">
        <v>1.8701399999999999</v>
      </c>
      <c r="ER83">
        <v>1.86938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-0.23499999999999999</v>
      </c>
      <c r="FG83">
        <v>0.28149999999999997</v>
      </c>
      <c r="FH83">
        <v>0.23539598422606861</v>
      </c>
      <c r="FI83">
        <v>-6.1462078757559423E-4</v>
      </c>
      <c r="FJ83">
        <v>-1.8861989874597051E-7</v>
      </c>
      <c r="FK83">
        <v>1.1980462299894961E-10</v>
      </c>
      <c r="FL83">
        <v>0.28151999999999688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20.399999999999999</v>
      </c>
      <c r="FU83">
        <v>20.6</v>
      </c>
      <c r="FV83">
        <v>1.78955</v>
      </c>
      <c r="FW83">
        <v>2.5927699999999998</v>
      </c>
      <c r="FX83">
        <v>1.5490699999999999</v>
      </c>
      <c r="FY83">
        <v>2.3303199999999999</v>
      </c>
      <c r="FZ83">
        <v>1.50146</v>
      </c>
      <c r="GA83">
        <v>2.34375</v>
      </c>
      <c r="GB83">
        <v>33.6479</v>
      </c>
      <c r="GC83">
        <v>23.982399999999998</v>
      </c>
      <c r="GD83">
        <v>19</v>
      </c>
      <c r="GE83">
        <v>281.25700000000001</v>
      </c>
      <c r="GF83">
        <v>601.48599999999999</v>
      </c>
      <c r="GG83">
        <v>24.773599999999998</v>
      </c>
      <c r="GH83">
        <v>26.246099999999998</v>
      </c>
      <c r="GI83">
        <v>30</v>
      </c>
      <c r="GJ83">
        <v>26.373999999999999</v>
      </c>
      <c r="GK83">
        <v>26.354500000000002</v>
      </c>
      <c r="GL83">
        <v>35.784700000000001</v>
      </c>
      <c r="GM83">
        <v>34.124400000000001</v>
      </c>
      <c r="GN83">
        <v>98.499300000000005</v>
      </c>
      <c r="GO83">
        <v>24.784500000000001</v>
      </c>
      <c r="GP83">
        <v>800</v>
      </c>
      <c r="GQ83">
        <v>17.049700000000001</v>
      </c>
      <c r="GR83">
        <v>99.766900000000007</v>
      </c>
      <c r="GS83">
        <v>99.620199999999997</v>
      </c>
    </row>
    <row r="84" spans="1:201" x14ac:dyDescent="0.25">
      <c r="A84">
        <v>68</v>
      </c>
      <c r="B84">
        <v>1690301709.5999999</v>
      </c>
      <c r="C84">
        <v>805.59999990463257</v>
      </c>
      <c r="D84" t="s">
        <v>467</v>
      </c>
      <c r="E84" t="s">
        <v>468</v>
      </c>
      <c r="F84" t="s">
        <v>330</v>
      </c>
      <c r="H84">
        <v>1690301709.5999999</v>
      </c>
      <c r="I84">
        <f t="shared" si="30"/>
        <v>6.6332335209525384E-4</v>
      </c>
      <c r="J84">
        <f t="shared" si="31"/>
        <v>0.66332335209525384</v>
      </c>
      <c r="K84">
        <f t="shared" si="32"/>
        <v>10.588442179978703</v>
      </c>
      <c r="L84">
        <f t="shared" si="33"/>
        <v>679.83299999999997</v>
      </c>
      <c r="M84">
        <f t="shared" si="34"/>
        <v>255.73224066444786</v>
      </c>
      <c r="N84">
        <f t="shared" si="35"/>
        <v>25.425030557498868</v>
      </c>
      <c r="O84">
        <f t="shared" si="36"/>
        <v>67.589345614328991</v>
      </c>
      <c r="P84">
        <f t="shared" si="37"/>
        <v>4.1501007268748336E-2</v>
      </c>
      <c r="Q84">
        <f t="shared" si="38"/>
        <v>2.1151719369161159</v>
      </c>
      <c r="R84">
        <f t="shared" si="39"/>
        <v>4.1053892320078937E-2</v>
      </c>
      <c r="S84">
        <f t="shared" si="40"/>
        <v>2.5698452728131538E-2</v>
      </c>
      <c r="T84">
        <f t="shared" si="41"/>
        <v>276.11408496599995</v>
      </c>
      <c r="U84">
        <f t="shared" si="42"/>
        <v>28.683605899537376</v>
      </c>
      <c r="V84">
        <f t="shared" si="43"/>
        <v>28.683605899537376</v>
      </c>
      <c r="W84">
        <f t="shared" si="44"/>
        <v>3.9487260642278303</v>
      </c>
      <c r="X84">
        <f t="shared" si="45"/>
        <v>67.99095601317228</v>
      </c>
      <c r="Y84">
        <f t="shared" si="46"/>
        <v>2.3935886186801998</v>
      </c>
      <c r="Z84">
        <f t="shared" si="47"/>
        <v>3.5204514821301762</v>
      </c>
      <c r="AA84">
        <f t="shared" si="48"/>
        <v>1.5551374455476306</v>
      </c>
      <c r="AB84">
        <f t="shared" si="49"/>
        <v>-29.252559827400695</v>
      </c>
      <c r="AC84">
        <f t="shared" si="50"/>
        <v>-224.06440812271879</v>
      </c>
      <c r="AD84">
        <f t="shared" si="51"/>
        <v>-23.022279573730643</v>
      </c>
      <c r="AE84">
        <f t="shared" si="52"/>
        <v>-0.22516255785018302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52472.600751212791</v>
      </c>
      <c r="AK84">
        <f t="shared" si="56"/>
        <v>1800</v>
      </c>
      <c r="AL84">
        <f t="shared" si="57"/>
        <v>1499.1148835999998</v>
      </c>
      <c r="AM84">
        <f t="shared" si="58"/>
        <v>0.8328416019999999</v>
      </c>
      <c r="AN84">
        <f t="shared" si="59"/>
        <v>0.15339671386999998</v>
      </c>
      <c r="AO84">
        <v>32.700000000000003</v>
      </c>
      <c r="AP84">
        <v>0.5</v>
      </c>
      <c r="AQ84" t="s">
        <v>331</v>
      </c>
      <c r="AR84">
        <v>2</v>
      </c>
      <c r="AS84">
        <v>1690301709.5999999</v>
      </c>
      <c r="AT84">
        <v>679.83299999999997</v>
      </c>
      <c r="AU84">
        <v>800.08299999999997</v>
      </c>
      <c r="AV84">
        <v>24.075399999999998</v>
      </c>
      <c r="AW84">
        <v>17.023900000000001</v>
      </c>
      <c r="AX84">
        <v>680.06500000000005</v>
      </c>
      <c r="AY84">
        <v>23.793900000000001</v>
      </c>
      <c r="AZ84">
        <v>300.19799999999998</v>
      </c>
      <c r="BA84">
        <v>99.320499999999996</v>
      </c>
      <c r="BB84">
        <v>0.100013</v>
      </c>
      <c r="BC84">
        <v>26.718699999999998</v>
      </c>
      <c r="BD84">
        <v>26.986899999999999</v>
      </c>
      <c r="BE84">
        <v>28.474299999999999</v>
      </c>
      <c r="BF84">
        <v>0</v>
      </c>
      <c r="BG84">
        <v>0</v>
      </c>
      <c r="BH84">
        <v>9981.25</v>
      </c>
      <c r="BI84">
        <v>1076.6199999999999</v>
      </c>
      <c r="BJ84">
        <v>1.96231</v>
      </c>
      <c r="BK84">
        <v>-120.25</v>
      </c>
      <c r="BL84">
        <v>696.60400000000004</v>
      </c>
      <c r="BM84">
        <v>813.94</v>
      </c>
      <c r="BN84">
        <v>7.05152</v>
      </c>
      <c r="BO84">
        <v>800.08299999999997</v>
      </c>
      <c r="BP84">
        <v>17.023900000000001</v>
      </c>
      <c r="BQ84">
        <v>2.3911799999999999</v>
      </c>
      <c r="BR84">
        <v>1.69082</v>
      </c>
      <c r="BS84">
        <v>20.304200000000002</v>
      </c>
      <c r="BT84">
        <v>14.8124</v>
      </c>
      <c r="BU84">
        <v>1800</v>
      </c>
      <c r="BV84">
        <v>0.91002499999999997</v>
      </c>
      <c r="BW84">
        <v>3.39934E-2</v>
      </c>
      <c r="BX84">
        <v>2.1993100000000002E-2</v>
      </c>
      <c r="BY84">
        <v>3.3988299999999999E-2</v>
      </c>
      <c r="BZ84">
        <v>25</v>
      </c>
      <c r="CA84">
        <v>33528.5</v>
      </c>
      <c r="CB84">
        <v>1690300477.5</v>
      </c>
      <c r="CC84" t="s">
        <v>332</v>
      </c>
      <c r="CD84">
        <v>1690300477.5</v>
      </c>
      <c r="CE84">
        <v>1690300465.5</v>
      </c>
      <c r="CF84">
        <v>7</v>
      </c>
      <c r="CG84">
        <v>5.0999999999999997E-2</v>
      </c>
      <c r="CH84">
        <v>-8.0000000000000002E-3</v>
      </c>
      <c r="CI84">
        <v>-0.316</v>
      </c>
      <c r="CJ84">
        <v>0.28199999999999997</v>
      </c>
      <c r="CK84">
        <v>800</v>
      </c>
      <c r="CL84">
        <v>24</v>
      </c>
      <c r="CM84">
        <v>0.25</v>
      </c>
      <c r="CN84">
        <v>0.13</v>
      </c>
      <c r="CO84">
        <v>-115.15514634146339</v>
      </c>
      <c r="CP84">
        <v>-27.448975609756111</v>
      </c>
      <c r="CQ84">
        <v>2.7066781419204662</v>
      </c>
      <c r="CR84">
        <v>-1</v>
      </c>
      <c r="CS84">
        <v>6.7918765853658538</v>
      </c>
      <c r="CT84">
        <v>1.4112811149825839</v>
      </c>
      <c r="CU84">
        <v>0.13922018865740601</v>
      </c>
      <c r="CV84">
        <v>-1</v>
      </c>
      <c r="CW84">
        <v>0</v>
      </c>
      <c r="CX84">
        <v>0</v>
      </c>
      <c r="CY84" t="s">
        <v>333</v>
      </c>
      <c r="CZ84">
        <v>2.3645200000000002</v>
      </c>
      <c r="DA84">
        <v>2.7137899999999999</v>
      </c>
      <c r="DB84">
        <v>0.131769</v>
      </c>
      <c r="DC84">
        <v>0.14666399999999999</v>
      </c>
      <c r="DD84">
        <v>0.11411</v>
      </c>
      <c r="DE84">
        <v>8.8148799999999999E-2</v>
      </c>
      <c r="DF84">
        <v>31711</v>
      </c>
      <c r="DG84">
        <v>27514.6</v>
      </c>
      <c r="DH84">
        <v>31180.1</v>
      </c>
      <c r="DI84">
        <v>28095.4</v>
      </c>
      <c r="DJ84">
        <v>37501.5</v>
      </c>
      <c r="DK84">
        <v>36431</v>
      </c>
      <c r="DL84">
        <v>44374.5</v>
      </c>
      <c r="DM84">
        <v>42586.5</v>
      </c>
      <c r="DN84">
        <v>1.47207</v>
      </c>
      <c r="DO84">
        <v>2.0579499999999999</v>
      </c>
      <c r="DP84">
        <v>9.34117E-2</v>
      </c>
      <c r="DQ84">
        <v>0.197105</v>
      </c>
      <c r="DR84">
        <v>25.4573</v>
      </c>
      <c r="DS84">
        <v>25.2501</v>
      </c>
      <c r="DT84">
        <v>57.2</v>
      </c>
      <c r="DU84">
        <v>28.9</v>
      </c>
      <c r="DV84">
        <v>23.029299999999999</v>
      </c>
      <c r="DW84">
        <v>61.661099999999998</v>
      </c>
      <c r="DX84">
        <v>35.320500000000003</v>
      </c>
      <c r="DY84">
        <v>1</v>
      </c>
      <c r="DZ84">
        <v>-9.2601600000000006E-2</v>
      </c>
      <c r="EA84">
        <v>-0.108235</v>
      </c>
      <c r="EB84">
        <v>20.189800000000002</v>
      </c>
      <c r="EC84">
        <v>5.2411000000000003</v>
      </c>
      <c r="ED84">
        <v>12.039899999999999</v>
      </c>
      <c r="EE84">
        <v>5.0172499999999998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</v>
      </c>
      <c r="EM84">
        <v>1.8691899999999999</v>
      </c>
      <c r="EN84">
        <v>1.8672200000000001</v>
      </c>
      <c r="EO84">
        <v>1.86338</v>
      </c>
      <c r="EP84">
        <v>1.8644700000000001</v>
      </c>
      <c r="EQ84">
        <v>1.8701399999999999</v>
      </c>
      <c r="ER84">
        <v>1.86937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-0.23200000000000001</v>
      </c>
      <c r="FG84">
        <v>0.28149999999999997</v>
      </c>
      <c r="FH84">
        <v>0.23539598422606861</v>
      </c>
      <c r="FI84">
        <v>-6.1462078757559423E-4</v>
      </c>
      <c r="FJ84">
        <v>-1.8861989874597051E-7</v>
      </c>
      <c r="FK84">
        <v>1.1980462299894961E-10</v>
      </c>
      <c r="FL84">
        <v>0.28151999999999688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20.5</v>
      </c>
      <c r="FU84">
        <v>20.7</v>
      </c>
      <c r="FV84">
        <v>1.78955</v>
      </c>
      <c r="FW84">
        <v>2.5891099999999998</v>
      </c>
      <c r="FX84">
        <v>1.5490699999999999</v>
      </c>
      <c r="FY84">
        <v>2.3290999999999999</v>
      </c>
      <c r="FZ84">
        <v>1.50146</v>
      </c>
      <c r="GA84">
        <v>2.3925800000000002</v>
      </c>
      <c r="GB84">
        <v>33.6479</v>
      </c>
      <c r="GC84">
        <v>23.982399999999998</v>
      </c>
      <c r="GD84">
        <v>19</v>
      </c>
      <c r="GE84">
        <v>281.209</v>
      </c>
      <c r="GF84">
        <v>601.35500000000002</v>
      </c>
      <c r="GG84">
        <v>24.813500000000001</v>
      </c>
      <c r="GH84">
        <v>26.242100000000001</v>
      </c>
      <c r="GI84">
        <v>30</v>
      </c>
      <c r="GJ84">
        <v>26.3703</v>
      </c>
      <c r="GK84">
        <v>26.3522</v>
      </c>
      <c r="GL84">
        <v>35.779000000000003</v>
      </c>
      <c r="GM84">
        <v>34.970500000000001</v>
      </c>
      <c r="GN84">
        <v>98.499300000000005</v>
      </c>
      <c r="GO84">
        <v>24.817799999999998</v>
      </c>
      <c r="GP84">
        <v>800</v>
      </c>
      <c r="GQ84">
        <v>16.8462</v>
      </c>
      <c r="GR84">
        <v>99.766099999999994</v>
      </c>
      <c r="GS84">
        <v>99.621300000000005</v>
      </c>
    </row>
    <row r="85" spans="1:201" x14ac:dyDescent="0.25">
      <c r="A85">
        <v>69</v>
      </c>
      <c r="B85">
        <v>1690301719.5999999</v>
      </c>
      <c r="C85">
        <v>815.59999990463257</v>
      </c>
      <c r="D85" t="s">
        <v>469</v>
      </c>
      <c r="E85" t="s">
        <v>470</v>
      </c>
      <c r="F85" t="s">
        <v>330</v>
      </c>
      <c r="H85">
        <v>1690301719.5999999</v>
      </c>
      <c r="I85">
        <f t="shared" si="30"/>
        <v>6.8633783195719831E-4</v>
      </c>
      <c r="J85">
        <f t="shared" si="31"/>
        <v>0.68633783195719833</v>
      </c>
      <c r="K85">
        <f t="shared" si="32"/>
        <v>11.007165644443248</v>
      </c>
      <c r="L85">
        <f t="shared" si="33"/>
        <v>675.14499999999998</v>
      </c>
      <c r="M85">
        <f t="shared" si="34"/>
        <v>249.75246971265383</v>
      </c>
      <c r="N85">
        <f t="shared" si="35"/>
        <v>24.830990194511823</v>
      </c>
      <c r="O85">
        <f t="shared" si="36"/>
        <v>67.124536923144987</v>
      </c>
      <c r="P85">
        <f t="shared" si="37"/>
        <v>4.3006502953447066E-2</v>
      </c>
      <c r="Q85">
        <f t="shared" si="38"/>
        <v>2.1123834952145759</v>
      </c>
      <c r="R85">
        <f t="shared" si="39"/>
        <v>4.2525936860959422E-2</v>
      </c>
      <c r="S85">
        <f t="shared" si="40"/>
        <v>2.6621439964792801E-2</v>
      </c>
      <c r="T85">
        <f t="shared" si="41"/>
        <v>276.11248931320398</v>
      </c>
      <c r="U85">
        <f t="shared" si="42"/>
        <v>28.691334526029713</v>
      </c>
      <c r="V85">
        <f t="shared" si="43"/>
        <v>28.691334526029713</v>
      </c>
      <c r="W85">
        <f t="shared" si="44"/>
        <v>3.9504965091183233</v>
      </c>
      <c r="X85">
        <f t="shared" si="45"/>
        <v>68.037014036131197</v>
      </c>
      <c r="Y85">
        <f t="shared" si="46"/>
        <v>2.3971138570703996</v>
      </c>
      <c r="Z85">
        <f t="shared" si="47"/>
        <v>3.5232496473131629</v>
      </c>
      <c r="AA85">
        <f t="shared" si="48"/>
        <v>1.5533826520479237</v>
      </c>
      <c r="AB85">
        <f t="shared" si="49"/>
        <v>-30.267498389312447</v>
      </c>
      <c r="AC85">
        <f t="shared" si="50"/>
        <v>-223.11176261275406</v>
      </c>
      <c r="AD85">
        <f t="shared" si="51"/>
        <v>-22.957087355317153</v>
      </c>
      <c r="AE85">
        <f t="shared" si="52"/>
        <v>-0.22385904417967595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52348.21045109188</v>
      </c>
      <c r="AK85">
        <f t="shared" si="56"/>
        <v>1799.99</v>
      </c>
      <c r="AL85">
        <f t="shared" si="57"/>
        <v>1499.1079555762001</v>
      </c>
      <c r="AM85">
        <f t="shared" si="58"/>
        <v>0.8328423800000001</v>
      </c>
      <c r="AN85">
        <f t="shared" si="59"/>
        <v>0.1533966796</v>
      </c>
      <c r="AO85">
        <v>32.700000000000003</v>
      </c>
      <c r="AP85">
        <v>0.5</v>
      </c>
      <c r="AQ85" t="s">
        <v>331</v>
      </c>
      <c r="AR85">
        <v>2</v>
      </c>
      <c r="AS85">
        <v>1690301719.5999999</v>
      </c>
      <c r="AT85">
        <v>675.14499999999998</v>
      </c>
      <c r="AU85">
        <v>800.05899999999997</v>
      </c>
      <c r="AV85">
        <v>24.110399999999998</v>
      </c>
      <c r="AW85">
        <v>16.816400000000002</v>
      </c>
      <c r="AX85">
        <v>675.37400000000002</v>
      </c>
      <c r="AY85">
        <v>23.828900000000001</v>
      </c>
      <c r="AZ85">
        <v>300.27600000000001</v>
      </c>
      <c r="BA85">
        <v>99.322299999999998</v>
      </c>
      <c r="BB85">
        <v>0.100101</v>
      </c>
      <c r="BC85">
        <v>26.732199999999999</v>
      </c>
      <c r="BD85">
        <v>26.9984</v>
      </c>
      <c r="BE85">
        <v>28.473500000000001</v>
      </c>
      <c r="BF85">
        <v>0</v>
      </c>
      <c r="BG85">
        <v>0</v>
      </c>
      <c r="BH85">
        <v>9956.8799999999992</v>
      </c>
      <c r="BI85">
        <v>1076.6199999999999</v>
      </c>
      <c r="BJ85">
        <v>1.96231</v>
      </c>
      <c r="BK85">
        <v>-124.914</v>
      </c>
      <c r="BL85">
        <v>691.82500000000005</v>
      </c>
      <c r="BM85">
        <v>813.74300000000005</v>
      </c>
      <c r="BN85">
        <v>7.2939999999999996</v>
      </c>
      <c r="BO85">
        <v>800.05899999999997</v>
      </c>
      <c r="BP85">
        <v>16.816400000000002</v>
      </c>
      <c r="BQ85">
        <v>2.3946999999999998</v>
      </c>
      <c r="BR85">
        <v>1.6702399999999999</v>
      </c>
      <c r="BS85">
        <v>20.327999999999999</v>
      </c>
      <c r="BT85">
        <v>14.6226</v>
      </c>
      <c r="BU85">
        <v>1799.99</v>
      </c>
      <c r="BV85">
        <v>0.91003000000000001</v>
      </c>
      <c r="BW85">
        <v>3.39917E-2</v>
      </c>
      <c r="BX85">
        <v>2.1992000000000001E-2</v>
      </c>
      <c r="BY85">
        <v>3.3986599999999999E-2</v>
      </c>
      <c r="BZ85">
        <v>25</v>
      </c>
      <c r="CA85">
        <v>33528.5</v>
      </c>
      <c r="CB85">
        <v>1690300477.5</v>
      </c>
      <c r="CC85" t="s">
        <v>332</v>
      </c>
      <c r="CD85">
        <v>1690300477.5</v>
      </c>
      <c r="CE85">
        <v>1690300465.5</v>
      </c>
      <c r="CF85">
        <v>7</v>
      </c>
      <c r="CG85">
        <v>5.0999999999999997E-2</v>
      </c>
      <c r="CH85">
        <v>-8.0000000000000002E-3</v>
      </c>
      <c r="CI85">
        <v>-0.316</v>
      </c>
      <c r="CJ85">
        <v>0.28199999999999997</v>
      </c>
      <c r="CK85">
        <v>800</v>
      </c>
      <c r="CL85">
        <v>24</v>
      </c>
      <c r="CM85">
        <v>0.25</v>
      </c>
      <c r="CN85">
        <v>0.13</v>
      </c>
      <c r="CO85">
        <v>-119.637225</v>
      </c>
      <c r="CP85">
        <v>-27.79802251407077</v>
      </c>
      <c r="CQ85">
        <v>2.67415444101028</v>
      </c>
      <c r="CR85">
        <v>-1</v>
      </c>
      <c r="CS85">
        <v>7.0239489999999991</v>
      </c>
      <c r="CT85">
        <v>1.4451539212007269</v>
      </c>
      <c r="CU85">
        <v>0.1390789490325548</v>
      </c>
      <c r="CV85">
        <v>-1</v>
      </c>
      <c r="CW85">
        <v>0</v>
      </c>
      <c r="CX85">
        <v>0</v>
      </c>
      <c r="CY85" t="s">
        <v>333</v>
      </c>
      <c r="CZ85">
        <v>2.3647800000000001</v>
      </c>
      <c r="DA85">
        <v>2.7138599999999999</v>
      </c>
      <c r="DB85">
        <v>0.13114600000000001</v>
      </c>
      <c r="DC85">
        <v>0.14666100000000001</v>
      </c>
      <c r="DD85">
        <v>0.11423</v>
      </c>
      <c r="DE85">
        <v>8.7373099999999995E-2</v>
      </c>
      <c r="DF85">
        <v>31733.8</v>
      </c>
      <c r="DG85">
        <v>27515.3</v>
      </c>
      <c r="DH85">
        <v>31180.2</v>
      </c>
      <c r="DI85">
        <v>28096</v>
      </c>
      <c r="DJ85">
        <v>37496.5</v>
      </c>
      <c r="DK85">
        <v>36462.699999999997</v>
      </c>
      <c r="DL85">
        <v>44374.8</v>
      </c>
      <c r="DM85">
        <v>42587.3</v>
      </c>
      <c r="DN85">
        <v>1.4728000000000001</v>
      </c>
      <c r="DO85">
        <v>2.05728</v>
      </c>
      <c r="DP85">
        <v>9.4115699999999997E-2</v>
      </c>
      <c r="DQ85">
        <v>0.19704199999999999</v>
      </c>
      <c r="DR85">
        <v>25.4573</v>
      </c>
      <c r="DS85">
        <v>25.250299999999999</v>
      </c>
      <c r="DT85">
        <v>57.2</v>
      </c>
      <c r="DU85">
        <v>28.9</v>
      </c>
      <c r="DV85">
        <v>23.0321</v>
      </c>
      <c r="DW85">
        <v>61.831099999999999</v>
      </c>
      <c r="DX85">
        <v>35.508800000000001</v>
      </c>
      <c r="DY85">
        <v>1</v>
      </c>
      <c r="DZ85">
        <v>-9.3234200000000003E-2</v>
      </c>
      <c r="EA85">
        <v>-0.11380999999999999</v>
      </c>
      <c r="EB85">
        <v>20.190100000000001</v>
      </c>
      <c r="EC85">
        <v>5.2409499999999998</v>
      </c>
      <c r="ED85">
        <v>12.039899999999999</v>
      </c>
      <c r="EE85">
        <v>5.0170500000000002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</v>
      </c>
      <c r="EL85">
        <v>1.8646199999999999</v>
      </c>
      <c r="EM85">
        <v>1.8691899999999999</v>
      </c>
      <c r="EN85">
        <v>1.8672200000000001</v>
      </c>
      <c r="EO85">
        <v>1.86338</v>
      </c>
      <c r="EP85">
        <v>1.8644700000000001</v>
      </c>
      <c r="EQ85">
        <v>1.8701399999999999</v>
      </c>
      <c r="ER85">
        <v>1.86938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-0.22900000000000001</v>
      </c>
      <c r="FG85">
        <v>0.28149999999999997</v>
      </c>
      <c r="FH85">
        <v>0.23539598422606861</v>
      </c>
      <c r="FI85">
        <v>-6.1462078757559423E-4</v>
      </c>
      <c r="FJ85">
        <v>-1.8861989874597051E-7</v>
      </c>
      <c r="FK85">
        <v>1.1980462299894961E-10</v>
      </c>
      <c r="FL85">
        <v>0.28151999999999688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20.7</v>
      </c>
      <c r="FU85">
        <v>20.9</v>
      </c>
      <c r="FV85">
        <v>1.78955</v>
      </c>
      <c r="FW85">
        <v>2.5878899999999998</v>
      </c>
      <c r="FX85">
        <v>1.5490699999999999</v>
      </c>
      <c r="FY85">
        <v>2.3290999999999999</v>
      </c>
      <c r="FZ85">
        <v>1.50146</v>
      </c>
      <c r="GA85">
        <v>2.4084500000000002</v>
      </c>
      <c r="GB85">
        <v>33.6479</v>
      </c>
      <c r="GC85">
        <v>23.991199999999999</v>
      </c>
      <c r="GD85">
        <v>19</v>
      </c>
      <c r="GE85">
        <v>281.50599999999997</v>
      </c>
      <c r="GF85">
        <v>600.73800000000006</v>
      </c>
      <c r="GG85">
        <v>24.834399999999999</v>
      </c>
      <c r="GH85">
        <v>26.2377</v>
      </c>
      <c r="GI85">
        <v>29.9999</v>
      </c>
      <c r="GJ85">
        <v>26.367899999999999</v>
      </c>
      <c r="GK85">
        <v>26.348299999999998</v>
      </c>
      <c r="GL85">
        <v>35.775399999999998</v>
      </c>
      <c r="GM85">
        <v>35.839399999999998</v>
      </c>
      <c r="GN85">
        <v>98.117000000000004</v>
      </c>
      <c r="GO85">
        <v>24.8447</v>
      </c>
      <c r="GP85">
        <v>800</v>
      </c>
      <c r="GQ85">
        <v>16.6386</v>
      </c>
      <c r="GR85">
        <v>99.766499999999994</v>
      </c>
      <c r="GS85">
        <v>99.623199999999997</v>
      </c>
    </row>
    <row r="86" spans="1:201" x14ac:dyDescent="0.25">
      <c r="A86">
        <v>70</v>
      </c>
      <c r="B86">
        <v>1690301729.5999999</v>
      </c>
      <c r="C86">
        <v>825.59999990463257</v>
      </c>
      <c r="D86" t="s">
        <v>471</v>
      </c>
      <c r="E86" t="s">
        <v>472</v>
      </c>
      <c r="F86" t="s">
        <v>330</v>
      </c>
      <c r="H86">
        <v>1690301729.5999999</v>
      </c>
      <c r="I86">
        <f t="shared" si="30"/>
        <v>7.085913419254509E-4</v>
      </c>
      <c r="J86">
        <f t="shared" si="31"/>
        <v>0.70859134192545092</v>
      </c>
      <c r="K86">
        <f t="shared" si="32"/>
        <v>11.416575221657448</v>
      </c>
      <c r="L86">
        <f t="shared" si="33"/>
        <v>670.51400000000001</v>
      </c>
      <c r="M86">
        <f t="shared" si="34"/>
        <v>244.92217654318216</v>
      </c>
      <c r="N86">
        <f t="shared" si="35"/>
        <v>24.350414326998479</v>
      </c>
      <c r="O86">
        <f t="shared" si="36"/>
        <v>66.663190497877991</v>
      </c>
      <c r="P86">
        <f t="shared" si="37"/>
        <v>4.4581250431445049E-2</v>
      </c>
      <c r="Q86">
        <f t="shared" si="38"/>
        <v>2.1178404365593284</v>
      </c>
      <c r="R86">
        <f t="shared" si="39"/>
        <v>4.4066387974938732E-2</v>
      </c>
      <c r="S86">
        <f t="shared" si="40"/>
        <v>2.758725532056807E-2</v>
      </c>
      <c r="T86">
        <f t="shared" si="41"/>
        <v>276.114524238</v>
      </c>
      <c r="U86">
        <f t="shared" si="42"/>
        <v>28.679365364012735</v>
      </c>
      <c r="V86">
        <f t="shared" si="43"/>
        <v>28.679365364012735</v>
      </c>
      <c r="W86">
        <f t="shared" si="44"/>
        <v>3.9477549522158322</v>
      </c>
      <c r="X86">
        <f t="shared" si="45"/>
        <v>68.11997244772887</v>
      </c>
      <c r="Y86">
        <f t="shared" si="46"/>
        <v>2.4000931864988999</v>
      </c>
      <c r="Z86">
        <f t="shared" si="47"/>
        <v>3.5233325855212079</v>
      </c>
      <c r="AA86">
        <f t="shared" si="48"/>
        <v>1.5476617657169323</v>
      </c>
      <c r="AB86">
        <f t="shared" si="49"/>
        <v>-31.248878178912385</v>
      </c>
      <c r="AC86">
        <f t="shared" si="50"/>
        <v>-222.27585547362352</v>
      </c>
      <c r="AD86">
        <f t="shared" si="51"/>
        <v>-22.810826361023128</v>
      </c>
      <c r="AE86">
        <f t="shared" si="52"/>
        <v>-0.22103577555901666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52587.170180819143</v>
      </c>
      <c r="AK86">
        <f t="shared" si="56"/>
        <v>1800</v>
      </c>
      <c r="AL86">
        <f t="shared" si="57"/>
        <v>1499.1122448000001</v>
      </c>
      <c r="AM86">
        <f t="shared" si="58"/>
        <v>0.83284013600000006</v>
      </c>
      <c r="AN86">
        <f t="shared" si="59"/>
        <v>0.15339695790999999</v>
      </c>
      <c r="AO86">
        <v>32.700000000000003</v>
      </c>
      <c r="AP86">
        <v>0.5</v>
      </c>
      <c r="AQ86" t="s">
        <v>331</v>
      </c>
      <c r="AR86">
        <v>2</v>
      </c>
      <c r="AS86">
        <v>1690301729.5999999</v>
      </c>
      <c r="AT86">
        <v>670.51400000000001</v>
      </c>
      <c r="AU86">
        <v>800.07</v>
      </c>
      <c r="AV86">
        <v>24.140699999999999</v>
      </c>
      <c r="AW86">
        <v>16.607199999999999</v>
      </c>
      <c r="AX86">
        <v>670.74</v>
      </c>
      <c r="AY86">
        <v>23.859200000000001</v>
      </c>
      <c r="AZ86">
        <v>300.14699999999999</v>
      </c>
      <c r="BA86">
        <v>99.320999999999998</v>
      </c>
      <c r="BB86">
        <v>0.100027</v>
      </c>
      <c r="BC86">
        <v>26.732600000000001</v>
      </c>
      <c r="BD86">
        <v>26.967300000000002</v>
      </c>
      <c r="BE86">
        <v>28.476600000000001</v>
      </c>
      <c r="BF86">
        <v>0</v>
      </c>
      <c r="BG86">
        <v>0</v>
      </c>
      <c r="BH86">
        <v>10004.4</v>
      </c>
      <c r="BI86">
        <v>1076.77</v>
      </c>
      <c r="BJ86">
        <v>1.96231</v>
      </c>
      <c r="BK86">
        <v>-129.55600000000001</v>
      </c>
      <c r="BL86">
        <v>687.101</v>
      </c>
      <c r="BM86">
        <v>813.58100000000002</v>
      </c>
      <c r="BN86">
        <v>7.5334700000000003</v>
      </c>
      <c r="BO86">
        <v>800.07</v>
      </c>
      <c r="BP86">
        <v>16.607199999999999</v>
      </c>
      <c r="BQ86">
        <v>2.3976799999999998</v>
      </c>
      <c r="BR86">
        <v>1.6494500000000001</v>
      </c>
      <c r="BS86">
        <v>20.348099999999999</v>
      </c>
      <c r="BT86">
        <v>14.428699999999999</v>
      </c>
      <c r="BU86">
        <v>1800</v>
      </c>
      <c r="BV86">
        <v>0.91000700000000001</v>
      </c>
      <c r="BW86">
        <v>3.3999799999999997E-2</v>
      </c>
      <c r="BX86">
        <v>2.19933E-2</v>
      </c>
      <c r="BY86">
        <v>3.4000299999999997E-2</v>
      </c>
      <c r="BZ86">
        <v>25</v>
      </c>
      <c r="CA86">
        <v>33528.400000000001</v>
      </c>
      <c r="CB86">
        <v>1690300477.5</v>
      </c>
      <c r="CC86" t="s">
        <v>332</v>
      </c>
      <c r="CD86">
        <v>1690300477.5</v>
      </c>
      <c r="CE86">
        <v>1690300465.5</v>
      </c>
      <c r="CF86">
        <v>7</v>
      </c>
      <c r="CG86">
        <v>5.0999999999999997E-2</v>
      </c>
      <c r="CH86">
        <v>-8.0000000000000002E-3</v>
      </c>
      <c r="CI86">
        <v>-0.316</v>
      </c>
      <c r="CJ86">
        <v>0.28199999999999997</v>
      </c>
      <c r="CK86">
        <v>800</v>
      </c>
      <c r="CL86">
        <v>24</v>
      </c>
      <c r="CM86">
        <v>0.25</v>
      </c>
      <c r="CN86">
        <v>0.13</v>
      </c>
      <c r="CO86">
        <v>-124.29770000000001</v>
      </c>
      <c r="CP86">
        <v>-28.004803001875921</v>
      </c>
      <c r="CQ86">
        <v>2.694124265879358</v>
      </c>
      <c r="CR86">
        <v>-1</v>
      </c>
      <c r="CS86">
        <v>7.26446375</v>
      </c>
      <c r="CT86">
        <v>1.438040037523431</v>
      </c>
      <c r="CU86">
        <v>0.13840900011717991</v>
      </c>
      <c r="CV86">
        <v>-1</v>
      </c>
      <c r="CW86">
        <v>0</v>
      </c>
      <c r="CX86">
        <v>0</v>
      </c>
      <c r="CY86" t="s">
        <v>333</v>
      </c>
      <c r="CZ86">
        <v>2.3643800000000001</v>
      </c>
      <c r="DA86">
        <v>2.7138200000000001</v>
      </c>
      <c r="DB86">
        <v>0.130525</v>
      </c>
      <c r="DC86">
        <v>0.14665700000000001</v>
      </c>
      <c r="DD86">
        <v>0.114331</v>
      </c>
      <c r="DE86">
        <v>8.6584400000000006E-2</v>
      </c>
      <c r="DF86">
        <v>31757.3</v>
      </c>
      <c r="DG86">
        <v>27515.5</v>
      </c>
      <c r="DH86">
        <v>31181</v>
      </c>
      <c r="DI86">
        <v>28096</v>
      </c>
      <c r="DJ86">
        <v>37492.9</v>
      </c>
      <c r="DK86">
        <v>36494.6</v>
      </c>
      <c r="DL86">
        <v>44375.8</v>
      </c>
      <c r="DM86">
        <v>42587.6</v>
      </c>
      <c r="DN86">
        <v>1.4729000000000001</v>
      </c>
      <c r="DO86">
        <v>2.0573999999999999</v>
      </c>
      <c r="DP86">
        <v>9.2133900000000005E-2</v>
      </c>
      <c r="DQ86">
        <v>0.19711999999999999</v>
      </c>
      <c r="DR86">
        <v>25.4587</v>
      </c>
      <c r="DS86">
        <v>25.252199999999998</v>
      </c>
      <c r="DT86">
        <v>57.2</v>
      </c>
      <c r="DU86">
        <v>28.9</v>
      </c>
      <c r="DV86">
        <v>23.0306</v>
      </c>
      <c r="DW86">
        <v>61.7911</v>
      </c>
      <c r="DX86">
        <v>36.306100000000001</v>
      </c>
      <c r="DY86">
        <v>1</v>
      </c>
      <c r="DZ86">
        <v>-9.3597600000000003E-2</v>
      </c>
      <c r="EA86">
        <v>-7.5718999999999995E-2</v>
      </c>
      <c r="EB86">
        <v>20.190100000000001</v>
      </c>
      <c r="EC86">
        <v>5.2408000000000001</v>
      </c>
      <c r="ED86">
        <v>12.039899999999999</v>
      </c>
      <c r="EE86">
        <v>5.0166000000000004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</v>
      </c>
      <c r="EL86">
        <v>1.8646100000000001</v>
      </c>
      <c r="EM86">
        <v>1.8692</v>
      </c>
      <c r="EN86">
        <v>1.8672200000000001</v>
      </c>
      <c r="EO86">
        <v>1.8633999999999999</v>
      </c>
      <c r="EP86">
        <v>1.8644700000000001</v>
      </c>
      <c r="EQ86">
        <v>1.8701399999999999</v>
      </c>
      <c r="ER86">
        <v>1.8693900000000001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-0.22600000000000001</v>
      </c>
      <c r="FG86">
        <v>0.28149999999999997</v>
      </c>
      <c r="FH86">
        <v>0.23539598422606861</v>
      </c>
      <c r="FI86">
        <v>-6.1462078757559423E-4</v>
      </c>
      <c r="FJ86">
        <v>-1.8861989874597051E-7</v>
      </c>
      <c r="FK86">
        <v>1.1980462299894961E-10</v>
      </c>
      <c r="FL86">
        <v>0.28151999999999688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20.9</v>
      </c>
      <c r="FU86">
        <v>21.1</v>
      </c>
      <c r="FV86">
        <v>1.78833</v>
      </c>
      <c r="FW86">
        <v>2.5866699999999998</v>
      </c>
      <c r="FX86">
        <v>1.5490699999999999</v>
      </c>
      <c r="FY86">
        <v>2.3303199999999999</v>
      </c>
      <c r="FZ86">
        <v>1.50146</v>
      </c>
      <c r="GA86">
        <v>2.34741</v>
      </c>
      <c r="GB86">
        <v>33.6479</v>
      </c>
      <c r="GC86">
        <v>23.991199999999999</v>
      </c>
      <c r="GD86">
        <v>19</v>
      </c>
      <c r="GE86">
        <v>281.52999999999997</v>
      </c>
      <c r="GF86">
        <v>600.81299999999999</v>
      </c>
      <c r="GG86">
        <v>24.852599999999999</v>
      </c>
      <c r="GH86">
        <v>26.2334</v>
      </c>
      <c r="GI86">
        <v>29.9998</v>
      </c>
      <c r="GJ86">
        <v>26.363700000000001</v>
      </c>
      <c r="GK86">
        <v>26.345600000000001</v>
      </c>
      <c r="GL86">
        <v>35.770699999999998</v>
      </c>
      <c r="GM86">
        <v>36.674300000000002</v>
      </c>
      <c r="GN86">
        <v>97.739800000000002</v>
      </c>
      <c r="GO86">
        <v>24.851500000000001</v>
      </c>
      <c r="GP86">
        <v>800</v>
      </c>
      <c r="GQ86">
        <v>16.424900000000001</v>
      </c>
      <c r="GR86">
        <v>99.768900000000002</v>
      </c>
      <c r="GS86">
        <v>99.623599999999996</v>
      </c>
    </row>
    <row r="87" spans="1:201" x14ac:dyDescent="0.25">
      <c r="A87">
        <v>71</v>
      </c>
      <c r="B87">
        <v>1690301739.5999999</v>
      </c>
      <c r="C87">
        <v>835.59999990463257</v>
      </c>
      <c r="D87" t="s">
        <v>473</v>
      </c>
      <c r="E87" t="s">
        <v>474</v>
      </c>
      <c r="F87" t="s">
        <v>330</v>
      </c>
      <c r="H87">
        <v>1690301739.5999999</v>
      </c>
      <c r="I87">
        <f t="shared" si="30"/>
        <v>7.3297406780449873E-4</v>
      </c>
      <c r="J87">
        <f t="shared" si="31"/>
        <v>0.7329740678044987</v>
      </c>
      <c r="K87">
        <f t="shared" si="32"/>
        <v>11.830590780103448</v>
      </c>
      <c r="L87">
        <f t="shared" si="33"/>
        <v>665.83</v>
      </c>
      <c r="M87">
        <f t="shared" si="34"/>
        <v>240.50335431558449</v>
      </c>
      <c r="N87">
        <f t="shared" si="35"/>
        <v>23.910678260250997</v>
      </c>
      <c r="O87">
        <f t="shared" si="36"/>
        <v>66.196361174789999</v>
      </c>
      <c r="P87">
        <f t="shared" si="37"/>
        <v>4.622946510589717E-2</v>
      </c>
      <c r="Q87">
        <f t="shared" si="38"/>
        <v>2.1145096174039901</v>
      </c>
      <c r="R87">
        <f t="shared" si="39"/>
        <v>4.5675223352948033E-2</v>
      </c>
      <c r="S87">
        <f t="shared" si="40"/>
        <v>2.8596257314849195E-2</v>
      </c>
      <c r="T87">
        <f t="shared" si="41"/>
        <v>276.11262298046137</v>
      </c>
      <c r="U87">
        <f t="shared" si="42"/>
        <v>28.678264016951086</v>
      </c>
      <c r="V87">
        <f t="shared" si="43"/>
        <v>28.678264016951086</v>
      </c>
      <c r="W87">
        <f t="shared" si="44"/>
        <v>3.9475027701844376</v>
      </c>
      <c r="X87">
        <f t="shared" si="45"/>
        <v>68.184306449364811</v>
      </c>
      <c r="Y87">
        <f t="shared" si="46"/>
        <v>2.4030244467977999</v>
      </c>
      <c r="Z87">
        <f t="shared" si="47"/>
        <v>3.5243072371533759</v>
      </c>
      <c r="AA87">
        <f t="shared" si="48"/>
        <v>1.5444783233866377</v>
      </c>
      <c r="AB87">
        <f t="shared" si="49"/>
        <v>-32.324156390178395</v>
      </c>
      <c r="AC87">
        <f t="shared" si="50"/>
        <v>-221.26493390430289</v>
      </c>
      <c r="AD87">
        <f t="shared" si="51"/>
        <v>-22.743257098083237</v>
      </c>
      <c r="AE87">
        <f t="shared" si="52"/>
        <v>-0.21972441210314742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52440.309216038659</v>
      </c>
      <c r="AK87">
        <f t="shared" si="56"/>
        <v>1799.99</v>
      </c>
      <c r="AL87">
        <f t="shared" si="57"/>
        <v>1499.09898442604</v>
      </c>
      <c r="AM87">
        <f t="shared" si="58"/>
        <v>0.83283739599999995</v>
      </c>
      <c r="AN87">
        <f t="shared" si="59"/>
        <v>0.15339675385999998</v>
      </c>
      <c r="AO87">
        <v>32.700000000000003</v>
      </c>
      <c r="AP87">
        <v>0.5</v>
      </c>
      <c r="AQ87" t="s">
        <v>331</v>
      </c>
      <c r="AR87">
        <v>2</v>
      </c>
      <c r="AS87">
        <v>1690301739.5999999</v>
      </c>
      <c r="AT87">
        <v>665.83</v>
      </c>
      <c r="AU87">
        <v>800.06500000000005</v>
      </c>
      <c r="AV87">
        <v>24.1706</v>
      </c>
      <c r="AW87">
        <v>16.3765</v>
      </c>
      <c r="AX87">
        <v>666.05200000000002</v>
      </c>
      <c r="AY87">
        <v>23.889099999999999</v>
      </c>
      <c r="AZ87">
        <v>300.08499999999998</v>
      </c>
      <c r="BA87">
        <v>99.319299999999998</v>
      </c>
      <c r="BB87">
        <v>0.100013</v>
      </c>
      <c r="BC87">
        <v>26.737300000000001</v>
      </c>
      <c r="BD87">
        <v>26.988800000000001</v>
      </c>
      <c r="BE87">
        <v>28.470700000000001</v>
      </c>
      <c r="BF87">
        <v>0</v>
      </c>
      <c r="BG87">
        <v>0</v>
      </c>
      <c r="BH87">
        <v>9975.6200000000008</v>
      </c>
      <c r="BI87">
        <v>1076.8599999999999</v>
      </c>
      <c r="BJ87">
        <v>1.96231</v>
      </c>
      <c r="BK87">
        <v>-134.23500000000001</v>
      </c>
      <c r="BL87">
        <v>682.322</v>
      </c>
      <c r="BM87">
        <v>813.38599999999997</v>
      </c>
      <c r="BN87">
        <v>7.7941099999999999</v>
      </c>
      <c r="BO87">
        <v>800.06500000000005</v>
      </c>
      <c r="BP87">
        <v>16.3765</v>
      </c>
      <c r="BQ87">
        <v>2.4006099999999999</v>
      </c>
      <c r="BR87">
        <v>1.6265000000000001</v>
      </c>
      <c r="BS87">
        <v>20.367899999999999</v>
      </c>
      <c r="BT87">
        <v>14.212199999999999</v>
      </c>
      <c r="BU87">
        <v>1799.99</v>
      </c>
      <c r="BV87">
        <v>0.90999099999999999</v>
      </c>
      <c r="BW87">
        <v>3.4008400000000001E-2</v>
      </c>
      <c r="BX87">
        <v>2.19898E-2</v>
      </c>
      <c r="BY87">
        <v>3.4010600000000002E-2</v>
      </c>
      <c r="BZ87">
        <v>25</v>
      </c>
      <c r="CA87">
        <v>33528.300000000003</v>
      </c>
      <c r="CB87">
        <v>1690300477.5</v>
      </c>
      <c r="CC87" t="s">
        <v>332</v>
      </c>
      <c r="CD87">
        <v>1690300477.5</v>
      </c>
      <c r="CE87">
        <v>1690300465.5</v>
      </c>
      <c r="CF87">
        <v>7</v>
      </c>
      <c r="CG87">
        <v>5.0999999999999997E-2</v>
      </c>
      <c r="CH87">
        <v>-8.0000000000000002E-3</v>
      </c>
      <c r="CI87">
        <v>-0.316</v>
      </c>
      <c r="CJ87">
        <v>0.28199999999999997</v>
      </c>
      <c r="CK87">
        <v>800</v>
      </c>
      <c r="CL87">
        <v>24</v>
      </c>
      <c r="CM87">
        <v>0.25</v>
      </c>
      <c r="CN87">
        <v>0.13</v>
      </c>
      <c r="CO87">
        <v>-129.09873170731711</v>
      </c>
      <c r="CP87">
        <v>-28.086794425087142</v>
      </c>
      <c r="CQ87">
        <v>2.7695649656129659</v>
      </c>
      <c r="CR87">
        <v>-1</v>
      </c>
      <c r="CS87">
        <v>7.5151895121951204</v>
      </c>
      <c r="CT87">
        <v>1.493188222996525</v>
      </c>
      <c r="CU87">
        <v>0.14735492117633531</v>
      </c>
      <c r="CV87">
        <v>-1</v>
      </c>
      <c r="CW87">
        <v>0</v>
      </c>
      <c r="CX87">
        <v>0</v>
      </c>
      <c r="CY87" t="s">
        <v>333</v>
      </c>
      <c r="CZ87">
        <v>2.3641899999999998</v>
      </c>
      <c r="DA87">
        <v>2.7137799999999999</v>
      </c>
      <c r="DB87">
        <v>0.12989400000000001</v>
      </c>
      <c r="DC87">
        <v>0.146651</v>
      </c>
      <c r="DD87">
        <v>0.114431</v>
      </c>
      <c r="DE87">
        <v>8.5709999999999995E-2</v>
      </c>
      <c r="DF87">
        <v>31780.2</v>
      </c>
      <c r="DG87">
        <v>27516.3</v>
      </c>
      <c r="DH87">
        <v>31180.799999999999</v>
      </c>
      <c r="DI87">
        <v>28096.6</v>
      </c>
      <c r="DJ87">
        <v>37488.300000000003</v>
      </c>
      <c r="DK87">
        <v>36530.400000000001</v>
      </c>
      <c r="DL87">
        <v>44375.5</v>
      </c>
      <c r="DM87">
        <v>42588.5</v>
      </c>
      <c r="DN87">
        <v>1.47305</v>
      </c>
      <c r="DO87">
        <v>2.05687</v>
      </c>
      <c r="DP87">
        <v>9.3266399999999999E-2</v>
      </c>
      <c r="DQ87">
        <v>0.19667299999999999</v>
      </c>
      <c r="DR87">
        <v>25.461600000000001</v>
      </c>
      <c r="DS87">
        <v>25.253499999999999</v>
      </c>
      <c r="DT87">
        <v>57.2</v>
      </c>
      <c r="DU87">
        <v>28.9</v>
      </c>
      <c r="DV87">
        <v>23.027999999999999</v>
      </c>
      <c r="DW87">
        <v>61.841099999999997</v>
      </c>
      <c r="DX87">
        <v>36.5625</v>
      </c>
      <c r="DY87">
        <v>1</v>
      </c>
      <c r="DZ87">
        <v>-9.3937999999999994E-2</v>
      </c>
      <c r="EA87">
        <v>-0.108388</v>
      </c>
      <c r="EB87">
        <v>20.190000000000001</v>
      </c>
      <c r="EC87">
        <v>5.2408000000000001</v>
      </c>
      <c r="ED87">
        <v>12.039899999999999</v>
      </c>
      <c r="EE87">
        <v>5.0168999999999997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</v>
      </c>
      <c r="EL87">
        <v>1.8646100000000001</v>
      </c>
      <c r="EM87">
        <v>1.8692</v>
      </c>
      <c r="EN87">
        <v>1.8672200000000001</v>
      </c>
      <c r="EO87">
        <v>1.86338</v>
      </c>
      <c r="EP87">
        <v>1.8644700000000001</v>
      </c>
      <c r="EQ87">
        <v>1.87016</v>
      </c>
      <c r="ER87">
        <v>1.8693900000000001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-0.222</v>
      </c>
      <c r="FG87">
        <v>0.28149999999999997</v>
      </c>
      <c r="FH87">
        <v>0.23539598422606861</v>
      </c>
      <c r="FI87">
        <v>-6.1462078757559423E-4</v>
      </c>
      <c r="FJ87">
        <v>-1.8861989874597051E-7</v>
      </c>
      <c r="FK87">
        <v>1.1980462299894961E-10</v>
      </c>
      <c r="FL87">
        <v>0.28151999999999688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21</v>
      </c>
      <c r="FU87">
        <v>21.2</v>
      </c>
      <c r="FV87">
        <v>1.78833</v>
      </c>
      <c r="FW87">
        <v>2.5939899999999998</v>
      </c>
      <c r="FX87">
        <v>1.5490699999999999</v>
      </c>
      <c r="FY87">
        <v>2.3290999999999999</v>
      </c>
      <c r="FZ87">
        <v>1.50146</v>
      </c>
      <c r="GA87">
        <v>2.2680699999999998</v>
      </c>
      <c r="GB87">
        <v>33.6479</v>
      </c>
      <c r="GC87">
        <v>23.982399999999998</v>
      </c>
      <c r="GD87">
        <v>19</v>
      </c>
      <c r="GE87">
        <v>281.57799999999997</v>
      </c>
      <c r="GF87">
        <v>600.32299999999998</v>
      </c>
      <c r="GG87">
        <v>24.874300000000002</v>
      </c>
      <c r="GH87">
        <v>26.229500000000002</v>
      </c>
      <c r="GI87">
        <v>29.9999</v>
      </c>
      <c r="GJ87">
        <v>26.360099999999999</v>
      </c>
      <c r="GK87">
        <v>26.3416</v>
      </c>
      <c r="GL87">
        <v>35.7639</v>
      </c>
      <c r="GM87">
        <v>37.258000000000003</v>
      </c>
      <c r="GN87">
        <v>97.355800000000002</v>
      </c>
      <c r="GO87">
        <v>24.874500000000001</v>
      </c>
      <c r="GP87">
        <v>800</v>
      </c>
      <c r="GQ87">
        <v>16.209599999999998</v>
      </c>
      <c r="GR87">
        <v>99.768299999999996</v>
      </c>
      <c r="GS87">
        <v>99.625799999999998</v>
      </c>
    </row>
    <row r="88" spans="1:201" x14ac:dyDescent="0.25">
      <c r="A88">
        <v>72</v>
      </c>
      <c r="B88">
        <v>1690301749.5999999</v>
      </c>
      <c r="C88">
        <v>845.59999990463257</v>
      </c>
      <c r="D88" t="s">
        <v>475</v>
      </c>
      <c r="E88" t="s">
        <v>476</v>
      </c>
      <c r="F88" t="s">
        <v>330</v>
      </c>
      <c r="H88">
        <v>1690301749.5999999</v>
      </c>
      <c r="I88">
        <f t="shared" si="30"/>
        <v>7.5602966257050776E-4</v>
      </c>
      <c r="J88">
        <f t="shared" si="31"/>
        <v>0.75602966257050774</v>
      </c>
      <c r="K88">
        <f t="shared" si="32"/>
        <v>12.265086909543051</v>
      </c>
      <c r="L88">
        <f t="shared" si="33"/>
        <v>661.01400000000001</v>
      </c>
      <c r="M88">
        <f t="shared" si="34"/>
        <v>234.69546305166256</v>
      </c>
      <c r="N88">
        <f t="shared" si="35"/>
        <v>23.333129708084755</v>
      </c>
      <c r="O88">
        <f t="shared" si="36"/>
        <v>65.717186009108389</v>
      </c>
      <c r="P88">
        <f t="shared" si="37"/>
        <v>4.7809808031791565E-2</v>
      </c>
      <c r="Q88">
        <f t="shared" si="38"/>
        <v>2.1183204106992131</v>
      </c>
      <c r="R88">
        <f t="shared" si="39"/>
        <v>4.7218338984012516E-2</v>
      </c>
      <c r="S88">
        <f t="shared" si="40"/>
        <v>2.9563993302563062E-2</v>
      </c>
      <c r="T88">
        <f t="shared" si="41"/>
        <v>276.11745220732348</v>
      </c>
      <c r="U88">
        <f t="shared" si="42"/>
        <v>28.67483702021519</v>
      </c>
      <c r="V88">
        <f t="shared" si="43"/>
        <v>28.67483702021519</v>
      </c>
      <c r="W88">
        <f t="shared" si="44"/>
        <v>3.9467181600930159</v>
      </c>
      <c r="X88">
        <f t="shared" si="45"/>
        <v>68.230171913550848</v>
      </c>
      <c r="Y88">
        <f t="shared" si="46"/>
        <v>2.4057448688938599</v>
      </c>
      <c r="Z88">
        <f t="shared" si="47"/>
        <v>3.5259252635945169</v>
      </c>
      <c r="AA88">
        <f t="shared" si="48"/>
        <v>1.540973291199156</v>
      </c>
      <c r="AB88">
        <f t="shared" si="49"/>
        <v>-33.340908119359391</v>
      </c>
      <c r="AC88">
        <f t="shared" si="50"/>
        <v>-220.38154461308667</v>
      </c>
      <c r="AD88">
        <f t="shared" si="51"/>
        <v>-22.612195223975728</v>
      </c>
      <c r="AE88">
        <f t="shared" si="52"/>
        <v>-0.21719574909832318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52605.989983993088</v>
      </c>
      <c r="AK88">
        <f t="shared" si="56"/>
        <v>1800.01</v>
      </c>
      <c r="AL88">
        <f t="shared" si="57"/>
        <v>1499.1168273805499</v>
      </c>
      <c r="AM88">
        <f t="shared" si="58"/>
        <v>0.83283805499999997</v>
      </c>
      <c r="AN88">
        <f t="shared" si="59"/>
        <v>0.15339773234999998</v>
      </c>
      <c r="AO88">
        <v>32.700000000000003</v>
      </c>
      <c r="AP88">
        <v>0.5</v>
      </c>
      <c r="AQ88" t="s">
        <v>331</v>
      </c>
      <c r="AR88">
        <v>2</v>
      </c>
      <c r="AS88">
        <v>1690301749.5999999</v>
      </c>
      <c r="AT88">
        <v>661.01400000000001</v>
      </c>
      <c r="AU88">
        <v>800.10199999999998</v>
      </c>
      <c r="AV88">
        <v>24.1981</v>
      </c>
      <c r="AW88">
        <v>16.159600000000001</v>
      </c>
      <c r="AX88">
        <v>661.23299999999995</v>
      </c>
      <c r="AY88">
        <v>23.916499999999999</v>
      </c>
      <c r="AZ88">
        <v>300.10500000000002</v>
      </c>
      <c r="BA88">
        <v>99.318799999999996</v>
      </c>
      <c r="BB88">
        <v>9.9950600000000001E-2</v>
      </c>
      <c r="BC88">
        <v>26.745100000000001</v>
      </c>
      <c r="BD88">
        <v>26.983599999999999</v>
      </c>
      <c r="BE88">
        <v>28.456299999999999</v>
      </c>
      <c r="BF88">
        <v>0</v>
      </c>
      <c r="BG88">
        <v>0</v>
      </c>
      <c r="BH88">
        <v>10008.799999999999</v>
      </c>
      <c r="BI88">
        <v>1076.96</v>
      </c>
      <c r="BJ88">
        <v>1.96231</v>
      </c>
      <c r="BK88">
        <v>-139.08799999999999</v>
      </c>
      <c r="BL88">
        <v>677.40599999999995</v>
      </c>
      <c r="BM88">
        <v>813.24400000000003</v>
      </c>
      <c r="BN88">
        <v>8.03843</v>
      </c>
      <c r="BO88">
        <v>800.10199999999998</v>
      </c>
      <c r="BP88">
        <v>16.159600000000001</v>
      </c>
      <c r="BQ88">
        <v>2.4033199999999999</v>
      </c>
      <c r="BR88">
        <v>1.6049599999999999</v>
      </c>
      <c r="BS88">
        <v>20.386199999999999</v>
      </c>
      <c r="BT88">
        <v>14.006500000000001</v>
      </c>
      <c r="BU88">
        <v>1800.01</v>
      </c>
      <c r="BV88">
        <v>0.90997799999999995</v>
      </c>
      <c r="BW88">
        <v>3.4007099999999998E-2</v>
      </c>
      <c r="BX88">
        <v>2.2002000000000001E-2</v>
      </c>
      <c r="BY88">
        <v>3.4013099999999998E-2</v>
      </c>
      <c r="BZ88">
        <v>25</v>
      </c>
      <c r="CA88">
        <v>33528.400000000001</v>
      </c>
      <c r="CB88">
        <v>1690300477.5</v>
      </c>
      <c r="CC88" t="s">
        <v>332</v>
      </c>
      <c r="CD88">
        <v>1690300477.5</v>
      </c>
      <c r="CE88">
        <v>1690300465.5</v>
      </c>
      <c r="CF88">
        <v>7</v>
      </c>
      <c r="CG88">
        <v>5.0999999999999997E-2</v>
      </c>
      <c r="CH88">
        <v>-8.0000000000000002E-3</v>
      </c>
      <c r="CI88">
        <v>-0.316</v>
      </c>
      <c r="CJ88">
        <v>0.28199999999999997</v>
      </c>
      <c r="CK88">
        <v>800</v>
      </c>
      <c r="CL88">
        <v>24</v>
      </c>
      <c r="CM88">
        <v>0.25</v>
      </c>
      <c r="CN88">
        <v>0.13</v>
      </c>
      <c r="CO88">
        <v>-133.8047317073171</v>
      </c>
      <c r="CP88">
        <v>-28.539428571428829</v>
      </c>
      <c r="CQ88">
        <v>2.8143876605096172</v>
      </c>
      <c r="CR88">
        <v>-1</v>
      </c>
      <c r="CS88">
        <v>7.7653507317073176</v>
      </c>
      <c r="CT88">
        <v>1.5220676655052261</v>
      </c>
      <c r="CU88">
        <v>0.150155549614233</v>
      </c>
      <c r="CV88">
        <v>-1</v>
      </c>
      <c r="CW88">
        <v>0</v>
      </c>
      <c r="CX88">
        <v>0</v>
      </c>
      <c r="CY88" t="s">
        <v>333</v>
      </c>
      <c r="CZ88">
        <v>2.36422</v>
      </c>
      <c r="DA88">
        <v>2.7137500000000001</v>
      </c>
      <c r="DB88">
        <v>0.129245</v>
      </c>
      <c r="DC88">
        <v>0.146651</v>
      </c>
      <c r="DD88">
        <v>0.114523</v>
      </c>
      <c r="DE88">
        <v>8.4884399999999999E-2</v>
      </c>
      <c r="DF88">
        <v>31804</v>
      </c>
      <c r="DG88">
        <v>27515.8</v>
      </c>
      <c r="DH88">
        <v>31180.9</v>
      </c>
      <c r="DI88">
        <v>28096.2</v>
      </c>
      <c r="DJ88">
        <v>37484.400000000001</v>
      </c>
      <c r="DK88">
        <v>36562.9</v>
      </c>
      <c r="DL88">
        <v>44375.6</v>
      </c>
      <c r="DM88">
        <v>42587.8</v>
      </c>
      <c r="DN88">
        <v>1.4731000000000001</v>
      </c>
      <c r="DO88">
        <v>2.0566200000000001</v>
      </c>
      <c r="DP88">
        <v>9.2811900000000003E-2</v>
      </c>
      <c r="DQ88">
        <v>0.195742</v>
      </c>
      <c r="DR88">
        <v>25.463799999999999</v>
      </c>
      <c r="DS88">
        <v>25.254300000000001</v>
      </c>
      <c r="DT88">
        <v>57.2</v>
      </c>
      <c r="DU88">
        <v>28.9</v>
      </c>
      <c r="DV88">
        <v>23.0307</v>
      </c>
      <c r="DW88">
        <v>61.741100000000003</v>
      </c>
      <c r="DX88">
        <v>36.0777</v>
      </c>
      <c r="DY88">
        <v>1</v>
      </c>
      <c r="DZ88">
        <v>-9.4286099999999998E-2</v>
      </c>
      <c r="EA88">
        <v>-0.111315</v>
      </c>
      <c r="EB88">
        <v>20.190100000000001</v>
      </c>
      <c r="EC88">
        <v>5.2408000000000001</v>
      </c>
      <c r="ED88">
        <v>12.039899999999999</v>
      </c>
      <c r="EE88">
        <v>5.0166000000000004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</v>
      </c>
      <c r="EL88">
        <v>1.8646100000000001</v>
      </c>
      <c r="EM88">
        <v>1.8692</v>
      </c>
      <c r="EN88">
        <v>1.8672200000000001</v>
      </c>
      <c r="EO88">
        <v>1.86338</v>
      </c>
      <c r="EP88">
        <v>1.8644700000000001</v>
      </c>
      <c r="EQ88">
        <v>1.87015</v>
      </c>
      <c r="ER88">
        <v>1.8693900000000001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-0.219</v>
      </c>
      <c r="FG88">
        <v>0.28160000000000002</v>
      </c>
      <c r="FH88">
        <v>0.23539598422606861</v>
      </c>
      <c r="FI88">
        <v>-6.1462078757559423E-4</v>
      </c>
      <c r="FJ88">
        <v>-1.8861989874597051E-7</v>
      </c>
      <c r="FK88">
        <v>1.1980462299894961E-10</v>
      </c>
      <c r="FL88">
        <v>0.28151999999999688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21.2</v>
      </c>
      <c r="FU88">
        <v>21.4</v>
      </c>
      <c r="FV88">
        <v>1.78833</v>
      </c>
      <c r="FW88">
        <v>2.5915499999999998</v>
      </c>
      <c r="FX88">
        <v>1.5490699999999999</v>
      </c>
      <c r="FY88">
        <v>2.3290999999999999</v>
      </c>
      <c r="FZ88">
        <v>1.50146</v>
      </c>
      <c r="GA88">
        <v>2.32178</v>
      </c>
      <c r="GB88">
        <v>33.625399999999999</v>
      </c>
      <c r="GC88">
        <v>23.973700000000001</v>
      </c>
      <c r="GD88">
        <v>19</v>
      </c>
      <c r="GE88">
        <v>281.58499999999998</v>
      </c>
      <c r="GF88">
        <v>600.08100000000002</v>
      </c>
      <c r="GG88">
        <v>24.8857</v>
      </c>
      <c r="GH88">
        <v>26.2256</v>
      </c>
      <c r="GI88">
        <v>30.0001</v>
      </c>
      <c r="GJ88">
        <v>26.357099999999999</v>
      </c>
      <c r="GK88">
        <v>26.338999999999999</v>
      </c>
      <c r="GL88">
        <v>35.757199999999997</v>
      </c>
      <c r="GM88">
        <v>38.122799999999998</v>
      </c>
      <c r="GN88">
        <v>97.355800000000002</v>
      </c>
      <c r="GO88">
        <v>24.890699999999999</v>
      </c>
      <c r="GP88">
        <v>800</v>
      </c>
      <c r="GQ88">
        <v>15.9893</v>
      </c>
      <c r="GR88">
        <v>99.768500000000003</v>
      </c>
      <c r="GS88">
        <v>99.624300000000005</v>
      </c>
    </row>
    <row r="89" spans="1:201" x14ac:dyDescent="0.25">
      <c r="A89">
        <v>73</v>
      </c>
      <c r="B89">
        <v>1690301759.5999999</v>
      </c>
      <c r="C89">
        <v>855.59999990463257</v>
      </c>
      <c r="D89" t="s">
        <v>477</v>
      </c>
      <c r="E89" t="s">
        <v>478</v>
      </c>
      <c r="F89" t="s">
        <v>330</v>
      </c>
      <c r="H89">
        <v>1690301759.5999999</v>
      </c>
      <c r="I89">
        <f t="shared" si="30"/>
        <v>7.7964384876293385E-4</v>
      </c>
      <c r="J89">
        <f t="shared" si="31"/>
        <v>0.7796438487629338</v>
      </c>
      <c r="K89">
        <f t="shared" si="32"/>
        <v>12.699955095673943</v>
      </c>
      <c r="L89">
        <f t="shared" si="33"/>
        <v>656.18899999999996</v>
      </c>
      <c r="M89">
        <f t="shared" si="34"/>
        <v>229.95496338301049</v>
      </c>
      <c r="N89">
        <f t="shared" si="35"/>
        <v>22.86206766127113</v>
      </c>
      <c r="O89">
        <f t="shared" si="36"/>
        <v>65.238154010161296</v>
      </c>
      <c r="P89">
        <f t="shared" si="37"/>
        <v>4.9513259644089737E-2</v>
      </c>
      <c r="Q89">
        <f t="shared" si="38"/>
        <v>2.1207643464284023</v>
      </c>
      <c r="R89">
        <f t="shared" si="39"/>
        <v>4.8879913996246062E-2</v>
      </c>
      <c r="S89">
        <f t="shared" si="40"/>
        <v>3.0606174824281837E-2</v>
      </c>
      <c r="T89">
        <f t="shared" si="41"/>
        <v>276.11678541600003</v>
      </c>
      <c r="U89">
        <f t="shared" si="42"/>
        <v>28.660051901092309</v>
      </c>
      <c r="V89">
        <f t="shared" si="43"/>
        <v>28.660051901092309</v>
      </c>
      <c r="W89">
        <f t="shared" si="44"/>
        <v>3.9433346695298139</v>
      </c>
      <c r="X89">
        <f t="shared" si="45"/>
        <v>68.318600536430452</v>
      </c>
      <c r="Y89">
        <f t="shared" si="46"/>
        <v>2.4082250037067596</v>
      </c>
      <c r="Z89">
        <f t="shared" si="47"/>
        <v>3.5249917076720405</v>
      </c>
      <c r="AA89">
        <f t="shared" si="48"/>
        <v>1.5351096658230543</v>
      </c>
      <c r="AB89">
        <f t="shared" si="49"/>
        <v>-34.382293730445383</v>
      </c>
      <c r="AC89">
        <f t="shared" si="50"/>
        <v>-219.45985639834856</v>
      </c>
      <c r="AD89">
        <f t="shared" si="51"/>
        <v>-22.489510636423514</v>
      </c>
      <c r="AE89">
        <f t="shared" si="52"/>
        <v>-0.21487534921743645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52714.127800840579</v>
      </c>
      <c r="AK89">
        <f t="shared" si="56"/>
        <v>1800</v>
      </c>
      <c r="AL89">
        <f t="shared" si="57"/>
        <v>1499.1097356</v>
      </c>
      <c r="AM89">
        <f t="shared" si="58"/>
        <v>0.83283874199999997</v>
      </c>
      <c r="AN89">
        <f t="shared" si="59"/>
        <v>0.15339821412000001</v>
      </c>
      <c r="AO89">
        <v>32.700000000000003</v>
      </c>
      <c r="AP89">
        <v>0.5</v>
      </c>
      <c r="AQ89" t="s">
        <v>331</v>
      </c>
      <c r="AR89">
        <v>2</v>
      </c>
      <c r="AS89">
        <v>1690301759.5999999</v>
      </c>
      <c r="AT89">
        <v>656.18899999999996</v>
      </c>
      <c r="AU89">
        <v>800.08600000000001</v>
      </c>
      <c r="AV89">
        <v>24.222799999999999</v>
      </c>
      <c r="AW89">
        <v>15.9368</v>
      </c>
      <c r="AX89">
        <v>656.404</v>
      </c>
      <c r="AY89">
        <v>23.941199999999998</v>
      </c>
      <c r="AZ89">
        <v>300.22699999999998</v>
      </c>
      <c r="BA89">
        <v>99.319800000000001</v>
      </c>
      <c r="BB89">
        <v>9.9961700000000001E-2</v>
      </c>
      <c r="BC89">
        <v>26.740600000000001</v>
      </c>
      <c r="BD89">
        <v>26.997599999999998</v>
      </c>
      <c r="BE89">
        <v>28.4754</v>
      </c>
      <c r="BF89">
        <v>0</v>
      </c>
      <c r="BG89">
        <v>0</v>
      </c>
      <c r="BH89">
        <v>10030</v>
      </c>
      <c r="BI89">
        <v>1077.04</v>
      </c>
      <c r="BJ89">
        <v>1.96231</v>
      </c>
      <c r="BK89">
        <v>-143.898</v>
      </c>
      <c r="BL89">
        <v>672.47799999999995</v>
      </c>
      <c r="BM89">
        <v>813.04399999999998</v>
      </c>
      <c r="BN89">
        <v>8.2859800000000003</v>
      </c>
      <c r="BO89">
        <v>800.08600000000001</v>
      </c>
      <c r="BP89">
        <v>15.9368</v>
      </c>
      <c r="BQ89">
        <v>2.4058000000000002</v>
      </c>
      <c r="BR89">
        <v>1.58284</v>
      </c>
      <c r="BS89">
        <v>20.402899999999999</v>
      </c>
      <c r="BT89">
        <v>13.7927</v>
      </c>
      <c r="BU89">
        <v>1800</v>
      </c>
      <c r="BV89">
        <v>0.90997499999999998</v>
      </c>
      <c r="BW89">
        <v>3.4005300000000002E-2</v>
      </c>
      <c r="BX89">
        <v>2.20086E-2</v>
      </c>
      <c r="BY89">
        <v>3.4011399999999997E-2</v>
      </c>
      <c r="BZ89">
        <v>25</v>
      </c>
      <c r="CA89">
        <v>33528.1</v>
      </c>
      <c r="CB89">
        <v>1690300477.5</v>
      </c>
      <c r="CC89" t="s">
        <v>332</v>
      </c>
      <c r="CD89">
        <v>1690300477.5</v>
      </c>
      <c r="CE89">
        <v>1690300465.5</v>
      </c>
      <c r="CF89">
        <v>7</v>
      </c>
      <c r="CG89">
        <v>5.0999999999999997E-2</v>
      </c>
      <c r="CH89">
        <v>-8.0000000000000002E-3</v>
      </c>
      <c r="CI89">
        <v>-0.316</v>
      </c>
      <c r="CJ89">
        <v>0.28199999999999997</v>
      </c>
      <c r="CK89">
        <v>800</v>
      </c>
      <c r="CL89">
        <v>24</v>
      </c>
      <c r="CM89">
        <v>0.25</v>
      </c>
      <c r="CN89">
        <v>0.13</v>
      </c>
      <c r="CO89">
        <v>-138.44777500000001</v>
      </c>
      <c r="CP89">
        <v>-28.779681050656428</v>
      </c>
      <c r="CQ89">
        <v>2.7688504698475471</v>
      </c>
      <c r="CR89">
        <v>-1</v>
      </c>
      <c r="CS89">
        <v>8.0100924999999989</v>
      </c>
      <c r="CT89">
        <v>1.495154071294529</v>
      </c>
      <c r="CU89">
        <v>0.1439724964837035</v>
      </c>
      <c r="CV89">
        <v>-1</v>
      </c>
      <c r="CW89">
        <v>0</v>
      </c>
      <c r="CX89">
        <v>0</v>
      </c>
      <c r="CY89" t="s">
        <v>333</v>
      </c>
      <c r="CZ89">
        <v>2.3646400000000001</v>
      </c>
      <c r="DA89">
        <v>2.7137799999999999</v>
      </c>
      <c r="DB89">
        <v>0.12859400000000001</v>
      </c>
      <c r="DC89">
        <v>0.146647</v>
      </c>
      <c r="DD89">
        <v>0.114608</v>
      </c>
      <c r="DE89">
        <v>8.4032800000000005E-2</v>
      </c>
      <c r="DF89">
        <v>31828.1</v>
      </c>
      <c r="DG89">
        <v>27516.3</v>
      </c>
      <c r="DH89">
        <v>31181.200000000001</v>
      </c>
      <c r="DI89">
        <v>28096.5</v>
      </c>
      <c r="DJ89">
        <v>37481.300000000003</v>
      </c>
      <c r="DK89">
        <v>36597.5</v>
      </c>
      <c r="DL89">
        <v>44376.4</v>
      </c>
      <c r="DM89">
        <v>42588.5</v>
      </c>
      <c r="DN89">
        <v>1.4733000000000001</v>
      </c>
      <c r="DO89">
        <v>2.0564200000000001</v>
      </c>
      <c r="DP89">
        <v>9.3672400000000003E-2</v>
      </c>
      <c r="DQ89">
        <v>0.19692999999999999</v>
      </c>
      <c r="DR89">
        <v>25.463799999999999</v>
      </c>
      <c r="DS89">
        <v>25.254100000000001</v>
      </c>
      <c r="DT89">
        <v>57.2</v>
      </c>
      <c r="DU89">
        <v>28.9</v>
      </c>
      <c r="DV89">
        <v>23.0273</v>
      </c>
      <c r="DW89">
        <v>61.131100000000004</v>
      </c>
      <c r="DX89">
        <v>35.460700000000003</v>
      </c>
      <c r="DY89">
        <v>1</v>
      </c>
      <c r="DZ89">
        <v>-9.4418199999999994E-2</v>
      </c>
      <c r="EA89">
        <v>-0.15725800000000001</v>
      </c>
      <c r="EB89">
        <v>20.189699999999998</v>
      </c>
      <c r="EC89">
        <v>5.2408000000000001</v>
      </c>
      <c r="ED89">
        <v>12.039899999999999</v>
      </c>
      <c r="EE89">
        <v>5.0166000000000004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</v>
      </c>
      <c r="EL89">
        <v>1.8646100000000001</v>
      </c>
      <c r="EM89">
        <v>1.8692</v>
      </c>
      <c r="EN89">
        <v>1.8672200000000001</v>
      </c>
      <c r="EO89">
        <v>1.86337</v>
      </c>
      <c r="EP89">
        <v>1.8644700000000001</v>
      </c>
      <c r="EQ89">
        <v>1.87012</v>
      </c>
      <c r="ER89">
        <v>1.86937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-0.215</v>
      </c>
      <c r="FG89">
        <v>0.28160000000000002</v>
      </c>
      <c r="FH89">
        <v>0.23539598422606861</v>
      </c>
      <c r="FI89">
        <v>-6.1462078757559423E-4</v>
      </c>
      <c r="FJ89">
        <v>-1.8861989874597051E-7</v>
      </c>
      <c r="FK89">
        <v>1.1980462299894961E-10</v>
      </c>
      <c r="FL89">
        <v>0.28151999999999688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21.4</v>
      </c>
      <c r="FU89">
        <v>21.6</v>
      </c>
      <c r="FV89">
        <v>1.78833</v>
      </c>
      <c r="FW89">
        <v>2.5903299999999998</v>
      </c>
      <c r="FX89">
        <v>1.5490699999999999</v>
      </c>
      <c r="FY89">
        <v>2.3303199999999999</v>
      </c>
      <c r="FZ89">
        <v>1.50146</v>
      </c>
      <c r="GA89">
        <v>2.3803700000000001</v>
      </c>
      <c r="GB89">
        <v>33.625399999999999</v>
      </c>
      <c r="GC89">
        <v>23.982399999999998</v>
      </c>
      <c r="GD89">
        <v>19</v>
      </c>
      <c r="GE89">
        <v>281.65300000000002</v>
      </c>
      <c r="GF89">
        <v>599.87199999999996</v>
      </c>
      <c r="GG89">
        <v>24.907499999999999</v>
      </c>
      <c r="GH89">
        <v>26.2212</v>
      </c>
      <c r="GI89">
        <v>29.9999</v>
      </c>
      <c r="GJ89">
        <v>26.352900000000002</v>
      </c>
      <c r="GK89">
        <v>26.335599999999999</v>
      </c>
      <c r="GL89">
        <v>35.753300000000003</v>
      </c>
      <c r="GM89">
        <v>38.749000000000002</v>
      </c>
      <c r="GN89">
        <v>96.972099999999998</v>
      </c>
      <c r="GO89">
        <v>24.919599999999999</v>
      </c>
      <c r="GP89">
        <v>800</v>
      </c>
      <c r="GQ89">
        <v>15.762600000000001</v>
      </c>
      <c r="GR89">
        <v>99.77</v>
      </c>
      <c r="GS89">
        <v>99.625600000000006</v>
      </c>
    </row>
    <row r="90" spans="1:201" x14ac:dyDescent="0.25">
      <c r="A90">
        <v>74</v>
      </c>
      <c r="B90">
        <v>1690301769.5999999</v>
      </c>
      <c r="C90">
        <v>865.59999990463257</v>
      </c>
      <c r="D90" t="s">
        <v>479</v>
      </c>
      <c r="E90" t="s">
        <v>480</v>
      </c>
      <c r="F90" t="s">
        <v>330</v>
      </c>
      <c r="H90">
        <v>1690301769.5999999</v>
      </c>
      <c r="I90">
        <f t="shared" si="30"/>
        <v>8.0643174126099695E-4</v>
      </c>
      <c r="J90">
        <f t="shared" si="31"/>
        <v>0.80643174126099693</v>
      </c>
      <c r="K90">
        <f t="shared" si="32"/>
        <v>13.124048812637755</v>
      </c>
      <c r="L90">
        <f t="shared" si="33"/>
        <v>651.43499999999995</v>
      </c>
      <c r="M90">
        <f t="shared" si="34"/>
        <v>226.41332995911404</v>
      </c>
      <c r="N90">
        <f t="shared" si="35"/>
        <v>22.509529690944991</v>
      </c>
      <c r="O90">
        <f t="shared" si="36"/>
        <v>64.764276365126989</v>
      </c>
      <c r="P90">
        <f t="shared" si="37"/>
        <v>5.1322712130345546E-2</v>
      </c>
      <c r="Q90">
        <f t="shared" si="38"/>
        <v>2.117155229074974</v>
      </c>
      <c r="R90">
        <f t="shared" si="39"/>
        <v>5.0641429707112169E-2</v>
      </c>
      <c r="S90">
        <f t="shared" si="40"/>
        <v>3.1711350600046345E-2</v>
      </c>
      <c r="T90">
        <f t="shared" si="41"/>
        <v>276.11486026003206</v>
      </c>
      <c r="U90">
        <f t="shared" si="42"/>
        <v>28.662196719446939</v>
      </c>
      <c r="V90">
        <f t="shared" si="43"/>
        <v>28.662196719446939</v>
      </c>
      <c r="W90">
        <f t="shared" si="44"/>
        <v>3.9438253421049621</v>
      </c>
      <c r="X90">
        <f t="shared" si="45"/>
        <v>68.370119844744735</v>
      </c>
      <c r="Y90">
        <f t="shared" si="46"/>
        <v>2.4112609947339596</v>
      </c>
      <c r="Z90">
        <f t="shared" si="47"/>
        <v>3.52677602468661</v>
      </c>
      <c r="AA90">
        <f t="shared" si="48"/>
        <v>1.5325643473710024</v>
      </c>
      <c r="AB90">
        <f t="shared" si="49"/>
        <v>-35.563639789609965</v>
      </c>
      <c r="AC90">
        <f t="shared" si="50"/>
        <v>-218.34958465145488</v>
      </c>
      <c r="AD90">
        <f t="shared" si="51"/>
        <v>-22.415077492641149</v>
      </c>
      <c r="AE90">
        <f t="shared" si="52"/>
        <v>-0.21344167367394107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52554.135111994117</v>
      </c>
      <c r="AK90">
        <f t="shared" si="56"/>
        <v>1799.99</v>
      </c>
      <c r="AL90">
        <f t="shared" si="57"/>
        <v>1499.10103461465</v>
      </c>
      <c r="AM90">
        <f t="shared" si="58"/>
        <v>0.83283853499999994</v>
      </c>
      <c r="AN90">
        <f t="shared" si="59"/>
        <v>0.15339799680000002</v>
      </c>
      <c r="AO90">
        <v>32.700000000000003</v>
      </c>
      <c r="AP90">
        <v>0.5</v>
      </c>
      <c r="AQ90" t="s">
        <v>331</v>
      </c>
      <c r="AR90">
        <v>2</v>
      </c>
      <c r="AS90">
        <v>1690301769.5999999</v>
      </c>
      <c r="AT90">
        <v>651.43499999999995</v>
      </c>
      <c r="AU90">
        <v>800.08299999999997</v>
      </c>
      <c r="AV90">
        <v>24.253799999999998</v>
      </c>
      <c r="AW90">
        <v>15.6844</v>
      </c>
      <c r="AX90">
        <v>651.64700000000005</v>
      </c>
      <c r="AY90">
        <v>23.972300000000001</v>
      </c>
      <c r="AZ90">
        <v>300.26299999999998</v>
      </c>
      <c r="BA90">
        <v>99.317899999999995</v>
      </c>
      <c r="BB90">
        <v>9.9964200000000003E-2</v>
      </c>
      <c r="BC90">
        <v>26.749199999999998</v>
      </c>
      <c r="BD90">
        <v>27.013200000000001</v>
      </c>
      <c r="BE90">
        <v>28.4649</v>
      </c>
      <c r="BF90">
        <v>0</v>
      </c>
      <c r="BG90">
        <v>0</v>
      </c>
      <c r="BH90">
        <v>9998.75</v>
      </c>
      <c r="BI90">
        <v>1077.1300000000001</v>
      </c>
      <c r="BJ90">
        <v>1.96231</v>
      </c>
      <c r="BK90">
        <v>-148.648</v>
      </c>
      <c r="BL90">
        <v>667.62699999999995</v>
      </c>
      <c r="BM90">
        <v>812.83100000000002</v>
      </c>
      <c r="BN90">
        <v>8.5694800000000004</v>
      </c>
      <c r="BO90">
        <v>800.08299999999997</v>
      </c>
      <c r="BP90">
        <v>15.6844</v>
      </c>
      <c r="BQ90">
        <v>2.4088400000000001</v>
      </c>
      <c r="BR90">
        <v>1.5577399999999999</v>
      </c>
      <c r="BS90">
        <v>20.423300000000001</v>
      </c>
      <c r="BT90">
        <v>13.547000000000001</v>
      </c>
      <c r="BU90">
        <v>1799.99</v>
      </c>
      <c r="BV90">
        <v>0.90997899999999998</v>
      </c>
      <c r="BW90">
        <v>3.4003499999999999E-2</v>
      </c>
      <c r="BX90">
        <v>2.2007499999999999E-2</v>
      </c>
      <c r="BY90">
        <v>3.4009600000000001E-2</v>
      </c>
      <c r="BZ90">
        <v>25</v>
      </c>
      <c r="CA90">
        <v>33528.1</v>
      </c>
      <c r="CB90">
        <v>1690300477.5</v>
      </c>
      <c r="CC90" t="s">
        <v>332</v>
      </c>
      <c r="CD90">
        <v>1690300477.5</v>
      </c>
      <c r="CE90">
        <v>1690300465.5</v>
      </c>
      <c r="CF90">
        <v>7</v>
      </c>
      <c r="CG90">
        <v>5.0999999999999997E-2</v>
      </c>
      <c r="CH90">
        <v>-8.0000000000000002E-3</v>
      </c>
      <c r="CI90">
        <v>-0.316</v>
      </c>
      <c r="CJ90">
        <v>0.28199999999999997</v>
      </c>
      <c r="CK90">
        <v>800</v>
      </c>
      <c r="CL90">
        <v>24</v>
      </c>
      <c r="CM90">
        <v>0.25</v>
      </c>
      <c r="CN90">
        <v>0.13</v>
      </c>
      <c r="CO90">
        <v>-143.39597560975611</v>
      </c>
      <c r="CP90">
        <v>-29.019909407665221</v>
      </c>
      <c r="CQ90">
        <v>2.8617212327617212</v>
      </c>
      <c r="CR90">
        <v>-1</v>
      </c>
      <c r="CS90">
        <v>8.2691926829268301</v>
      </c>
      <c r="CT90">
        <v>1.5331289895470519</v>
      </c>
      <c r="CU90">
        <v>0.15134064675788381</v>
      </c>
      <c r="CV90">
        <v>-1</v>
      </c>
      <c r="CW90">
        <v>0</v>
      </c>
      <c r="CX90">
        <v>0</v>
      </c>
      <c r="CY90" t="s">
        <v>333</v>
      </c>
      <c r="CZ90">
        <v>2.3647499999999999</v>
      </c>
      <c r="DA90">
        <v>2.7137600000000002</v>
      </c>
      <c r="DB90">
        <v>0.127946</v>
      </c>
      <c r="DC90">
        <v>0.14663999999999999</v>
      </c>
      <c r="DD90">
        <v>0.11471099999999999</v>
      </c>
      <c r="DE90">
        <v>8.3059999999999995E-2</v>
      </c>
      <c r="DF90">
        <v>31851.599999999999</v>
      </c>
      <c r="DG90">
        <v>27516.7</v>
      </c>
      <c r="DH90">
        <v>31181</v>
      </c>
      <c r="DI90">
        <v>28096.7</v>
      </c>
      <c r="DJ90">
        <v>37476.800000000003</v>
      </c>
      <c r="DK90">
        <v>36636.5</v>
      </c>
      <c r="DL90">
        <v>44376.3</v>
      </c>
      <c r="DM90">
        <v>42588.6</v>
      </c>
      <c r="DN90">
        <v>1.4735499999999999</v>
      </c>
      <c r="DO90">
        <v>2.0563199999999999</v>
      </c>
      <c r="DP90">
        <v>9.4622399999999995E-2</v>
      </c>
      <c r="DQ90">
        <v>0.19614000000000001</v>
      </c>
      <c r="DR90">
        <v>25.463799999999999</v>
      </c>
      <c r="DS90">
        <v>25.256499999999999</v>
      </c>
      <c r="DT90">
        <v>57.2</v>
      </c>
      <c r="DU90">
        <v>28.9</v>
      </c>
      <c r="DV90">
        <v>23.031300000000002</v>
      </c>
      <c r="DW90">
        <v>61.7211</v>
      </c>
      <c r="DX90">
        <v>35.2684</v>
      </c>
      <c r="DY90">
        <v>1</v>
      </c>
      <c r="DZ90">
        <v>-9.4890799999999997E-2</v>
      </c>
      <c r="EA90">
        <v>-0.130022</v>
      </c>
      <c r="EB90">
        <v>20.189800000000002</v>
      </c>
      <c r="EC90">
        <v>5.2406499999999996</v>
      </c>
      <c r="ED90">
        <v>12.039899999999999</v>
      </c>
      <c r="EE90">
        <v>5.0167999999999999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1.8646199999999999</v>
      </c>
      <c r="EM90">
        <v>1.8692</v>
      </c>
      <c r="EN90">
        <v>1.8672299999999999</v>
      </c>
      <c r="EO90">
        <v>1.8633999999999999</v>
      </c>
      <c r="EP90">
        <v>1.8644700000000001</v>
      </c>
      <c r="EQ90">
        <v>1.8701399999999999</v>
      </c>
      <c r="ER90">
        <v>1.8693900000000001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-0.21199999999999999</v>
      </c>
      <c r="FG90">
        <v>0.28149999999999997</v>
      </c>
      <c r="FH90">
        <v>0.23539598422606861</v>
      </c>
      <c r="FI90">
        <v>-6.1462078757559423E-4</v>
      </c>
      <c r="FJ90">
        <v>-1.8861989874597051E-7</v>
      </c>
      <c r="FK90">
        <v>1.1980462299894961E-10</v>
      </c>
      <c r="FL90">
        <v>0.28151999999999688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21.5</v>
      </c>
      <c r="FU90">
        <v>21.7</v>
      </c>
      <c r="FV90">
        <v>1.78833</v>
      </c>
      <c r="FW90">
        <v>2.5878899999999998</v>
      </c>
      <c r="FX90">
        <v>1.5490699999999999</v>
      </c>
      <c r="FY90">
        <v>2.3303199999999999</v>
      </c>
      <c r="FZ90">
        <v>1.50146</v>
      </c>
      <c r="GA90">
        <v>2.4084500000000002</v>
      </c>
      <c r="GB90">
        <v>33.6479</v>
      </c>
      <c r="GC90">
        <v>23.991199999999999</v>
      </c>
      <c r="GD90">
        <v>19</v>
      </c>
      <c r="GE90">
        <v>281.74799999999999</v>
      </c>
      <c r="GF90">
        <v>599.75</v>
      </c>
      <c r="GG90">
        <v>24.927099999999999</v>
      </c>
      <c r="GH90">
        <v>26.217400000000001</v>
      </c>
      <c r="GI90">
        <v>29.9999</v>
      </c>
      <c r="GJ90">
        <v>26.3504</v>
      </c>
      <c r="GK90">
        <v>26.3324</v>
      </c>
      <c r="GL90">
        <v>35.7468</v>
      </c>
      <c r="GM90">
        <v>39.599499999999999</v>
      </c>
      <c r="GN90">
        <v>96.595500000000001</v>
      </c>
      <c r="GO90">
        <v>24.9297</v>
      </c>
      <c r="GP90">
        <v>800</v>
      </c>
      <c r="GQ90">
        <v>15.5322</v>
      </c>
      <c r="GR90">
        <v>99.7697</v>
      </c>
      <c r="GS90">
        <v>99.626000000000005</v>
      </c>
    </row>
    <row r="91" spans="1:201" x14ac:dyDescent="0.25">
      <c r="A91">
        <v>75</v>
      </c>
      <c r="B91">
        <v>1690301779.5999999</v>
      </c>
      <c r="C91">
        <v>875.59999990463257</v>
      </c>
      <c r="D91" t="s">
        <v>481</v>
      </c>
      <c r="E91" t="s">
        <v>482</v>
      </c>
      <c r="F91" t="s">
        <v>330</v>
      </c>
      <c r="H91">
        <v>1690301779.5999999</v>
      </c>
      <c r="I91">
        <f t="shared" si="30"/>
        <v>8.2885514732120274E-4</v>
      </c>
      <c r="J91">
        <f t="shared" si="31"/>
        <v>0.82885514732120269</v>
      </c>
      <c r="K91">
        <f t="shared" si="32"/>
        <v>13.555486951460471</v>
      </c>
      <c r="L91">
        <f t="shared" si="33"/>
        <v>646.62699999999995</v>
      </c>
      <c r="M91">
        <f t="shared" si="34"/>
        <v>220.83167028871623</v>
      </c>
      <c r="N91">
        <f t="shared" si="35"/>
        <v>21.95528263569658</v>
      </c>
      <c r="O91">
        <f t="shared" si="36"/>
        <v>64.288236041105492</v>
      </c>
      <c r="P91">
        <f t="shared" si="37"/>
        <v>5.2908189179613249E-2</v>
      </c>
      <c r="Q91">
        <f t="shared" si="38"/>
        <v>2.1198494607172202</v>
      </c>
      <c r="R91">
        <f t="shared" si="39"/>
        <v>5.218539011471262E-2</v>
      </c>
      <c r="S91">
        <f t="shared" si="40"/>
        <v>3.2679986774101819E-2</v>
      </c>
      <c r="T91">
        <f t="shared" si="41"/>
        <v>276.11495394951152</v>
      </c>
      <c r="U91">
        <f t="shared" si="42"/>
        <v>28.653632652372043</v>
      </c>
      <c r="V91">
        <f t="shared" si="43"/>
        <v>28.653632652372043</v>
      </c>
      <c r="W91">
        <f t="shared" si="44"/>
        <v>3.9418664486920556</v>
      </c>
      <c r="X91">
        <f t="shared" si="45"/>
        <v>68.420291288301669</v>
      </c>
      <c r="Y91">
        <f t="shared" si="46"/>
        <v>2.4132434207444997</v>
      </c>
      <c r="Z91">
        <f t="shared" si="47"/>
        <v>3.5270873235190536</v>
      </c>
      <c r="AA91">
        <f t="shared" si="48"/>
        <v>1.5286230279475559</v>
      </c>
      <c r="AB91">
        <f t="shared" si="49"/>
        <v>-36.552511996865043</v>
      </c>
      <c r="AC91">
        <f t="shared" si="50"/>
        <v>-217.47727496664339</v>
      </c>
      <c r="AD91">
        <f t="shared" si="51"/>
        <v>-22.296366167328387</v>
      </c>
      <c r="AE91">
        <f t="shared" si="52"/>
        <v>-0.21119918132529847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52672.184500644566</v>
      </c>
      <c r="AK91">
        <f t="shared" si="56"/>
        <v>1799.99</v>
      </c>
      <c r="AL91">
        <f t="shared" si="57"/>
        <v>1499.1031136030999</v>
      </c>
      <c r="AM91">
        <f t="shared" si="58"/>
        <v>0.83283968999999991</v>
      </c>
      <c r="AN91">
        <f t="shared" si="59"/>
        <v>0.15339804885</v>
      </c>
      <c r="AO91">
        <v>32.700000000000003</v>
      </c>
      <c r="AP91">
        <v>0.5</v>
      </c>
      <c r="AQ91" t="s">
        <v>331</v>
      </c>
      <c r="AR91">
        <v>2</v>
      </c>
      <c r="AS91">
        <v>1690301779.5999999</v>
      </c>
      <c r="AT91">
        <v>646.62699999999995</v>
      </c>
      <c r="AU91">
        <v>800.12400000000002</v>
      </c>
      <c r="AV91">
        <v>24.273</v>
      </c>
      <c r="AW91">
        <v>15.4635</v>
      </c>
      <c r="AX91">
        <v>646.83600000000001</v>
      </c>
      <c r="AY91">
        <v>23.991399999999999</v>
      </c>
      <c r="AZ91">
        <v>300.19499999999999</v>
      </c>
      <c r="BA91">
        <v>99.320999999999998</v>
      </c>
      <c r="BB91">
        <v>9.9896499999999999E-2</v>
      </c>
      <c r="BC91">
        <v>26.750699999999998</v>
      </c>
      <c r="BD91">
        <v>26.993099999999998</v>
      </c>
      <c r="BE91">
        <v>28.486000000000001</v>
      </c>
      <c r="BF91">
        <v>0</v>
      </c>
      <c r="BG91">
        <v>0</v>
      </c>
      <c r="BH91">
        <v>10021.9</v>
      </c>
      <c r="BI91">
        <v>1077.17</v>
      </c>
      <c r="BJ91">
        <v>1.96231</v>
      </c>
      <c r="BK91">
        <v>-153.49700000000001</v>
      </c>
      <c r="BL91">
        <v>662.71299999999997</v>
      </c>
      <c r="BM91">
        <v>812.69100000000003</v>
      </c>
      <c r="BN91">
        <v>8.8094400000000004</v>
      </c>
      <c r="BO91">
        <v>800.12400000000002</v>
      </c>
      <c r="BP91">
        <v>15.4635</v>
      </c>
      <c r="BQ91">
        <v>2.4108100000000001</v>
      </c>
      <c r="BR91">
        <v>1.5358499999999999</v>
      </c>
      <c r="BS91">
        <v>20.436599999999999</v>
      </c>
      <c r="BT91">
        <v>13.329800000000001</v>
      </c>
      <c r="BU91">
        <v>1799.99</v>
      </c>
      <c r="BV91">
        <v>0.90998400000000002</v>
      </c>
      <c r="BW91">
        <v>3.4001999999999998E-2</v>
      </c>
      <c r="BX91">
        <v>2.2006499999999998E-2</v>
      </c>
      <c r="BY91">
        <v>3.4008099999999999E-2</v>
      </c>
      <c r="BZ91">
        <v>25</v>
      </c>
      <c r="CA91">
        <v>33528.1</v>
      </c>
      <c r="CB91">
        <v>1690300477.5</v>
      </c>
      <c r="CC91" t="s">
        <v>332</v>
      </c>
      <c r="CD91">
        <v>1690300477.5</v>
      </c>
      <c r="CE91">
        <v>1690300465.5</v>
      </c>
      <c r="CF91">
        <v>7</v>
      </c>
      <c r="CG91">
        <v>5.0999999999999997E-2</v>
      </c>
      <c r="CH91">
        <v>-8.0000000000000002E-3</v>
      </c>
      <c r="CI91">
        <v>-0.316</v>
      </c>
      <c r="CJ91">
        <v>0.28199999999999997</v>
      </c>
      <c r="CK91">
        <v>800</v>
      </c>
      <c r="CL91">
        <v>24</v>
      </c>
      <c r="CM91">
        <v>0.25</v>
      </c>
      <c r="CN91">
        <v>0.13</v>
      </c>
      <c r="CO91">
        <v>-148.08737500000001</v>
      </c>
      <c r="CP91">
        <v>-28.787763602251591</v>
      </c>
      <c r="CQ91">
        <v>2.7695933247274782</v>
      </c>
      <c r="CR91">
        <v>-1</v>
      </c>
      <c r="CS91">
        <v>8.5222612500000015</v>
      </c>
      <c r="CT91">
        <v>1.57705879924954</v>
      </c>
      <c r="CU91">
        <v>0.15185485521028769</v>
      </c>
      <c r="CV91">
        <v>-1</v>
      </c>
      <c r="CW91">
        <v>0</v>
      </c>
      <c r="CX91">
        <v>0</v>
      </c>
      <c r="CY91" t="s">
        <v>333</v>
      </c>
      <c r="CZ91">
        <v>2.3645100000000001</v>
      </c>
      <c r="DA91">
        <v>2.7137099999999998</v>
      </c>
      <c r="DB91">
        <v>0.12729499999999999</v>
      </c>
      <c r="DC91">
        <v>0.146646</v>
      </c>
      <c r="DD91">
        <v>0.11477999999999999</v>
      </c>
      <c r="DE91">
        <v>8.2208100000000006E-2</v>
      </c>
      <c r="DF91">
        <v>31876</v>
      </c>
      <c r="DG91">
        <v>27516.799999999999</v>
      </c>
      <c r="DH91">
        <v>31181.599999999999</v>
      </c>
      <c r="DI91">
        <v>28097</v>
      </c>
      <c r="DJ91">
        <v>37474.199999999997</v>
      </c>
      <c r="DK91">
        <v>36671.199999999997</v>
      </c>
      <c r="DL91">
        <v>44376.9</v>
      </c>
      <c r="DM91">
        <v>42589.2</v>
      </c>
      <c r="DN91">
        <v>1.4732000000000001</v>
      </c>
      <c r="DO91">
        <v>2.0558999999999998</v>
      </c>
      <c r="DP91">
        <v>9.3393000000000004E-2</v>
      </c>
      <c r="DQ91">
        <v>0.19730600000000001</v>
      </c>
      <c r="DR91">
        <v>25.463799999999999</v>
      </c>
      <c r="DS91">
        <v>25.258600000000001</v>
      </c>
      <c r="DT91">
        <v>57.2</v>
      </c>
      <c r="DU91">
        <v>28.9</v>
      </c>
      <c r="DV91">
        <v>23.024899999999999</v>
      </c>
      <c r="DW91">
        <v>61.621099999999998</v>
      </c>
      <c r="DX91">
        <v>35.917499999999997</v>
      </c>
      <c r="DY91">
        <v>1</v>
      </c>
      <c r="DZ91">
        <v>-9.4179399999999996E-2</v>
      </c>
      <c r="EA91">
        <v>0.37396499999999999</v>
      </c>
      <c r="EB91">
        <v>20.189</v>
      </c>
      <c r="EC91">
        <v>5.2406499999999996</v>
      </c>
      <c r="ED91">
        <v>12.039899999999999</v>
      </c>
      <c r="EE91">
        <v>5.0165499999999996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</v>
      </c>
      <c r="EL91">
        <v>1.8646100000000001</v>
      </c>
      <c r="EM91">
        <v>1.8692</v>
      </c>
      <c r="EN91">
        <v>1.8672200000000001</v>
      </c>
      <c r="EO91">
        <v>1.86338</v>
      </c>
      <c r="EP91">
        <v>1.8644700000000001</v>
      </c>
      <c r="EQ91">
        <v>1.8701300000000001</v>
      </c>
      <c r="ER91">
        <v>1.86937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-0.20899999999999999</v>
      </c>
      <c r="FG91">
        <v>0.28160000000000002</v>
      </c>
      <c r="FH91">
        <v>0.23539598422606861</v>
      </c>
      <c r="FI91">
        <v>-6.1462078757559423E-4</v>
      </c>
      <c r="FJ91">
        <v>-1.8861989874597051E-7</v>
      </c>
      <c r="FK91">
        <v>1.1980462299894961E-10</v>
      </c>
      <c r="FL91">
        <v>0.28151999999999688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21.7</v>
      </c>
      <c r="FU91">
        <v>21.9</v>
      </c>
      <c r="FV91">
        <v>1.78711</v>
      </c>
      <c r="FW91">
        <v>2.5878899999999998</v>
      </c>
      <c r="FX91">
        <v>1.5490699999999999</v>
      </c>
      <c r="FY91">
        <v>2.3303199999999999</v>
      </c>
      <c r="FZ91">
        <v>1.50146</v>
      </c>
      <c r="GA91">
        <v>2.4011200000000001</v>
      </c>
      <c r="GB91">
        <v>33.625399999999999</v>
      </c>
      <c r="GC91">
        <v>23.982399999999998</v>
      </c>
      <c r="GD91">
        <v>19</v>
      </c>
      <c r="GE91">
        <v>281.58199999999999</v>
      </c>
      <c r="GF91">
        <v>599.346</v>
      </c>
      <c r="GG91">
        <v>24.751300000000001</v>
      </c>
      <c r="GH91">
        <v>26.212900000000001</v>
      </c>
      <c r="GI91">
        <v>30.000299999999999</v>
      </c>
      <c r="GJ91">
        <v>26.346299999999999</v>
      </c>
      <c r="GK91">
        <v>26.328399999999998</v>
      </c>
      <c r="GL91">
        <v>35.737900000000003</v>
      </c>
      <c r="GM91">
        <v>40.1614</v>
      </c>
      <c r="GN91">
        <v>96.212500000000006</v>
      </c>
      <c r="GO91">
        <v>24.736899999999999</v>
      </c>
      <c r="GP91">
        <v>800</v>
      </c>
      <c r="GQ91">
        <v>15.305</v>
      </c>
      <c r="GR91">
        <v>99.771100000000004</v>
      </c>
      <c r="GS91">
        <v>99.627399999999994</v>
      </c>
    </row>
    <row r="92" spans="1:201" x14ac:dyDescent="0.25">
      <c r="A92">
        <v>76</v>
      </c>
      <c r="B92">
        <v>1690301789.5999999</v>
      </c>
      <c r="C92">
        <v>885.59999990463257</v>
      </c>
      <c r="D92" t="s">
        <v>483</v>
      </c>
      <c r="E92" t="s">
        <v>484</v>
      </c>
      <c r="F92" t="s">
        <v>330</v>
      </c>
      <c r="H92">
        <v>1690301789.5999999</v>
      </c>
      <c r="I92">
        <f t="shared" si="30"/>
        <v>8.4744841075193875E-4</v>
      </c>
      <c r="J92">
        <f t="shared" si="31"/>
        <v>0.84744841075193877</v>
      </c>
      <c r="K92">
        <f t="shared" si="32"/>
        <v>13.971407328126547</v>
      </c>
      <c r="L92">
        <f t="shared" si="33"/>
        <v>641.84900000000005</v>
      </c>
      <c r="M92">
        <f t="shared" si="34"/>
        <v>214.43482542455556</v>
      </c>
      <c r="N92">
        <f t="shared" si="35"/>
        <v>21.318716727143766</v>
      </c>
      <c r="O92">
        <f t="shared" si="36"/>
        <v>63.811449401975608</v>
      </c>
      <c r="P92">
        <f t="shared" si="37"/>
        <v>5.4313660246799324E-2</v>
      </c>
      <c r="Q92">
        <f t="shared" si="38"/>
        <v>2.1168712771630753</v>
      </c>
      <c r="R92">
        <f t="shared" si="39"/>
        <v>5.3551192756746677E-2</v>
      </c>
      <c r="S92">
        <f t="shared" si="40"/>
        <v>3.3537108416840003E-2</v>
      </c>
      <c r="T92">
        <f t="shared" si="41"/>
        <v>276.11617393799992</v>
      </c>
      <c r="U92">
        <f t="shared" si="42"/>
        <v>28.627090311588589</v>
      </c>
      <c r="V92">
        <f t="shared" si="43"/>
        <v>28.627090311588589</v>
      </c>
      <c r="W92">
        <f t="shared" si="44"/>
        <v>3.9358007020404329</v>
      </c>
      <c r="X92">
        <f t="shared" si="45"/>
        <v>68.49664204359209</v>
      </c>
      <c r="Y92">
        <f t="shared" si="46"/>
        <v>2.4127396645578401</v>
      </c>
      <c r="Z92">
        <f t="shared" si="47"/>
        <v>3.5224203589751792</v>
      </c>
      <c r="AA92">
        <f t="shared" si="48"/>
        <v>1.5230610374825928</v>
      </c>
      <c r="AB92">
        <f t="shared" si="49"/>
        <v>-37.372474914160499</v>
      </c>
      <c r="AC92">
        <f t="shared" si="50"/>
        <v>-216.71040923099719</v>
      </c>
      <c r="AD92">
        <f t="shared" si="51"/>
        <v>-22.243559247164036</v>
      </c>
      <c r="AE92">
        <f t="shared" si="52"/>
        <v>-0.21026945432180355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52545.37111563381</v>
      </c>
      <c r="AK92">
        <f t="shared" si="56"/>
        <v>1800</v>
      </c>
      <c r="AL92">
        <f t="shared" si="57"/>
        <v>1499.1107597999999</v>
      </c>
      <c r="AM92">
        <f t="shared" si="58"/>
        <v>0.83283931099999997</v>
      </c>
      <c r="AN92">
        <f t="shared" si="59"/>
        <v>0.15339787440999997</v>
      </c>
      <c r="AO92">
        <v>32.700000000000003</v>
      </c>
      <c r="AP92">
        <v>0.5</v>
      </c>
      <c r="AQ92" t="s">
        <v>331</v>
      </c>
      <c r="AR92">
        <v>2</v>
      </c>
      <c r="AS92">
        <v>1690301789.5999999</v>
      </c>
      <c r="AT92">
        <v>641.84900000000005</v>
      </c>
      <c r="AU92">
        <v>799.99400000000003</v>
      </c>
      <c r="AV92">
        <v>24.268599999999999</v>
      </c>
      <c r="AW92">
        <v>15.2597</v>
      </c>
      <c r="AX92">
        <v>642.05399999999997</v>
      </c>
      <c r="AY92">
        <v>23.987100000000002</v>
      </c>
      <c r="AZ92">
        <v>300.137</v>
      </c>
      <c r="BA92">
        <v>99.318200000000004</v>
      </c>
      <c r="BB92">
        <v>9.9964399999999995E-2</v>
      </c>
      <c r="BC92">
        <v>26.728200000000001</v>
      </c>
      <c r="BD92">
        <v>26.968599999999999</v>
      </c>
      <c r="BE92">
        <v>28.444700000000001</v>
      </c>
      <c r="BF92">
        <v>0</v>
      </c>
      <c r="BG92">
        <v>0</v>
      </c>
      <c r="BH92">
        <v>9996.25</v>
      </c>
      <c r="BI92">
        <v>1077.1600000000001</v>
      </c>
      <c r="BJ92">
        <v>1.96231</v>
      </c>
      <c r="BK92">
        <v>-158.14500000000001</v>
      </c>
      <c r="BL92">
        <v>657.81299999999999</v>
      </c>
      <c r="BM92">
        <v>812.39</v>
      </c>
      <c r="BN92">
        <v>9.0088500000000007</v>
      </c>
      <c r="BO92">
        <v>799.99400000000003</v>
      </c>
      <c r="BP92">
        <v>15.2597</v>
      </c>
      <c r="BQ92">
        <v>2.41031</v>
      </c>
      <c r="BR92">
        <v>1.5155700000000001</v>
      </c>
      <c r="BS92">
        <v>20.433199999999999</v>
      </c>
      <c r="BT92">
        <v>13.126200000000001</v>
      </c>
      <c r="BU92">
        <v>1800</v>
      </c>
      <c r="BV92">
        <v>0.90998599999999996</v>
      </c>
      <c r="BW92">
        <v>3.4001000000000003E-2</v>
      </c>
      <c r="BX92">
        <v>2.2005799999999999E-2</v>
      </c>
      <c r="BY92">
        <v>3.4007099999999998E-2</v>
      </c>
      <c r="BZ92">
        <v>25</v>
      </c>
      <c r="CA92">
        <v>33528.199999999997</v>
      </c>
      <c r="CB92">
        <v>1690300477.5</v>
      </c>
      <c r="CC92" t="s">
        <v>332</v>
      </c>
      <c r="CD92">
        <v>1690300477.5</v>
      </c>
      <c r="CE92">
        <v>1690300465.5</v>
      </c>
      <c r="CF92">
        <v>7</v>
      </c>
      <c r="CG92">
        <v>5.0999999999999997E-2</v>
      </c>
      <c r="CH92">
        <v>-8.0000000000000002E-3</v>
      </c>
      <c r="CI92">
        <v>-0.316</v>
      </c>
      <c r="CJ92">
        <v>0.28199999999999997</v>
      </c>
      <c r="CK92">
        <v>800</v>
      </c>
      <c r="CL92">
        <v>24</v>
      </c>
      <c r="CM92">
        <v>0.25</v>
      </c>
      <c r="CN92">
        <v>0.13</v>
      </c>
      <c r="CO92">
        <v>-152.96060975609751</v>
      </c>
      <c r="CP92">
        <v>-28.555400696864321</v>
      </c>
      <c r="CQ92">
        <v>2.8161598475111602</v>
      </c>
      <c r="CR92">
        <v>-1</v>
      </c>
      <c r="CS92">
        <v>8.7761587804878047</v>
      </c>
      <c r="CT92">
        <v>1.3885866898954551</v>
      </c>
      <c r="CU92">
        <v>0.1371386680129511</v>
      </c>
      <c r="CV92">
        <v>-1</v>
      </c>
      <c r="CW92">
        <v>0</v>
      </c>
      <c r="CX92">
        <v>0</v>
      </c>
      <c r="CY92" t="s">
        <v>333</v>
      </c>
      <c r="CZ92">
        <v>2.3643399999999999</v>
      </c>
      <c r="DA92">
        <v>2.7137500000000001</v>
      </c>
      <c r="DB92">
        <v>0.126638</v>
      </c>
      <c r="DC92">
        <v>0.146623</v>
      </c>
      <c r="DD92">
        <v>0.114763</v>
      </c>
      <c r="DE92">
        <v>8.1413100000000002E-2</v>
      </c>
      <c r="DF92">
        <v>31900.2</v>
      </c>
      <c r="DG92">
        <v>27518</v>
      </c>
      <c r="DH92">
        <v>31181.8</v>
      </c>
      <c r="DI92">
        <v>28097.4</v>
      </c>
      <c r="DJ92">
        <v>37475.199999999997</v>
      </c>
      <c r="DK92">
        <v>36703.699999999997</v>
      </c>
      <c r="DL92">
        <v>44377.2</v>
      </c>
      <c r="DM92">
        <v>42590</v>
      </c>
      <c r="DN92">
        <v>1.4740500000000001</v>
      </c>
      <c r="DO92">
        <v>2.05592</v>
      </c>
      <c r="DP92">
        <v>9.18992E-2</v>
      </c>
      <c r="DQ92">
        <v>0.194773</v>
      </c>
      <c r="DR92">
        <v>25.463799999999999</v>
      </c>
      <c r="DS92">
        <v>25.258600000000001</v>
      </c>
      <c r="DT92">
        <v>57.1</v>
      </c>
      <c r="DU92">
        <v>28.9</v>
      </c>
      <c r="DV92">
        <v>22.986000000000001</v>
      </c>
      <c r="DW92">
        <v>61.671100000000003</v>
      </c>
      <c r="DX92">
        <v>36.470399999999998</v>
      </c>
      <c r="DY92">
        <v>1</v>
      </c>
      <c r="DZ92">
        <v>-9.5414100000000002E-2</v>
      </c>
      <c r="EA92">
        <v>3.7023399999999998E-2</v>
      </c>
      <c r="EB92">
        <v>20.189599999999999</v>
      </c>
      <c r="EC92">
        <v>5.2408000000000001</v>
      </c>
      <c r="ED92">
        <v>12.039899999999999</v>
      </c>
      <c r="EE92">
        <v>5.0166500000000003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</v>
      </c>
      <c r="EM92">
        <v>1.8692</v>
      </c>
      <c r="EN92">
        <v>1.8672200000000001</v>
      </c>
      <c r="EO92">
        <v>1.86338</v>
      </c>
      <c r="EP92">
        <v>1.8644700000000001</v>
      </c>
      <c r="EQ92">
        <v>1.8701300000000001</v>
      </c>
      <c r="ER92">
        <v>1.8693900000000001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-0.20499999999999999</v>
      </c>
      <c r="FG92">
        <v>0.28149999999999997</v>
      </c>
      <c r="FH92">
        <v>0.23539598422606861</v>
      </c>
      <c r="FI92">
        <v>-6.1462078757559423E-4</v>
      </c>
      <c r="FJ92">
        <v>-1.8861989874597051E-7</v>
      </c>
      <c r="FK92">
        <v>1.1980462299894961E-10</v>
      </c>
      <c r="FL92">
        <v>0.28151999999999688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21.9</v>
      </c>
      <c r="FU92">
        <v>22.1</v>
      </c>
      <c r="FV92">
        <v>1.78711</v>
      </c>
      <c r="FW92">
        <v>2.5891099999999998</v>
      </c>
      <c r="FX92">
        <v>1.5490699999999999</v>
      </c>
      <c r="FY92">
        <v>2.3303199999999999</v>
      </c>
      <c r="FZ92">
        <v>1.50146</v>
      </c>
      <c r="GA92">
        <v>2.34985</v>
      </c>
      <c r="GB92">
        <v>33.625399999999999</v>
      </c>
      <c r="GC92">
        <v>23.991199999999999</v>
      </c>
      <c r="GD92">
        <v>19</v>
      </c>
      <c r="GE92">
        <v>281.92500000000001</v>
      </c>
      <c r="GF92">
        <v>599.33600000000001</v>
      </c>
      <c r="GG92">
        <v>24.7133</v>
      </c>
      <c r="GH92">
        <v>26.2089</v>
      </c>
      <c r="GI92">
        <v>29.999500000000001</v>
      </c>
      <c r="GJ92">
        <v>26.342400000000001</v>
      </c>
      <c r="GK92">
        <v>26.325900000000001</v>
      </c>
      <c r="GL92">
        <v>35.738399999999999</v>
      </c>
      <c r="GM92">
        <v>41.0259</v>
      </c>
      <c r="GN92">
        <v>95.441100000000006</v>
      </c>
      <c r="GO92">
        <v>24.742799999999999</v>
      </c>
      <c r="GP92">
        <v>800</v>
      </c>
      <c r="GQ92">
        <v>15.0901</v>
      </c>
      <c r="GR92">
        <v>99.771900000000002</v>
      </c>
      <c r="GS92">
        <v>99.629099999999994</v>
      </c>
    </row>
    <row r="93" spans="1:201" x14ac:dyDescent="0.25">
      <c r="A93">
        <v>77</v>
      </c>
      <c r="B93">
        <v>1690301799.5999999</v>
      </c>
      <c r="C93">
        <v>895.59999990463257</v>
      </c>
      <c r="D93" t="s">
        <v>485</v>
      </c>
      <c r="E93" t="s">
        <v>486</v>
      </c>
      <c r="F93" t="s">
        <v>330</v>
      </c>
      <c r="H93">
        <v>1690301799.5999999</v>
      </c>
      <c r="I93">
        <f t="shared" si="30"/>
        <v>8.7117172370747677E-4</v>
      </c>
      <c r="J93">
        <f t="shared" si="31"/>
        <v>0.87117172370747675</v>
      </c>
      <c r="K93">
        <f t="shared" si="32"/>
        <v>14.392854501956037</v>
      </c>
      <c r="L93">
        <f t="shared" si="33"/>
        <v>637.09</v>
      </c>
      <c r="M93">
        <f t="shared" si="34"/>
        <v>210.54073396891818</v>
      </c>
      <c r="N93">
        <f t="shared" si="35"/>
        <v>20.931726007812919</v>
      </c>
      <c r="O93">
        <f t="shared" si="36"/>
        <v>63.338780438973004</v>
      </c>
      <c r="P93">
        <f t="shared" si="37"/>
        <v>5.6070134796123133E-2</v>
      </c>
      <c r="Q93">
        <f t="shared" si="38"/>
        <v>2.1164481161371258</v>
      </c>
      <c r="R93">
        <f t="shared" si="39"/>
        <v>5.5257792073239942E-2</v>
      </c>
      <c r="S93">
        <f t="shared" si="40"/>
        <v>3.4608125347635507E-2</v>
      </c>
      <c r="T93">
        <f t="shared" si="41"/>
        <v>276.1143758107234</v>
      </c>
      <c r="U93">
        <f t="shared" si="42"/>
        <v>28.614406203704732</v>
      </c>
      <c r="V93">
        <f t="shared" si="43"/>
        <v>28.614406203704732</v>
      </c>
      <c r="W93">
        <f t="shared" si="44"/>
        <v>3.9329048664838937</v>
      </c>
      <c r="X93">
        <f t="shared" si="45"/>
        <v>68.595424311604589</v>
      </c>
      <c r="Y93">
        <f t="shared" si="46"/>
        <v>2.4155509373739901</v>
      </c>
      <c r="Z93">
        <f t="shared" si="47"/>
        <v>3.5214461629408431</v>
      </c>
      <c r="AA93">
        <f t="shared" si="48"/>
        <v>1.5173539291099036</v>
      </c>
      <c r="AB93">
        <f t="shared" si="49"/>
        <v>-38.418673015499728</v>
      </c>
      <c r="AC93">
        <f t="shared" si="50"/>
        <v>-215.75608669284478</v>
      </c>
      <c r="AD93">
        <f t="shared" si="51"/>
        <v>-22.148110844680129</v>
      </c>
      <c r="AE93">
        <f t="shared" si="52"/>
        <v>-0.20849474230124088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52527.655962294455</v>
      </c>
      <c r="AK93">
        <f t="shared" si="56"/>
        <v>1799.99</v>
      </c>
      <c r="AL93">
        <f t="shared" si="57"/>
        <v>1499.1026024059399</v>
      </c>
      <c r="AM93">
        <f t="shared" si="58"/>
        <v>0.83283940599999995</v>
      </c>
      <c r="AN93">
        <f t="shared" si="59"/>
        <v>0.15339772766000001</v>
      </c>
      <c r="AO93">
        <v>32.700000000000003</v>
      </c>
      <c r="AP93">
        <v>0.5</v>
      </c>
      <c r="AQ93" t="s">
        <v>331</v>
      </c>
      <c r="AR93">
        <v>2</v>
      </c>
      <c r="AS93">
        <v>1690301799.5999999</v>
      </c>
      <c r="AT93">
        <v>637.09</v>
      </c>
      <c r="AU93">
        <v>800.01199999999994</v>
      </c>
      <c r="AV93">
        <v>24.296700000000001</v>
      </c>
      <c r="AW93">
        <v>15.0322</v>
      </c>
      <c r="AX93">
        <v>637.29200000000003</v>
      </c>
      <c r="AY93">
        <v>24.0152</v>
      </c>
      <c r="AZ93">
        <v>300.01799999999997</v>
      </c>
      <c r="BA93">
        <v>99.318899999999999</v>
      </c>
      <c r="BB93">
        <v>9.9989700000000001E-2</v>
      </c>
      <c r="BC93">
        <v>26.723500000000001</v>
      </c>
      <c r="BD93">
        <v>26.972799999999999</v>
      </c>
      <c r="BE93">
        <v>28.418700000000001</v>
      </c>
      <c r="BF93">
        <v>0</v>
      </c>
      <c r="BG93">
        <v>0</v>
      </c>
      <c r="BH93">
        <v>9992.5</v>
      </c>
      <c r="BI93">
        <v>1077.23</v>
      </c>
      <c r="BJ93">
        <v>1.96231</v>
      </c>
      <c r="BK93">
        <v>-162.922</v>
      </c>
      <c r="BL93">
        <v>652.95500000000004</v>
      </c>
      <c r="BM93">
        <v>812.22199999999998</v>
      </c>
      <c r="BN93">
        <v>9.2645499999999998</v>
      </c>
      <c r="BO93">
        <v>800.01199999999994</v>
      </c>
      <c r="BP93">
        <v>15.0322</v>
      </c>
      <c r="BQ93">
        <v>2.4131200000000002</v>
      </c>
      <c r="BR93">
        <v>1.49298</v>
      </c>
      <c r="BS93">
        <v>20.452100000000002</v>
      </c>
      <c r="BT93">
        <v>12.8964</v>
      </c>
      <c r="BU93">
        <v>1799.99</v>
      </c>
      <c r="BV93">
        <v>0.90998999999999997</v>
      </c>
      <c r="BW93">
        <v>3.3999399999999999E-2</v>
      </c>
      <c r="BX93">
        <v>2.2004800000000001E-2</v>
      </c>
      <c r="BY93">
        <v>3.4005399999999998E-2</v>
      </c>
      <c r="BZ93">
        <v>25</v>
      </c>
      <c r="CA93">
        <v>33528.199999999997</v>
      </c>
      <c r="CB93">
        <v>1690300477.5</v>
      </c>
      <c r="CC93" t="s">
        <v>332</v>
      </c>
      <c r="CD93">
        <v>1690300477.5</v>
      </c>
      <c r="CE93">
        <v>1690300465.5</v>
      </c>
      <c r="CF93">
        <v>7</v>
      </c>
      <c r="CG93">
        <v>5.0999999999999997E-2</v>
      </c>
      <c r="CH93">
        <v>-8.0000000000000002E-3</v>
      </c>
      <c r="CI93">
        <v>-0.316</v>
      </c>
      <c r="CJ93">
        <v>0.28199999999999997</v>
      </c>
      <c r="CK93">
        <v>800</v>
      </c>
      <c r="CL93">
        <v>24</v>
      </c>
      <c r="CM93">
        <v>0.25</v>
      </c>
      <c r="CN93">
        <v>0.13</v>
      </c>
      <c r="CO93">
        <v>-157.73312195121949</v>
      </c>
      <c r="CP93">
        <v>-28.719407665505301</v>
      </c>
      <c r="CQ93">
        <v>2.832262132996513</v>
      </c>
      <c r="CR93">
        <v>-1</v>
      </c>
      <c r="CS93">
        <v>9.0020821951219521</v>
      </c>
      <c r="CT93">
        <v>1.3424868292683121</v>
      </c>
      <c r="CU93">
        <v>0.13264126215808081</v>
      </c>
      <c r="CV93">
        <v>-1</v>
      </c>
      <c r="CW93">
        <v>0</v>
      </c>
      <c r="CX93">
        <v>0</v>
      </c>
      <c r="CY93" t="s">
        <v>333</v>
      </c>
      <c r="CZ93">
        <v>2.36395</v>
      </c>
      <c r="DA93">
        <v>2.7137699999999998</v>
      </c>
      <c r="DB93">
        <v>0.12598599999999999</v>
      </c>
      <c r="DC93">
        <v>0.146623</v>
      </c>
      <c r="DD93">
        <v>0.114859</v>
      </c>
      <c r="DE93">
        <v>8.0523399999999995E-2</v>
      </c>
      <c r="DF93">
        <v>31924.3</v>
      </c>
      <c r="DG93">
        <v>27518.2</v>
      </c>
      <c r="DH93">
        <v>31182.1</v>
      </c>
      <c r="DI93">
        <v>28097.599999999999</v>
      </c>
      <c r="DJ93">
        <v>37471.5</v>
      </c>
      <c r="DK93">
        <v>36739.5</v>
      </c>
      <c r="DL93">
        <v>44377.9</v>
      </c>
      <c r="DM93">
        <v>42590.2</v>
      </c>
      <c r="DN93">
        <v>1.47397</v>
      </c>
      <c r="DO93">
        <v>2.0555300000000001</v>
      </c>
      <c r="DP93">
        <v>9.2290300000000006E-2</v>
      </c>
      <c r="DQ93">
        <v>0.193357</v>
      </c>
      <c r="DR93">
        <v>25.461600000000001</v>
      </c>
      <c r="DS93">
        <v>25.255700000000001</v>
      </c>
      <c r="DT93">
        <v>57.1</v>
      </c>
      <c r="DU93">
        <v>28.9</v>
      </c>
      <c r="DV93">
        <v>22.9895</v>
      </c>
      <c r="DW93">
        <v>61.781100000000002</v>
      </c>
      <c r="DX93">
        <v>36.726799999999997</v>
      </c>
      <c r="DY93">
        <v>1</v>
      </c>
      <c r="DZ93">
        <v>-9.59985E-2</v>
      </c>
      <c r="EA93">
        <v>-0.13120399999999999</v>
      </c>
      <c r="EB93">
        <v>20.190000000000001</v>
      </c>
      <c r="EC93">
        <v>5.2409499999999998</v>
      </c>
      <c r="ED93">
        <v>12.039899999999999</v>
      </c>
      <c r="EE93">
        <v>5.0164499999999999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</v>
      </c>
      <c r="EM93">
        <v>1.8692</v>
      </c>
      <c r="EN93">
        <v>1.8672299999999999</v>
      </c>
      <c r="EO93">
        <v>1.86337</v>
      </c>
      <c r="EP93">
        <v>1.8644700000000001</v>
      </c>
      <c r="EQ93">
        <v>1.87015</v>
      </c>
      <c r="ER93">
        <v>1.8693900000000001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-0.20200000000000001</v>
      </c>
      <c r="FG93">
        <v>0.28149999999999997</v>
      </c>
      <c r="FH93">
        <v>0.23539598422606861</v>
      </c>
      <c r="FI93">
        <v>-6.1462078757559423E-4</v>
      </c>
      <c r="FJ93">
        <v>-1.8861989874597051E-7</v>
      </c>
      <c r="FK93">
        <v>1.1980462299894961E-10</v>
      </c>
      <c r="FL93">
        <v>0.28151999999999688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22</v>
      </c>
      <c r="FU93">
        <v>22.2</v>
      </c>
      <c r="FV93">
        <v>1.78711</v>
      </c>
      <c r="FW93">
        <v>2.5927699999999998</v>
      </c>
      <c r="FX93">
        <v>1.5490699999999999</v>
      </c>
      <c r="FY93">
        <v>2.3303199999999999</v>
      </c>
      <c r="FZ93">
        <v>1.50146</v>
      </c>
      <c r="GA93">
        <v>2.2851599999999999</v>
      </c>
      <c r="GB93">
        <v>33.6479</v>
      </c>
      <c r="GC93">
        <v>23.982399999999998</v>
      </c>
      <c r="GD93">
        <v>19</v>
      </c>
      <c r="GE93">
        <v>281.88</v>
      </c>
      <c r="GF93">
        <v>598.95899999999995</v>
      </c>
      <c r="GG93">
        <v>24.762499999999999</v>
      </c>
      <c r="GH93">
        <v>26.204599999999999</v>
      </c>
      <c r="GI93">
        <v>29.9998</v>
      </c>
      <c r="GJ93">
        <v>26.339400000000001</v>
      </c>
      <c r="GK93">
        <v>26.322399999999998</v>
      </c>
      <c r="GL93">
        <v>35.731299999999997</v>
      </c>
      <c r="GM93">
        <v>41.915599999999998</v>
      </c>
      <c r="GN93">
        <v>95.069599999999994</v>
      </c>
      <c r="GO93">
        <v>24.789400000000001</v>
      </c>
      <c r="GP93">
        <v>800</v>
      </c>
      <c r="GQ93">
        <v>14.8438</v>
      </c>
      <c r="GR93">
        <v>99.773099999999999</v>
      </c>
      <c r="GS93">
        <v>99.629599999999996</v>
      </c>
    </row>
    <row r="94" spans="1:201" x14ac:dyDescent="0.25">
      <c r="A94">
        <v>78</v>
      </c>
      <c r="B94">
        <v>1690301809.5999999</v>
      </c>
      <c r="C94">
        <v>905.59999990463257</v>
      </c>
      <c r="D94" t="s">
        <v>487</v>
      </c>
      <c r="E94" t="s">
        <v>488</v>
      </c>
      <c r="F94" t="s">
        <v>330</v>
      </c>
      <c r="H94">
        <v>1690301809.5999999</v>
      </c>
      <c r="I94">
        <f t="shared" si="30"/>
        <v>8.9882114483338601E-4</v>
      </c>
      <c r="J94">
        <f t="shared" si="31"/>
        <v>0.89882114483338604</v>
      </c>
      <c r="K94">
        <f t="shared" si="32"/>
        <v>14.828269832802482</v>
      </c>
      <c r="L94">
        <f t="shared" si="33"/>
        <v>632.36500000000001</v>
      </c>
      <c r="M94">
        <f t="shared" si="34"/>
        <v>207.93620740565055</v>
      </c>
      <c r="N94">
        <f t="shared" si="35"/>
        <v>20.672594590087705</v>
      </c>
      <c r="O94">
        <f t="shared" si="36"/>
        <v>62.868441437224995</v>
      </c>
      <c r="P94">
        <f t="shared" si="37"/>
        <v>5.8070276460610727E-2</v>
      </c>
      <c r="Q94">
        <f t="shared" si="38"/>
        <v>2.1162927560209459</v>
      </c>
      <c r="R94">
        <f t="shared" si="39"/>
        <v>5.7199366438194302E-2</v>
      </c>
      <c r="S94">
        <f t="shared" si="40"/>
        <v>3.5826763746347058E-2</v>
      </c>
      <c r="T94">
        <f t="shared" si="41"/>
        <v>276.11595576000002</v>
      </c>
      <c r="U94">
        <f t="shared" si="42"/>
        <v>28.60763922572545</v>
      </c>
      <c r="V94">
        <f t="shared" si="43"/>
        <v>28.60763922572545</v>
      </c>
      <c r="W94">
        <f t="shared" si="44"/>
        <v>3.9313606970321664</v>
      </c>
      <c r="X94">
        <f t="shared" si="45"/>
        <v>68.682562046985154</v>
      </c>
      <c r="Y94">
        <f t="shared" si="46"/>
        <v>2.4190180407869999</v>
      </c>
      <c r="Z94">
        <f t="shared" si="47"/>
        <v>3.5220265067167564</v>
      </c>
      <c r="AA94">
        <f t="shared" si="48"/>
        <v>1.5123426562451665</v>
      </c>
      <c r="AB94">
        <f t="shared" si="49"/>
        <v>-39.638012487152324</v>
      </c>
      <c r="AC94">
        <f t="shared" si="50"/>
        <v>-214.64871816852286</v>
      </c>
      <c r="AD94">
        <f t="shared" si="51"/>
        <v>-22.035614899900835</v>
      </c>
      <c r="AE94">
        <f t="shared" si="52"/>
        <v>-0.20638979557600123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52520.332887650438</v>
      </c>
      <c r="AK94">
        <f t="shared" si="56"/>
        <v>1800</v>
      </c>
      <c r="AL94">
        <f t="shared" si="57"/>
        <v>1499.112468</v>
      </c>
      <c r="AM94">
        <f t="shared" si="58"/>
        <v>0.83284026</v>
      </c>
      <c r="AN94">
        <f t="shared" si="59"/>
        <v>0.15339775320000001</v>
      </c>
      <c r="AO94">
        <v>32.700000000000003</v>
      </c>
      <c r="AP94">
        <v>0.5</v>
      </c>
      <c r="AQ94" t="s">
        <v>331</v>
      </c>
      <c r="AR94">
        <v>2</v>
      </c>
      <c r="AS94">
        <v>1690301809.5999999</v>
      </c>
      <c r="AT94">
        <v>632.36500000000001</v>
      </c>
      <c r="AU94">
        <v>800.08900000000006</v>
      </c>
      <c r="AV94">
        <v>24.331800000000001</v>
      </c>
      <c r="AW94">
        <v>14.778700000000001</v>
      </c>
      <c r="AX94">
        <v>632.56299999999999</v>
      </c>
      <c r="AY94">
        <v>24.0503</v>
      </c>
      <c r="AZ94">
        <v>300.178</v>
      </c>
      <c r="BA94">
        <v>99.317899999999995</v>
      </c>
      <c r="BB94">
        <v>0.100065</v>
      </c>
      <c r="BC94">
        <v>26.726299999999998</v>
      </c>
      <c r="BD94">
        <v>26.9573</v>
      </c>
      <c r="BE94">
        <v>28.418800000000001</v>
      </c>
      <c r="BF94">
        <v>0</v>
      </c>
      <c r="BG94">
        <v>0</v>
      </c>
      <c r="BH94">
        <v>9991.25</v>
      </c>
      <c r="BI94">
        <v>1077.1600000000001</v>
      </c>
      <c r="BJ94">
        <v>1.96231</v>
      </c>
      <c r="BK94">
        <v>-167.72399999999999</v>
      </c>
      <c r="BL94">
        <v>648.13499999999999</v>
      </c>
      <c r="BM94">
        <v>812.09100000000001</v>
      </c>
      <c r="BN94">
        <v>9.5531000000000006</v>
      </c>
      <c r="BO94">
        <v>800.08900000000006</v>
      </c>
      <c r="BP94">
        <v>14.778700000000001</v>
      </c>
      <c r="BQ94">
        <v>2.4165800000000002</v>
      </c>
      <c r="BR94">
        <v>1.4677899999999999</v>
      </c>
      <c r="BS94">
        <v>20.475300000000001</v>
      </c>
      <c r="BT94">
        <v>12.636699999999999</v>
      </c>
      <c r="BU94">
        <v>1800</v>
      </c>
      <c r="BV94">
        <v>0.90999399999999997</v>
      </c>
      <c r="BW94">
        <v>3.3998100000000003E-2</v>
      </c>
      <c r="BX94">
        <v>2.2003999999999999E-2</v>
      </c>
      <c r="BY94">
        <v>3.4004199999999998E-2</v>
      </c>
      <c r="BZ94">
        <v>25</v>
      </c>
      <c r="CA94">
        <v>33528.300000000003</v>
      </c>
      <c r="CB94">
        <v>1690300477.5</v>
      </c>
      <c r="CC94" t="s">
        <v>332</v>
      </c>
      <c r="CD94">
        <v>1690300477.5</v>
      </c>
      <c r="CE94">
        <v>1690300465.5</v>
      </c>
      <c r="CF94">
        <v>7</v>
      </c>
      <c r="CG94">
        <v>5.0999999999999997E-2</v>
      </c>
      <c r="CH94">
        <v>-8.0000000000000002E-3</v>
      </c>
      <c r="CI94">
        <v>-0.316</v>
      </c>
      <c r="CJ94">
        <v>0.28199999999999997</v>
      </c>
      <c r="CK94">
        <v>800</v>
      </c>
      <c r="CL94">
        <v>24</v>
      </c>
      <c r="CM94">
        <v>0.25</v>
      </c>
      <c r="CN94">
        <v>0.13</v>
      </c>
      <c r="CO94">
        <v>-162.85945000000001</v>
      </c>
      <c r="CP94">
        <v>-28.452067542213229</v>
      </c>
      <c r="CQ94">
        <v>2.7374172676996089</v>
      </c>
      <c r="CR94">
        <v>-1</v>
      </c>
      <c r="CS94">
        <v>9.2650639999999989</v>
      </c>
      <c r="CT94">
        <v>1.6144547842401351</v>
      </c>
      <c r="CU94">
        <v>0.15539203438078811</v>
      </c>
      <c r="CV94">
        <v>-1</v>
      </c>
      <c r="CW94">
        <v>0</v>
      </c>
      <c r="CX94">
        <v>0</v>
      </c>
      <c r="CY94" t="s">
        <v>333</v>
      </c>
      <c r="CZ94">
        <v>2.36449</v>
      </c>
      <c r="DA94">
        <v>2.7138499999999999</v>
      </c>
      <c r="DB94">
        <v>0.125334</v>
      </c>
      <c r="DC94">
        <v>0.14662700000000001</v>
      </c>
      <c r="DD94">
        <v>0.11497599999999999</v>
      </c>
      <c r="DE94">
        <v>7.9524999999999998E-2</v>
      </c>
      <c r="DF94">
        <v>31948.400000000001</v>
      </c>
      <c r="DG94">
        <v>27517.9</v>
      </c>
      <c r="DH94">
        <v>31182.3</v>
      </c>
      <c r="DI94">
        <v>28097.5</v>
      </c>
      <c r="DJ94">
        <v>37466.699999999997</v>
      </c>
      <c r="DK94">
        <v>36779.4</v>
      </c>
      <c r="DL94">
        <v>44378.2</v>
      </c>
      <c r="DM94">
        <v>42590.1</v>
      </c>
      <c r="DN94">
        <v>1.4743200000000001</v>
      </c>
      <c r="DO94">
        <v>2.0550299999999999</v>
      </c>
      <c r="DP94">
        <v>9.1470800000000005E-2</v>
      </c>
      <c r="DQ94">
        <v>0.193577</v>
      </c>
      <c r="DR94">
        <v>25.459499999999998</v>
      </c>
      <c r="DS94">
        <v>25.252199999999998</v>
      </c>
      <c r="DT94">
        <v>57.1</v>
      </c>
      <c r="DU94">
        <v>28.9</v>
      </c>
      <c r="DV94">
        <v>22.991499999999998</v>
      </c>
      <c r="DW94">
        <v>61.711100000000002</v>
      </c>
      <c r="DX94">
        <v>36.173900000000003</v>
      </c>
      <c r="DY94">
        <v>1</v>
      </c>
      <c r="DZ94">
        <v>-9.6156000000000005E-2</v>
      </c>
      <c r="EA94">
        <v>-0.14670800000000001</v>
      </c>
      <c r="EB94">
        <v>20.189599999999999</v>
      </c>
      <c r="EC94">
        <v>5.2403500000000003</v>
      </c>
      <c r="ED94">
        <v>12.039899999999999</v>
      </c>
      <c r="EE94">
        <v>5.0159000000000002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1.8691899999999999</v>
      </c>
      <c r="EN94">
        <v>1.8672200000000001</v>
      </c>
      <c r="EO94">
        <v>1.8633999999999999</v>
      </c>
      <c r="EP94">
        <v>1.86446</v>
      </c>
      <c r="EQ94">
        <v>1.87015</v>
      </c>
      <c r="ER94">
        <v>1.86941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-0.19800000000000001</v>
      </c>
      <c r="FG94">
        <v>0.28149999999999997</v>
      </c>
      <c r="FH94">
        <v>0.23539598422606861</v>
      </c>
      <c r="FI94">
        <v>-6.1462078757559423E-4</v>
      </c>
      <c r="FJ94">
        <v>-1.8861989874597051E-7</v>
      </c>
      <c r="FK94">
        <v>1.1980462299894961E-10</v>
      </c>
      <c r="FL94">
        <v>0.28151999999999688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22.2</v>
      </c>
      <c r="FU94">
        <v>22.4</v>
      </c>
      <c r="FV94">
        <v>1.78711</v>
      </c>
      <c r="FW94">
        <v>2.5927699999999998</v>
      </c>
      <c r="FX94">
        <v>1.5490699999999999</v>
      </c>
      <c r="FY94">
        <v>2.3303199999999999</v>
      </c>
      <c r="FZ94">
        <v>1.50146</v>
      </c>
      <c r="GA94">
        <v>2.32178</v>
      </c>
      <c r="GB94">
        <v>33.625399999999999</v>
      </c>
      <c r="GC94">
        <v>23.982399999999998</v>
      </c>
      <c r="GD94">
        <v>19</v>
      </c>
      <c r="GE94">
        <v>282.01600000000002</v>
      </c>
      <c r="GF94">
        <v>598.50099999999998</v>
      </c>
      <c r="GG94">
        <v>24.814800000000002</v>
      </c>
      <c r="GH94">
        <v>26.200800000000001</v>
      </c>
      <c r="GI94">
        <v>30.0001</v>
      </c>
      <c r="GJ94">
        <v>26.336300000000001</v>
      </c>
      <c r="GK94">
        <v>26.319199999999999</v>
      </c>
      <c r="GL94">
        <v>35.7256</v>
      </c>
      <c r="GM94">
        <v>42.757100000000001</v>
      </c>
      <c r="GN94">
        <v>94.685599999999994</v>
      </c>
      <c r="GO94">
        <v>24.829699999999999</v>
      </c>
      <c r="GP94">
        <v>800</v>
      </c>
      <c r="GQ94">
        <v>14.5989</v>
      </c>
      <c r="GR94">
        <v>99.773799999999994</v>
      </c>
      <c r="GS94">
        <v>99.629300000000001</v>
      </c>
    </row>
    <row r="95" spans="1:201" x14ac:dyDescent="0.25">
      <c r="A95">
        <v>79</v>
      </c>
      <c r="B95">
        <v>1690301819.5999999</v>
      </c>
      <c r="C95">
        <v>915.59999990463257</v>
      </c>
      <c r="D95" t="s">
        <v>489</v>
      </c>
      <c r="E95" t="s">
        <v>490</v>
      </c>
      <c r="F95" t="s">
        <v>330</v>
      </c>
      <c r="H95">
        <v>1690301819.5999999</v>
      </c>
      <c r="I95">
        <f t="shared" si="30"/>
        <v>9.251945977738524E-4</v>
      </c>
      <c r="J95">
        <f t="shared" si="31"/>
        <v>0.92519459777385238</v>
      </c>
      <c r="K95">
        <f t="shared" si="32"/>
        <v>15.251617334449143</v>
      </c>
      <c r="L95">
        <f t="shared" si="33"/>
        <v>627.63800000000003</v>
      </c>
      <c r="M95">
        <f t="shared" si="34"/>
        <v>204.86608282348803</v>
      </c>
      <c r="N95">
        <f t="shared" si="35"/>
        <v>20.367871178601636</v>
      </c>
      <c r="O95">
        <f t="shared" si="36"/>
        <v>62.400031057408007</v>
      </c>
      <c r="P95">
        <f t="shared" si="37"/>
        <v>5.9975429332539409E-2</v>
      </c>
      <c r="Q95">
        <f t="shared" si="38"/>
        <v>2.1148103247283738</v>
      </c>
      <c r="R95">
        <f t="shared" si="39"/>
        <v>5.9046289395903298E-2</v>
      </c>
      <c r="S95">
        <f t="shared" si="40"/>
        <v>3.6986211333301766E-2</v>
      </c>
      <c r="T95">
        <f t="shared" si="41"/>
        <v>276.11421496361697</v>
      </c>
      <c r="U95">
        <f t="shared" si="42"/>
        <v>28.603057390395957</v>
      </c>
      <c r="V95">
        <f t="shared" si="43"/>
        <v>28.603057390395957</v>
      </c>
      <c r="W95">
        <f t="shared" si="44"/>
        <v>3.9303154596448673</v>
      </c>
      <c r="X95">
        <f t="shared" si="45"/>
        <v>68.760702892200612</v>
      </c>
      <c r="Y95">
        <f t="shared" si="46"/>
        <v>2.4222690733824002</v>
      </c>
      <c r="Z95">
        <f t="shared" si="47"/>
        <v>3.5227520538582997</v>
      </c>
      <c r="AA95">
        <f t="shared" si="48"/>
        <v>1.5080463862624671</v>
      </c>
      <c r="AB95">
        <f t="shared" si="49"/>
        <v>-40.801081761826893</v>
      </c>
      <c r="AC95">
        <f t="shared" si="50"/>
        <v>-213.57692038631998</v>
      </c>
      <c r="AD95">
        <f t="shared" si="51"/>
        <v>-21.940834300368287</v>
      </c>
      <c r="AE95">
        <f t="shared" si="52"/>
        <v>-0.20462148489818333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52454.814901788508</v>
      </c>
      <c r="AK95">
        <f t="shared" si="56"/>
        <v>1799.99</v>
      </c>
      <c r="AL95">
        <f t="shared" si="57"/>
        <v>1499.1045715949997</v>
      </c>
      <c r="AM95">
        <f t="shared" si="58"/>
        <v>0.83284049999999987</v>
      </c>
      <c r="AN95">
        <f t="shared" si="59"/>
        <v>0.1533976383</v>
      </c>
      <c r="AO95">
        <v>32.700000000000003</v>
      </c>
      <c r="AP95">
        <v>0.5</v>
      </c>
      <c r="AQ95" t="s">
        <v>331</v>
      </c>
      <c r="AR95">
        <v>2</v>
      </c>
      <c r="AS95">
        <v>1690301819.5999999</v>
      </c>
      <c r="AT95">
        <v>627.63800000000003</v>
      </c>
      <c r="AU95">
        <v>800.09400000000005</v>
      </c>
      <c r="AV95">
        <v>24.363900000000001</v>
      </c>
      <c r="AW95">
        <v>14.531599999999999</v>
      </c>
      <c r="AX95">
        <v>627.83399999999995</v>
      </c>
      <c r="AY95">
        <v>24.0824</v>
      </c>
      <c r="AZ95">
        <v>300.202</v>
      </c>
      <c r="BA95">
        <v>99.320400000000006</v>
      </c>
      <c r="BB95">
        <v>0.10001599999999999</v>
      </c>
      <c r="BC95">
        <v>26.729800000000001</v>
      </c>
      <c r="BD95">
        <v>26.990200000000002</v>
      </c>
      <c r="BE95">
        <v>28.391999999999999</v>
      </c>
      <c r="BF95">
        <v>0</v>
      </c>
      <c r="BG95">
        <v>0</v>
      </c>
      <c r="BH95">
        <v>9978.1200000000008</v>
      </c>
      <c r="BI95">
        <v>1077.0899999999999</v>
      </c>
      <c r="BJ95">
        <v>1.96231</v>
      </c>
      <c r="BK95">
        <v>-172.45500000000001</v>
      </c>
      <c r="BL95">
        <v>643.31200000000001</v>
      </c>
      <c r="BM95">
        <v>811.89200000000005</v>
      </c>
      <c r="BN95">
        <v>9.8323499999999999</v>
      </c>
      <c r="BO95">
        <v>800.09400000000005</v>
      </c>
      <c r="BP95">
        <v>14.531599999999999</v>
      </c>
      <c r="BQ95">
        <v>2.4198400000000002</v>
      </c>
      <c r="BR95">
        <v>1.4432799999999999</v>
      </c>
      <c r="BS95">
        <v>20.4971</v>
      </c>
      <c r="BT95">
        <v>12.3802</v>
      </c>
      <c r="BU95">
        <v>1799.99</v>
      </c>
      <c r="BV95">
        <v>0.90999799999999997</v>
      </c>
      <c r="BW95">
        <v>3.3996600000000002E-2</v>
      </c>
      <c r="BX95">
        <v>2.2003000000000002E-2</v>
      </c>
      <c r="BY95">
        <v>3.4002600000000001E-2</v>
      </c>
      <c r="BZ95">
        <v>25</v>
      </c>
      <c r="CA95">
        <v>33528.199999999997</v>
      </c>
      <c r="CB95">
        <v>1690300477.5</v>
      </c>
      <c r="CC95" t="s">
        <v>332</v>
      </c>
      <c r="CD95">
        <v>1690300477.5</v>
      </c>
      <c r="CE95">
        <v>1690300465.5</v>
      </c>
      <c r="CF95">
        <v>7</v>
      </c>
      <c r="CG95">
        <v>5.0999999999999997E-2</v>
      </c>
      <c r="CH95">
        <v>-8.0000000000000002E-3</v>
      </c>
      <c r="CI95">
        <v>-0.316</v>
      </c>
      <c r="CJ95">
        <v>0.28199999999999997</v>
      </c>
      <c r="CK95">
        <v>800</v>
      </c>
      <c r="CL95">
        <v>24</v>
      </c>
      <c r="CM95">
        <v>0.25</v>
      </c>
      <c r="CN95">
        <v>0.13</v>
      </c>
      <c r="CO95">
        <v>-167.138575</v>
      </c>
      <c r="CP95">
        <v>-28.569084427766871</v>
      </c>
      <c r="CQ95">
        <v>2.7488775608191451</v>
      </c>
      <c r="CR95">
        <v>-1</v>
      </c>
      <c r="CS95">
        <v>9.5141165000000001</v>
      </c>
      <c r="CT95">
        <v>1.7026057035647071</v>
      </c>
      <c r="CU95">
        <v>0.1638328582969546</v>
      </c>
      <c r="CV95">
        <v>-1</v>
      </c>
      <c r="CW95">
        <v>0</v>
      </c>
      <c r="CX95">
        <v>0</v>
      </c>
      <c r="CY95" t="s">
        <v>333</v>
      </c>
      <c r="CZ95">
        <v>2.3645800000000001</v>
      </c>
      <c r="DA95">
        <v>2.7137899999999999</v>
      </c>
      <c r="DB95">
        <v>0.124684</v>
      </c>
      <c r="DC95">
        <v>0.14662700000000001</v>
      </c>
      <c r="DD95">
        <v>0.11508699999999999</v>
      </c>
      <c r="DE95">
        <v>7.8548099999999996E-2</v>
      </c>
      <c r="DF95">
        <v>31972.2</v>
      </c>
      <c r="DG95">
        <v>27518.5</v>
      </c>
      <c r="DH95">
        <v>31182.3</v>
      </c>
      <c r="DI95">
        <v>28098.1</v>
      </c>
      <c r="DJ95">
        <v>37462</v>
      </c>
      <c r="DK95">
        <v>36819</v>
      </c>
      <c r="DL95">
        <v>44378.3</v>
      </c>
      <c r="DM95">
        <v>42590.6</v>
      </c>
      <c r="DN95">
        <v>1.47478</v>
      </c>
      <c r="DO95">
        <v>2.0544500000000001</v>
      </c>
      <c r="DP95">
        <v>9.3482399999999993E-2</v>
      </c>
      <c r="DQ95">
        <v>0.19193099999999999</v>
      </c>
      <c r="DR95">
        <v>25.459499999999998</v>
      </c>
      <c r="DS95">
        <v>25.252199999999998</v>
      </c>
      <c r="DT95">
        <v>57.1</v>
      </c>
      <c r="DU95">
        <v>28.9</v>
      </c>
      <c r="DV95">
        <v>22.987400000000001</v>
      </c>
      <c r="DW95">
        <v>62.061100000000003</v>
      </c>
      <c r="DX95">
        <v>35.568899999999999</v>
      </c>
      <c r="DY95">
        <v>1</v>
      </c>
      <c r="DZ95">
        <v>-9.6250000000000002E-2</v>
      </c>
      <c r="EA95">
        <v>-0.18443599999999999</v>
      </c>
      <c r="EB95">
        <v>20.189499999999999</v>
      </c>
      <c r="EC95">
        <v>5.2409499999999998</v>
      </c>
      <c r="ED95">
        <v>12.039899999999999</v>
      </c>
      <c r="EE95">
        <v>5.0166000000000004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</v>
      </c>
      <c r="EL95">
        <v>1.8646100000000001</v>
      </c>
      <c r="EM95">
        <v>1.8691899999999999</v>
      </c>
      <c r="EN95">
        <v>1.8672200000000001</v>
      </c>
      <c r="EO95">
        <v>1.8633900000000001</v>
      </c>
      <c r="EP95">
        <v>1.8644700000000001</v>
      </c>
      <c r="EQ95">
        <v>1.87015</v>
      </c>
      <c r="ER95">
        <v>1.8693900000000001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-0.19600000000000001</v>
      </c>
      <c r="FG95">
        <v>0.28149999999999997</v>
      </c>
      <c r="FH95">
        <v>0.23539598422606861</v>
      </c>
      <c r="FI95">
        <v>-6.1462078757559423E-4</v>
      </c>
      <c r="FJ95">
        <v>-1.8861989874597051E-7</v>
      </c>
      <c r="FK95">
        <v>1.1980462299894961E-10</v>
      </c>
      <c r="FL95">
        <v>0.28151999999999688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22.4</v>
      </c>
      <c r="FU95">
        <v>22.6</v>
      </c>
      <c r="FV95">
        <v>1.78589</v>
      </c>
      <c r="FW95">
        <v>2.5891099999999998</v>
      </c>
      <c r="FX95">
        <v>1.5490699999999999</v>
      </c>
      <c r="FY95">
        <v>2.3290999999999999</v>
      </c>
      <c r="FZ95">
        <v>1.50146</v>
      </c>
      <c r="GA95">
        <v>2.36694</v>
      </c>
      <c r="GB95">
        <v>33.625399999999999</v>
      </c>
      <c r="GC95">
        <v>23.982399999999998</v>
      </c>
      <c r="GD95">
        <v>19</v>
      </c>
      <c r="GE95">
        <v>282.19099999999997</v>
      </c>
      <c r="GF95">
        <v>597.97</v>
      </c>
      <c r="GG95">
        <v>24.869199999999999</v>
      </c>
      <c r="GH95">
        <v>26.197500000000002</v>
      </c>
      <c r="GI95">
        <v>30</v>
      </c>
      <c r="GJ95">
        <v>26.332699999999999</v>
      </c>
      <c r="GK95">
        <v>26.315200000000001</v>
      </c>
      <c r="GL95">
        <v>35.712600000000002</v>
      </c>
      <c r="GM95">
        <v>43.624499999999998</v>
      </c>
      <c r="GN95">
        <v>94.311400000000006</v>
      </c>
      <c r="GO95">
        <v>24.880500000000001</v>
      </c>
      <c r="GP95">
        <v>800</v>
      </c>
      <c r="GQ95">
        <v>14.344900000000001</v>
      </c>
      <c r="GR95">
        <v>99.774000000000001</v>
      </c>
      <c r="GS95">
        <v>99.630899999999997</v>
      </c>
    </row>
    <row r="96" spans="1:201" x14ac:dyDescent="0.25">
      <c r="A96">
        <v>80</v>
      </c>
      <c r="B96">
        <v>1690301829.5999999</v>
      </c>
      <c r="C96">
        <v>925.59999990463257</v>
      </c>
      <c r="D96" t="s">
        <v>491</v>
      </c>
      <c r="E96" t="s">
        <v>492</v>
      </c>
      <c r="F96" t="s">
        <v>330</v>
      </c>
      <c r="H96">
        <v>1690301829.5999999</v>
      </c>
      <c r="I96">
        <f t="shared" si="30"/>
        <v>9.5072547858162727E-4</v>
      </c>
      <c r="J96">
        <f t="shared" si="31"/>
        <v>0.95072547858162726</v>
      </c>
      <c r="K96">
        <f t="shared" si="32"/>
        <v>15.662183613622272</v>
      </c>
      <c r="L96">
        <f t="shared" si="33"/>
        <v>623.00599999999997</v>
      </c>
      <c r="M96">
        <f t="shared" si="34"/>
        <v>202.13780400778833</v>
      </c>
      <c r="N96">
        <f t="shared" si="35"/>
        <v>20.096416523552897</v>
      </c>
      <c r="O96">
        <f t="shared" si="36"/>
        <v>61.938874492720792</v>
      </c>
      <c r="P96">
        <f t="shared" si="37"/>
        <v>6.1880225318316974E-2</v>
      </c>
      <c r="Q96">
        <f t="shared" si="38"/>
        <v>2.1196129785035751</v>
      </c>
      <c r="R96">
        <f t="shared" si="39"/>
        <v>6.0893855799919946E-2</v>
      </c>
      <c r="S96">
        <f t="shared" si="40"/>
        <v>3.8145971554717696E-2</v>
      </c>
      <c r="T96">
        <f t="shared" si="41"/>
        <v>276.11569686600006</v>
      </c>
      <c r="U96">
        <f t="shared" si="42"/>
        <v>28.590570840557682</v>
      </c>
      <c r="V96">
        <f t="shared" si="43"/>
        <v>28.590570840557682</v>
      </c>
      <c r="W96">
        <f t="shared" si="44"/>
        <v>3.9274681787616808</v>
      </c>
      <c r="X96">
        <f t="shared" si="45"/>
        <v>68.832435439054592</v>
      </c>
      <c r="Y96">
        <f t="shared" si="46"/>
        <v>2.4248388440519997</v>
      </c>
      <c r="Z96">
        <f t="shared" si="47"/>
        <v>3.5228142496846462</v>
      </c>
      <c r="AA96">
        <f t="shared" si="48"/>
        <v>1.5026293347096811</v>
      </c>
      <c r="AB96">
        <f t="shared" si="49"/>
        <v>-41.926993605449759</v>
      </c>
      <c r="AC96">
        <f t="shared" si="50"/>
        <v>-212.6007934714699</v>
      </c>
      <c r="AD96">
        <f t="shared" si="51"/>
        <v>-21.789742050807671</v>
      </c>
      <c r="AE96">
        <f t="shared" si="52"/>
        <v>-0.20183226172724744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52665.382798285085</v>
      </c>
      <c r="AK96">
        <f t="shared" si="56"/>
        <v>1800</v>
      </c>
      <c r="AL96">
        <f t="shared" si="57"/>
        <v>1499.1140196000001</v>
      </c>
      <c r="AM96">
        <f t="shared" si="58"/>
        <v>0.83284112200000004</v>
      </c>
      <c r="AN96">
        <f t="shared" si="59"/>
        <v>0.15339760937000002</v>
      </c>
      <c r="AO96">
        <v>32.700000000000003</v>
      </c>
      <c r="AP96">
        <v>0.5</v>
      </c>
      <c r="AQ96" t="s">
        <v>331</v>
      </c>
      <c r="AR96">
        <v>2</v>
      </c>
      <c r="AS96">
        <v>1690301829.5999999</v>
      </c>
      <c r="AT96">
        <v>623.00599999999997</v>
      </c>
      <c r="AU96">
        <v>800.02300000000002</v>
      </c>
      <c r="AV96">
        <v>24.39</v>
      </c>
      <c r="AW96">
        <v>14.2888</v>
      </c>
      <c r="AX96">
        <v>623.19799999999998</v>
      </c>
      <c r="AY96">
        <v>24.108499999999999</v>
      </c>
      <c r="AZ96">
        <v>300.26600000000002</v>
      </c>
      <c r="BA96">
        <v>99.319400000000002</v>
      </c>
      <c r="BB96">
        <v>9.9986800000000001E-2</v>
      </c>
      <c r="BC96">
        <v>26.7301</v>
      </c>
      <c r="BD96">
        <v>26.938099999999999</v>
      </c>
      <c r="BE96">
        <v>28.409099999999999</v>
      </c>
      <c r="BF96">
        <v>0</v>
      </c>
      <c r="BG96">
        <v>0</v>
      </c>
      <c r="BH96">
        <v>10020</v>
      </c>
      <c r="BI96">
        <v>1077.06</v>
      </c>
      <c r="BJ96">
        <v>1.96231</v>
      </c>
      <c r="BK96">
        <v>-177.017</v>
      </c>
      <c r="BL96">
        <v>638.58100000000002</v>
      </c>
      <c r="BM96">
        <v>811.62</v>
      </c>
      <c r="BN96">
        <v>10.1012</v>
      </c>
      <c r="BO96">
        <v>800.02300000000002</v>
      </c>
      <c r="BP96">
        <v>14.2888</v>
      </c>
      <c r="BQ96">
        <v>2.4224000000000001</v>
      </c>
      <c r="BR96">
        <v>1.41916</v>
      </c>
      <c r="BS96">
        <v>20.514299999999999</v>
      </c>
      <c r="BT96">
        <v>12.123900000000001</v>
      </c>
      <c r="BU96">
        <v>1800</v>
      </c>
      <c r="BV96">
        <v>0.91000199999999998</v>
      </c>
      <c r="BW96">
        <v>3.3995200000000003E-2</v>
      </c>
      <c r="BX96">
        <v>2.20021E-2</v>
      </c>
      <c r="BY96">
        <v>3.4001299999999998E-2</v>
      </c>
      <c r="BZ96">
        <v>25</v>
      </c>
      <c r="CA96">
        <v>33528.400000000001</v>
      </c>
      <c r="CB96">
        <v>1690300477.5</v>
      </c>
      <c r="CC96" t="s">
        <v>332</v>
      </c>
      <c r="CD96">
        <v>1690300477.5</v>
      </c>
      <c r="CE96">
        <v>1690300465.5</v>
      </c>
      <c r="CF96">
        <v>7</v>
      </c>
      <c r="CG96">
        <v>5.0999999999999997E-2</v>
      </c>
      <c r="CH96">
        <v>-8.0000000000000002E-3</v>
      </c>
      <c r="CI96">
        <v>-0.316</v>
      </c>
      <c r="CJ96">
        <v>0.28199999999999997</v>
      </c>
      <c r="CK96">
        <v>800</v>
      </c>
      <c r="CL96">
        <v>24</v>
      </c>
      <c r="CM96">
        <v>0.25</v>
      </c>
      <c r="CN96">
        <v>0.13</v>
      </c>
      <c r="CO96">
        <v>-171.97431707317071</v>
      </c>
      <c r="CP96">
        <v>-27.910369337979329</v>
      </c>
      <c r="CQ96">
        <v>2.7525227137497899</v>
      </c>
      <c r="CR96">
        <v>-1</v>
      </c>
      <c r="CS96">
        <v>9.8007841463414618</v>
      </c>
      <c r="CT96">
        <v>1.631580836236928</v>
      </c>
      <c r="CU96">
        <v>0.1609823557363278</v>
      </c>
      <c r="CV96">
        <v>-1</v>
      </c>
      <c r="CW96">
        <v>0</v>
      </c>
      <c r="CX96">
        <v>0</v>
      </c>
      <c r="CY96" t="s">
        <v>333</v>
      </c>
      <c r="CZ96">
        <v>2.3647999999999998</v>
      </c>
      <c r="DA96">
        <v>2.7138</v>
      </c>
      <c r="DB96">
        <v>0.12404</v>
      </c>
      <c r="DC96">
        <v>0.14661299999999999</v>
      </c>
      <c r="DD96">
        <v>0.115174</v>
      </c>
      <c r="DE96">
        <v>7.7579200000000001E-2</v>
      </c>
      <c r="DF96">
        <v>31995.9</v>
      </c>
      <c r="DG96">
        <v>27518.9</v>
      </c>
      <c r="DH96">
        <v>31182.5</v>
      </c>
      <c r="DI96">
        <v>28098</v>
      </c>
      <c r="DJ96">
        <v>37458.400000000001</v>
      </c>
      <c r="DK96">
        <v>36857.800000000003</v>
      </c>
      <c r="DL96">
        <v>44378.6</v>
      </c>
      <c r="DM96">
        <v>42590.6</v>
      </c>
      <c r="DN96">
        <v>1.4749000000000001</v>
      </c>
      <c r="DO96">
        <v>2.0543800000000001</v>
      </c>
      <c r="DP96">
        <v>9.04277E-2</v>
      </c>
      <c r="DQ96">
        <v>0.19297700000000001</v>
      </c>
      <c r="DR96">
        <v>25.4573</v>
      </c>
      <c r="DS96">
        <v>25.252199999999998</v>
      </c>
      <c r="DT96">
        <v>57</v>
      </c>
      <c r="DU96">
        <v>28.9</v>
      </c>
      <c r="DV96">
        <v>22.9451</v>
      </c>
      <c r="DW96">
        <v>61.301099999999998</v>
      </c>
      <c r="DX96">
        <v>35.336500000000001</v>
      </c>
      <c r="DY96">
        <v>1</v>
      </c>
      <c r="DZ96">
        <v>-9.6941100000000002E-2</v>
      </c>
      <c r="EA96">
        <v>-0.16636699999999999</v>
      </c>
      <c r="EB96">
        <v>20.190200000000001</v>
      </c>
      <c r="EC96">
        <v>5.2409499999999998</v>
      </c>
      <c r="ED96">
        <v>12.039899999999999</v>
      </c>
      <c r="EE96">
        <v>5.0169499999999996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1.8689100000000001</v>
      </c>
      <c r="EL96">
        <v>1.8646199999999999</v>
      </c>
      <c r="EM96">
        <v>1.8691899999999999</v>
      </c>
      <c r="EN96">
        <v>1.8672500000000001</v>
      </c>
      <c r="EO96">
        <v>1.8633999999999999</v>
      </c>
      <c r="EP96">
        <v>1.8644700000000001</v>
      </c>
      <c r="EQ96">
        <v>1.87018</v>
      </c>
      <c r="ER96">
        <v>1.8694200000000001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-0.192</v>
      </c>
      <c r="FG96">
        <v>0.28149999999999997</v>
      </c>
      <c r="FH96">
        <v>0.23539598422606861</v>
      </c>
      <c r="FI96">
        <v>-6.1462078757559423E-4</v>
      </c>
      <c r="FJ96">
        <v>-1.8861989874597051E-7</v>
      </c>
      <c r="FK96">
        <v>1.1980462299894961E-10</v>
      </c>
      <c r="FL96">
        <v>0.28151999999999688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22.5</v>
      </c>
      <c r="FU96">
        <v>22.7</v>
      </c>
      <c r="FV96">
        <v>1.78589</v>
      </c>
      <c r="FW96">
        <v>2.5878899999999998</v>
      </c>
      <c r="FX96">
        <v>1.5490699999999999</v>
      </c>
      <c r="FY96">
        <v>2.3303199999999999</v>
      </c>
      <c r="FZ96">
        <v>1.50146</v>
      </c>
      <c r="GA96">
        <v>2.4023400000000001</v>
      </c>
      <c r="GB96">
        <v>33.625399999999999</v>
      </c>
      <c r="GC96">
        <v>23.982399999999998</v>
      </c>
      <c r="GD96">
        <v>19</v>
      </c>
      <c r="GE96">
        <v>282.23099999999999</v>
      </c>
      <c r="GF96">
        <v>597.875</v>
      </c>
      <c r="GG96">
        <v>24.898599999999998</v>
      </c>
      <c r="GH96">
        <v>26.1935</v>
      </c>
      <c r="GI96">
        <v>29.9999</v>
      </c>
      <c r="GJ96">
        <v>26.329699999999999</v>
      </c>
      <c r="GK96">
        <v>26.3125</v>
      </c>
      <c r="GL96">
        <v>35.708599999999997</v>
      </c>
      <c r="GM96">
        <v>44.4512</v>
      </c>
      <c r="GN96">
        <v>93.933700000000002</v>
      </c>
      <c r="GO96">
        <v>24.9114</v>
      </c>
      <c r="GP96">
        <v>800</v>
      </c>
      <c r="GQ96">
        <v>14.090299999999999</v>
      </c>
      <c r="GR96">
        <v>99.774600000000007</v>
      </c>
      <c r="GS96">
        <v>99.630799999999994</v>
      </c>
    </row>
    <row r="97" spans="1:201" x14ac:dyDescent="0.25">
      <c r="A97">
        <v>81</v>
      </c>
      <c r="B97">
        <v>1690301839.5999999</v>
      </c>
      <c r="C97">
        <v>935.59999990463257</v>
      </c>
      <c r="D97" t="s">
        <v>493</v>
      </c>
      <c r="E97" t="s">
        <v>494</v>
      </c>
      <c r="F97" t="s">
        <v>330</v>
      </c>
      <c r="H97">
        <v>1690301839.5999999</v>
      </c>
      <c r="I97">
        <f t="shared" si="30"/>
        <v>9.7672653150194491E-4</v>
      </c>
      <c r="J97">
        <f t="shared" si="31"/>
        <v>0.97672653150194488</v>
      </c>
      <c r="K97">
        <f t="shared" si="32"/>
        <v>16.078477302018616</v>
      </c>
      <c r="L97">
        <f t="shared" si="33"/>
        <v>618.41300000000001</v>
      </c>
      <c r="M97">
        <f t="shared" si="34"/>
        <v>198.58116765972798</v>
      </c>
      <c r="N97">
        <f t="shared" si="35"/>
        <v>19.742911331339414</v>
      </c>
      <c r="O97">
        <f t="shared" si="36"/>
        <v>61.482532150623605</v>
      </c>
      <c r="P97">
        <f t="shared" si="37"/>
        <v>6.3693092413645735E-2</v>
      </c>
      <c r="Q97">
        <f t="shared" si="38"/>
        <v>2.119549927226652</v>
      </c>
      <c r="R97">
        <f t="shared" si="39"/>
        <v>6.2648577535171265E-2</v>
      </c>
      <c r="S97">
        <f t="shared" si="40"/>
        <v>3.9247779640685987E-2</v>
      </c>
      <c r="T97">
        <f t="shared" si="41"/>
        <v>276.11390511333838</v>
      </c>
      <c r="U97">
        <f t="shared" si="42"/>
        <v>28.590082580947101</v>
      </c>
      <c r="V97">
        <f t="shared" si="43"/>
        <v>28.590082580947101</v>
      </c>
      <c r="W97">
        <f t="shared" si="44"/>
        <v>3.9273568785396717</v>
      </c>
      <c r="X97">
        <f t="shared" si="45"/>
        <v>68.855476697720647</v>
      </c>
      <c r="Y97">
        <f t="shared" si="46"/>
        <v>2.4268784821948803</v>
      </c>
      <c r="Z97">
        <f t="shared" si="47"/>
        <v>3.5245976044128065</v>
      </c>
      <c r="AA97">
        <f t="shared" si="48"/>
        <v>1.5004783963447914</v>
      </c>
      <c r="AB97">
        <f t="shared" si="49"/>
        <v>-43.073640039235769</v>
      </c>
      <c r="AC97">
        <f t="shared" si="50"/>
        <v>-211.55596138692133</v>
      </c>
      <c r="AD97">
        <f t="shared" si="51"/>
        <v>-21.684176304083312</v>
      </c>
      <c r="AE97">
        <f t="shared" si="52"/>
        <v>-0.19987261690201308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52661.113707941542</v>
      </c>
      <c r="AK97">
        <f t="shared" si="56"/>
        <v>1799.99</v>
      </c>
      <c r="AL97">
        <f t="shared" si="57"/>
        <v>1499.1062563856401</v>
      </c>
      <c r="AM97">
        <f t="shared" si="58"/>
        <v>0.83284143600000005</v>
      </c>
      <c r="AN97">
        <f t="shared" si="59"/>
        <v>0.15339746616</v>
      </c>
      <c r="AO97">
        <v>32.700000000000003</v>
      </c>
      <c r="AP97">
        <v>0.5</v>
      </c>
      <c r="AQ97" t="s">
        <v>331</v>
      </c>
      <c r="AR97">
        <v>2</v>
      </c>
      <c r="AS97">
        <v>1690301839.5999999</v>
      </c>
      <c r="AT97">
        <v>618.41300000000001</v>
      </c>
      <c r="AU97">
        <v>800.12199999999996</v>
      </c>
      <c r="AV97">
        <v>24.410399999999999</v>
      </c>
      <c r="AW97">
        <v>14.0314</v>
      </c>
      <c r="AX97">
        <v>618.601</v>
      </c>
      <c r="AY97">
        <v>24.128900000000002</v>
      </c>
      <c r="AZ97">
        <v>300.21499999999997</v>
      </c>
      <c r="BA97">
        <v>99.319900000000004</v>
      </c>
      <c r="BB97">
        <v>9.9957199999999996E-2</v>
      </c>
      <c r="BC97">
        <v>26.738700000000001</v>
      </c>
      <c r="BD97">
        <v>26.9635</v>
      </c>
      <c r="BE97">
        <v>28.3858</v>
      </c>
      <c r="BF97">
        <v>0</v>
      </c>
      <c r="BG97">
        <v>0</v>
      </c>
      <c r="BH97">
        <v>10019.4</v>
      </c>
      <c r="BI97">
        <v>1077.04</v>
      </c>
      <c r="BJ97">
        <v>1.96231</v>
      </c>
      <c r="BK97">
        <v>-181.709</v>
      </c>
      <c r="BL97">
        <v>633.88599999999997</v>
      </c>
      <c r="BM97">
        <v>811.50800000000004</v>
      </c>
      <c r="BN97">
        <v>10.3789</v>
      </c>
      <c r="BO97">
        <v>800.12199999999996</v>
      </c>
      <c r="BP97">
        <v>14.0314</v>
      </c>
      <c r="BQ97">
        <v>2.4244400000000002</v>
      </c>
      <c r="BR97">
        <v>1.3935999999999999</v>
      </c>
      <c r="BS97">
        <v>20.527899999999999</v>
      </c>
      <c r="BT97">
        <v>11.8482</v>
      </c>
      <c r="BU97">
        <v>1799.99</v>
      </c>
      <c r="BV97">
        <v>0.91000700000000001</v>
      </c>
      <c r="BW97">
        <v>3.3993299999999997E-2</v>
      </c>
      <c r="BX97">
        <v>2.2000800000000001E-2</v>
      </c>
      <c r="BY97">
        <v>3.3999399999999999E-2</v>
      </c>
      <c r="BZ97">
        <v>25</v>
      </c>
      <c r="CA97">
        <v>33528.199999999997</v>
      </c>
      <c r="CB97">
        <v>1690300477.5</v>
      </c>
      <c r="CC97" t="s">
        <v>332</v>
      </c>
      <c r="CD97">
        <v>1690300477.5</v>
      </c>
      <c r="CE97">
        <v>1690300465.5</v>
      </c>
      <c r="CF97">
        <v>7</v>
      </c>
      <c r="CG97">
        <v>5.0999999999999997E-2</v>
      </c>
      <c r="CH97">
        <v>-8.0000000000000002E-3</v>
      </c>
      <c r="CI97">
        <v>-0.316</v>
      </c>
      <c r="CJ97">
        <v>0.28199999999999997</v>
      </c>
      <c r="CK97">
        <v>800</v>
      </c>
      <c r="CL97">
        <v>24</v>
      </c>
      <c r="CM97">
        <v>0.25</v>
      </c>
      <c r="CN97">
        <v>0.13</v>
      </c>
      <c r="CO97">
        <v>-176.48894999999999</v>
      </c>
      <c r="CP97">
        <v>-27.697530956847839</v>
      </c>
      <c r="CQ97">
        <v>2.6648081445950278</v>
      </c>
      <c r="CR97">
        <v>-1</v>
      </c>
      <c r="CS97">
        <v>10.069295500000001</v>
      </c>
      <c r="CT97">
        <v>1.646806378986863</v>
      </c>
      <c r="CU97">
        <v>0.15853367475003549</v>
      </c>
      <c r="CV97">
        <v>-1</v>
      </c>
      <c r="CW97">
        <v>0</v>
      </c>
      <c r="CX97">
        <v>0</v>
      </c>
      <c r="CY97" t="s">
        <v>333</v>
      </c>
      <c r="CZ97">
        <v>2.3646600000000002</v>
      </c>
      <c r="DA97">
        <v>2.7137699999999998</v>
      </c>
      <c r="DB97">
        <v>0.1234</v>
      </c>
      <c r="DC97">
        <v>0.146622</v>
      </c>
      <c r="DD97">
        <v>0.115244</v>
      </c>
      <c r="DE97">
        <v>7.6546500000000003E-2</v>
      </c>
      <c r="DF97">
        <v>32019.1</v>
      </c>
      <c r="DG97">
        <v>27519.1</v>
      </c>
      <c r="DH97">
        <v>31182.400000000001</v>
      </c>
      <c r="DI97">
        <v>28098.6</v>
      </c>
      <c r="DJ97">
        <v>37455.199999999997</v>
      </c>
      <c r="DK97">
        <v>36900</v>
      </c>
      <c r="DL97">
        <v>44378.400000000001</v>
      </c>
      <c r="DM97">
        <v>42591.5</v>
      </c>
      <c r="DN97">
        <v>1.47458</v>
      </c>
      <c r="DO97">
        <v>2.0541</v>
      </c>
      <c r="DP97">
        <v>9.1981099999999996E-2</v>
      </c>
      <c r="DQ97">
        <v>0.19168099999999999</v>
      </c>
      <c r="DR97">
        <v>25.4573</v>
      </c>
      <c r="DS97">
        <v>25.2501</v>
      </c>
      <c r="DT97">
        <v>57</v>
      </c>
      <c r="DU97">
        <v>28.9</v>
      </c>
      <c r="DV97">
        <v>22.950900000000001</v>
      </c>
      <c r="DW97">
        <v>61.951099999999997</v>
      </c>
      <c r="DX97">
        <v>35.821300000000001</v>
      </c>
      <c r="DY97">
        <v>1</v>
      </c>
      <c r="DZ97">
        <v>-9.6951200000000001E-2</v>
      </c>
      <c r="EA97">
        <v>-0.23771800000000001</v>
      </c>
      <c r="EB97">
        <v>20.189499999999999</v>
      </c>
      <c r="EC97">
        <v>5.2409499999999998</v>
      </c>
      <c r="ED97">
        <v>12.039899999999999</v>
      </c>
      <c r="EE97">
        <v>5.0170500000000002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</v>
      </c>
      <c r="EL97">
        <v>1.8646199999999999</v>
      </c>
      <c r="EM97">
        <v>1.8692</v>
      </c>
      <c r="EN97">
        <v>1.86724</v>
      </c>
      <c r="EO97">
        <v>1.8633999999999999</v>
      </c>
      <c r="EP97">
        <v>1.8644700000000001</v>
      </c>
      <c r="EQ97">
        <v>1.87015</v>
      </c>
      <c r="ER97">
        <v>1.86938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-0.188</v>
      </c>
      <c r="FG97">
        <v>0.28149999999999997</v>
      </c>
      <c r="FH97">
        <v>0.23539598422606861</v>
      </c>
      <c r="FI97">
        <v>-6.1462078757559423E-4</v>
      </c>
      <c r="FJ97">
        <v>-1.8861989874597051E-7</v>
      </c>
      <c r="FK97">
        <v>1.1980462299894961E-10</v>
      </c>
      <c r="FL97">
        <v>0.28151999999999688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22.7</v>
      </c>
      <c r="FU97">
        <v>22.9</v>
      </c>
      <c r="FV97">
        <v>1.78589</v>
      </c>
      <c r="FW97">
        <v>2.5817899999999998</v>
      </c>
      <c r="FX97">
        <v>1.5490699999999999</v>
      </c>
      <c r="FY97">
        <v>2.3290999999999999</v>
      </c>
      <c r="FZ97">
        <v>1.50146</v>
      </c>
      <c r="GA97">
        <v>2.4096700000000002</v>
      </c>
      <c r="GB97">
        <v>33.625399999999999</v>
      </c>
      <c r="GC97">
        <v>23.991199999999999</v>
      </c>
      <c r="GD97">
        <v>19</v>
      </c>
      <c r="GE97">
        <v>282.077</v>
      </c>
      <c r="GF97">
        <v>597.59900000000005</v>
      </c>
      <c r="GG97">
        <v>24.9559</v>
      </c>
      <c r="GH97">
        <v>26.189699999999998</v>
      </c>
      <c r="GI97">
        <v>29.9999</v>
      </c>
      <c r="GJ97">
        <v>26.3261</v>
      </c>
      <c r="GK97">
        <v>26.308599999999998</v>
      </c>
      <c r="GL97">
        <v>35.704300000000003</v>
      </c>
      <c r="GM97">
        <v>45.295699999999997</v>
      </c>
      <c r="GN97">
        <v>93.175399999999996</v>
      </c>
      <c r="GO97">
        <v>24.966100000000001</v>
      </c>
      <c r="GP97">
        <v>800</v>
      </c>
      <c r="GQ97">
        <v>13.8347</v>
      </c>
      <c r="GR97">
        <v>99.774199999999993</v>
      </c>
      <c r="GS97">
        <v>99.632900000000006</v>
      </c>
    </row>
    <row r="98" spans="1:201" x14ac:dyDescent="0.25">
      <c r="A98">
        <v>82</v>
      </c>
      <c r="B98">
        <v>1690301849.5999999</v>
      </c>
      <c r="C98">
        <v>945.59999990463257</v>
      </c>
      <c r="D98" t="s">
        <v>495</v>
      </c>
      <c r="E98" t="s">
        <v>496</v>
      </c>
      <c r="F98" t="s">
        <v>330</v>
      </c>
      <c r="H98">
        <v>1690301849.5999999</v>
      </c>
      <c r="I98">
        <f t="shared" si="30"/>
        <v>1.0044510664089365E-3</v>
      </c>
      <c r="J98">
        <f t="shared" si="31"/>
        <v>1.0044510664089366</v>
      </c>
      <c r="K98">
        <f t="shared" si="32"/>
        <v>16.482048750936759</v>
      </c>
      <c r="L98">
        <f t="shared" si="33"/>
        <v>613.82399999999996</v>
      </c>
      <c r="M98">
        <f t="shared" si="34"/>
        <v>196.64281866925654</v>
      </c>
      <c r="N98">
        <f t="shared" si="35"/>
        <v>19.550505315257713</v>
      </c>
      <c r="O98">
        <f t="shared" si="36"/>
        <v>61.027244502719995</v>
      </c>
      <c r="P98">
        <f t="shared" si="37"/>
        <v>6.5728009967713122E-2</v>
      </c>
      <c r="Q98">
        <f t="shared" si="38"/>
        <v>2.1206453145783297</v>
      </c>
      <c r="R98">
        <f t="shared" si="39"/>
        <v>6.4616878641028538E-2</v>
      </c>
      <c r="S98">
        <f t="shared" si="40"/>
        <v>4.0483815274729995E-2</v>
      </c>
      <c r="T98">
        <f t="shared" si="41"/>
        <v>276.11373901026121</v>
      </c>
      <c r="U98">
        <f t="shared" si="42"/>
        <v>28.580502608752635</v>
      </c>
      <c r="V98">
        <f t="shared" si="43"/>
        <v>28.580502608752635</v>
      </c>
      <c r="W98">
        <f t="shared" si="44"/>
        <v>3.9251736519813507</v>
      </c>
      <c r="X98">
        <f t="shared" si="45"/>
        <v>68.913986328728726</v>
      </c>
      <c r="Y98">
        <f t="shared" si="46"/>
        <v>2.4290836512410001</v>
      </c>
      <c r="Z98">
        <f t="shared" si="47"/>
        <v>3.5248050223853737</v>
      </c>
      <c r="AA98">
        <f t="shared" si="48"/>
        <v>1.4960900007403506</v>
      </c>
      <c r="AB98">
        <f t="shared" si="49"/>
        <v>-44.296292028634099</v>
      </c>
      <c r="AC98">
        <f t="shared" si="50"/>
        <v>-210.45570440539785</v>
      </c>
      <c r="AD98">
        <f t="shared" si="51"/>
        <v>-21.559333993878248</v>
      </c>
      <c r="AE98">
        <f t="shared" si="52"/>
        <v>-0.19759141764899368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52709.090611429725</v>
      </c>
      <c r="AK98">
        <f t="shared" si="56"/>
        <v>1799.99</v>
      </c>
      <c r="AL98">
        <f t="shared" si="57"/>
        <v>1499.1068449823699</v>
      </c>
      <c r="AM98">
        <f t="shared" si="58"/>
        <v>0.8328417629999999</v>
      </c>
      <c r="AN98">
        <f t="shared" si="59"/>
        <v>0.15339737387999999</v>
      </c>
      <c r="AO98">
        <v>32.700000000000003</v>
      </c>
      <c r="AP98">
        <v>0.5</v>
      </c>
      <c r="AQ98" t="s">
        <v>331</v>
      </c>
      <c r="AR98">
        <v>2</v>
      </c>
      <c r="AS98">
        <v>1690301849.5999999</v>
      </c>
      <c r="AT98">
        <v>613.82399999999996</v>
      </c>
      <c r="AU98">
        <v>800.09199999999998</v>
      </c>
      <c r="AV98">
        <v>24.432200000000002</v>
      </c>
      <c r="AW98">
        <v>13.757300000000001</v>
      </c>
      <c r="AX98">
        <v>614.00900000000001</v>
      </c>
      <c r="AY98">
        <v>24.150600000000001</v>
      </c>
      <c r="AZ98">
        <v>300.17200000000003</v>
      </c>
      <c r="BA98">
        <v>99.321399999999997</v>
      </c>
      <c r="BB98">
        <v>0.100005</v>
      </c>
      <c r="BC98">
        <v>26.739699999999999</v>
      </c>
      <c r="BD98">
        <v>26.984500000000001</v>
      </c>
      <c r="BE98">
        <v>28.415700000000001</v>
      </c>
      <c r="BF98">
        <v>0</v>
      </c>
      <c r="BG98">
        <v>0</v>
      </c>
      <c r="BH98">
        <v>10028.799999999999</v>
      </c>
      <c r="BI98">
        <v>1077.1099999999999</v>
      </c>
      <c r="BJ98">
        <v>1.96231</v>
      </c>
      <c r="BK98">
        <v>-186.268</v>
      </c>
      <c r="BL98">
        <v>629.19600000000003</v>
      </c>
      <c r="BM98">
        <v>811.25199999999995</v>
      </c>
      <c r="BN98">
        <v>10.674799999999999</v>
      </c>
      <c r="BO98">
        <v>800.09199999999998</v>
      </c>
      <c r="BP98">
        <v>13.757300000000001</v>
      </c>
      <c r="BQ98">
        <v>2.4266399999999999</v>
      </c>
      <c r="BR98">
        <v>1.3664000000000001</v>
      </c>
      <c r="BS98">
        <v>20.5426</v>
      </c>
      <c r="BT98">
        <v>11.549799999999999</v>
      </c>
      <c r="BU98">
        <v>1799.99</v>
      </c>
      <c r="BV98">
        <v>0.91001100000000001</v>
      </c>
      <c r="BW98">
        <v>3.3991800000000003E-2</v>
      </c>
      <c r="BX98">
        <v>2.1999899999999999E-2</v>
      </c>
      <c r="BY98">
        <v>3.3997800000000002E-2</v>
      </c>
      <c r="BZ98">
        <v>25</v>
      </c>
      <c r="CA98">
        <v>33528.300000000003</v>
      </c>
      <c r="CB98">
        <v>1690300477.5</v>
      </c>
      <c r="CC98" t="s">
        <v>332</v>
      </c>
      <c r="CD98">
        <v>1690300477.5</v>
      </c>
      <c r="CE98">
        <v>1690300465.5</v>
      </c>
      <c r="CF98">
        <v>7</v>
      </c>
      <c r="CG98">
        <v>5.0999999999999997E-2</v>
      </c>
      <c r="CH98">
        <v>-8.0000000000000002E-3</v>
      </c>
      <c r="CI98">
        <v>-0.316</v>
      </c>
      <c r="CJ98">
        <v>0.28199999999999997</v>
      </c>
      <c r="CK98">
        <v>800</v>
      </c>
      <c r="CL98">
        <v>24</v>
      </c>
      <c r="CM98">
        <v>0.25</v>
      </c>
      <c r="CN98">
        <v>0.13</v>
      </c>
      <c r="CO98">
        <v>-181.10102499999999</v>
      </c>
      <c r="CP98">
        <v>-27.897287054408711</v>
      </c>
      <c r="CQ98">
        <v>2.6840179441231382</v>
      </c>
      <c r="CR98">
        <v>-1</v>
      </c>
      <c r="CS98">
        <v>10.349460000000001</v>
      </c>
      <c r="CT98">
        <v>1.7042701688555191</v>
      </c>
      <c r="CU98">
        <v>0.1639931123553669</v>
      </c>
      <c r="CV98">
        <v>-1</v>
      </c>
      <c r="CW98">
        <v>0</v>
      </c>
      <c r="CX98">
        <v>0</v>
      </c>
      <c r="CY98" t="s">
        <v>333</v>
      </c>
      <c r="CZ98">
        <v>2.3645299999999998</v>
      </c>
      <c r="DA98">
        <v>2.7138200000000001</v>
      </c>
      <c r="DB98">
        <v>0.122761</v>
      </c>
      <c r="DC98">
        <v>0.146616</v>
      </c>
      <c r="DD98">
        <v>0.115319</v>
      </c>
      <c r="DE98">
        <v>7.5439199999999998E-2</v>
      </c>
      <c r="DF98">
        <v>32042.5</v>
      </c>
      <c r="DG98">
        <v>27519.5</v>
      </c>
      <c r="DH98">
        <v>31182.400000000001</v>
      </c>
      <c r="DI98">
        <v>28098.7</v>
      </c>
      <c r="DJ98">
        <v>37451.699999999997</v>
      </c>
      <c r="DK98">
        <v>36944.5</v>
      </c>
      <c r="DL98">
        <v>44378.2</v>
      </c>
      <c r="DM98">
        <v>42591.8</v>
      </c>
      <c r="DN98">
        <v>1.4753000000000001</v>
      </c>
      <c r="DO98">
        <v>2.05362</v>
      </c>
      <c r="DP98">
        <v>9.3135999999999997E-2</v>
      </c>
      <c r="DQ98">
        <v>0.193518</v>
      </c>
      <c r="DR98">
        <v>25.459499999999998</v>
      </c>
      <c r="DS98">
        <v>25.2501</v>
      </c>
      <c r="DT98">
        <v>56.9</v>
      </c>
      <c r="DU98">
        <v>28.9</v>
      </c>
      <c r="DV98">
        <v>22.906199999999998</v>
      </c>
      <c r="DW98">
        <v>61.4011</v>
      </c>
      <c r="DX98">
        <v>36.462299999999999</v>
      </c>
      <c r="DY98">
        <v>1</v>
      </c>
      <c r="DZ98">
        <v>-9.7075700000000001E-2</v>
      </c>
      <c r="EA98">
        <v>0.193303</v>
      </c>
      <c r="EB98">
        <v>20.189299999999999</v>
      </c>
      <c r="EC98">
        <v>5.2408000000000001</v>
      </c>
      <c r="ED98">
        <v>12.039899999999999</v>
      </c>
      <c r="EE98">
        <v>5.0168999999999997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1.8646199999999999</v>
      </c>
      <c r="EM98">
        <v>1.8692</v>
      </c>
      <c r="EN98">
        <v>1.8672299999999999</v>
      </c>
      <c r="EO98">
        <v>1.8633900000000001</v>
      </c>
      <c r="EP98">
        <v>1.8644700000000001</v>
      </c>
      <c r="EQ98">
        <v>1.87015</v>
      </c>
      <c r="ER98">
        <v>1.8694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-0.185</v>
      </c>
      <c r="FG98">
        <v>0.28160000000000002</v>
      </c>
      <c r="FH98">
        <v>0.23539598422606861</v>
      </c>
      <c r="FI98">
        <v>-6.1462078757559423E-4</v>
      </c>
      <c r="FJ98">
        <v>-1.8861989874597051E-7</v>
      </c>
      <c r="FK98">
        <v>1.1980462299894961E-10</v>
      </c>
      <c r="FL98">
        <v>0.28151999999999688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22.9</v>
      </c>
      <c r="FU98">
        <v>23.1</v>
      </c>
      <c r="FV98">
        <v>1.78589</v>
      </c>
      <c r="FW98">
        <v>2.5866699999999998</v>
      </c>
      <c r="FX98">
        <v>1.5490699999999999</v>
      </c>
      <c r="FY98">
        <v>2.3290999999999999</v>
      </c>
      <c r="FZ98">
        <v>1.50146</v>
      </c>
      <c r="GA98">
        <v>2.36816</v>
      </c>
      <c r="GB98">
        <v>33.625399999999999</v>
      </c>
      <c r="GC98">
        <v>23.991199999999999</v>
      </c>
      <c r="GD98">
        <v>19</v>
      </c>
      <c r="GE98">
        <v>282.37200000000001</v>
      </c>
      <c r="GF98">
        <v>597.16700000000003</v>
      </c>
      <c r="GG98">
        <v>24.977799999999998</v>
      </c>
      <c r="GH98">
        <v>26.186800000000002</v>
      </c>
      <c r="GI98">
        <v>30.0002</v>
      </c>
      <c r="GJ98">
        <v>26.323</v>
      </c>
      <c r="GK98">
        <v>26.305900000000001</v>
      </c>
      <c r="GL98">
        <v>35.696800000000003</v>
      </c>
      <c r="GM98">
        <v>46.180700000000002</v>
      </c>
      <c r="GN98">
        <v>92.7791</v>
      </c>
      <c r="GO98">
        <v>24.861699999999999</v>
      </c>
      <c r="GP98">
        <v>800</v>
      </c>
      <c r="GQ98">
        <v>13.5786</v>
      </c>
      <c r="GR98">
        <v>99.774000000000001</v>
      </c>
      <c r="GS98">
        <v>99.633399999999995</v>
      </c>
    </row>
    <row r="99" spans="1:201" x14ac:dyDescent="0.25">
      <c r="A99">
        <v>83</v>
      </c>
      <c r="B99">
        <v>1690301859.5999999</v>
      </c>
      <c r="C99">
        <v>955.59999990463257</v>
      </c>
      <c r="D99" t="s">
        <v>497</v>
      </c>
      <c r="E99" t="s">
        <v>498</v>
      </c>
      <c r="F99" t="s">
        <v>330</v>
      </c>
      <c r="H99">
        <v>1690301859.5999999</v>
      </c>
      <c r="I99">
        <f t="shared" si="30"/>
        <v>1.0267630758548139E-3</v>
      </c>
      <c r="J99">
        <f t="shared" si="31"/>
        <v>1.0267630758548139</v>
      </c>
      <c r="K99">
        <f t="shared" si="32"/>
        <v>16.881077034122846</v>
      </c>
      <c r="L99">
        <f t="shared" si="33"/>
        <v>609.24699999999996</v>
      </c>
      <c r="M99">
        <f t="shared" si="34"/>
        <v>191.73388630230068</v>
      </c>
      <c r="N99">
        <f t="shared" si="35"/>
        <v>19.062168442746152</v>
      </c>
      <c r="O99">
        <f t="shared" si="36"/>
        <v>60.571290559077397</v>
      </c>
      <c r="P99">
        <f t="shared" si="37"/>
        <v>6.7268820816485206E-2</v>
      </c>
      <c r="Q99">
        <f t="shared" si="38"/>
        <v>2.1157417391154216</v>
      </c>
      <c r="R99">
        <f t="shared" si="39"/>
        <v>6.6102835243201388E-2</v>
      </c>
      <c r="S99">
        <f t="shared" si="40"/>
        <v>4.1417347781568539E-2</v>
      </c>
      <c r="T99">
        <f t="shared" si="41"/>
        <v>276.11678479961563</v>
      </c>
      <c r="U99">
        <f t="shared" si="42"/>
        <v>28.575471298233335</v>
      </c>
      <c r="V99">
        <f t="shared" si="43"/>
        <v>28.575471298233335</v>
      </c>
      <c r="W99">
        <f t="shared" si="44"/>
        <v>3.9240274661076819</v>
      </c>
      <c r="X99">
        <f t="shared" si="45"/>
        <v>68.91883128900767</v>
      </c>
      <c r="Y99">
        <f t="shared" si="46"/>
        <v>2.4290971820013403</v>
      </c>
      <c r="Z99">
        <f t="shared" si="47"/>
        <v>3.5245768632016445</v>
      </c>
      <c r="AA99">
        <f t="shared" si="48"/>
        <v>1.4949302841063417</v>
      </c>
      <c r="AB99">
        <f t="shared" si="49"/>
        <v>-45.280251645197296</v>
      </c>
      <c r="AC99">
        <f t="shared" si="50"/>
        <v>-209.52064646878648</v>
      </c>
      <c r="AD99">
        <f t="shared" si="51"/>
        <v>-21.512631872504478</v>
      </c>
      <c r="AE99">
        <f t="shared" si="52"/>
        <v>-0.19674518687261866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52494.072353224328</v>
      </c>
      <c r="AK99">
        <f t="shared" si="56"/>
        <v>1800.01</v>
      </c>
      <c r="AL99">
        <f t="shared" si="57"/>
        <v>1499.1201609990699</v>
      </c>
      <c r="AM99">
        <f t="shared" si="58"/>
        <v>0.83283990699999999</v>
      </c>
      <c r="AN99">
        <f t="shared" si="59"/>
        <v>0.15339736156999997</v>
      </c>
      <c r="AO99">
        <v>32.700000000000003</v>
      </c>
      <c r="AP99">
        <v>0.5</v>
      </c>
      <c r="AQ99" t="s">
        <v>331</v>
      </c>
      <c r="AR99">
        <v>2</v>
      </c>
      <c r="AS99">
        <v>1690301859.5999999</v>
      </c>
      <c r="AT99">
        <v>609.24699999999996</v>
      </c>
      <c r="AU99">
        <v>800.04700000000003</v>
      </c>
      <c r="AV99">
        <v>24.432700000000001</v>
      </c>
      <c r="AW99">
        <v>13.515700000000001</v>
      </c>
      <c r="AX99">
        <v>609.42899999999997</v>
      </c>
      <c r="AY99">
        <v>24.151199999999999</v>
      </c>
      <c r="AZ99">
        <v>300.03500000000003</v>
      </c>
      <c r="BA99">
        <v>99.32</v>
      </c>
      <c r="BB99">
        <v>9.9924200000000005E-2</v>
      </c>
      <c r="BC99">
        <v>26.738600000000002</v>
      </c>
      <c r="BD99">
        <v>26.982500000000002</v>
      </c>
      <c r="BE99">
        <v>28.408200000000001</v>
      </c>
      <c r="BF99">
        <v>0</v>
      </c>
      <c r="BG99">
        <v>0</v>
      </c>
      <c r="BH99">
        <v>9986.25</v>
      </c>
      <c r="BI99">
        <v>1077.07</v>
      </c>
      <c r="BJ99">
        <v>1.96231</v>
      </c>
      <c r="BK99">
        <v>-190.80099999999999</v>
      </c>
      <c r="BL99">
        <v>624.505</v>
      </c>
      <c r="BM99">
        <v>811.00900000000001</v>
      </c>
      <c r="BN99">
        <v>10.9171</v>
      </c>
      <c r="BO99">
        <v>800.04700000000003</v>
      </c>
      <c r="BP99">
        <v>13.515700000000001</v>
      </c>
      <c r="BQ99">
        <v>2.42666</v>
      </c>
      <c r="BR99">
        <v>1.3423700000000001</v>
      </c>
      <c r="BS99">
        <v>20.5428</v>
      </c>
      <c r="BT99">
        <v>11.2819</v>
      </c>
      <c r="BU99">
        <v>1800.01</v>
      </c>
      <c r="BV99">
        <v>0.91000099999999995</v>
      </c>
      <c r="BW99">
        <v>3.4004800000000002E-2</v>
      </c>
      <c r="BX99">
        <v>2.19986E-2</v>
      </c>
      <c r="BY99">
        <v>3.3995900000000003E-2</v>
      </c>
      <c r="BZ99">
        <v>25</v>
      </c>
      <c r="CA99">
        <v>33528.5</v>
      </c>
      <c r="CB99">
        <v>1690300477.5</v>
      </c>
      <c r="CC99" t="s">
        <v>332</v>
      </c>
      <c r="CD99">
        <v>1690300477.5</v>
      </c>
      <c r="CE99">
        <v>1690300465.5</v>
      </c>
      <c r="CF99">
        <v>7</v>
      </c>
      <c r="CG99">
        <v>5.0999999999999997E-2</v>
      </c>
      <c r="CH99">
        <v>-8.0000000000000002E-3</v>
      </c>
      <c r="CI99">
        <v>-0.316</v>
      </c>
      <c r="CJ99">
        <v>0.28199999999999997</v>
      </c>
      <c r="CK99">
        <v>800</v>
      </c>
      <c r="CL99">
        <v>24</v>
      </c>
      <c r="CM99">
        <v>0.25</v>
      </c>
      <c r="CN99">
        <v>0.13</v>
      </c>
      <c r="CO99">
        <v>-185.80448780487799</v>
      </c>
      <c r="CP99">
        <v>-27.424766550523021</v>
      </c>
      <c r="CQ99">
        <v>2.7046125742295448</v>
      </c>
      <c r="CR99">
        <v>-1</v>
      </c>
      <c r="CS99">
        <v>10.6349512195122</v>
      </c>
      <c r="CT99">
        <v>1.630852264808377</v>
      </c>
      <c r="CU99">
        <v>0.16099306472254221</v>
      </c>
      <c r="CV99">
        <v>-1</v>
      </c>
      <c r="CW99">
        <v>0</v>
      </c>
      <c r="CX99">
        <v>0</v>
      </c>
      <c r="CY99" t="s">
        <v>333</v>
      </c>
      <c r="CZ99">
        <v>2.3641000000000001</v>
      </c>
      <c r="DA99">
        <v>2.7136999999999998</v>
      </c>
      <c r="DB99">
        <v>0.122116</v>
      </c>
      <c r="DC99">
        <v>0.14660500000000001</v>
      </c>
      <c r="DD99">
        <v>0.11532000000000001</v>
      </c>
      <c r="DE99">
        <v>7.4454199999999998E-2</v>
      </c>
      <c r="DF99">
        <v>32066.3</v>
      </c>
      <c r="DG99">
        <v>27520.2</v>
      </c>
      <c r="DH99">
        <v>31182.7</v>
      </c>
      <c r="DI99">
        <v>28099.1</v>
      </c>
      <c r="DJ99">
        <v>37452</v>
      </c>
      <c r="DK99">
        <v>36984.5</v>
      </c>
      <c r="DL99">
        <v>44378.7</v>
      </c>
      <c r="DM99">
        <v>42592.4</v>
      </c>
      <c r="DN99">
        <v>1.47522</v>
      </c>
      <c r="DO99">
        <v>2.05335</v>
      </c>
      <c r="DP99">
        <v>9.3009300000000003E-2</v>
      </c>
      <c r="DQ99">
        <v>0.19305600000000001</v>
      </c>
      <c r="DR99">
        <v>25.459499999999998</v>
      </c>
      <c r="DS99">
        <v>25.2501</v>
      </c>
      <c r="DT99">
        <v>56.9</v>
      </c>
      <c r="DU99">
        <v>28.9</v>
      </c>
      <c r="DV99">
        <v>22.907900000000001</v>
      </c>
      <c r="DW99">
        <v>61.7211</v>
      </c>
      <c r="DX99">
        <v>36.658700000000003</v>
      </c>
      <c r="DY99">
        <v>1</v>
      </c>
      <c r="DZ99">
        <v>-9.7713400000000006E-2</v>
      </c>
      <c r="EA99">
        <v>-9.03867E-2</v>
      </c>
      <c r="EB99">
        <v>20.190000000000001</v>
      </c>
      <c r="EC99">
        <v>5.2409499999999998</v>
      </c>
      <c r="ED99">
        <v>12.039899999999999</v>
      </c>
      <c r="EE99">
        <v>5.0167999999999999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</v>
      </c>
      <c r="EL99">
        <v>1.8646199999999999</v>
      </c>
      <c r="EM99">
        <v>1.8692</v>
      </c>
      <c r="EN99">
        <v>1.8672299999999999</v>
      </c>
      <c r="EO99">
        <v>1.86338</v>
      </c>
      <c r="EP99">
        <v>1.8644700000000001</v>
      </c>
      <c r="EQ99">
        <v>1.8701700000000001</v>
      </c>
      <c r="ER99">
        <v>1.8693900000000001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-0.182</v>
      </c>
      <c r="FG99">
        <v>0.28149999999999997</v>
      </c>
      <c r="FH99">
        <v>0.23539598422606861</v>
      </c>
      <c r="FI99">
        <v>-6.1462078757559423E-4</v>
      </c>
      <c r="FJ99">
        <v>-1.8861989874597051E-7</v>
      </c>
      <c r="FK99">
        <v>1.1980462299894961E-10</v>
      </c>
      <c r="FL99">
        <v>0.28151999999999688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23</v>
      </c>
      <c r="FU99">
        <v>23.2</v>
      </c>
      <c r="FV99">
        <v>1.78467</v>
      </c>
      <c r="FW99">
        <v>2.5891099999999998</v>
      </c>
      <c r="FX99">
        <v>1.5490699999999999</v>
      </c>
      <c r="FY99">
        <v>2.3290999999999999</v>
      </c>
      <c r="FZ99">
        <v>1.50146</v>
      </c>
      <c r="GA99">
        <v>2.3034699999999999</v>
      </c>
      <c r="GB99">
        <v>33.625399999999999</v>
      </c>
      <c r="GC99">
        <v>23.982399999999998</v>
      </c>
      <c r="GD99">
        <v>19</v>
      </c>
      <c r="GE99">
        <v>282.32499999999999</v>
      </c>
      <c r="GF99">
        <v>596.89099999999996</v>
      </c>
      <c r="GG99">
        <v>24.878399999999999</v>
      </c>
      <c r="GH99">
        <v>26.182500000000001</v>
      </c>
      <c r="GI99">
        <v>29.999700000000001</v>
      </c>
      <c r="GJ99">
        <v>26.319500000000001</v>
      </c>
      <c r="GK99">
        <v>26.302</v>
      </c>
      <c r="GL99">
        <v>35.692300000000003</v>
      </c>
      <c r="GM99">
        <v>47.082700000000003</v>
      </c>
      <c r="GN99">
        <v>91.995000000000005</v>
      </c>
      <c r="GO99">
        <v>24.9072</v>
      </c>
      <c r="GP99">
        <v>800</v>
      </c>
      <c r="GQ99">
        <v>13.3322</v>
      </c>
      <c r="GR99">
        <v>99.775000000000006</v>
      </c>
      <c r="GS99">
        <v>99.634900000000002</v>
      </c>
    </row>
    <row r="100" spans="1:201" x14ac:dyDescent="0.25">
      <c r="A100">
        <v>84</v>
      </c>
      <c r="B100">
        <v>1690301869.5999999</v>
      </c>
      <c r="C100">
        <v>965.59999990463257</v>
      </c>
      <c r="D100" t="s">
        <v>499</v>
      </c>
      <c r="E100" t="s">
        <v>500</v>
      </c>
      <c r="F100" t="s">
        <v>330</v>
      </c>
      <c r="H100">
        <v>1690301869.5999999</v>
      </c>
      <c r="I100">
        <f t="shared" si="30"/>
        <v>1.0534611928286971E-3</v>
      </c>
      <c r="J100">
        <f t="shared" si="31"/>
        <v>1.0534611928286972</v>
      </c>
      <c r="K100">
        <f t="shared" si="32"/>
        <v>17.288089738298869</v>
      </c>
      <c r="L100">
        <f t="shared" si="33"/>
        <v>604.74199999999996</v>
      </c>
      <c r="M100">
        <f t="shared" si="34"/>
        <v>189.10098025156955</v>
      </c>
      <c r="N100">
        <f t="shared" si="35"/>
        <v>18.800452738383569</v>
      </c>
      <c r="O100">
        <f t="shared" si="36"/>
        <v>60.123556074591995</v>
      </c>
      <c r="P100">
        <f t="shared" si="37"/>
        <v>6.9218329370268561E-2</v>
      </c>
      <c r="Q100">
        <f t="shared" si="38"/>
        <v>2.1173933402698388</v>
      </c>
      <c r="R100">
        <f t="shared" si="39"/>
        <v>6.7985394071159375E-2</v>
      </c>
      <c r="S100">
        <f t="shared" si="40"/>
        <v>4.2599816388341413E-2</v>
      </c>
      <c r="T100">
        <f t="shared" si="41"/>
        <v>276.11359934903709</v>
      </c>
      <c r="U100">
        <f t="shared" si="42"/>
        <v>28.564683190202143</v>
      </c>
      <c r="V100">
        <f t="shared" si="43"/>
        <v>28.564683190202143</v>
      </c>
      <c r="W100">
        <f t="shared" si="44"/>
        <v>3.9215708046976623</v>
      </c>
      <c r="X100">
        <f t="shared" si="45"/>
        <v>68.951286288443697</v>
      </c>
      <c r="Y100">
        <f t="shared" si="46"/>
        <v>2.430226782144</v>
      </c>
      <c r="Z100">
        <f t="shared" si="47"/>
        <v>3.5245561220970409</v>
      </c>
      <c r="AA100">
        <f t="shared" si="48"/>
        <v>1.4913440225536623</v>
      </c>
      <c r="AB100">
        <f t="shared" si="49"/>
        <v>-46.457638603745544</v>
      </c>
      <c r="AC100">
        <f t="shared" si="50"/>
        <v>-208.46412491752031</v>
      </c>
      <c r="AD100">
        <f t="shared" si="51"/>
        <v>-21.386293346206433</v>
      </c>
      <c r="AE100">
        <f t="shared" si="52"/>
        <v>-0.19445751843520043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52566.502226724187</v>
      </c>
      <c r="AK100">
        <f t="shared" si="56"/>
        <v>1799.99</v>
      </c>
      <c r="AL100">
        <f t="shared" si="57"/>
        <v>1499.1016898110099</v>
      </c>
      <c r="AM100">
        <f t="shared" si="58"/>
        <v>0.83283889899999997</v>
      </c>
      <c r="AN100">
        <f t="shared" si="59"/>
        <v>0.15339729628999998</v>
      </c>
      <c r="AO100">
        <v>32.700000000000003</v>
      </c>
      <c r="AP100">
        <v>0.5</v>
      </c>
      <c r="AQ100" t="s">
        <v>331</v>
      </c>
      <c r="AR100">
        <v>2</v>
      </c>
      <c r="AS100">
        <v>1690301869.5999999</v>
      </c>
      <c r="AT100">
        <v>604.74199999999996</v>
      </c>
      <c r="AU100">
        <v>800.05399999999997</v>
      </c>
      <c r="AV100">
        <v>24.443999999999999</v>
      </c>
      <c r="AW100">
        <v>13.2461</v>
      </c>
      <c r="AX100">
        <v>604.92100000000005</v>
      </c>
      <c r="AY100">
        <v>24.162500000000001</v>
      </c>
      <c r="AZ100">
        <v>300.11099999999999</v>
      </c>
      <c r="BA100">
        <v>99.320099999999996</v>
      </c>
      <c r="BB100">
        <v>0.100076</v>
      </c>
      <c r="BC100">
        <v>26.738499999999998</v>
      </c>
      <c r="BD100">
        <v>26.956299999999999</v>
      </c>
      <c r="BE100">
        <v>28.394500000000001</v>
      </c>
      <c r="BF100">
        <v>0</v>
      </c>
      <c r="BG100">
        <v>0</v>
      </c>
      <c r="BH100">
        <v>10000.6</v>
      </c>
      <c r="BI100">
        <v>1077.17</v>
      </c>
      <c r="BJ100">
        <v>1.96231</v>
      </c>
      <c r="BK100">
        <v>-195.31200000000001</v>
      </c>
      <c r="BL100">
        <v>619.89499999999998</v>
      </c>
      <c r="BM100">
        <v>810.79399999999998</v>
      </c>
      <c r="BN100">
        <v>11.198</v>
      </c>
      <c r="BO100">
        <v>800.05399999999997</v>
      </c>
      <c r="BP100">
        <v>13.2461</v>
      </c>
      <c r="BQ100">
        <v>2.4277799999999998</v>
      </c>
      <c r="BR100">
        <v>1.3156000000000001</v>
      </c>
      <c r="BS100">
        <v>20.5503</v>
      </c>
      <c r="BT100">
        <v>10.978300000000001</v>
      </c>
      <c r="BU100">
        <v>1799.99</v>
      </c>
      <c r="BV100">
        <v>0.90999699999999994</v>
      </c>
      <c r="BW100">
        <v>3.4009299999999999E-2</v>
      </c>
      <c r="BX100">
        <v>2.1998199999999999E-2</v>
      </c>
      <c r="BY100">
        <v>3.3995299999999999E-2</v>
      </c>
      <c r="BZ100">
        <v>25</v>
      </c>
      <c r="CA100">
        <v>33528.199999999997</v>
      </c>
      <c r="CB100">
        <v>1690300477.5</v>
      </c>
      <c r="CC100" t="s">
        <v>332</v>
      </c>
      <c r="CD100">
        <v>1690300477.5</v>
      </c>
      <c r="CE100">
        <v>1690300465.5</v>
      </c>
      <c r="CF100">
        <v>7</v>
      </c>
      <c r="CG100">
        <v>5.0999999999999997E-2</v>
      </c>
      <c r="CH100">
        <v>-8.0000000000000002E-3</v>
      </c>
      <c r="CI100">
        <v>-0.316</v>
      </c>
      <c r="CJ100">
        <v>0.28199999999999997</v>
      </c>
      <c r="CK100">
        <v>800</v>
      </c>
      <c r="CL100">
        <v>24</v>
      </c>
      <c r="CM100">
        <v>0.25</v>
      </c>
      <c r="CN100">
        <v>0.13</v>
      </c>
      <c r="CO100">
        <v>-190.24397500000001</v>
      </c>
      <c r="CP100">
        <v>-27.357399624765279</v>
      </c>
      <c r="CQ100">
        <v>2.632000090116831</v>
      </c>
      <c r="CR100">
        <v>-1</v>
      </c>
      <c r="CS100">
        <v>10.89616</v>
      </c>
      <c r="CT100">
        <v>1.575924202626646</v>
      </c>
      <c r="CU100">
        <v>0.15178412927575799</v>
      </c>
      <c r="CV100">
        <v>-1</v>
      </c>
      <c r="CW100">
        <v>0</v>
      </c>
      <c r="CX100">
        <v>0</v>
      </c>
      <c r="CY100" t="s">
        <v>333</v>
      </c>
      <c r="CZ100">
        <v>2.3643700000000001</v>
      </c>
      <c r="DA100">
        <v>2.71387</v>
      </c>
      <c r="DB100">
        <v>0.12148200000000001</v>
      </c>
      <c r="DC100">
        <v>0.14660100000000001</v>
      </c>
      <c r="DD100">
        <v>0.115359</v>
      </c>
      <c r="DE100">
        <v>7.3348399999999994E-2</v>
      </c>
      <c r="DF100">
        <v>32089.4</v>
      </c>
      <c r="DG100">
        <v>27520.400000000001</v>
      </c>
      <c r="DH100">
        <v>31182.6</v>
      </c>
      <c r="DI100">
        <v>28099.200000000001</v>
      </c>
      <c r="DJ100">
        <v>37450.199999999997</v>
      </c>
      <c r="DK100">
        <v>37028.9</v>
      </c>
      <c r="DL100">
        <v>44378.6</v>
      </c>
      <c r="DM100">
        <v>42592.5</v>
      </c>
      <c r="DN100">
        <v>1.4755499999999999</v>
      </c>
      <c r="DO100">
        <v>2.0531000000000001</v>
      </c>
      <c r="DP100">
        <v>9.14074E-2</v>
      </c>
      <c r="DQ100">
        <v>0.192214</v>
      </c>
      <c r="DR100">
        <v>25.459499999999998</v>
      </c>
      <c r="DS100">
        <v>25.2501</v>
      </c>
      <c r="DT100">
        <v>56.8</v>
      </c>
      <c r="DU100">
        <v>28.9</v>
      </c>
      <c r="DV100">
        <v>22.866900000000001</v>
      </c>
      <c r="DW100">
        <v>61.831099999999999</v>
      </c>
      <c r="DX100">
        <v>36.181899999999999</v>
      </c>
      <c r="DY100">
        <v>1</v>
      </c>
      <c r="DZ100">
        <v>-9.7538100000000003E-2</v>
      </c>
      <c r="EA100">
        <v>-0.186836</v>
      </c>
      <c r="EB100">
        <v>20.190000000000001</v>
      </c>
      <c r="EC100">
        <v>5.2408000000000001</v>
      </c>
      <c r="ED100">
        <v>12.039899999999999</v>
      </c>
      <c r="EE100">
        <v>5.01715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1.8646199999999999</v>
      </c>
      <c r="EM100">
        <v>1.8692</v>
      </c>
      <c r="EN100">
        <v>1.8672500000000001</v>
      </c>
      <c r="EO100">
        <v>1.8633999999999999</v>
      </c>
      <c r="EP100">
        <v>1.8644700000000001</v>
      </c>
      <c r="EQ100">
        <v>1.87016</v>
      </c>
      <c r="ER100">
        <v>1.86941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-0.17899999999999999</v>
      </c>
      <c r="FG100">
        <v>0.28149999999999997</v>
      </c>
      <c r="FH100">
        <v>0.23539598422606861</v>
      </c>
      <c r="FI100">
        <v>-6.1462078757559423E-4</v>
      </c>
      <c r="FJ100">
        <v>-1.8861989874597051E-7</v>
      </c>
      <c r="FK100">
        <v>1.1980462299894961E-10</v>
      </c>
      <c r="FL100">
        <v>0.28151999999999688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23.2</v>
      </c>
      <c r="FU100">
        <v>23.4</v>
      </c>
      <c r="FV100">
        <v>1.78467</v>
      </c>
      <c r="FW100">
        <v>2.5939899999999998</v>
      </c>
      <c r="FX100">
        <v>1.5490699999999999</v>
      </c>
      <c r="FY100">
        <v>2.3290999999999999</v>
      </c>
      <c r="FZ100">
        <v>1.50146</v>
      </c>
      <c r="GA100">
        <v>2.2961399999999998</v>
      </c>
      <c r="GB100">
        <v>33.625399999999999</v>
      </c>
      <c r="GC100">
        <v>23.973700000000001</v>
      </c>
      <c r="GD100">
        <v>19</v>
      </c>
      <c r="GE100">
        <v>282.447</v>
      </c>
      <c r="GF100">
        <v>596.65</v>
      </c>
      <c r="GG100">
        <v>24.9222</v>
      </c>
      <c r="GH100">
        <v>26.1798</v>
      </c>
      <c r="GI100">
        <v>29.9999</v>
      </c>
      <c r="GJ100">
        <v>26.315899999999999</v>
      </c>
      <c r="GK100">
        <v>26.299399999999999</v>
      </c>
      <c r="GL100">
        <v>35.681699999999999</v>
      </c>
      <c r="GM100">
        <v>47.640700000000002</v>
      </c>
      <c r="GN100">
        <v>91.605400000000003</v>
      </c>
      <c r="GO100">
        <v>24.938500000000001</v>
      </c>
      <c r="GP100">
        <v>800</v>
      </c>
      <c r="GQ100">
        <v>13.0748</v>
      </c>
      <c r="GR100">
        <v>99.774699999999996</v>
      </c>
      <c r="GS100">
        <v>99.635199999999998</v>
      </c>
    </row>
    <row r="101" spans="1:201" x14ac:dyDescent="0.25">
      <c r="A101">
        <v>85</v>
      </c>
      <c r="B101">
        <v>1690301879.5999999</v>
      </c>
      <c r="C101">
        <v>975.59999990463257</v>
      </c>
      <c r="D101" t="s">
        <v>501</v>
      </c>
      <c r="E101" t="s">
        <v>502</v>
      </c>
      <c r="F101" t="s">
        <v>330</v>
      </c>
      <c r="H101">
        <v>1690301879.5999999</v>
      </c>
      <c r="I101">
        <f t="shared" si="30"/>
        <v>1.0819363059173055E-3</v>
      </c>
      <c r="J101">
        <f t="shared" si="31"/>
        <v>1.0819363059173055</v>
      </c>
      <c r="K101">
        <f t="shared" si="32"/>
        <v>17.704570661258074</v>
      </c>
      <c r="L101">
        <f t="shared" si="33"/>
        <v>600.24199999999996</v>
      </c>
      <c r="M101">
        <f t="shared" si="34"/>
        <v>186.85925728576575</v>
      </c>
      <c r="N101">
        <f t="shared" si="35"/>
        <v>18.577833067155222</v>
      </c>
      <c r="O101">
        <f t="shared" si="36"/>
        <v>59.676977410017997</v>
      </c>
      <c r="P101">
        <f t="shared" si="37"/>
        <v>7.1297100652860171E-2</v>
      </c>
      <c r="Q101">
        <f t="shared" si="38"/>
        <v>2.1158316019708341</v>
      </c>
      <c r="R101">
        <f t="shared" si="39"/>
        <v>6.9988806032850223E-2</v>
      </c>
      <c r="S101">
        <f t="shared" si="40"/>
        <v>4.3858549235899436E-2</v>
      </c>
      <c r="T101">
        <f t="shared" si="41"/>
        <v>276.11369627849854</v>
      </c>
      <c r="U101">
        <f t="shared" si="42"/>
        <v>28.559109853347991</v>
      </c>
      <c r="V101">
        <f t="shared" si="43"/>
        <v>28.559109853347991</v>
      </c>
      <c r="W101">
        <f t="shared" si="44"/>
        <v>3.9203021734055143</v>
      </c>
      <c r="X101">
        <f t="shared" si="45"/>
        <v>69.002134070145047</v>
      </c>
      <c r="Y101">
        <f t="shared" si="46"/>
        <v>2.4324769549727003</v>
      </c>
      <c r="Z101">
        <f t="shared" si="47"/>
        <v>3.5252198903006868</v>
      </c>
      <c r="AA101">
        <f t="shared" si="48"/>
        <v>1.487825218432814</v>
      </c>
      <c r="AB101">
        <f t="shared" si="49"/>
        <v>-47.713391090953174</v>
      </c>
      <c r="AC101">
        <f t="shared" si="50"/>
        <v>-207.30960355640283</v>
      </c>
      <c r="AD101">
        <f t="shared" si="51"/>
        <v>-21.283295564336129</v>
      </c>
      <c r="AE101">
        <f t="shared" si="52"/>
        <v>-0.19259393319359219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52497.499646945973</v>
      </c>
      <c r="AK101">
        <f t="shared" si="56"/>
        <v>1799.99</v>
      </c>
      <c r="AL101">
        <f t="shared" si="57"/>
        <v>1499.1030938032097</v>
      </c>
      <c r="AM101">
        <f t="shared" si="58"/>
        <v>0.83283967899999989</v>
      </c>
      <c r="AN101">
        <f t="shared" si="59"/>
        <v>0.15339735013999997</v>
      </c>
      <c r="AO101">
        <v>32.700000000000003</v>
      </c>
      <c r="AP101">
        <v>0.5</v>
      </c>
      <c r="AQ101" t="s">
        <v>331</v>
      </c>
      <c r="AR101">
        <v>2</v>
      </c>
      <c r="AS101">
        <v>1690301879.5999999</v>
      </c>
      <c r="AT101">
        <v>600.24199999999996</v>
      </c>
      <c r="AU101">
        <v>800.10799999999995</v>
      </c>
      <c r="AV101">
        <v>24.4663</v>
      </c>
      <c r="AW101">
        <v>12.972799999999999</v>
      </c>
      <c r="AX101">
        <v>600.41700000000003</v>
      </c>
      <c r="AY101">
        <v>24.184799999999999</v>
      </c>
      <c r="AZ101">
        <v>300.28899999999999</v>
      </c>
      <c r="BA101">
        <v>99.3215</v>
      </c>
      <c r="BB101">
        <v>0.10002900000000001</v>
      </c>
      <c r="BC101">
        <v>26.741700000000002</v>
      </c>
      <c r="BD101">
        <v>26.973099999999999</v>
      </c>
      <c r="BE101">
        <v>28.397300000000001</v>
      </c>
      <c r="BF101">
        <v>0</v>
      </c>
      <c r="BG101">
        <v>0</v>
      </c>
      <c r="BH101">
        <v>9986.8799999999992</v>
      </c>
      <c r="BI101">
        <v>1077.24</v>
      </c>
      <c r="BJ101">
        <v>1.96231</v>
      </c>
      <c r="BK101">
        <v>-199.86699999999999</v>
      </c>
      <c r="BL101">
        <v>615.29600000000005</v>
      </c>
      <c r="BM101">
        <v>810.62400000000002</v>
      </c>
      <c r="BN101">
        <v>11.493499999999999</v>
      </c>
      <c r="BO101">
        <v>800.10799999999995</v>
      </c>
      <c r="BP101">
        <v>12.972799999999999</v>
      </c>
      <c r="BQ101">
        <v>2.4300299999999999</v>
      </c>
      <c r="BR101">
        <v>1.2884800000000001</v>
      </c>
      <c r="BS101">
        <v>20.565300000000001</v>
      </c>
      <c r="BT101">
        <v>10.665100000000001</v>
      </c>
      <c r="BU101">
        <v>1799.99</v>
      </c>
      <c r="BV101">
        <v>0.91</v>
      </c>
      <c r="BW101">
        <v>3.4008400000000001E-2</v>
      </c>
      <c r="BX101">
        <v>2.1997699999999999E-2</v>
      </c>
      <c r="BY101">
        <v>3.3994400000000001E-2</v>
      </c>
      <c r="BZ101">
        <v>25</v>
      </c>
      <c r="CA101">
        <v>33528.199999999997</v>
      </c>
      <c r="CB101">
        <v>1690300477.5</v>
      </c>
      <c r="CC101" t="s">
        <v>332</v>
      </c>
      <c r="CD101">
        <v>1690300477.5</v>
      </c>
      <c r="CE101">
        <v>1690300465.5</v>
      </c>
      <c r="CF101">
        <v>7</v>
      </c>
      <c r="CG101">
        <v>5.0999999999999997E-2</v>
      </c>
      <c r="CH101">
        <v>-8.0000000000000002E-3</v>
      </c>
      <c r="CI101">
        <v>-0.316</v>
      </c>
      <c r="CJ101">
        <v>0.28199999999999997</v>
      </c>
      <c r="CK101">
        <v>800</v>
      </c>
      <c r="CL101">
        <v>24</v>
      </c>
      <c r="CM101">
        <v>0.25</v>
      </c>
      <c r="CN101">
        <v>0.13</v>
      </c>
      <c r="CO101">
        <v>-194.79995</v>
      </c>
      <c r="CP101">
        <v>-27.372450281425259</v>
      </c>
      <c r="CQ101">
        <v>2.6334369363058578</v>
      </c>
      <c r="CR101">
        <v>-1</v>
      </c>
      <c r="CS101">
        <v>11.165274999999999</v>
      </c>
      <c r="CT101">
        <v>1.6666514071294509</v>
      </c>
      <c r="CU101">
        <v>0.1604360476171113</v>
      </c>
      <c r="CV101">
        <v>-1</v>
      </c>
      <c r="CW101">
        <v>0</v>
      </c>
      <c r="CX101">
        <v>0</v>
      </c>
      <c r="CY101" t="s">
        <v>333</v>
      </c>
      <c r="CZ101">
        <v>2.3649900000000001</v>
      </c>
      <c r="DA101">
        <v>2.7138100000000001</v>
      </c>
      <c r="DB101">
        <v>0.120848</v>
      </c>
      <c r="DC101">
        <v>0.14660599999999999</v>
      </c>
      <c r="DD101">
        <v>0.115436</v>
      </c>
      <c r="DE101">
        <v>7.2220199999999998E-2</v>
      </c>
      <c r="DF101">
        <v>32113.200000000001</v>
      </c>
      <c r="DG101">
        <v>27520.799999999999</v>
      </c>
      <c r="DH101">
        <v>31183.200000000001</v>
      </c>
      <c r="DI101">
        <v>28099.8</v>
      </c>
      <c r="DJ101">
        <v>37447.599999999999</v>
      </c>
      <c r="DK101">
        <v>37074.800000000003</v>
      </c>
      <c r="DL101">
        <v>44379.5</v>
      </c>
      <c r="DM101">
        <v>42593.4</v>
      </c>
      <c r="DN101">
        <v>1.4760500000000001</v>
      </c>
      <c r="DO101">
        <v>2.0527000000000002</v>
      </c>
      <c r="DP101">
        <v>9.2435600000000007E-2</v>
      </c>
      <c r="DQ101">
        <v>0.192273</v>
      </c>
      <c r="DR101">
        <v>25.459499999999998</v>
      </c>
      <c r="DS101">
        <v>25.251899999999999</v>
      </c>
      <c r="DT101">
        <v>56.8</v>
      </c>
      <c r="DU101">
        <v>28.9</v>
      </c>
      <c r="DV101">
        <v>22.8658</v>
      </c>
      <c r="DW101">
        <v>61.731099999999998</v>
      </c>
      <c r="DX101">
        <v>35.625</v>
      </c>
      <c r="DY101">
        <v>1</v>
      </c>
      <c r="DZ101">
        <v>-9.8122500000000001E-2</v>
      </c>
      <c r="EA101">
        <v>-0.24182500000000001</v>
      </c>
      <c r="EB101">
        <v>20.189699999999998</v>
      </c>
      <c r="EC101">
        <v>5.2406499999999996</v>
      </c>
      <c r="ED101">
        <v>12.039899999999999</v>
      </c>
      <c r="EE101">
        <v>5.0157999999999996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1.8689100000000001</v>
      </c>
      <c r="EL101">
        <v>1.8646199999999999</v>
      </c>
      <c r="EM101">
        <v>1.8692</v>
      </c>
      <c r="EN101">
        <v>1.8672299999999999</v>
      </c>
      <c r="EO101">
        <v>1.86338</v>
      </c>
      <c r="EP101">
        <v>1.8644700000000001</v>
      </c>
      <c r="EQ101">
        <v>1.8701700000000001</v>
      </c>
      <c r="ER101">
        <v>1.8694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-0.17499999999999999</v>
      </c>
      <c r="FG101">
        <v>0.28149999999999997</v>
      </c>
      <c r="FH101">
        <v>0.23539598422606861</v>
      </c>
      <c r="FI101">
        <v>-6.1462078757559423E-4</v>
      </c>
      <c r="FJ101">
        <v>-1.8861989874597051E-7</v>
      </c>
      <c r="FK101">
        <v>1.1980462299894961E-10</v>
      </c>
      <c r="FL101">
        <v>0.28151999999999688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23.4</v>
      </c>
      <c r="FU101">
        <v>23.6</v>
      </c>
      <c r="FV101">
        <v>1.78467</v>
      </c>
      <c r="FW101">
        <v>2.5891099999999998</v>
      </c>
      <c r="FX101">
        <v>1.5490699999999999</v>
      </c>
      <c r="FY101">
        <v>2.3290999999999999</v>
      </c>
      <c r="FZ101">
        <v>1.50146</v>
      </c>
      <c r="GA101">
        <v>2.3742700000000001</v>
      </c>
      <c r="GB101">
        <v>33.625399999999999</v>
      </c>
      <c r="GC101">
        <v>23.982399999999998</v>
      </c>
      <c r="GD101">
        <v>19</v>
      </c>
      <c r="GE101">
        <v>282.64600000000002</v>
      </c>
      <c r="GF101">
        <v>596.27499999999998</v>
      </c>
      <c r="GG101">
        <v>24.976299999999998</v>
      </c>
      <c r="GH101">
        <v>26.175799999999999</v>
      </c>
      <c r="GI101">
        <v>29.9999</v>
      </c>
      <c r="GJ101">
        <v>26.312799999999999</v>
      </c>
      <c r="GK101">
        <v>26.295999999999999</v>
      </c>
      <c r="GL101">
        <v>35.676400000000001</v>
      </c>
      <c r="GM101">
        <v>48.547499999999999</v>
      </c>
      <c r="GN101">
        <v>90.840900000000005</v>
      </c>
      <c r="GO101">
        <v>24.988</v>
      </c>
      <c r="GP101">
        <v>800</v>
      </c>
      <c r="GQ101">
        <v>12.81</v>
      </c>
      <c r="GR101">
        <v>99.776700000000005</v>
      </c>
      <c r="GS101">
        <v>99.637100000000004</v>
      </c>
    </row>
    <row r="102" spans="1:201" x14ac:dyDescent="0.25">
      <c r="A102">
        <v>86</v>
      </c>
      <c r="B102">
        <v>1690301889.5999999</v>
      </c>
      <c r="C102">
        <v>985.59999990463257</v>
      </c>
      <c r="D102" t="s">
        <v>503</v>
      </c>
      <c r="E102" t="s">
        <v>504</v>
      </c>
      <c r="F102" t="s">
        <v>330</v>
      </c>
      <c r="H102">
        <v>1690301889.5999999</v>
      </c>
      <c r="I102">
        <f t="shared" si="30"/>
        <v>1.1069015480922972E-3</v>
      </c>
      <c r="J102">
        <f t="shared" si="31"/>
        <v>1.1069015480922972</v>
      </c>
      <c r="K102">
        <f t="shared" si="32"/>
        <v>18.103645818551726</v>
      </c>
      <c r="L102">
        <f t="shared" si="33"/>
        <v>595.80499999999995</v>
      </c>
      <c r="M102">
        <f t="shared" si="34"/>
        <v>183.26708844410516</v>
      </c>
      <c r="N102">
        <f t="shared" si="35"/>
        <v>18.2208896211677</v>
      </c>
      <c r="O102">
        <f t="shared" si="36"/>
        <v>59.236479571457991</v>
      </c>
      <c r="P102">
        <f t="shared" si="37"/>
        <v>7.3066315231509721E-2</v>
      </c>
      <c r="Q102">
        <f t="shared" si="38"/>
        <v>2.1141883089252547</v>
      </c>
      <c r="R102">
        <f t="shared" si="39"/>
        <v>7.1691913405260058E-2</v>
      </c>
      <c r="S102">
        <f t="shared" si="40"/>
        <v>4.4928777088715108E-2</v>
      </c>
      <c r="T102">
        <f t="shared" si="41"/>
        <v>276.11338117224915</v>
      </c>
      <c r="U102">
        <f t="shared" si="42"/>
        <v>28.557512836057818</v>
      </c>
      <c r="V102">
        <f t="shared" si="43"/>
        <v>28.557512836057818</v>
      </c>
      <c r="W102">
        <f t="shared" si="44"/>
        <v>3.9199387181901169</v>
      </c>
      <c r="X102">
        <f t="shared" si="45"/>
        <v>69.019520422527989</v>
      </c>
      <c r="Y102">
        <f t="shared" si="46"/>
        <v>2.4339347361049199</v>
      </c>
      <c r="Z102">
        <f t="shared" si="47"/>
        <v>3.5264439990378187</v>
      </c>
      <c r="AA102">
        <f t="shared" si="48"/>
        <v>1.4860039820851969</v>
      </c>
      <c r="AB102">
        <f t="shared" si="49"/>
        <v>-48.814358270870308</v>
      </c>
      <c r="AC102">
        <f t="shared" si="50"/>
        <v>-206.2940824439097</v>
      </c>
      <c r="AD102">
        <f t="shared" si="51"/>
        <v>-21.195953047851358</v>
      </c>
      <c r="AE102">
        <f t="shared" si="52"/>
        <v>-0.19101259038222906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52424.508244033517</v>
      </c>
      <c r="AK102">
        <f t="shared" si="56"/>
        <v>1799.99</v>
      </c>
      <c r="AL102">
        <f t="shared" si="57"/>
        <v>1499.10339800152</v>
      </c>
      <c r="AM102">
        <f t="shared" si="58"/>
        <v>0.83283984799999999</v>
      </c>
      <c r="AN102">
        <f t="shared" si="59"/>
        <v>0.15339717507999998</v>
      </c>
      <c r="AO102">
        <v>32.700000000000003</v>
      </c>
      <c r="AP102">
        <v>0.5</v>
      </c>
      <c r="AQ102" t="s">
        <v>331</v>
      </c>
      <c r="AR102">
        <v>2</v>
      </c>
      <c r="AS102">
        <v>1690301889.5999999</v>
      </c>
      <c r="AT102">
        <v>595.80499999999995</v>
      </c>
      <c r="AU102">
        <v>800.13800000000003</v>
      </c>
      <c r="AV102">
        <v>24.480699999999999</v>
      </c>
      <c r="AW102">
        <v>12.721500000000001</v>
      </c>
      <c r="AX102">
        <v>595.97699999999998</v>
      </c>
      <c r="AY102">
        <v>24.199100000000001</v>
      </c>
      <c r="AZ102">
        <v>300.27199999999999</v>
      </c>
      <c r="BA102">
        <v>99.322599999999994</v>
      </c>
      <c r="BB102">
        <v>9.9995600000000004E-2</v>
      </c>
      <c r="BC102">
        <v>26.747599999999998</v>
      </c>
      <c r="BD102">
        <v>26.9925</v>
      </c>
      <c r="BE102">
        <v>28.380600000000001</v>
      </c>
      <c r="BF102">
        <v>0</v>
      </c>
      <c r="BG102">
        <v>0</v>
      </c>
      <c r="BH102">
        <v>9972.5</v>
      </c>
      <c r="BI102">
        <v>1077.26</v>
      </c>
      <c r="BJ102">
        <v>1.96231</v>
      </c>
      <c r="BK102">
        <v>-204.334</v>
      </c>
      <c r="BL102">
        <v>610.75699999999995</v>
      </c>
      <c r="BM102">
        <v>810.44899999999996</v>
      </c>
      <c r="BN102">
        <v>11.7592</v>
      </c>
      <c r="BO102">
        <v>800.13800000000003</v>
      </c>
      <c r="BP102">
        <v>12.721500000000001</v>
      </c>
      <c r="BQ102">
        <v>2.4314800000000001</v>
      </c>
      <c r="BR102">
        <v>1.26353</v>
      </c>
      <c r="BS102">
        <v>20.574999999999999</v>
      </c>
      <c r="BT102">
        <v>10.3719</v>
      </c>
      <c r="BU102">
        <v>1799.99</v>
      </c>
      <c r="BV102">
        <v>0.91000499999999995</v>
      </c>
      <c r="BW102">
        <v>3.4006399999999999E-2</v>
      </c>
      <c r="BX102">
        <v>2.1996399999999999E-2</v>
      </c>
      <c r="BY102">
        <v>3.3992399999999999E-2</v>
      </c>
      <c r="BZ102">
        <v>25</v>
      </c>
      <c r="CA102">
        <v>33528.300000000003</v>
      </c>
      <c r="CB102">
        <v>1690300477.5</v>
      </c>
      <c r="CC102" t="s">
        <v>332</v>
      </c>
      <c r="CD102">
        <v>1690300477.5</v>
      </c>
      <c r="CE102">
        <v>1690300465.5</v>
      </c>
      <c r="CF102">
        <v>7</v>
      </c>
      <c r="CG102">
        <v>5.0999999999999997E-2</v>
      </c>
      <c r="CH102">
        <v>-8.0000000000000002E-3</v>
      </c>
      <c r="CI102">
        <v>-0.316</v>
      </c>
      <c r="CJ102">
        <v>0.28199999999999997</v>
      </c>
      <c r="CK102">
        <v>800</v>
      </c>
      <c r="CL102">
        <v>24</v>
      </c>
      <c r="CM102">
        <v>0.25</v>
      </c>
      <c r="CN102">
        <v>0.13</v>
      </c>
      <c r="CO102">
        <v>-199.40519512195121</v>
      </c>
      <c r="CP102">
        <v>-26.685407665505782</v>
      </c>
      <c r="CQ102">
        <v>2.631768886912857</v>
      </c>
      <c r="CR102">
        <v>-1</v>
      </c>
      <c r="CS102">
        <v>11.454275609756101</v>
      </c>
      <c r="CT102">
        <v>1.7098034843205581</v>
      </c>
      <c r="CU102">
        <v>0.16872263829554299</v>
      </c>
      <c r="CV102">
        <v>-1</v>
      </c>
      <c r="CW102">
        <v>0</v>
      </c>
      <c r="CX102">
        <v>0</v>
      </c>
      <c r="CY102" t="s">
        <v>333</v>
      </c>
      <c r="CZ102">
        <v>2.3649</v>
      </c>
      <c r="DA102">
        <v>2.7137600000000002</v>
      </c>
      <c r="DB102">
        <v>0.12021900000000001</v>
      </c>
      <c r="DC102">
        <v>0.14660699999999999</v>
      </c>
      <c r="DD102">
        <v>0.11548600000000001</v>
      </c>
      <c r="DE102">
        <v>7.1174399999999999E-2</v>
      </c>
      <c r="DF102">
        <v>32136.5</v>
      </c>
      <c r="DG102">
        <v>27520.7</v>
      </c>
      <c r="DH102">
        <v>31183.599999999999</v>
      </c>
      <c r="DI102">
        <v>28099.7</v>
      </c>
      <c r="DJ102">
        <v>37445.800000000003</v>
      </c>
      <c r="DK102">
        <v>37116.5</v>
      </c>
      <c r="DL102">
        <v>44380</v>
      </c>
      <c r="DM102">
        <v>42593.2</v>
      </c>
      <c r="DN102">
        <v>1.4763299999999999</v>
      </c>
      <c r="DO102">
        <v>2.0522</v>
      </c>
      <c r="DP102">
        <v>9.3620300000000004E-2</v>
      </c>
      <c r="DQ102">
        <v>0.19123399999999999</v>
      </c>
      <c r="DR102">
        <v>25.459499999999998</v>
      </c>
      <c r="DS102">
        <v>25.252199999999998</v>
      </c>
      <c r="DT102">
        <v>56.7</v>
      </c>
      <c r="DU102">
        <v>28.9</v>
      </c>
      <c r="DV102">
        <v>22.828800000000001</v>
      </c>
      <c r="DW102">
        <v>61.751100000000001</v>
      </c>
      <c r="DX102">
        <v>35.488799999999998</v>
      </c>
      <c r="DY102">
        <v>1</v>
      </c>
      <c r="DZ102">
        <v>-9.8130099999999998E-2</v>
      </c>
      <c r="EA102">
        <v>-0.24043300000000001</v>
      </c>
      <c r="EB102">
        <v>20.189599999999999</v>
      </c>
      <c r="EC102">
        <v>5.2409499999999998</v>
      </c>
      <c r="ED102">
        <v>12.039899999999999</v>
      </c>
      <c r="EE102">
        <v>5.0162500000000003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1.8646100000000001</v>
      </c>
      <c r="EM102">
        <v>1.8692</v>
      </c>
      <c r="EN102">
        <v>1.8672200000000001</v>
      </c>
      <c r="EO102">
        <v>1.8633599999999999</v>
      </c>
      <c r="EP102">
        <v>1.8644700000000001</v>
      </c>
      <c r="EQ102">
        <v>1.8701399999999999</v>
      </c>
      <c r="ER102">
        <v>1.8694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-0.17199999999999999</v>
      </c>
      <c r="FG102">
        <v>0.28160000000000002</v>
      </c>
      <c r="FH102">
        <v>0.23539598422606861</v>
      </c>
      <c r="FI102">
        <v>-6.1462078757559423E-4</v>
      </c>
      <c r="FJ102">
        <v>-1.8861989874597051E-7</v>
      </c>
      <c r="FK102">
        <v>1.1980462299894961E-10</v>
      </c>
      <c r="FL102">
        <v>0.28151999999999688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23.5</v>
      </c>
      <c r="FU102">
        <v>23.7</v>
      </c>
      <c r="FV102">
        <v>1.78345</v>
      </c>
      <c r="FW102">
        <v>2.5891099999999998</v>
      </c>
      <c r="FX102">
        <v>1.5490699999999999</v>
      </c>
      <c r="FY102">
        <v>2.3290999999999999</v>
      </c>
      <c r="FZ102">
        <v>1.50146</v>
      </c>
      <c r="GA102">
        <v>2.3938000000000001</v>
      </c>
      <c r="GB102">
        <v>33.625399999999999</v>
      </c>
      <c r="GC102">
        <v>23.991199999999999</v>
      </c>
      <c r="GD102">
        <v>19</v>
      </c>
      <c r="GE102">
        <v>282.75299999999999</v>
      </c>
      <c r="GF102">
        <v>595.81899999999996</v>
      </c>
      <c r="GG102">
        <v>25.0166</v>
      </c>
      <c r="GH102">
        <v>26.1736</v>
      </c>
      <c r="GI102">
        <v>30</v>
      </c>
      <c r="GJ102">
        <v>26.310400000000001</v>
      </c>
      <c r="GK102">
        <v>26.292899999999999</v>
      </c>
      <c r="GL102">
        <v>35.6629</v>
      </c>
      <c r="GM102">
        <v>49.3889</v>
      </c>
      <c r="GN102">
        <v>90.455200000000005</v>
      </c>
      <c r="GO102">
        <v>25.026499999999999</v>
      </c>
      <c r="GP102">
        <v>800</v>
      </c>
      <c r="GQ102">
        <v>12.545299999999999</v>
      </c>
      <c r="GR102">
        <v>99.777900000000002</v>
      </c>
      <c r="GS102">
        <v>99.636700000000005</v>
      </c>
    </row>
    <row r="103" spans="1:201" x14ac:dyDescent="0.25">
      <c r="A103">
        <v>87</v>
      </c>
      <c r="B103">
        <v>1690301899.5999999</v>
      </c>
      <c r="C103">
        <v>995.59999990463257</v>
      </c>
      <c r="D103" t="s">
        <v>505</v>
      </c>
      <c r="E103" t="s">
        <v>506</v>
      </c>
      <c r="F103" t="s">
        <v>330</v>
      </c>
      <c r="H103">
        <v>1690301899.5999999</v>
      </c>
      <c r="I103">
        <f t="shared" si="30"/>
        <v>1.1327431203936782E-3</v>
      </c>
      <c r="J103">
        <f t="shared" si="31"/>
        <v>1.1327431203936782</v>
      </c>
      <c r="K103">
        <f t="shared" si="32"/>
        <v>18.489421041418723</v>
      </c>
      <c r="L103">
        <f t="shared" si="33"/>
        <v>591.43399999999997</v>
      </c>
      <c r="M103">
        <f t="shared" si="34"/>
        <v>180.60092098951611</v>
      </c>
      <c r="N103">
        <f t="shared" si="35"/>
        <v>17.955460828955694</v>
      </c>
      <c r="O103">
        <f t="shared" si="36"/>
        <v>58.800752298096199</v>
      </c>
      <c r="P103">
        <f t="shared" si="37"/>
        <v>7.4947182273354326E-2</v>
      </c>
      <c r="Q103">
        <f t="shared" si="38"/>
        <v>2.1220578342089391</v>
      </c>
      <c r="R103">
        <f t="shared" si="39"/>
        <v>7.3507113400989671E-2</v>
      </c>
      <c r="S103">
        <f t="shared" si="40"/>
        <v>4.606902567274291E-2</v>
      </c>
      <c r="T103">
        <f t="shared" si="41"/>
        <v>276.11310465778541</v>
      </c>
      <c r="U103">
        <f t="shared" si="42"/>
        <v>28.551757465286492</v>
      </c>
      <c r="V103">
        <f t="shared" si="43"/>
        <v>28.551757465286492</v>
      </c>
      <c r="W103">
        <f t="shared" si="44"/>
        <v>3.9186291330069976</v>
      </c>
      <c r="X103">
        <f t="shared" si="45"/>
        <v>69.026216167663151</v>
      </c>
      <c r="Y103">
        <f t="shared" si="46"/>
        <v>2.4355175879670301</v>
      </c>
      <c r="Z103">
        <f t="shared" si="47"/>
        <v>3.5283950405903926</v>
      </c>
      <c r="AA103">
        <f t="shared" si="48"/>
        <v>1.4831115450399674</v>
      </c>
      <c r="AB103">
        <f t="shared" si="49"/>
        <v>-49.953971609361204</v>
      </c>
      <c r="AC103">
        <f t="shared" si="50"/>
        <v>-205.32811858037849</v>
      </c>
      <c r="AD103">
        <f t="shared" si="51"/>
        <v>-21.018846981873455</v>
      </c>
      <c r="AE103">
        <f t="shared" si="52"/>
        <v>-0.18783251382774324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52768.1245091233</v>
      </c>
      <c r="AK103">
        <f t="shared" si="56"/>
        <v>1799.99</v>
      </c>
      <c r="AL103">
        <f t="shared" si="57"/>
        <v>1499.1035474006901</v>
      </c>
      <c r="AM103">
        <f t="shared" si="58"/>
        <v>0.83283993100000009</v>
      </c>
      <c r="AN103">
        <f t="shared" si="59"/>
        <v>0.15339702146</v>
      </c>
      <c r="AO103">
        <v>32.700000000000003</v>
      </c>
      <c r="AP103">
        <v>0.5</v>
      </c>
      <c r="AQ103" t="s">
        <v>331</v>
      </c>
      <c r="AR103">
        <v>2</v>
      </c>
      <c r="AS103">
        <v>1690301899.5999999</v>
      </c>
      <c r="AT103">
        <v>591.43399999999997</v>
      </c>
      <c r="AU103">
        <v>800.18200000000002</v>
      </c>
      <c r="AV103">
        <v>24.4971</v>
      </c>
      <c r="AW103">
        <v>12.457800000000001</v>
      </c>
      <c r="AX103">
        <v>591.60400000000004</v>
      </c>
      <c r="AY103">
        <v>24.215599999999998</v>
      </c>
      <c r="AZ103">
        <v>300.12799999999999</v>
      </c>
      <c r="BA103">
        <v>99.320700000000002</v>
      </c>
      <c r="BB103">
        <v>9.9949300000000005E-2</v>
      </c>
      <c r="BC103">
        <v>26.757000000000001</v>
      </c>
      <c r="BD103">
        <v>26.956099999999999</v>
      </c>
      <c r="BE103">
        <v>28.3782</v>
      </c>
      <c r="BF103">
        <v>0</v>
      </c>
      <c r="BG103">
        <v>0</v>
      </c>
      <c r="BH103">
        <v>10041.200000000001</v>
      </c>
      <c r="BI103">
        <v>1077.26</v>
      </c>
      <c r="BJ103">
        <v>1.96231</v>
      </c>
      <c r="BK103">
        <v>-208.74799999999999</v>
      </c>
      <c r="BL103">
        <v>606.28599999999994</v>
      </c>
      <c r="BM103">
        <v>810.27700000000004</v>
      </c>
      <c r="BN103">
        <v>12.039300000000001</v>
      </c>
      <c r="BO103">
        <v>800.18200000000002</v>
      </c>
      <c r="BP103">
        <v>12.457800000000001</v>
      </c>
      <c r="BQ103">
        <v>2.4330699999999998</v>
      </c>
      <c r="BR103">
        <v>1.23732</v>
      </c>
      <c r="BS103">
        <v>20.585599999999999</v>
      </c>
      <c r="BT103">
        <v>10.058299999999999</v>
      </c>
      <c r="BU103">
        <v>1799.99</v>
      </c>
      <c r="BV103">
        <v>0.91000899999999996</v>
      </c>
      <c r="BW103">
        <v>3.4004800000000002E-2</v>
      </c>
      <c r="BX103">
        <v>2.1995299999999999E-2</v>
      </c>
      <c r="BY103">
        <v>3.3990800000000002E-2</v>
      </c>
      <c r="BZ103">
        <v>25</v>
      </c>
      <c r="CA103">
        <v>33528.300000000003</v>
      </c>
      <c r="CB103">
        <v>1690300477.5</v>
      </c>
      <c r="CC103" t="s">
        <v>332</v>
      </c>
      <c r="CD103">
        <v>1690300477.5</v>
      </c>
      <c r="CE103">
        <v>1690300465.5</v>
      </c>
      <c r="CF103">
        <v>7</v>
      </c>
      <c r="CG103">
        <v>5.0999999999999997E-2</v>
      </c>
      <c r="CH103">
        <v>-8.0000000000000002E-3</v>
      </c>
      <c r="CI103">
        <v>-0.316</v>
      </c>
      <c r="CJ103">
        <v>0.28199999999999997</v>
      </c>
      <c r="CK103">
        <v>800</v>
      </c>
      <c r="CL103">
        <v>24</v>
      </c>
      <c r="CM103">
        <v>0.25</v>
      </c>
      <c r="CN103">
        <v>0.13</v>
      </c>
      <c r="CO103">
        <v>-203.72045</v>
      </c>
      <c r="CP103">
        <v>-26.440075046904269</v>
      </c>
      <c r="CQ103">
        <v>2.5437296726460539</v>
      </c>
      <c r="CR103">
        <v>-1</v>
      </c>
      <c r="CS103">
        <v>11.731517500000001</v>
      </c>
      <c r="CT103">
        <v>1.694205253283277</v>
      </c>
      <c r="CU103">
        <v>0.16309816045483169</v>
      </c>
      <c r="CV103">
        <v>-1</v>
      </c>
      <c r="CW103">
        <v>0</v>
      </c>
      <c r="CX103">
        <v>0</v>
      </c>
      <c r="CY103" t="s">
        <v>333</v>
      </c>
      <c r="CZ103">
        <v>2.3644699999999998</v>
      </c>
      <c r="DA103">
        <v>2.7137799999999999</v>
      </c>
      <c r="DB103">
        <v>0.11959500000000001</v>
      </c>
      <c r="DC103">
        <v>0.14660500000000001</v>
      </c>
      <c r="DD103">
        <v>0.115539</v>
      </c>
      <c r="DE103">
        <v>7.0066600000000007E-2</v>
      </c>
      <c r="DF103">
        <v>32159.3</v>
      </c>
      <c r="DG103">
        <v>27521.1</v>
      </c>
      <c r="DH103">
        <v>31183.4</v>
      </c>
      <c r="DI103">
        <v>28100.1</v>
      </c>
      <c r="DJ103">
        <v>37443.300000000003</v>
      </c>
      <c r="DK103">
        <v>37161.5</v>
      </c>
      <c r="DL103">
        <v>44379.8</v>
      </c>
      <c r="DM103">
        <v>42593.9</v>
      </c>
      <c r="DN103">
        <v>1.4759500000000001</v>
      </c>
      <c r="DO103">
        <v>2.0521199999999999</v>
      </c>
      <c r="DP103">
        <v>9.1399999999999995E-2</v>
      </c>
      <c r="DQ103">
        <v>0.191085</v>
      </c>
      <c r="DR103">
        <v>25.459499999999998</v>
      </c>
      <c r="DS103">
        <v>25.252199999999998</v>
      </c>
      <c r="DT103">
        <v>56.6</v>
      </c>
      <c r="DU103">
        <v>28.9</v>
      </c>
      <c r="DV103">
        <v>22.787299999999998</v>
      </c>
      <c r="DW103">
        <v>61.501100000000001</v>
      </c>
      <c r="DX103">
        <v>36.033700000000003</v>
      </c>
      <c r="DY103">
        <v>1</v>
      </c>
      <c r="DZ103">
        <v>-9.8335900000000004E-2</v>
      </c>
      <c r="EA103">
        <v>-0.25062400000000001</v>
      </c>
      <c r="EB103">
        <v>20.189599999999999</v>
      </c>
      <c r="EC103">
        <v>5.2408000000000001</v>
      </c>
      <c r="ED103">
        <v>12.039899999999999</v>
      </c>
      <c r="EE103">
        <v>5.0165499999999996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</v>
      </c>
      <c r="EL103">
        <v>1.8646199999999999</v>
      </c>
      <c r="EM103">
        <v>1.8692</v>
      </c>
      <c r="EN103">
        <v>1.8672200000000001</v>
      </c>
      <c r="EO103">
        <v>1.8633900000000001</v>
      </c>
      <c r="EP103">
        <v>1.8644700000000001</v>
      </c>
      <c r="EQ103">
        <v>1.8701399999999999</v>
      </c>
      <c r="ER103">
        <v>1.86941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-0.17</v>
      </c>
      <c r="FG103">
        <v>0.28149999999999997</v>
      </c>
      <c r="FH103">
        <v>0.23539598422606861</v>
      </c>
      <c r="FI103">
        <v>-6.1462078757559423E-4</v>
      </c>
      <c r="FJ103">
        <v>-1.8861989874597051E-7</v>
      </c>
      <c r="FK103">
        <v>1.1980462299894961E-10</v>
      </c>
      <c r="FL103">
        <v>0.28151999999999688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23.7</v>
      </c>
      <c r="FU103">
        <v>23.9</v>
      </c>
      <c r="FV103">
        <v>1.78345</v>
      </c>
      <c r="FW103">
        <v>2.5842299999999998</v>
      </c>
      <c r="FX103">
        <v>1.5490699999999999</v>
      </c>
      <c r="FY103">
        <v>2.3290999999999999</v>
      </c>
      <c r="FZ103">
        <v>1.50146</v>
      </c>
      <c r="GA103">
        <v>2.3974600000000001</v>
      </c>
      <c r="GB103">
        <v>33.625399999999999</v>
      </c>
      <c r="GC103">
        <v>23.991199999999999</v>
      </c>
      <c r="GD103">
        <v>19</v>
      </c>
      <c r="GE103">
        <v>282.57600000000002</v>
      </c>
      <c r="GF103">
        <v>595.72900000000004</v>
      </c>
      <c r="GG103">
        <v>25.043600000000001</v>
      </c>
      <c r="GH103">
        <v>26.1693</v>
      </c>
      <c r="GI103">
        <v>30.0001</v>
      </c>
      <c r="GJ103">
        <v>26.3065</v>
      </c>
      <c r="GK103">
        <v>26.290500000000002</v>
      </c>
      <c r="GL103">
        <v>35.656700000000001</v>
      </c>
      <c r="GM103">
        <v>49.945300000000003</v>
      </c>
      <c r="GN103">
        <v>89.712100000000007</v>
      </c>
      <c r="GO103">
        <v>25.057500000000001</v>
      </c>
      <c r="GP103">
        <v>800</v>
      </c>
      <c r="GQ103">
        <v>12.2822</v>
      </c>
      <c r="GR103">
        <v>99.7774</v>
      </c>
      <c r="GS103">
        <v>99.638300000000001</v>
      </c>
    </row>
    <row r="104" spans="1:201" x14ac:dyDescent="0.25">
      <c r="A104">
        <v>88</v>
      </c>
      <c r="B104">
        <v>1690301909.5999999</v>
      </c>
      <c r="C104">
        <v>1005.599999904633</v>
      </c>
      <c r="D104" t="s">
        <v>507</v>
      </c>
      <c r="E104" t="s">
        <v>508</v>
      </c>
      <c r="F104" t="s">
        <v>330</v>
      </c>
      <c r="H104">
        <v>1690301909.5999999</v>
      </c>
      <c r="I104">
        <f t="shared" si="30"/>
        <v>1.1566908955748193E-3</v>
      </c>
      <c r="J104">
        <f t="shared" si="31"/>
        <v>1.1566908955748194</v>
      </c>
      <c r="K104">
        <f t="shared" si="32"/>
        <v>18.856852960246165</v>
      </c>
      <c r="L104">
        <f t="shared" si="33"/>
        <v>587.17100000000005</v>
      </c>
      <c r="M104">
        <f t="shared" si="34"/>
        <v>177.65705991572631</v>
      </c>
      <c r="N104">
        <f t="shared" si="35"/>
        <v>17.663418162755555</v>
      </c>
      <c r="O104">
        <f t="shared" si="36"/>
        <v>58.379030425040014</v>
      </c>
      <c r="P104">
        <f t="shared" si="37"/>
        <v>7.6702433510037693E-2</v>
      </c>
      <c r="Q104">
        <f t="shared" si="38"/>
        <v>2.114854294718354</v>
      </c>
      <c r="R104">
        <f t="shared" si="39"/>
        <v>7.5189827639746881E-2</v>
      </c>
      <c r="S104">
        <f t="shared" si="40"/>
        <v>4.7127059418458205E-2</v>
      </c>
      <c r="T104">
        <f t="shared" si="41"/>
        <v>276.11300549633637</v>
      </c>
      <c r="U104">
        <f t="shared" si="42"/>
        <v>28.54440565094869</v>
      </c>
      <c r="V104">
        <f t="shared" si="43"/>
        <v>28.54440565094869</v>
      </c>
      <c r="W104">
        <f t="shared" si="44"/>
        <v>3.9169568458556254</v>
      </c>
      <c r="X104">
        <f t="shared" si="45"/>
        <v>69.067282778734352</v>
      </c>
      <c r="Y104">
        <f t="shared" si="46"/>
        <v>2.4363214042320007</v>
      </c>
      <c r="Z104">
        <f t="shared" si="47"/>
        <v>3.5274609137832451</v>
      </c>
      <c r="AA104">
        <f t="shared" si="48"/>
        <v>1.4806354416236247</v>
      </c>
      <c r="AB104">
        <f t="shared" si="49"/>
        <v>-51.010068494849534</v>
      </c>
      <c r="AC104">
        <f t="shared" si="50"/>
        <v>-204.30595902467758</v>
      </c>
      <c r="AD104">
        <f t="shared" si="51"/>
        <v>-20.984207247999571</v>
      </c>
      <c r="AE104">
        <f t="shared" si="52"/>
        <v>-0.18722927119029009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52452.849313624523</v>
      </c>
      <c r="AK104">
        <f t="shared" si="56"/>
        <v>1799.99</v>
      </c>
      <c r="AL104">
        <f t="shared" si="57"/>
        <v>1499.1041161975299</v>
      </c>
      <c r="AM104">
        <f t="shared" si="58"/>
        <v>0.83284024699999992</v>
      </c>
      <c r="AN104">
        <f t="shared" si="59"/>
        <v>0.15339696637000003</v>
      </c>
      <c r="AO104">
        <v>32.700000000000003</v>
      </c>
      <c r="AP104">
        <v>0.5</v>
      </c>
      <c r="AQ104" t="s">
        <v>331</v>
      </c>
      <c r="AR104">
        <v>2</v>
      </c>
      <c r="AS104">
        <v>1690301909.5999999</v>
      </c>
      <c r="AT104">
        <v>587.17100000000005</v>
      </c>
      <c r="AU104">
        <v>800.06899999999996</v>
      </c>
      <c r="AV104">
        <v>24.504300000000001</v>
      </c>
      <c r="AW104">
        <v>12.2079</v>
      </c>
      <c r="AX104">
        <v>587.33699999999999</v>
      </c>
      <c r="AY104">
        <v>24.222799999999999</v>
      </c>
      <c r="AZ104">
        <v>300.06299999999999</v>
      </c>
      <c r="BA104">
        <v>99.324200000000005</v>
      </c>
      <c r="BB104">
        <v>0.10004</v>
      </c>
      <c r="BC104">
        <v>26.752500000000001</v>
      </c>
      <c r="BD104">
        <v>26.982500000000002</v>
      </c>
      <c r="BE104">
        <v>28.401700000000002</v>
      </c>
      <c r="BF104">
        <v>0</v>
      </c>
      <c r="BG104">
        <v>0</v>
      </c>
      <c r="BH104">
        <v>9978.1200000000008</v>
      </c>
      <c r="BI104">
        <v>1077.43</v>
      </c>
      <c r="BJ104">
        <v>1.96231</v>
      </c>
      <c r="BK104">
        <v>-212.898</v>
      </c>
      <c r="BL104">
        <v>601.91999999999996</v>
      </c>
      <c r="BM104">
        <v>809.95699999999999</v>
      </c>
      <c r="BN104">
        <v>12.2965</v>
      </c>
      <c r="BO104">
        <v>800.06899999999996</v>
      </c>
      <c r="BP104">
        <v>12.2079</v>
      </c>
      <c r="BQ104">
        <v>2.4338700000000002</v>
      </c>
      <c r="BR104">
        <v>1.21254</v>
      </c>
      <c r="BS104">
        <v>20.590900000000001</v>
      </c>
      <c r="BT104">
        <v>9.7563600000000008</v>
      </c>
      <c r="BU104">
        <v>1799.99</v>
      </c>
      <c r="BV104">
        <v>0.91001200000000004</v>
      </c>
      <c r="BW104">
        <v>3.4003699999999998E-2</v>
      </c>
      <c r="BX104">
        <v>2.19946E-2</v>
      </c>
      <c r="BY104">
        <v>3.3989699999999998E-2</v>
      </c>
      <c r="BZ104">
        <v>25</v>
      </c>
      <c r="CA104">
        <v>33528.300000000003</v>
      </c>
      <c r="CB104">
        <v>1690300477.5</v>
      </c>
      <c r="CC104" t="s">
        <v>332</v>
      </c>
      <c r="CD104">
        <v>1690300477.5</v>
      </c>
      <c r="CE104">
        <v>1690300465.5</v>
      </c>
      <c r="CF104">
        <v>7</v>
      </c>
      <c r="CG104">
        <v>5.0999999999999997E-2</v>
      </c>
      <c r="CH104">
        <v>-8.0000000000000002E-3</v>
      </c>
      <c r="CI104">
        <v>-0.316</v>
      </c>
      <c r="CJ104">
        <v>0.28199999999999997</v>
      </c>
      <c r="CK104">
        <v>800</v>
      </c>
      <c r="CL104">
        <v>24</v>
      </c>
      <c r="CM104">
        <v>0.25</v>
      </c>
      <c r="CN104">
        <v>0.13</v>
      </c>
      <c r="CO104">
        <v>-208.20160975609761</v>
      </c>
      <c r="CP104">
        <v>-25.81557491289238</v>
      </c>
      <c r="CQ104">
        <v>2.5459259744191081</v>
      </c>
      <c r="CR104">
        <v>-1</v>
      </c>
      <c r="CS104">
        <v>12.016021951219511</v>
      </c>
      <c r="CT104">
        <v>1.648986062717765</v>
      </c>
      <c r="CU104">
        <v>0.16277114640964421</v>
      </c>
      <c r="CV104">
        <v>-1</v>
      </c>
      <c r="CW104">
        <v>0</v>
      </c>
      <c r="CX104">
        <v>0</v>
      </c>
      <c r="CY104" t="s">
        <v>333</v>
      </c>
      <c r="CZ104">
        <v>2.3642599999999998</v>
      </c>
      <c r="DA104">
        <v>2.7138100000000001</v>
      </c>
      <c r="DB104">
        <v>0.118989</v>
      </c>
      <c r="DC104">
        <v>0.146592</v>
      </c>
      <c r="DD104">
        <v>0.115568</v>
      </c>
      <c r="DE104">
        <v>6.9012400000000002E-2</v>
      </c>
      <c r="DF104">
        <v>32181.3</v>
      </c>
      <c r="DG104">
        <v>27521.599999999999</v>
      </c>
      <c r="DH104">
        <v>31183.4</v>
      </c>
      <c r="DI104">
        <v>28100.1</v>
      </c>
      <c r="DJ104">
        <v>37442.199999999997</v>
      </c>
      <c r="DK104">
        <v>37204</v>
      </c>
      <c r="DL104">
        <v>44380.1</v>
      </c>
      <c r="DM104">
        <v>42594.1</v>
      </c>
      <c r="DN104">
        <v>1.47662</v>
      </c>
      <c r="DO104">
        <v>2.0514199999999998</v>
      </c>
      <c r="DP104">
        <v>9.2927399999999993E-2</v>
      </c>
      <c r="DQ104">
        <v>0.19239600000000001</v>
      </c>
      <c r="DR104">
        <v>25.460799999999999</v>
      </c>
      <c r="DS104">
        <v>25.254300000000001</v>
      </c>
      <c r="DT104">
        <v>56.5</v>
      </c>
      <c r="DU104">
        <v>28.9</v>
      </c>
      <c r="DV104">
        <v>22.7438</v>
      </c>
      <c r="DW104">
        <v>61.821100000000001</v>
      </c>
      <c r="DX104">
        <v>36.718800000000002</v>
      </c>
      <c r="DY104">
        <v>1</v>
      </c>
      <c r="DZ104">
        <v>-9.8661100000000002E-2</v>
      </c>
      <c r="EA104">
        <v>-0.27299299999999999</v>
      </c>
      <c r="EB104">
        <v>20.189399999999999</v>
      </c>
      <c r="EC104">
        <v>5.2409499999999998</v>
      </c>
      <c r="ED104">
        <v>12.039899999999999</v>
      </c>
      <c r="EE104">
        <v>5.0164999999999997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1.8646100000000001</v>
      </c>
      <c r="EM104">
        <v>1.8692</v>
      </c>
      <c r="EN104">
        <v>1.8672299999999999</v>
      </c>
      <c r="EO104">
        <v>1.8633999999999999</v>
      </c>
      <c r="EP104">
        <v>1.8644700000000001</v>
      </c>
      <c r="EQ104">
        <v>1.8701300000000001</v>
      </c>
      <c r="ER104">
        <v>1.86941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-0.16600000000000001</v>
      </c>
      <c r="FG104">
        <v>0.28149999999999997</v>
      </c>
      <c r="FH104">
        <v>0.23539598422606861</v>
      </c>
      <c r="FI104">
        <v>-6.1462078757559423E-4</v>
      </c>
      <c r="FJ104">
        <v>-1.8861989874597051E-7</v>
      </c>
      <c r="FK104">
        <v>1.1980462299894961E-10</v>
      </c>
      <c r="FL104">
        <v>0.28151999999999688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23.9</v>
      </c>
      <c r="FU104">
        <v>24.1</v>
      </c>
      <c r="FV104">
        <v>1.78345</v>
      </c>
      <c r="FW104">
        <v>2.5878899999999998</v>
      </c>
      <c r="FX104">
        <v>1.5490699999999999</v>
      </c>
      <c r="FY104">
        <v>2.3290999999999999</v>
      </c>
      <c r="FZ104">
        <v>1.50146</v>
      </c>
      <c r="GA104">
        <v>2.34741</v>
      </c>
      <c r="GB104">
        <v>33.625399999999999</v>
      </c>
      <c r="GC104">
        <v>23.982399999999998</v>
      </c>
      <c r="GD104">
        <v>19</v>
      </c>
      <c r="GE104">
        <v>282.85300000000001</v>
      </c>
      <c r="GF104">
        <v>595.09699999999998</v>
      </c>
      <c r="GG104">
        <v>25.088999999999999</v>
      </c>
      <c r="GH104">
        <v>26.166899999999998</v>
      </c>
      <c r="GI104">
        <v>30</v>
      </c>
      <c r="GJ104">
        <v>26.303999999999998</v>
      </c>
      <c r="GK104">
        <v>26.2867</v>
      </c>
      <c r="GL104">
        <v>35.650700000000001</v>
      </c>
      <c r="GM104">
        <v>50.815899999999999</v>
      </c>
      <c r="GN104">
        <v>89.3309</v>
      </c>
      <c r="GO104">
        <v>25.093900000000001</v>
      </c>
      <c r="GP104">
        <v>800</v>
      </c>
      <c r="GQ104">
        <v>12.017799999999999</v>
      </c>
      <c r="GR104">
        <v>99.777699999999996</v>
      </c>
      <c r="GS104">
        <v>99.6387</v>
      </c>
    </row>
    <row r="105" spans="1:201" x14ac:dyDescent="0.25">
      <c r="A105">
        <v>89</v>
      </c>
      <c r="B105">
        <v>1690301919.5999999</v>
      </c>
      <c r="C105">
        <v>1015.599999904633</v>
      </c>
      <c r="D105" t="s">
        <v>509</v>
      </c>
      <c r="E105" t="s">
        <v>510</v>
      </c>
      <c r="F105" t="s">
        <v>330</v>
      </c>
      <c r="H105">
        <v>1690301919.5999999</v>
      </c>
      <c r="I105">
        <f t="shared" si="30"/>
        <v>1.1855163857077953E-3</v>
      </c>
      <c r="J105">
        <f t="shared" si="31"/>
        <v>1.1855163857077953</v>
      </c>
      <c r="K105">
        <f t="shared" si="32"/>
        <v>19.250815514754443</v>
      </c>
      <c r="L105">
        <f t="shared" si="33"/>
        <v>582.86199999999997</v>
      </c>
      <c r="M105">
        <f t="shared" si="34"/>
        <v>175.61692285837398</v>
      </c>
      <c r="N105">
        <f t="shared" si="35"/>
        <v>17.460264538861932</v>
      </c>
      <c r="O105">
        <f t="shared" si="36"/>
        <v>57.949567410751797</v>
      </c>
      <c r="P105">
        <f t="shared" si="37"/>
        <v>7.8768537373835171E-2</v>
      </c>
      <c r="Q105">
        <f t="shared" si="38"/>
        <v>2.1157706686102355</v>
      </c>
      <c r="R105">
        <f t="shared" si="39"/>
        <v>7.7174933162348094E-2</v>
      </c>
      <c r="S105">
        <f t="shared" si="40"/>
        <v>4.8374826894554732E-2</v>
      </c>
      <c r="T105">
        <f t="shared" si="41"/>
        <v>276.11453835000003</v>
      </c>
      <c r="U105">
        <f t="shared" si="42"/>
        <v>28.542782980730554</v>
      </c>
      <c r="V105">
        <f t="shared" si="43"/>
        <v>28.542782980730554</v>
      </c>
      <c r="W105">
        <f t="shared" si="44"/>
        <v>3.9165878275596406</v>
      </c>
      <c r="X105">
        <f t="shared" si="45"/>
        <v>69.081058099215255</v>
      </c>
      <c r="Y105">
        <f t="shared" si="46"/>
        <v>2.4381267721298099</v>
      </c>
      <c r="Z105">
        <f t="shared" si="47"/>
        <v>3.5293709147131702</v>
      </c>
      <c r="AA105">
        <f t="shared" si="48"/>
        <v>1.4784610554298308</v>
      </c>
      <c r="AB105">
        <f t="shared" si="49"/>
        <v>-52.281272609713774</v>
      </c>
      <c r="AC105">
        <f t="shared" si="50"/>
        <v>-203.15999301014082</v>
      </c>
      <c r="AD105">
        <f t="shared" si="51"/>
        <v>-20.858254077545542</v>
      </c>
      <c r="AE105">
        <f t="shared" si="52"/>
        <v>-0.18498134740011096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52491.348331446701</v>
      </c>
      <c r="AK105">
        <f t="shared" si="56"/>
        <v>1800</v>
      </c>
      <c r="AL105">
        <f t="shared" si="57"/>
        <v>1499.113431</v>
      </c>
      <c r="AM105">
        <f t="shared" si="58"/>
        <v>0.83284079499999997</v>
      </c>
      <c r="AN105">
        <f t="shared" si="59"/>
        <v>0.15339696575</v>
      </c>
      <c r="AO105">
        <v>32.700000000000003</v>
      </c>
      <c r="AP105">
        <v>0.5</v>
      </c>
      <c r="AQ105" t="s">
        <v>331</v>
      </c>
      <c r="AR105">
        <v>2</v>
      </c>
      <c r="AS105">
        <v>1690301919.5999999</v>
      </c>
      <c r="AT105">
        <v>582.86199999999997</v>
      </c>
      <c r="AU105">
        <v>800.17700000000002</v>
      </c>
      <c r="AV105">
        <v>24.5229</v>
      </c>
      <c r="AW105">
        <v>11.9206</v>
      </c>
      <c r="AX105">
        <v>583.02499999999998</v>
      </c>
      <c r="AY105">
        <v>24.241399999999999</v>
      </c>
      <c r="AZ105">
        <v>300.07</v>
      </c>
      <c r="BA105">
        <v>99.322500000000005</v>
      </c>
      <c r="BB105">
        <v>9.9948899999999993E-2</v>
      </c>
      <c r="BC105">
        <v>26.761700000000001</v>
      </c>
      <c r="BD105">
        <v>26.977399999999999</v>
      </c>
      <c r="BE105">
        <v>28.385899999999999</v>
      </c>
      <c r="BF105">
        <v>0</v>
      </c>
      <c r="BG105">
        <v>0</v>
      </c>
      <c r="BH105">
        <v>9986.25</v>
      </c>
      <c r="BI105">
        <v>1077.4100000000001</v>
      </c>
      <c r="BJ105">
        <v>1.96231</v>
      </c>
      <c r="BK105">
        <v>-217.315</v>
      </c>
      <c r="BL105">
        <v>597.51499999999999</v>
      </c>
      <c r="BM105">
        <v>809.83100000000002</v>
      </c>
      <c r="BN105">
        <v>12.6023</v>
      </c>
      <c r="BO105">
        <v>800.17700000000002</v>
      </c>
      <c r="BP105">
        <v>11.9206</v>
      </c>
      <c r="BQ105">
        <v>2.43567</v>
      </c>
      <c r="BR105">
        <v>1.1839900000000001</v>
      </c>
      <c r="BS105">
        <v>20.602900000000002</v>
      </c>
      <c r="BT105">
        <v>9.4016999999999999</v>
      </c>
      <c r="BU105">
        <v>1800</v>
      </c>
      <c r="BV105">
        <v>0.91001500000000002</v>
      </c>
      <c r="BW105">
        <v>3.4002699999999997E-2</v>
      </c>
      <c r="BX105">
        <v>2.1994E-2</v>
      </c>
      <c r="BY105">
        <v>3.3988699999999997E-2</v>
      </c>
      <c r="BZ105">
        <v>25</v>
      </c>
      <c r="CA105">
        <v>33528.400000000001</v>
      </c>
      <c r="CB105">
        <v>1690300477.5</v>
      </c>
      <c r="CC105" t="s">
        <v>332</v>
      </c>
      <c r="CD105">
        <v>1690300477.5</v>
      </c>
      <c r="CE105">
        <v>1690300465.5</v>
      </c>
      <c r="CF105">
        <v>7</v>
      </c>
      <c r="CG105">
        <v>5.0999999999999997E-2</v>
      </c>
      <c r="CH105">
        <v>-8.0000000000000002E-3</v>
      </c>
      <c r="CI105">
        <v>-0.316</v>
      </c>
      <c r="CJ105">
        <v>0.28199999999999997</v>
      </c>
      <c r="CK105">
        <v>800</v>
      </c>
      <c r="CL105">
        <v>24</v>
      </c>
      <c r="CM105">
        <v>0.25</v>
      </c>
      <c r="CN105">
        <v>0.13</v>
      </c>
      <c r="CO105">
        <v>-212.8561</v>
      </c>
      <c r="CP105">
        <v>-26.031759849906059</v>
      </c>
      <c r="CQ105">
        <v>2.5048972913075711</v>
      </c>
      <c r="CR105">
        <v>-1</v>
      </c>
      <c r="CS105">
        <v>12.31203</v>
      </c>
      <c r="CT105">
        <v>1.675087429643503</v>
      </c>
      <c r="CU105">
        <v>0.1615298551352041</v>
      </c>
      <c r="CV105">
        <v>-1</v>
      </c>
      <c r="CW105">
        <v>0</v>
      </c>
      <c r="CX105">
        <v>0</v>
      </c>
      <c r="CY105" t="s">
        <v>333</v>
      </c>
      <c r="CZ105">
        <v>2.3643100000000001</v>
      </c>
      <c r="DA105">
        <v>2.71373</v>
      </c>
      <c r="DB105">
        <v>0.118369</v>
      </c>
      <c r="DC105">
        <v>0.14659800000000001</v>
      </c>
      <c r="DD105">
        <v>0.115629</v>
      </c>
      <c r="DE105">
        <v>6.7786700000000005E-2</v>
      </c>
      <c r="DF105">
        <v>32204.3</v>
      </c>
      <c r="DG105">
        <v>27521.599999999999</v>
      </c>
      <c r="DH105">
        <v>31183.7</v>
      </c>
      <c r="DI105">
        <v>28100.3</v>
      </c>
      <c r="DJ105">
        <v>37439.699999999997</v>
      </c>
      <c r="DK105">
        <v>37253.300000000003</v>
      </c>
      <c r="DL105">
        <v>44380.3</v>
      </c>
      <c r="DM105">
        <v>42594.400000000001</v>
      </c>
      <c r="DN105">
        <v>1.47662</v>
      </c>
      <c r="DO105">
        <v>2.05118</v>
      </c>
      <c r="DP105">
        <v>9.2569700000000005E-2</v>
      </c>
      <c r="DQ105">
        <v>0.19129699999999999</v>
      </c>
      <c r="DR105">
        <v>25.461600000000001</v>
      </c>
      <c r="DS105">
        <v>25.256499999999999</v>
      </c>
      <c r="DT105">
        <v>56.4</v>
      </c>
      <c r="DU105">
        <v>28.9</v>
      </c>
      <c r="DV105">
        <v>22.7072</v>
      </c>
      <c r="DW105">
        <v>61.571100000000001</v>
      </c>
      <c r="DX105">
        <v>36.546500000000002</v>
      </c>
      <c r="DY105">
        <v>1</v>
      </c>
      <c r="DZ105">
        <v>-9.8775399999999999E-2</v>
      </c>
      <c r="EA105">
        <v>-0.27718100000000001</v>
      </c>
      <c r="EB105">
        <v>20.189299999999999</v>
      </c>
      <c r="EC105">
        <v>5.24125</v>
      </c>
      <c r="ED105">
        <v>12.039899999999999</v>
      </c>
      <c r="EE105">
        <v>5.01715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</v>
      </c>
      <c r="EL105">
        <v>1.8646199999999999</v>
      </c>
      <c r="EM105">
        <v>1.8692</v>
      </c>
      <c r="EN105">
        <v>1.8672299999999999</v>
      </c>
      <c r="EO105">
        <v>1.8633900000000001</v>
      </c>
      <c r="EP105">
        <v>1.8644700000000001</v>
      </c>
      <c r="EQ105">
        <v>1.8701399999999999</v>
      </c>
      <c r="ER105">
        <v>1.86941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-0.16300000000000001</v>
      </c>
      <c r="FG105">
        <v>0.28149999999999997</v>
      </c>
      <c r="FH105">
        <v>0.23539598422606861</v>
      </c>
      <c r="FI105">
        <v>-6.1462078757559423E-4</v>
      </c>
      <c r="FJ105">
        <v>-1.8861989874597051E-7</v>
      </c>
      <c r="FK105">
        <v>1.1980462299894961E-10</v>
      </c>
      <c r="FL105">
        <v>0.28151999999999688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24</v>
      </c>
      <c r="FU105">
        <v>24.2</v>
      </c>
      <c r="FV105">
        <v>1.78223</v>
      </c>
      <c r="FW105">
        <v>2.5939899999999998</v>
      </c>
      <c r="FX105">
        <v>1.5490699999999999</v>
      </c>
      <c r="FY105">
        <v>2.3290999999999999</v>
      </c>
      <c r="FZ105">
        <v>1.50146</v>
      </c>
      <c r="GA105">
        <v>2.2936999999999999</v>
      </c>
      <c r="GB105">
        <v>33.625399999999999</v>
      </c>
      <c r="GC105">
        <v>23.982399999999998</v>
      </c>
      <c r="GD105">
        <v>19</v>
      </c>
      <c r="GE105">
        <v>282.839</v>
      </c>
      <c r="GF105">
        <v>594.85599999999999</v>
      </c>
      <c r="GG105">
        <v>25.114599999999999</v>
      </c>
      <c r="GH105">
        <v>26.1632</v>
      </c>
      <c r="GI105">
        <v>30</v>
      </c>
      <c r="GJ105">
        <v>26.300999999999998</v>
      </c>
      <c r="GK105">
        <v>26.283899999999999</v>
      </c>
      <c r="GL105">
        <v>35.643799999999999</v>
      </c>
      <c r="GM105">
        <v>51.657899999999998</v>
      </c>
      <c r="GN105">
        <v>88.555300000000003</v>
      </c>
      <c r="GO105">
        <v>25.124600000000001</v>
      </c>
      <c r="GP105">
        <v>800</v>
      </c>
      <c r="GQ105">
        <v>11.7409</v>
      </c>
      <c r="GR105">
        <v>99.778499999999994</v>
      </c>
      <c r="GS105">
        <v>99.639300000000006</v>
      </c>
    </row>
    <row r="106" spans="1:201" x14ac:dyDescent="0.25">
      <c r="A106">
        <v>90</v>
      </c>
      <c r="B106">
        <v>1690301929.5999999</v>
      </c>
      <c r="C106">
        <v>1025.599999904633</v>
      </c>
      <c r="D106" t="s">
        <v>511</v>
      </c>
      <c r="E106" t="s">
        <v>512</v>
      </c>
      <c r="F106" t="s">
        <v>330</v>
      </c>
      <c r="H106">
        <v>1690301929.5999999</v>
      </c>
      <c r="I106">
        <f t="shared" si="30"/>
        <v>1.2131521616015328E-3</v>
      </c>
      <c r="J106">
        <f t="shared" si="31"/>
        <v>1.2131521616015328</v>
      </c>
      <c r="K106">
        <f t="shared" si="32"/>
        <v>19.635871600713678</v>
      </c>
      <c r="L106">
        <f t="shared" si="33"/>
        <v>578.54300000000001</v>
      </c>
      <c r="M106">
        <f t="shared" si="34"/>
        <v>173.47113966200993</v>
      </c>
      <c r="N106">
        <f t="shared" si="35"/>
        <v>17.247398799981287</v>
      </c>
      <c r="O106">
        <f t="shared" si="36"/>
        <v>57.521740292819594</v>
      </c>
      <c r="P106">
        <f t="shared" si="37"/>
        <v>8.0799695215313147E-2</v>
      </c>
      <c r="Q106">
        <f t="shared" si="38"/>
        <v>2.1183944804550126</v>
      </c>
      <c r="R106">
        <f t="shared" si="39"/>
        <v>7.9125816303777921E-2</v>
      </c>
      <c r="S106">
        <f t="shared" si="40"/>
        <v>4.9601138359726904E-2</v>
      </c>
      <c r="T106">
        <f t="shared" si="41"/>
        <v>276.1126801481438</v>
      </c>
      <c r="U106">
        <f t="shared" si="42"/>
        <v>28.538666472247336</v>
      </c>
      <c r="V106">
        <f t="shared" si="43"/>
        <v>28.538666472247336</v>
      </c>
      <c r="W106">
        <f t="shared" si="44"/>
        <v>3.9156518109890084</v>
      </c>
      <c r="X106">
        <f t="shared" si="45"/>
        <v>69.103036653682651</v>
      </c>
      <c r="Y106">
        <f t="shared" si="46"/>
        <v>2.4399932736652001</v>
      </c>
      <c r="Z106">
        <f t="shared" si="47"/>
        <v>3.5309494225174078</v>
      </c>
      <c r="AA106">
        <f t="shared" si="48"/>
        <v>1.4756585373238083</v>
      </c>
      <c r="AB106">
        <f t="shared" si="49"/>
        <v>-53.500010326627596</v>
      </c>
      <c r="AC106">
        <f t="shared" si="50"/>
        <v>-202.0738300875426</v>
      </c>
      <c r="AD106">
        <f t="shared" si="51"/>
        <v>-20.721399844902809</v>
      </c>
      <c r="AE106">
        <f t="shared" si="52"/>
        <v>-0.18256011092921653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52605.132769861521</v>
      </c>
      <c r="AK106">
        <f t="shared" si="56"/>
        <v>1799.99</v>
      </c>
      <c r="AL106">
        <f t="shared" si="57"/>
        <v>1499.1047101942299</v>
      </c>
      <c r="AM106">
        <f t="shared" si="58"/>
        <v>0.83284057699999992</v>
      </c>
      <c r="AN106">
        <f t="shared" si="59"/>
        <v>0.15339678562</v>
      </c>
      <c r="AO106">
        <v>32.700000000000003</v>
      </c>
      <c r="AP106">
        <v>0.5</v>
      </c>
      <c r="AQ106" t="s">
        <v>331</v>
      </c>
      <c r="AR106">
        <v>2</v>
      </c>
      <c r="AS106">
        <v>1690301929.5999999</v>
      </c>
      <c r="AT106">
        <v>578.54300000000001</v>
      </c>
      <c r="AU106">
        <v>800.12900000000002</v>
      </c>
      <c r="AV106">
        <v>24.541</v>
      </c>
      <c r="AW106">
        <v>11.6477</v>
      </c>
      <c r="AX106">
        <v>578.70299999999997</v>
      </c>
      <c r="AY106">
        <v>24.259499999999999</v>
      </c>
      <c r="AZ106">
        <v>300.12900000000002</v>
      </c>
      <c r="BA106">
        <v>99.325199999999995</v>
      </c>
      <c r="BB106">
        <v>9.9977200000000002E-2</v>
      </c>
      <c r="BC106">
        <v>26.769300000000001</v>
      </c>
      <c r="BD106">
        <v>27.002700000000001</v>
      </c>
      <c r="BE106">
        <v>28.387499999999999</v>
      </c>
      <c r="BF106">
        <v>0</v>
      </c>
      <c r="BG106">
        <v>0</v>
      </c>
      <c r="BH106">
        <v>10008.799999999999</v>
      </c>
      <c r="BI106">
        <v>1077.5</v>
      </c>
      <c r="BJ106">
        <v>1.96231</v>
      </c>
      <c r="BK106">
        <v>-221.58600000000001</v>
      </c>
      <c r="BL106">
        <v>593.09799999999996</v>
      </c>
      <c r="BM106">
        <v>809.55899999999997</v>
      </c>
      <c r="BN106">
        <v>12.8933</v>
      </c>
      <c r="BO106">
        <v>800.12900000000002</v>
      </c>
      <c r="BP106">
        <v>11.6477</v>
      </c>
      <c r="BQ106">
        <v>2.4375399999999998</v>
      </c>
      <c r="BR106">
        <v>1.1569100000000001</v>
      </c>
      <c r="BS106">
        <v>20.615400000000001</v>
      </c>
      <c r="BT106">
        <v>9.0583299999999998</v>
      </c>
      <c r="BU106">
        <v>1799.99</v>
      </c>
      <c r="BV106">
        <v>0.91001799999999999</v>
      </c>
      <c r="BW106">
        <v>3.4001299999999998E-2</v>
      </c>
      <c r="BX106">
        <v>2.1993100000000002E-2</v>
      </c>
      <c r="BY106">
        <v>3.3987400000000001E-2</v>
      </c>
      <c r="BZ106">
        <v>25</v>
      </c>
      <c r="CA106">
        <v>33528.300000000003</v>
      </c>
      <c r="CB106">
        <v>1690300477.5</v>
      </c>
      <c r="CC106" t="s">
        <v>332</v>
      </c>
      <c r="CD106">
        <v>1690300477.5</v>
      </c>
      <c r="CE106">
        <v>1690300465.5</v>
      </c>
      <c r="CF106">
        <v>7</v>
      </c>
      <c r="CG106">
        <v>5.0999999999999997E-2</v>
      </c>
      <c r="CH106">
        <v>-8.0000000000000002E-3</v>
      </c>
      <c r="CI106">
        <v>-0.316</v>
      </c>
      <c r="CJ106">
        <v>0.28199999999999997</v>
      </c>
      <c r="CK106">
        <v>800</v>
      </c>
      <c r="CL106">
        <v>24</v>
      </c>
      <c r="CM106">
        <v>0.25</v>
      </c>
      <c r="CN106">
        <v>0.13</v>
      </c>
      <c r="CO106">
        <v>-216.71787499999999</v>
      </c>
      <c r="CP106">
        <v>-25.665984990618441</v>
      </c>
      <c r="CQ106">
        <v>2.4702443724002259</v>
      </c>
      <c r="CR106">
        <v>-1</v>
      </c>
      <c r="CS106">
        <v>12.5637425</v>
      </c>
      <c r="CT106">
        <v>1.736387617260772</v>
      </c>
      <c r="CU106">
        <v>0.16727713365475261</v>
      </c>
      <c r="CV106">
        <v>-1</v>
      </c>
      <c r="CW106">
        <v>0</v>
      </c>
      <c r="CX106">
        <v>0</v>
      </c>
      <c r="CY106" t="s">
        <v>333</v>
      </c>
      <c r="CZ106">
        <v>2.3645100000000001</v>
      </c>
      <c r="DA106">
        <v>2.7137799999999999</v>
      </c>
      <c r="DB106">
        <v>0.11774999999999999</v>
      </c>
      <c r="DC106">
        <v>0.146592</v>
      </c>
      <c r="DD106">
        <v>0.115693</v>
      </c>
      <c r="DE106">
        <v>6.6615199999999999E-2</v>
      </c>
      <c r="DF106">
        <v>32227.3</v>
      </c>
      <c r="DG106">
        <v>27522.7</v>
      </c>
      <c r="DH106">
        <v>31184.1</v>
      </c>
      <c r="DI106">
        <v>28101.200000000001</v>
      </c>
      <c r="DJ106">
        <v>37437.4</v>
      </c>
      <c r="DK106">
        <v>37301.199999999997</v>
      </c>
      <c r="DL106">
        <v>44381</v>
      </c>
      <c r="DM106">
        <v>42595.5</v>
      </c>
      <c r="DN106">
        <v>1.47665</v>
      </c>
      <c r="DO106">
        <v>2.0507499999999999</v>
      </c>
      <c r="DP106">
        <v>9.3985299999999994E-2</v>
      </c>
      <c r="DQ106">
        <v>0.19115599999999999</v>
      </c>
      <c r="DR106">
        <v>25.463799999999999</v>
      </c>
      <c r="DS106">
        <v>25.260400000000001</v>
      </c>
      <c r="DT106">
        <v>56.3</v>
      </c>
      <c r="DU106">
        <v>28.9</v>
      </c>
      <c r="DV106">
        <v>22.666799999999999</v>
      </c>
      <c r="DW106">
        <v>61.051099999999998</v>
      </c>
      <c r="DX106">
        <v>35.865400000000001</v>
      </c>
      <c r="DY106">
        <v>1</v>
      </c>
      <c r="DZ106">
        <v>-9.9321599999999996E-2</v>
      </c>
      <c r="EA106">
        <v>-0.26302799999999998</v>
      </c>
      <c r="EB106">
        <v>20.189599999999999</v>
      </c>
      <c r="EC106">
        <v>5.2413999999999996</v>
      </c>
      <c r="ED106">
        <v>12.039899999999999</v>
      </c>
      <c r="EE106">
        <v>5.0171000000000001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</v>
      </c>
      <c r="EL106">
        <v>1.8646100000000001</v>
      </c>
      <c r="EM106">
        <v>1.8691800000000001</v>
      </c>
      <c r="EN106">
        <v>1.8672299999999999</v>
      </c>
      <c r="EO106">
        <v>1.8633999999999999</v>
      </c>
      <c r="EP106">
        <v>1.8644700000000001</v>
      </c>
      <c r="EQ106">
        <v>1.8701399999999999</v>
      </c>
      <c r="ER106">
        <v>1.8694500000000001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-0.16</v>
      </c>
      <c r="FG106">
        <v>0.28149999999999997</v>
      </c>
      <c r="FH106">
        <v>0.23539598422606861</v>
      </c>
      <c r="FI106">
        <v>-6.1462078757559423E-4</v>
      </c>
      <c r="FJ106">
        <v>-1.8861989874597051E-7</v>
      </c>
      <c r="FK106">
        <v>1.1980462299894961E-10</v>
      </c>
      <c r="FL106">
        <v>0.28151999999999688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24.2</v>
      </c>
      <c r="FU106">
        <v>24.4</v>
      </c>
      <c r="FV106">
        <v>1.78223</v>
      </c>
      <c r="FW106">
        <v>2.5939899999999998</v>
      </c>
      <c r="FX106">
        <v>1.5490699999999999</v>
      </c>
      <c r="FY106">
        <v>2.3290999999999999</v>
      </c>
      <c r="FZ106">
        <v>1.50146</v>
      </c>
      <c r="GA106">
        <v>2.35229</v>
      </c>
      <c r="GB106">
        <v>33.625399999999999</v>
      </c>
      <c r="GC106">
        <v>23.973700000000001</v>
      </c>
      <c r="GD106">
        <v>19</v>
      </c>
      <c r="GE106">
        <v>282.83499999999998</v>
      </c>
      <c r="GF106">
        <v>594.46100000000001</v>
      </c>
      <c r="GG106">
        <v>25.145299999999999</v>
      </c>
      <c r="GH106">
        <v>26.160299999999999</v>
      </c>
      <c r="GI106">
        <v>30</v>
      </c>
      <c r="GJ106">
        <v>26.297699999999999</v>
      </c>
      <c r="GK106">
        <v>26.2806</v>
      </c>
      <c r="GL106">
        <v>35.637500000000003</v>
      </c>
      <c r="GM106">
        <v>52.548999999999999</v>
      </c>
      <c r="GN106">
        <v>87.7834</v>
      </c>
      <c r="GO106">
        <v>25.143999999999998</v>
      </c>
      <c r="GP106">
        <v>800</v>
      </c>
      <c r="GQ106">
        <v>11.462300000000001</v>
      </c>
      <c r="GR106">
        <v>99.779799999999994</v>
      </c>
      <c r="GS106">
        <v>99.642300000000006</v>
      </c>
    </row>
    <row r="107" spans="1:201" x14ac:dyDescent="0.25">
      <c r="A107">
        <v>91</v>
      </c>
      <c r="B107">
        <v>1690301939.5999999</v>
      </c>
      <c r="C107">
        <v>1035.599999904633</v>
      </c>
      <c r="D107" t="s">
        <v>513</v>
      </c>
      <c r="E107" t="s">
        <v>514</v>
      </c>
      <c r="F107" t="s">
        <v>330</v>
      </c>
      <c r="H107">
        <v>1690301939.5999999</v>
      </c>
      <c r="I107">
        <f t="shared" si="30"/>
        <v>1.2389580658328941E-3</v>
      </c>
      <c r="J107">
        <f t="shared" si="31"/>
        <v>1.238958065832894</v>
      </c>
      <c r="K107">
        <f t="shared" si="32"/>
        <v>19.993929872186065</v>
      </c>
      <c r="L107">
        <f t="shared" si="33"/>
        <v>574.48500000000001</v>
      </c>
      <c r="M107">
        <f t="shared" si="34"/>
        <v>170.88348163605448</v>
      </c>
      <c r="N107">
        <f t="shared" si="35"/>
        <v>16.98990629103848</v>
      </c>
      <c r="O107">
        <f t="shared" si="36"/>
        <v>57.117552979140001</v>
      </c>
      <c r="P107">
        <f t="shared" si="37"/>
        <v>8.2597541456598533E-2</v>
      </c>
      <c r="Q107">
        <f t="shared" si="38"/>
        <v>2.1139866823738966</v>
      </c>
      <c r="R107">
        <f t="shared" si="39"/>
        <v>8.0845650376060854E-2</v>
      </c>
      <c r="S107">
        <f t="shared" si="40"/>
        <v>5.0682837124290933E-2</v>
      </c>
      <c r="T107">
        <f t="shared" si="41"/>
        <v>276.11266729621519</v>
      </c>
      <c r="U107">
        <f t="shared" si="42"/>
        <v>28.536646081355325</v>
      </c>
      <c r="V107">
        <f t="shared" si="43"/>
        <v>28.536646081355325</v>
      </c>
      <c r="W107">
        <f t="shared" si="44"/>
        <v>3.9151924834999297</v>
      </c>
      <c r="X107">
        <f t="shared" si="45"/>
        <v>69.094444446579686</v>
      </c>
      <c r="Y107">
        <f t="shared" si="46"/>
        <v>2.4402210210863999</v>
      </c>
      <c r="Z107">
        <f t="shared" si="47"/>
        <v>3.5317181296291555</v>
      </c>
      <c r="AA107">
        <f t="shared" si="48"/>
        <v>1.4749714624135297</v>
      </c>
      <c r="AB107">
        <f t="shared" si="49"/>
        <v>-54.638050703230633</v>
      </c>
      <c r="AC107">
        <f t="shared" si="50"/>
        <v>-201.00142119302794</v>
      </c>
      <c r="AD107">
        <f t="shared" si="51"/>
        <v>-20.654579142909359</v>
      </c>
      <c r="AE107">
        <f t="shared" si="52"/>
        <v>-0.18138374295276094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52411.267206159515</v>
      </c>
      <c r="AK107">
        <f t="shared" si="56"/>
        <v>1799.99</v>
      </c>
      <c r="AL107">
        <f t="shared" si="57"/>
        <v>1499.1056659889198</v>
      </c>
      <c r="AM107">
        <f t="shared" si="58"/>
        <v>0.83284110799999989</v>
      </c>
      <c r="AN107">
        <f t="shared" si="59"/>
        <v>0.15339677848</v>
      </c>
      <c r="AO107">
        <v>32.700000000000003</v>
      </c>
      <c r="AP107">
        <v>0.5</v>
      </c>
      <c r="AQ107" t="s">
        <v>331</v>
      </c>
      <c r="AR107">
        <v>2</v>
      </c>
      <c r="AS107">
        <v>1690301939.5999999</v>
      </c>
      <c r="AT107">
        <v>574.48500000000001</v>
      </c>
      <c r="AU107">
        <v>800.05899999999997</v>
      </c>
      <c r="AV107">
        <v>24.543600000000001</v>
      </c>
      <c r="AW107">
        <v>11.3773</v>
      </c>
      <c r="AX107">
        <v>574.64300000000003</v>
      </c>
      <c r="AY107">
        <v>24.2621</v>
      </c>
      <c r="AZ107">
        <v>300.15699999999998</v>
      </c>
      <c r="BA107">
        <v>99.323899999999995</v>
      </c>
      <c r="BB107">
        <v>0.100024</v>
      </c>
      <c r="BC107">
        <v>26.773</v>
      </c>
      <c r="BD107">
        <v>26.980899999999998</v>
      </c>
      <c r="BE107">
        <v>28.381599999999999</v>
      </c>
      <c r="BF107">
        <v>0</v>
      </c>
      <c r="BG107">
        <v>0</v>
      </c>
      <c r="BH107">
        <v>9970.6200000000008</v>
      </c>
      <c r="BI107">
        <v>1077.6600000000001</v>
      </c>
      <c r="BJ107">
        <v>1.96231</v>
      </c>
      <c r="BK107">
        <v>-225.57400000000001</v>
      </c>
      <c r="BL107">
        <v>588.94000000000005</v>
      </c>
      <c r="BM107">
        <v>809.26599999999996</v>
      </c>
      <c r="BN107">
        <v>13.1662</v>
      </c>
      <c r="BO107">
        <v>800.05899999999997</v>
      </c>
      <c r="BP107">
        <v>11.3773</v>
      </c>
      <c r="BQ107">
        <v>2.4377599999999999</v>
      </c>
      <c r="BR107">
        <v>1.1300399999999999</v>
      </c>
      <c r="BS107">
        <v>20.616800000000001</v>
      </c>
      <c r="BT107">
        <v>8.7104800000000004</v>
      </c>
      <c r="BU107">
        <v>1799.99</v>
      </c>
      <c r="BV107">
        <v>0.91002099999999997</v>
      </c>
      <c r="BW107">
        <v>3.40004E-2</v>
      </c>
      <c r="BX107">
        <v>2.1992399999999999E-2</v>
      </c>
      <c r="BY107">
        <v>3.39864E-2</v>
      </c>
      <c r="BZ107">
        <v>25</v>
      </c>
      <c r="CA107">
        <v>33528.400000000001</v>
      </c>
      <c r="CB107">
        <v>1690300477.5</v>
      </c>
      <c r="CC107" t="s">
        <v>332</v>
      </c>
      <c r="CD107">
        <v>1690300477.5</v>
      </c>
      <c r="CE107">
        <v>1690300465.5</v>
      </c>
      <c r="CF107">
        <v>7</v>
      </c>
      <c r="CG107">
        <v>5.0999999999999997E-2</v>
      </c>
      <c r="CH107">
        <v>-8.0000000000000002E-3</v>
      </c>
      <c r="CI107">
        <v>-0.316</v>
      </c>
      <c r="CJ107">
        <v>0.28199999999999997</v>
      </c>
      <c r="CK107">
        <v>800</v>
      </c>
      <c r="CL107">
        <v>24</v>
      </c>
      <c r="CM107">
        <v>0.25</v>
      </c>
      <c r="CN107">
        <v>0.13</v>
      </c>
      <c r="CO107">
        <v>-220.92095</v>
      </c>
      <c r="CP107">
        <v>-24.928322701687929</v>
      </c>
      <c r="CQ107">
        <v>2.399689625243234</v>
      </c>
      <c r="CR107">
        <v>-1</v>
      </c>
      <c r="CS107">
        <v>12.851900000000001</v>
      </c>
      <c r="CT107">
        <v>1.720797748592841</v>
      </c>
      <c r="CU107">
        <v>0.165664631107548</v>
      </c>
      <c r="CV107">
        <v>-1</v>
      </c>
      <c r="CW107">
        <v>0</v>
      </c>
      <c r="CX107">
        <v>0</v>
      </c>
      <c r="CY107" t="s">
        <v>333</v>
      </c>
      <c r="CZ107">
        <v>2.3646099999999999</v>
      </c>
      <c r="DA107">
        <v>2.7137899999999999</v>
      </c>
      <c r="DB107">
        <v>0.117162</v>
      </c>
      <c r="DC107">
        <v>0.14657700000000001</v>
      </c>
      <c r="DD107">
        <v>0.115701</v>
      </c>
      <c r="DE107">
        <v>6.5441899999999997E-2</v>
      </c>
      <c r="DF107">
        <v>32249</v>
      </c>
      <c r="DG107">
        <v>27522.799999999999</v>
      </c>
      <c r="DH107">
        <v>31184.3</v>
      </c>
      <c r="DI107">
        <v>28100.9</v>
      </c>
      <c r="DJ107">
        <v>37437.300000000003</v>
      </c>
      <c r="DK107">
        <v>37347.800000000003</v>
      </c>
      <c r="DL107">
        <v>44381.3</v>
      </c>
      <c r="DM107">
        <v>42595.1</v>
      </c>
      <c r="DN107">
        <v>1.47668</v>
      </c>
      <c r="DO107">
        <v>2.05037</v>
      </c>
      <c r="DP107">
        <v>9.2599500000000001E-2</v>
      </c>
      <c r="DQ107">
        <v>0.19064500000000001</v>
      </c>
      <c r="DR107">
        <v>25.464600000000001</v>
      </c>
      <c r="DS107">
        <v>25.262799999999999</v>
      </c>
      <c r="DT107">
        <v>56.1</v>
      </c>
      <c r="DU107">
        <v>28.9</v>
      </c>
      <c r="DV107">
        <v>22.585899999999999</v>
      </c>
      <c r="DW107">
        <v>61.6111</v>
      </c>
      <c r="DX107">
        <v>35.689100000000003</v>
      </c>
      <c r="DY107">
        <v>1</v>
      </c>
      <c r="DZ107">
        <v>-9.8841499999999999E-2</v>
      </c>
      <c r="EA107">
        <v>3.7962999999999998E-3</v>
      </c>
      <c r="EB107">
        <v>20.189499999999999</v>
      </c>
      <c r="EC107">
        <v>5.24125</v>
      </c>
      <c r="ED107">
        <v>12.039899999999999</v>
      </c>
      <c r="EE107">
        <v>5.0171000000000001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1.8689100000000001</v>
      </c>
      <c r="EL107">
        <v>1.8646199999999999</v>
      </c>
      <c r="EM107">
        <v>1.8692</v>
      </c>
      <c r="EN107">
        <v>1.86724</v>
      </c>
      <c r="EO107">
        <v>1.8633999999999999</v>
      </c>
      <c r="EP107">
        <v>1.8644700000000001</v>
      </c>
      <c r="EQ107">
        <v>1.87018</v>
      </c>
      <c r="ER107">
        <v>1.8694599999999999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-0.158</v>
      </c>
      <c r="FG107">
        <v>0.28149999999999997</v>
      </c>
      <c r="FH107">
        <v>0.23539598422606861</v>
      </c>
      <c r="FI107">
        <v>-6.1462078757559423E-4</v>
      </c>
      <c r="FJ107">
        <v>-1.8861989874597051E-7</v>
      </c>
      <c r="FK107">
        <v>1.1980462299894961E-10</v>
      </c>
      <c r="FL107">
        <v>0.28151999999999688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24.4</v>
      </c>
      <c r="FU107">
        <v>24.6</v>
      </c>
      <c r="FV107">
        <v>1.78223</v>
      </c>
      <c r="FW107">
        <v>2.5878899999999998</v>
      </c>
      <c r="FX107">
        <v>1.5490699999999999</v>
      </c>
      <c r="FY107">
        <v>2.3290999999999999</v>
      </c>
      <c r="FZ107">
        <v>1.50146</v>
      </c>
      <c r="GA107">
        <v>2.3877000000000002</v>
      </c>
      <c r="GB107">
        <v>33.625399999999999</v>
      </c>
      <c r="GC107">
        <v>23.982399999999998</v>
      </c>
      <c r="GD107">
        <v>19</v>
      </c>
      <c r="GE107">
        <v>282.834</v>
      </c>
      <c r="GF107">
        <v>594.11</v>
      </c>
      <c r="GG107">
        <v>25.028300000000002</v>
      </c>
      <c r="GH107">
        <v>26.1572</v>
      </c>
      <c r="GI107">
        <v>30.0001</v>
      </c>
      <c r="GJ107">
        <v>26.294899999999998</v>
      </c>
      <c r="GK107">
        <v>26.2775</v>
      </c>
      <c r="GL107">
        <v>35.627400000000002</v>
      </c>
      <c r="GM107">
        <v>53.122999999999998</v>
      </c>
      <c r="GN107">
        <v>87.031899999999993</v>
      </c>
      <c r="GO107">
        <v>25.0444</v>
      </c>
      <c r="GP107">
        <v>800</v>
      </c>
      <c r="GQ107">
        <v>11.1976</v>
      </c>
      <c r="GR107">
        <v>99.780600000000007</v>
      </c>
      <c r="GS107">
        <v>99.641099999999994</v>
      </c>
    </row>
    <row r="108" spans="1:201" x14ac:dyDescent="0.25">
      <c r="A108">
        <v>92</v>
      </c>
      <c r="B108">
        <v>1690301949.5999999</v>
      </c>
      <c r="C108">
        <v>1045.599999904633</v>
      </c>
      <c r="D108" t="s">
        <v>515</v>
      </c>
      <c r="E108" t="s">
        <v>516</v>
      </c>
      <c r="F108" t="s">
        <v>330</v>
      </c>
      <c r="H108">
        <v>1690301949.5999999</v>
      </c>
      <c r="I108">
        <f t="shared" si="30"/>
        <v>1.2636081560146945E-3</v>
      </c>
      <c r="J108">
        <f t="shared" si="31"/>
        <v>1.2636081560146946</v>
      </c>
      <c r="K108">
        <f t="shared" si="32"/>
        <v>20.362533250930511</v>
      </c>
      <c r="L108">
        <f t="shared" si="33"/>
        <v>570.40499999999997</v>
      </c>
      <c r="M108">
        <f t="shared" si="34"/>
        <v>168.82105873398149</v>
      </c>
      <c r="N108">
        <f t="shared" si="35"/>
        <v>16.784463318268649</v>
      </c>
      <c r="O108">
        <f t="shared" si="36"/>
        <v>56.710589726504999</v>
      </c>
      <c r="P108">
        <f t="shared" si="37"/>
        <v>8.4565056032978245E-2</v>
      </c>
      <c r="Q108">
        <f t="shared" si="38"/>
        <v>2.1159754550940812</v>
      </c>
      <c r="R108">
        <f t="shared" si="39"/>
        <v>8.2731392943570764E-2</v>
      </c>
      <c r="S108">
        <f t="shared" si="40"/>
        <v>5.1868556356465326E-2</v>
      </c>
      <c r="T108">
        <f t="shared" si="41"/>
        <v>276.11260215457713</v>
      </c>
      <c r="U108">
        <f t="shared" si="42"/>
        <v>28.512414732000718</v>
      </c>
      <c r="V108">
        <f t="shared" si="43"/>
        <v>28.512414732000718</v>
      </c>
      <c r="W108">
        <f t="shared" si="44"/>
        <v>3.9096872473834621</v>
      </c>
      <c r="X108">
        <f t="shared" si="45"/>
        <v>69.135534854219642</v>
      </c>
      <c r="Y108">
        <f t="shared" si="46"/>
        <v>2.4396475047464001</v>
      </c>
      <c r="Z108">
        <f t="shared" si="47"/>
        <v>3.5287895145248847</v>
      </c>
      <c r="AA108">
        <f t="shared" si="48"/>
        <v>1.4700397426370619</v>
      </c>
      <c r="AB108">
        <f t="shared" si="49"/>
        <v>-55.725119680248028</v>
      </c>
      <c r="AC108">
        <f t="shared" si="50"/>
        <v>-200.03476850149801</v>
      </c>
      <c r="AD108">
        <f t="shared" si="51"/>
        <v>-20.531998896383804</v>
      </c>
      <c r="AE108">
        <f t="shared" si="52"/>
        <v>-0.17928492355272851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52500.79364117419</v>
      </c>
      <c r="AK108">
        <f t="shared" si="56"/>
        <v>1799.99</v>
      </c>
      <c r="AL108">
        <f t="shared" si="57"/>
        <v>1499.1046687944599</v>
      </c>
      <c r="AM108">
        <f t="shared" si="58"/>
        <v>0.83284055400000001</v>
      </c>
      <c r="AN108">
        <f t="shared" si="59"/>
        <v>0.15339674229000003</v>
      </c>
      <c r="AO108">
        <v>32.700000000000003</v>
      </c>
      <c r="AP108">
        <v>0.5</v>
      </c>
      <c r="AQ108" t="s">
        <v>331</v>
      </c>
      <c r="AR108">
        <v>2</v>
      </c>
      <c r="AS108">
        <v>1690301949.5999999</v>
      </c>
      <c r="AT108">
        <v>570.40499999999997</v>
      </c>
      <c r="AU108">
        <v>800.053</v>
      </c>
      <c r="AV108">
        <v>24.538399999999999</v>
      </c>
      <c r="AW108">
        <v>11.112399999999999</v>
      </c>
      <c r="AX108">
        <v>570.55899999999997</v>
      </c>
      <c r="AY108">
        <v>24.256799999999998</v>
      </c>
      <c r="AZ108">
        <v>300.209</v>
      </c>
      <c r="BA108">
        <v>99.321600000000004</v>
      </c>
      <c r="BB108">
        <v>0.100021</v>
      </c>
      <c r="BC108">
        <v>26.758900000000001</v>
      </c>
      <c r="BD108">
        <v>26.9909</v>
      </c>
      <c r="BE108">
        <v>28.3673</v>
      </c>
      <c r="BF108">
        <v>0</v>
      </c>
      <c r="BG108">
        <v>0</v>
      </c>
      <c r="BH108">
        <v>9988.1200000000008</v>
      </c>
      <c r="BI108">
        <v>1077.5999999999999</v>
      </c>
      <c r="BJ108">
        <v>1.96231</v>
      </c>
      <c r="BK108">
        <v>-229.648</v>
      </c>
      <c r="BL108">
        <v>584.75400000000002</v>
      </c>
      <c r="BM108">
        <v>809.04399999999998</v>
      </c>
      <c r="BN108">
        <v>13.426</v>
      </c>
      <c r="BO108">
        <v>800.053</v>
      </c>
      <c r="BP108">
        <v>11.112399999999999</v>
      </c>
      <c r="BQ108">
        <v>2.4371900000000002</v>
      </c>
      <c r="BR108">
        <v>1.1036999999999999</v>
      </c>
      <c r="BS108">
        <v>20.613</v>
      </c>
      <c r="BT108">
        <v>8.36233</v>
      </c>
      <c r="BU108">
        <v>1799.99</v>
      </c>
      <c r="BV108">
        <v>0.91001600000000005</v>
      </c>
      <c r="BW108">
        <v>3.3999300000000003E-2</v>
      </c>
      <c r="BX108">
        <v>2.1991699999999999E-2</v>
      </c>
      <c r="BY108">
        <v>3.3993099999999998E-2</v>
      </c>
      <c r="BZ108">
        <v>25</v>
      </c>
      <c r="CA108">
        <v>33528.400000000001</v>
      </c>
      <c r="CB108">
        <v>1690300477.5</v>
      </c>
      <c r="CC108" t="s">
        <v>332</v>
      </c>
      <c r="CD108">
        <v>1690300477.5</v>
      </c>
      <c r="CE108">
        <v>1690300465.5</v>
      </c>
      <c r="CF108">
        <v>7</v>
      </c>
      <c r="CG108">
        <v>5.0999999999999997E-2</v>
      </c>
      <c r="CH108">
        <v>-8.0000000000000002E-3</v>
      </c>
      <c r="CI108">
        <v>-0.316</v>
      </c>
      <c r="CJ108">
        <v>0.28199999999999997</v>
      </c>
      <c r="CK108">
        <v>800</v>
      </c>
      <c r="CL108">
        <v>24</v>
      </c>
      <c r="CM108">
        <v>0.25</v>
      </c>
      <c r="CN108">
        <v>0.13</v>
      </c>
      <c r="CO108">
        <v>-225.17473170731711</v>
      </c>
      <c r="CP108">
        <v>-24.768501742160741</v>
      </c>
      <c r="CQ108">
        <v>2.4430130339637128</v>
      </c>
      <c r="CR108">
        <v>-1</v>
      </c>
      <c r="CS108">
        <v>13.13551707317073</v>
      </c>
      <c r="CT108">
        <v>1.579714285714277</v>
      </c>
      <c r="CU108">
        <v>0.15585789009103371</v>
      </c>
      <c r="CV108">
        <v>-1</v>
      </c>
      <c r="CW108">
        <v>0</v>
      </c>
      <c r="CX108">
        <v>0</v>
      </c>
      <c r="CY108" t="s">
        <v>333</v>
      </c>
      <c r="CZ108">
        <v>2.3647999999999998</v>
      </c>
      <c r="DA108">
        <v>2.7138</v>
      </c>
      <c r="DB108">
        <v>0.116568</v>
      </c>
      <c r="DC108">
        <v>0.146569</v>
      </c>
      <c r="DD108">
        <v>0.11568199999999999</v>
      </c>
      <c r="DE108">
        <v>6.42818E-2</v>
      </c>
      <c r="DF108">
        <v>32270.799999999999</v>
      </c>
      <c r="DG108">
        <v>27523.200000000001</v>
      </c>
      <c r="DH108">
        <v>31184.400000000001</v>
      </c>
      <c r="DI108">
        <v>28101</v>
      </c>
      <c r="DJ108">
        <v>37438.1</v>
      </c>
      <c r="DK108">
        <v>37394.6</v>
      </c>
      <c r="DL108">
        <v>44381.4</v>
      </c>
      <c r="DM108">
        <v>42595.4</v>
      </c>
      <c r="DN108">
        <v>1.4771700000000001</v>
      </c>
      <c r="DO108">
        <v>2.0499700000000001</v>
      </c>
      <c r="DP108">
        <v>9.3132300000000001E-2</v>
      </c>
      <c r="DQ108">
        <v>0.18976999999999999</v>
      </c>
      <c r="DR108">
        <v>25.465900000000001</v>
      </c>
      <c r="DS108">
        <v>25.262799999999999</v>
      </c>
      <c r="DT108">
        <v>56</v>
      </c>
      <c r="DU108">
        <v>28.9</v>
      </c>
      <c r="DV108">
        <v>22.546800000000001</v>
      </c>
      <c r="DW108">
        <v>61.571100000000001</v>
      </c>
      <c r="DX108">
        <v>36.105800000000002</v>
      </c>
      <c r="DY108">
        <v>1</v>
      </c>
      <c r="DZ108">
        <v>-9.9392800000000003E-2</v>
      </c>
      <c r="EA108">
        <v>-0.20216999999999999</v>
      </c>
      <c r="EB108">
        <v>20.189499999999999</v>
      </c>
      <c r="EC108">
        <v>5.2411000000000003</v>
      </c>
      <c r="ED108">
        <v>12.039899999999999</v>
      </c>
      <c r="EE108">
        <v>5.01715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1.8689100000000001</v>
      </c>
      <c r="EL108">
        <v>1.8646100000000001</v>
      </c>
      <c r="EM108">
        <v>1.8692</v>
      </c>
      <c r="EN108">
        <v>1.8672299999999999</v>
      </c>
      <c r="EO108">
        <v>1.8633900000000001</v>
      </c>
      <c r="EP108">
        <v>1.8644700000000001</v>
      </c>
      <c r="EQ108">
        <v>1.8701399999999999</v>
      </c>
      <c r="ER108">
        <v>1.86941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-0.154</v>
      </c>
      <c r="FG108">
        <v>0.28160000000000002</v>
      </c>
      <c r="FH108">
        <v>0.23539598422606861</v>
      </c>
      <c r="FI108">
        <v>-6.1462078757559423E-4</v>
      </c>
      <c r="FJ108">
        <v>-1.8861989874597051E-7</v>
      </c>
      <c r="FK108">
        <v>1.1980462299894961E-10</v>
      </c>
      <c r="FL108">
        <v>0.28151999999999688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24.5</v>
      </c>
      <c r="FU108">
        <v>24.7</v>
      </c>
      <c r="FV108">
        <v>1.78223</v>
      </c>
      <c r="FW108">
        <v>2.5842299999999998</v>
      </c>
      <c r="FX108">
        <v>1.5490699999999999</v>
      </c>
      <c r="FY108">
        <v>2.3290999999999999</v>
      </c>
      <c r="FZ108">
        <v>1.50146</v>
      </c>
      <c r="GA108">
        <v>2.3877000000000002</v>
      </c>
      <c r="GB108">
        <v>33.625399999999999</v>
      </c>
      <c r="GC108">
        <v>23.991199999999999</v>
      </c>
      <c r="GD108">
        <v>19</v>
      </c>
      <c r="GE108">
        <v>283.02999999999997</v>
      </c>
      <c r="GF108">
        <v>593.74199999999996</v>
      </c>
      <c r="GG108">
        <v>25.043600000000001</v>
      </c>
      <c r="GH108">
        <v>26.1539</v>
      </c>
      <c r="GI108">
        <v>29.9999</v>
      </c>
      <c r="GJ108">
        <v>26.291</v>
      </c>
      <c r="GK108">
        <v>26.2746</v>
      </c>
      <c r="GL108">
        <v>35.622</v>
      </c>
      <c r="GM108">
        <v>53.985199999999999</v>
      </c>
      <c r="GN108">
        <v>86.255499999999998</v>
      </c>
      <c r="GO108">
        <v>25.061900000000001</v>
      </c>
      <c r="GP108">
        <v>800</v>
      </c>
      <c r="GQ108">
        <v>10.936999999999999</v>
      </c>
      <c r="GR108">
        <v>99.780799999999999</v>
      </c>
      <c r="GS108">
        <v>99.641800000000003</v>
      </c>
    </row>
    <row r="109" spans="1:201" x14ac:dyDescent="0.25">
      <c r="A109">
        <v>93</v>
      </c>
      <c r="B109">
        <v>1690301959.5999999</v>
      </c>
      <c r="C109">
        <v>1055.599999904633</v>
      </c>
      <c r="D109" t="s">
        <v>517</v>
      </c>
      <c r="E109" t="s">
        <v>518</v>
      </c>
      <c r="F109" t="s">
        <v>330</v>
      </c>
      <c r="H109">
        <v>1690301959.5999999</v>
      </c>
      <c r="I109">
        <f t="shared" si="30"/>
        <v>1.2892007329780501E-3</v>
      </c>
      <c r="J109">
        <f t="shared" si="31"/>
        <v>1.2892007329780502</v>
      </c>
      <c r="K109">
        <f t="shared" si="32"/>
        <v>20.716770575107134</v>
      </c>
      <c r="L109">
        <f t="shared" si="33"/>
        <v>566.36099999999999</v>
      </c>
      <c r="M109">
        <f t="shared" si="34"/>
        <v>166.85789184032845</v>
      </c>
      <c r="N109">
        <f t="shared" si="35"/>
        <v>16.589630816402078</v>
      </c>
      <c r="O109">
        <f t="shared" si="36"/>
        <v>56.309712385671006</v>
      </c>
      <c r="P109">
        <f t="shared" si="37"/>
        <v>8.6509135175504834E-2</v>
      </c>
      <c r="Q109">
        <f t="shared" si="38"/>
        <v>2.1182978815761286</v>
      </c>
      <c r="R109">
        <f t="shared" si="39"/>
        <v>8.4593276937396614E-2</v>
      </c>
      <c r="S109">
        <f t="shared" si="40"/>
        <v>5.3039396462055063E-2</v>
      </c>
      <c r="T109">
        <f t="shared" si="41"/>
        <v>276.11404767000005</v>
      </c>
      <c r="U109">
        <f t="shared" si="42"/>
        <v>28.502808287806346</v>
      </c>
      <c r="V109">
        <f t="shared" si="43"/>
        <v>28.502808287806346</v>
      </c>
      <c r="W109">
        <f t="shared" si="44"/>
        <v>3.9075065830699129</v>
      </c>
      <c r="X109">
        <f t="shared" si="45"/>
        <v>69.159841661888706</v>
      </c>
      <c r="Y109">
        <f t="shared" si="46"/>
        <v>2.4406631999991006</v>
      </c>
      <c r="Z109">
        <f t="shared" si="47"/>
        <v>3.5290179117689555</v>
      </c>
      <c r="AA109">
        <f t="shared" si="48"/>
        <v>1.4668433830708123</v>
      </c>
      <c r="AB109">
        <f t="shared" si="49"/>
        <v>-56.853752324332007</v>
      </c>
      <c r="AC109">
        <f t="shared" si="50"/>
        <v>-199.03162635373224</v>
      </c>
      <c r="AD109">
        <f t="shared" si="51"/>
        <v>-20.405768361732328</v>
      </c>
      <c r="AE109">
        <f t="shared" si="52"/>
        <v>-0.1770993697965082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52602.49527369612</v>
      </c>
      <c r="AK109">
        <f t="shared" si="56"/>
        <v>1800</v>
      </c>
      <c r="AL109">
        <f t="shared" si="57"/>
        <v>1499.110173</v>
      </c>
      <c r="AM109">
        <f t="shared" si="58"/>
        <v>0.83283898499999998</v>
      </c>
      <c r="AN109">
        <f t="shared" si="59"/>
        <v>0.15339669315000001</v>
      </c>
      <c r="AO109">
        <v>32.700000000000003</v>
      </c>
      <c r="AP109">
        <v>0.5</v>
      </c>
      <c r="AQ109" t="s">
        <v>331</v>
      </c>
      <c r="AR109">
        <v>2</v>
      </c>
      <c r="AS109">
        <v>1690301959.5999999</v>
      </c>
      <c r="AT109">
        <v>566.36099999999999</v>
      </c>
      <c r="AU109">
        <v>800.12</v>
      </c>
      <c r="AV109">
        <v>24.548100000000002</v>
      </c>
      <c r="AW109">
        <v>10.8415</v>
      </c>
      <c r="AX109">
        <v>566.51300000000003</v>
      </c>
      <c r="AY109">
        <v>24.2666</v>
      </c>
      <c r="AZ109">
        <v>300.01600000000002</v>
      </c>
      <c r="BA109">
        <v>99.323800000000006</v>
      </c>
      <c r="BB109">
        <v>9.9911E-2</v>
      </c>
      <c r="BC109">
        <v>26.76</v>
      </c>
      <c r="BD109">
        <v>26.972300000000001</v>
      </c>
      <c r="BE109">
        <v>28.362100000000002</v>
      </c>
      <c r="BF109">
        <v>0</v>
      </c>
      <c r="BG109">
        <v>0</v>
      </c>
      <c r="BH109">
        <v>10008.1</v>
      </c>
      <c r="BI109">
        <v>1077.72</v>
      </c>
      <c r="BJ109">
        <v>1.96231</v>
      </c>
      <c r="BK109">
        <v>-233.75899999999999</v>
      </c>
      <c r="BL109">
        <v>580.61400000000003</v>
      </c>
      <c r="BM109">
        <v>808.88900000000001</v>
      </c>
      <c r="BN109">
        <v>13.7066</v>
      </c>
      <c r="BO109">
        <v>800.12</v>
      </c>
      <c r="BP109">
        <v>10.8415</v>
      </c>
      <c r="BQ109">
        <v>2.4382100000000002</v>
      </c>
      <c r="BR109">
        <v>1.0768200000000001</v>
      </c>
      <c r="BS109">
        <v>20.619800000000001</v>
      </c>
      <c r="BT109">
        <v>7.9994699999999996</v>
      </c>
      <c r="BU109">
        <v>1800</v>
      </c>
      <c r="BV109">
        <v>0.91000300000000001</v>
      </c>
      <c r="BW109">
        <v>3.3998100000000003E-2</v>
      </c>
      <c r="BX109">
        <v>2.1991E-2</v>
      </c>
      <c r="BY109">
        <v>3.4007500000000003E-2</v>
      </c>
      <c r="BZ109">
        <v>25</v>
      </c>
      <c r="CA109">
        <v>33528.5</v>
      </c>
      <c r="CB109">
        <v>1690300477.5</v>
      </c>
      <c r="CC109" t="s">
        <v>332</v>
      </c>
      <c r="CD109">
        <v>1690300477.5</v>
      </c>
      <c r="CE109">
        <v>1690300465.5</v>
      </c>
      <c r="CF109">
        <v>7</v>
      </c>
      <c r="CG109">
        <v>5.0999999999999997E-2</v>
      </c>
      <c r="CH109">
        <v>-8.0000000000000002E-3</v>
      </c>
      <c r="CI109">
        <v>-0.316</v>
      </c>
      <c r="CJ109">
        <v>0.28199999999999997</v>
      </c>
      <c r="CK109">
        <v>800</v>
      </c>
      <c r="CL109">
        <v>24</v>
      </c>
      <c r="CM109">
        <v>0.25</v>
      </c>
      <c r="CN109">
        <v>0.13</v>
      </c>
      <c r="CO109">
        <v>-229.178575</v>
      </c>
      <c r="CP109">
        <v>-24.56324577861179</v>
      </c>
      <c r="CQ109">
        <v>2.363377021208211</v>
      </c>
      <c r="CR109">
        <v>-1</v>
      </c>
      <c r="CS109">
        <v>13.392077499999999</v>
      </c>
      <c r="CT109">
        <v>1.578561726078741</v>
      </c>
      <c r="CU109">
        <v>0.15198133682709211</v>
      </c>
      <c r="CV109">
        <v>-1</v>
      </c>
      <c r="CW109">
        <v>0</v>
      </c>
      <c r="CX109">
        <v>0</v>
      </c>
      <c r="CY109" t="s">
        <v>333</v>
      </c>
      <c r="CZ109">
        <v>2.36416</v>
      </c>
      <c r="DA109">
        <v>2.7137099999999998</v>
      </c>
      <c r="DB109">
        <v>0.115982</v>
      </c>
      <c r="DC109">
        <v>0.14657600000000001</v>
      </c>
      <c r="DD109">
        <v>0.115718</v>
      </c>
      <c r="DE109">
        <v>6.30883E-2</v>
      </c>
      <c r="DF109">
        <v>32292.3</v>
      </c>
      <c r="DG109">
        <v>27523.200000000001</v>
      </c>
      <c r="DH109">
        <v>31184.5</v>
      </c>
      <c r="DI109">
        <v>28101.3</v>
      </c>
      <c r="DJ109">
        <v>37436.6</v>
      </c>
      <c r="DK109">
        <v>37442.800000000003</v>
      </c>
      <c r="DL109">
        <v>44381.5</v>
      </c>
      <c r="DM109">
        <v>42595.8</v>
      </c>
      <c r="DN109">
        <v>1.4771700000000001</v>
      </c>
      <c r="DO109">
        <v>2.04955</v>
      </c>
      <c r="DP109">
        <v>9.2122700000000002E-2</v>
      </c>
      <c r="DQ109">
        <v>0.18958</v>
      </c>
      <c r="DR109">
        <v>25.463799999999999</v>
      </c>
      <c r="DS109">
        <v>25.2607</v>
      </c>
      <c r="DT109">
        <v>55.8</v>
      </c>
      <c r="DU109">
        <v>28.8</v>
      </c>
      <c r="DV109">
        <v>22.335100000000001</v>
      </c>
      <c r="DW109">
        <v>61.411099999999998</v>
      </c>
      <c r="DX109">
        <v>36.794899999999998</v>
      </c>
      <c r="DY109">
        <v>1</v>
      </c>
      <c r="DZ109">
        <v>-9.9905999999999995E-2</v>
      </c>
      <c r="EA109">
        <v>-0.22812099999999999</v>
      </c>
      <c r="EB109">
        <v>20.189599999999999</v>
      </c>
      <c r="EC109">
        <v>5.2409499999999998</v>
      </c>
      <c r="ED109">
        <v>12.039899999999999</v>
      </c>
      <c r="EE109">
        <v>5.0170000000000003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</v>
      </c>
      <c r="EL109">
        <v>1.8646100000000001</v>
      </c>
      <c r="EM109">
        <v>1.8692</v>
      </c>
      <c r="EN109">
        <v>1.86724</v>
      </c>
      <c r="EO109">
        <v>1.8633999999999999</v>
      </c>
      <c r="EP109">
        <v>1.8644700000000001</v>
      </c>
      <c r="EQ109">
        <v>1.87015</v>
      </c>
      <c r="ER109">
        <v>1.86941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-0.152</v>
      </c>
      <c r="FG109">
        <v>0.28149999999999997</v>
      </c>
      <c r="FH109">
        <v>0.23539598422606861</v>
      </c>
      <c r="FI109">
        <v>-6.1462078757559423E-4</v>
      </c>
      <c r="FJ109">
        <v>-1.8861989874597051E-7</v>
      </c>
      <c r="FK109">
        <v>1.1980462299894961E-10</v>
      </c>
      <c r="FL109">
        <v>0.28151999999999688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24.7</v>
      </c>
      <c r="FU109">
        <v>24.9</v>
      </c>
      <c r="FV109">
        <v>1.78101</v>
      </c>
      <c r="FW109">
        <v>2.5878899999999998</v>
      </c>
      <c r="FX109">
        <v>1.5490699999999999</v>
      </c>
      <c r="FY109">
        <v>2.3290999999999999</v>
      </c>
      <c r="FZ109">
        <v>1.50146</v>
      </c>
      <c r="GA109">
        <v>2.3303199999999999</v>
      </c>
      <c r="GB109">
        <v>33.625399999999999</v>
      </c>
      <c r="GC109">
        <v>23.982399999999998</v>
      </c>
      <c r="GD109">
        <v>19</v>
      </c>
      <c r="GE109">
        <v>283.01799999999997</v>
      </c>
      <c r="GF109">
        <v>593.34900000000005</v>
      </c>
      <c r="GG109">
        <v>25.0716</v>
      </c>
      <c r="GH109">
        <v>26.151499999999999</v>
      </c>
      <c r="GI109">
        <v>30</v>
      </c>
      <c r="GJ109">
        <v>26.288499999999999</v>
      </c>
      <c r="GK109">
        <v>26.2713</v>
      </c>
      <c r="GL109">
        <v>35.610599999999998</v>
      </c>
      <c r="GM109">
        <v>54.839300000000001</v>
      </c>
      <c r="GN109">
        <v>85.8797</v>
      </c>
      <c r="GO109">
        <v>25.0808</v>
      </c>
      <c r="GP109">
        <v>800</v>
      </c>
      <c r="GQ109">
        <v>10.6639</v>
      </c>
      <c r="GR109">
        <v>99.781000000000006</v>
      </c>
      <c r="GS109">
        <v>99.642700000000005</v>
      </c>
    </row>
    <row r="110" spans="1:201" x14ac:dyDescent="0.25">
      <c r="A110">
        <v>94</v>
      </c>
      <c r="B110">
        <v>1690301969.5999999</v>
      </c>
      <c r="C110">
        <v>1065.599999904633</v>
      </c>
      <c r="D110" t="s">
        <v>519</v>
      </c>
      <c r="E110" t="s">
        <v>520</v>
      </c>
      <c r="F110" t="s">
        <v>330</v>
      </c>
      <c r="H110">
        <v>1690301969.5999999</v>
      </c>
      <c r="I110">
        <f t="shared" si="30"/>
        <v>1.3164862269426218E-3</v>
      </c>
      <c r="J110">
        <f t="shared" si="31"/>
        <v>1.3164862269426219</v>
      </c>
      <c r="K110">
        <f t="shared" si="32"/>
        <v>21.057783434139278</v>
      </c>
      <c r="L110">
        <f t="shared" si="33"/>
        <v>562.44799999999998</v>
      </c>
      <c r="M110">
        <f t="shared" si="34"/>
        <v>165.74738340086247</v>
      </c>
      <c r="N110">
        <f t="shared" si="35"/>
        <v>16.479350223696901</v>
      </c>
      <c r="O110">
        <f t="shared" si="36"/>
        <v>55.921109488656001</v>
      </c>
      <c r="P110">
        <f t="shared" si="37"/>
        <v>8.8589582008198595E-2</v>
      </c>
      <c r="Q110">
        <f t="shared" si="38"/>
        <v>2.1192359631039093</v>
      </c>
      <c r="R110">
        <f t="shared" si="39"/>
        <v>8.6582486643569573E-2</v>
      </c>
      <c r="S110">
        <f t="shared" si="40"/>
        <v>5.4290596307006903E-2</v>
      </c>
      <c r="T110">
        <f t="shared" si="41"/>
        <v>276.11411916599997</v>
      </c>
      <c r="U110">
        <f t="shared" si="42"/>
        <v>28.491749217086998</v>
      </c>
      <c r="V110">
        <f t="shared" si="43"/>
        <v>28.491749217086998</v>
      </c>
      <c r="W110">
        <f t="shared" si="44"/>
        <v>3.904997485988126</v>
      </c>
      <c r="X110">
        <f t="shared" si="45"/>
        <v>69.186747182951549</v>
      </c>
      <c r="Y110">
        <f t="shared" si="46"/>
        <v>2.4414977756810998</v>
      </c>
      <c r="Z110">
        <f t="shared" si="47"/>
        <v>3.5288518034024796</v>
      </c>
      <c r="AA110">
        <f t="shared" si="48"/>
        <v>1.4634997103070262</v>
      </c>
      <c r="AB110">
        <f t="shared" si="49"/>
        <v>-58.057042608169617</v>
      </c>
      <c r="AC110">
        <f t="shared" si="50"/>
        <v>-197.94764497614213</v>
      </c>
      <c r="AD110">
        <f t="shared" si="51"/>
        <v>-20.28444716948631</v>
      </c>
      <c r="AE110">
        <f t="shared" si="52"/>
        <v>-0.17501558779807169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52643.827097598478</v>
      </c>
      <c r="AK110">
        <f t="shared" si="56"/>
        <v>1800</v>
      </c>
      <c r="AL110">
        <f t="shared" si="57"/>
        <v>1499.1094386</v>
      </c>
      <c r="AM110">
        <f t="shared" si="58"/>
        <v>0.83283857699999997</v>
      </c>
      <c r="AN110">
        <f t="shared" si="59"/>
        <v>0.15339673287</v>
      </c>
      <c r="AO110">
        <v>32.700000000000003</v>
      </c>
      <c r="AP110">
        <v>0.5</v>
      </c>
      <c r="AQ110" t="s">
        <v>331</v>
      </c>
      <c r="AR110">
        <v>2</v>
      </c>
      <c r="AS110">
        <v>1690301969.5999999</v>
      </c>
      <c r="AT110">
        <v>562.44799999999998</v>
      </c>
      <c r="AU110">
        <v>799.97199999999998</v>
      </c>
      <c r="AV110">
        <v>24.5563</v>
      </c>
      <c r="AW110">
        <v>10.563499999999999</v>
      </c>
      <c r="AX110">
        <v>562.59699999999998</v>
      </c>
      <c r="AY110">
        <v>24.274799999999999</v>
      </c>
      <c r="AZ110">
        <v>300.09699999999998</v>
      </c>
      <c r="BA110">
        <v>99.3245</v>
      </c>
      <c r="BB110">
        <v>9.9997000000000003E-2</v>
      </c>
      <c r="BC110">
        <v>26.7592</v>
      </c>
      <c r="BD110">
        <v>26.9908</v>
      </c>
      <c r="BE110">
        <v>28.353200000000001</v>
      </c>
      <c r="BF110">
        <v>0</v>
      </c>
      <c r="BG110">
        <v>0</v>
      </c>
      <c r="BH110">
        <v>10016.200000000001</v>
      </c>
      <c r="BI110">
        <v>1077.71</v>
      </c>
      <c r="BJ110">
        <v>1.96231</v>
      </c>
      <c r="BK110">
        <v>-237.524</v>
      </c>
      <c r="BL110">
        <v>576.60699999999997</v>
      </c>
      <c r="BM110">
        <v>808.51300000000003</v>
      </c>
      <c r="BN110">
        <v>13.992800000000001</v>
      </c>
      <c r="BO110">
        <v>799.97199999999998</v>
      </c>
      <c r="BP110">
        <v>10.563499999999999</v>
      </c>
      <c r="BQ110">
        <v>2.4390399999999999</v>
      </c>
      <c r="BR110">
        <v>1.04921</v>
      </c>
      <c r="BS110">
        <v>20.625299999999999</v>
      </c>
      <c r="BT110">
        <v>7.6183199999999998</v>
      </c>
      <c r="BU110">
        <v>1800</v>
      </c>
      <c r="BV110">
        <v>0.90999699999999994</v>
      </c>
      <c r="BW110">
        <v>3.39975E-2</v>
      </c>
      <c r="BX110">
        <v>2.1990599999999999E-2</v>
      </c>
      <c r="BY110">
        <v>3.4014700000000002E-2</v>
      </c>
      <c r="BZ110">
        <v>25</v>
      </c>
      <c r="CA110">
        <v>33528.5</v>
      </c>
      <c r="CB110">
        <v>1690300477.5</v>
      </c>
      <c r="CC110" t="s">
        <v>332</v>
      </c>
      <c r="CD110">
        <v>1690300477.5</v>
      </c>
      <c r="CE110">
        <v>1690300465.5</v>
      </c>
      <c r="CF110">
        <v>7</v>
      </c>
      <c r="CG110">
        <v>5.0999999999999997E-2</v>
      </c>
      <c r="CH110">
        <v>-8.0000000000000002E-3</v>
      </c>
      <c r="CI110">
        <v>-0.316</v>
      </c>
      <c r="CJ110">
        <v>0.28199999999999997</v>
      </c>
      <c r="CK110">
        <v>800</v>
      </c>
      <c r="CL110">
        <v>24</v>
      </c>
      <c r="CM110">
        <v>0.25</v>
      </c>
      <c r="CN110">
        <v>0.13</v>
      </c>
      <c r="CO110">
        <v>-233.32053658536589</v>
      </c>
      <c r="CP110">
        <v>-24.07942160278758</v>
      </c>
      <c r="CQ110">
        <v>2.3752289758433598</v>
      </c>
      <c r="CR110">
        <v>-1</v>
      </c>
      <c r="CS110">
        <v>13.67508536585366</v>
      </c>
      <c r="CT110">
        <v>1.7107902439024321</v>
      </c>
      <c r="CU110">
        <v>0.16885138155826401</v>
      </c>
      <c r="CV110">
        <v>-1</v>
      </c>
      <c r="CW110">
        <v>0</v>
      </c>
      <c r="CX110">
        <v>0</v>
      </c>
      <c r="CY110" t="s">
        <v>333</v>
      </c>
      <c r="CZ110">
        <v>2.36443</v>
      </c>
      <c r="DA110">
        <v>2.7138</v>
      </c>
      <c r="DB110">
        <v>0.115411</v>
      </c>
      <c r="DC110">
        <v>0.14655399999999999</v>
      </c>
      <c r="DD110">
        <v>0.115747</v>
      </c>
      <c r="DE110">
        <v>6.1851000000000003E-2</v>
      </c>
      <c r="DF110">
        <v>32312.9</v>
      </c>
      <c r="DG110">
        <v>27524.1</v>
      </c>
      <c r="DH110">
        <v>31184.3</v>
      </c>
      <c r="DI110">
        <v>28101.5</v>
      </c>
      <c r="DJ110">
        <v>37435.199999999997</v>
      </c>
      <c r="DK110">
        <v>37492.6</v>
      </c>
      <c r="DL110">
        <v>44381.4</v>
      </c>
      <c r="DM110">
        <v>42596.1</v>
      </c>
      <c r="DN110">
        <v>1.4775799999999999</v>
      </c>
      <c r="DO110">
        <v>2.0490300000000001</v>
      </c>
      <c r="DP110">
        <v>9.33036E-2</v>
      </c>
      <c r="DQ110">
        <v>0.18903600000000001</v>
      </c>
      <c r="DR110">
        <v>25.463000000000001</v>
      </c>
      <c r="DS110">
        <v>25.2607</v>
      </c>
      <c r="DT110">
        <v>55.7</v>
      </c>
      <c r="DU110">
        <v>28.9</v>
      </c>
      <c r="DV110">
        <v>22.422599999999999</v>
      </c>
      <c r="DW110">
        <v>61.521099999999997</v>
      </c>
      <c r="DX110">
        <v>36.5184</v>
      </c>
      <c r="DY110">
        <v>1</v>
      </c>
      <c r="DZ110">
        <v>-0.10001</v>
      </c>
      <c r="EA110">
        <v>-0.24007100000000001</v>
      </c>
      <c r="EB110">
        <v>20.189800000000002</v>
      </c>
      <c r="EC110">
        <v>5.2409499999999998</v>
      </c>
      <c r="ED110">
        <v>12.039899999999999</v>
      </c>
      <c r="EE110">
        <v>5.01715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</v>
      </c>
      <c r="EL110">
        <v>1.8646199999999999</v>
      </c>
      <c r="EM110">
        <v>1.8691899999999999</v>
      </c>
      <c r="EN110">
        <v>1.8672299999999999</v>
      </c>
      <c r="EO110">
        <v>1.8633900000000001</v>
      </c>
      <c r="EP110">
        <v>1.8644799999999999</v>
      </c>
      <c r="EQ110">
        <v>1.87015</v>
      </c>
      <c r="ER110">
        <v>1.8694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-0.14899999999999999</v>
      </c>
      <c r="FG110">
        <v>0.28149999999999997</v>
      </c>
      <c r="FH110">
        <v>0.23539598422606861</v>
      </c>
      <c r="FI110">
        <v>-6.1462078757559423E-4</v>
      </c>
      <c r="FJ110">
        <v>-1.8861989874597051E-7</v>
      </c>
      <c r="FK110">
        <v>1.1980462299894961E-10</v>
      </c>
      <c r="FL110">
        <v>0.28151999999999688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24.9</v>
      </c>
      <c r="FU110">
        <v>25.1</v>
      </c>
      <c r="FV110">
        <v>1.78101</v>
      </c>
      <c r="FW110">
        <v>2.5878899999999998</v>
      </c>
      <c r="FX110">
        <v>1.5490699999999999</v>
      </c>
      <c r="FY110">
        <v>2.3290999999999999</v>
      </c>
      <c r="FZ110">
        <v>1.50146</v>
      </c>
      <c r="GA110">
        <v>2.2863799999999999</v>
      </c>
      <c r="GB110">
        <v>33.625399999999999</v>
      </c>
      <c r="GC110">
        <v>23.973700000000001</v>
      </c>
      <c r="GD110">
        <v>19</v>
      </c>
      <c r="GE110">
        <v>283.17899999999997</v>
      </c>
      <c r="GF110">
        <v>592.87699999999995</v>
      </c>
      <c r="GG110">
        <v>25.101800000000001</v>
      </c>
      <c r="GH110">
        <v>26.148900000000001</v>
      </c>
      <c r="GI110">
        <v>29.9999</v>
      </c>
      <c r="GJ110">
        <v>26.286100000000001</v>
      </c>
      <c r="GK110">
        <v>26.2685</v>
      </c>
      <c r="GL110">
        <v>35.604900000000001</v>
      </c>
      <c r="GM110">
        <v>55.698300000000003</v>
      </c>
      <c r="GN110">
        <v>85.100800000000007</v>
      </c>
      <c r="GO110">
        <v>25.1037</v>
      </c>
      <c r="GP110">
        <v>800</v>
      </c>
      <c r="GQ110">
        <v>10.3889</v>
      </c>
      <c r="GR110">
        <v>99.780600000000007</v>
      </c>
      <c r="GS110">
        <v>99.643299999999996</v>
      </c>
    </row>
    <row r="111" spans="1:201" x14ac:dyDescent="0.25">
      <c r="A111">
        <v>95</v>
      </c>
      <c r="B111">
        <v>1690301979.5999999</v>
      </c>
      <c r="C111">
        <v>1075.599999904633</v>
      </c>
      <c r="D111" t="s">
        <v>521</v>
      </c>
      <c r="E111" t="s">
        <v>522</v>
      </c>
      <c r="F111" t="s">
        <v>330</v>
      </c>
      <c r="H111">
        <v>1690301979.5999999</v>
      </c>
      <c r="I111">
        <f t="shared" si="30"/>
        <v>1.3426787446847448E-3</v>
      </c>
      <c r="J111">
        <f t="shared" si="31"/>
        <v>1.3426787446847448</v>
      </c>
      <c r="K111">
        <f t="shared" si="32"/>
        <v>21.418213172408525</v>
      </c>
      <c r="L111">
        <f t="shared" si="33"/>
        <v>558.57899999999995</v>
      </c>
      <c r="M111">
        <f t="shared" si="34"/>
        <v>163.12842412459199</v>
      </c>
      <c r="N111">
        <f t="shared" si="35"/>
        <v>16.218754831276858</v>
      </c>
      <c r="O111">
        <f t="shared" si="36"/>
        <v>55.53572839017</v>
      </c>
      <c r="P111">
        <f t="shared" si="37"/>
        <v>9.0419052493636728E-2</v>
      </c>
      <c r="Q111">
        <f t="shared" si="38"/>
        <v>2.1139071204417439</v>
      </c>
      <c r="R111">
        <f t="shared" si="39"/>
        <v>8.8324120635406803E-2</v>
      </c>
      <c r="S111">
        <f t="shared" si="40"/>
        <v>5.5386754041384698E-2</v>
      </c>
      <c r="T111">
        <f t="shared" si="41"/>
        <v>276.11511337800005</v>
      </c>
      <c r="U111">
        <f t="shared" si="42"/>
        <v>28.49261254625673</v>
      </c>
      <c r="V111">
        <f t="shared" si="43"/>
        <v>28.49261254625673</v>
      </c>
      <c r="W111">
        <f t="shared" si="44"/>
        <v>3.9051933087082018</v>
      </c>
      <c r="X111">
        <f t="shared" si="45"/>
        <v>69.177092474449452</v>
      </c>
      <c r="Y111">
        <f t="shared" si="46"/>
        <v>2.4420333752600003</v>
      </c>
      <c r="Z111">
        <f t="shared" si="47"/>
        <v>3.530118552123255</v>
      </c>
      <c r="AA111">
        <f t="shared" si="48"/>
        <v>1.4631599334482015</v>
      </c>
      <c r="AB111">
        <f t="shared" si="49"/>
        <v>-59.212132640597247</v>
      </c>
      <c r="AC111">
        <f t="shared" si="50"/>
        <v>-196.85310641147797</v>
      </c>
      <c r="AD111">
        <f t="shared" si="51"/>
        <v>-20.223838577522436</v>
      </c>
      <c r="AE111">
        <f t="shared" si="52"/>
        <v>-0.17396425159759588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52409.115833431693</v>
      </c>
      <c r="AK111">
        <f t="shared" si="56"/>
        <v>1800</v>
      </c>
      <c r="AL111">
        <f t="shared" si="57"/>
        <v>1499.1112187999997</v>
      </c>
      <c r="AM111">
        <f t="shared" si="58"/>
        <v>0.83283956599999986</v>
      </c>
      <c r="AN111">
        <f t="shared" si="59"/>
        <v>0.15339728521000001</v>
      </c>
      <c r="AO111">
        <v>32.700000000000003</v>
      </c>
      <c r="AP111">
        <v>0.5</v>
      </c>
      <c r="AQ111" t="s">
        <v>331</v>
      </c>
      <c r="AR111">
        <v>2</v>
      </c>
      <c r="AS111">
        <v>1690301979.5999999</v>
      </c>
      <c r="AT111">
        <v>558.57899999999995</v>
      </c>
      <c r="AU111">
        <v>800.04100000000005</v>
      </c>
      <c r="AV111">
        <v>24.562000000000001</v>
      </c>
      <c r="AW111">
        <v>10.2964</v>
      </c>
      <c r="AX111">
        <v>558.72500000000002</v>
      </c>
      <c r="AY111">
        <v>24.2805</v>
      </c>
      <c r="AZ111">
        <v>300.21300000000002</v>
      </c>
      <c r="BA111">
        <v>99.3232</v>
      </c>
      <c r="BB111">
        <v>0.10002999999999999</v>
      </c>
      <c r="BC111">
        <v>26.7653</v>
      </c>
      <c r="BD111">
        <v>26.967700000000001</v>
      </c>
      <c r="BE111">
        <v>28.351900000000001</v>
      </c>
      <c r="BF111">
        <v>0</v>
      </c>
      <c r="BG111">
        <v>0</v>
      </c>
      <c r="BH111">
        <v>9970</v>
      </c>
      <c r="BI111">
        <v>1077.8699999999999</v>
      </c>
      <c r="BJ111">
        <v>1.96231</v>
      </c>
      <c r="BK111">
        <v>-241.46100000000001</v>
      </c>
      <c r="BL111">
        <v>572.64499999999998</v>
      </c>
      <c r="BM111">
        <v>808.36400000000003</v>
      </c>
      <c r="BN111">
        <v>14.265599999999999</v>
      </c>
      <c r="BO111">
        <v>800.04100000000005</v>
      </c>
      <c r="BP111">
        <v>10.2964</v>
      </c>
      <c r="BQ111">
        <v>2.4395799999999999</v>
      </c>
      <c r="BR111">
        <v>1.02268</v>
      </c>
      <c r="BS111">
        <v>20.628900000000002</v>
      </c>
      <c r="BT111">
        <v>7.2435</v>
      </c>
      <c r="BU111">
        <v>1800</v>
      </c>
      <c r="BV111">
        <v>0.90999399999999997</v>
      </c>
      <c r="BW111">
        <v>3.3995900000000003E-2</v>
      </c>
      <c r="BX111">
        <v>2.1997300000000001E-2</v>
      </c>
      <c r="BY111">
        <v>3.4013099999999998E-2</v>
      </c>
      <c r="BZ111">
        <v>25.041699999999999</v>
      </c>
      <c r="CA111">
        <v>33528.400000000001</v>
      </c>
      <c r="CB111">
        <v>1690300477.5</v>
      </c>
      <c r="CC111" t="s">
        <v>332</v>
      </c>
      <c r="CD111">
        <v>1690300477.5</v>
      </c>
      <c r="CE111">
        <v>1690300465.5</v>
      </c>
      <c r="CF111">
        <v>7</v>
      </c>
      <c r="CG111">
        <v>5.0999999999999997E-2</v>
      </c>
      <c r="CH111">
        <v>-8.0000000000000002E-3</v>
      </c>
      <c r="CI111">
        <v>-0.316</v>
      </c>
      <c r="CJ111">
        <v>0.28199999999999997</v>
      </c>
      <c r="CK111">
        <v>800</v>
      </c>
      <c r="CL111">
        <v>24</v>
      </c>
      <c r="CM111">
        <v>0.25</v>
      </c>
      <c r="CN111">
        <v>0.13</v>
      </c>
      <c r="CO111">
        <v>-237.2612682926829</v>
      </c>
      <c r="CP111">
        <v>-23.236034843205658</v>
      </c>
      <c r="CQ111">
        <v>2.2924346949167518</v>
      </c>
      <c r="CR111">
        <v>-1</v>
      </c>
      <c r="CS111">
        <v>13.961258536585371</v>
      </c>
      <c r="CT111">
        <v>1.687149825783959</v>
      </c>
      <c r="CU111">
        <v>0.16646492485690351</v>
      </c>
      <c r="CV111">
        <v>-1</v>
      </c>
      <c r="CW111">
        <v>0</v>
      </c>
      <c r="CX111">
        <v>0</v>
      </c>
      <c r="CY111" t="s">
        <v>333</v>
      </c>
      <c r="CZ111">
        <v>2.3648199999999999</v>
      </c>
      <c r="DA111">
        <v>2.7138</v>
      </c>
      <c r="DB111">
        <v>0.114843</v>
      </c>
      <c r="DC111">
        <v>0.14655599999999999</v>
      </c>
      <c r="DD111">
        <v>0.11576500000000001</v>
      </c>
      <c r="DE111">
        <v>6.0650500000000003E-2</v>
      </c>
      <c r="DF111">
        <v>32333.9</v>
      </c>
      <c r="DG111">
        <v>27523.9</v>
      </c>
      <c r="DH111">
        <v>31184.5</v>
      </c>
      <c r="DI111">
        <v>28101.3</v>
      </c>
      <c r="DJ111">
        <v>37434.800000000003</v>
      </c>
      <c r="DK111">
        <v>37540.699999999997</v>
      </c>
      <c r="DL111">
        <v>44381.9</v>
      </c>
      <c r="DM111">
        <v>42596.1</v>
      </c>
      <c r="DN111">
        <v>1.4778</v>
      </c>
      <c r="DO111">
        <v>2.0487500000000001</v>
      </c>
      <c r="DP111">
        <v>9.1977400000000001E-2</v>
      </c>
      <c r="DQ111">
        <v>0.18895799999999999</v>
      </c>
      <c r="DR111">
        <v>25.461600000000001</v>
      </c>
      <c r="DS111">
        <v>25.2607</v>
      </c>
      <c r="DT111">
        <v>55.5</v>
      </c>
      <c r="DU111">
        <v>28.8</v>
      </c>
      <c r="DV111">
        <v>22.217600000000001</v>
      </c>
      <c r="DW111">
        <v>61.601100000000002</v>
      </c>
      <c r="DX111">
        <v>35.781199999999998</v>
      </c>
      <c r="DY111">
        <v>1</v>
      </c>
      <c r="DZ111">
        <v>-0.100457</v>
      </c>
      <c r="EA111">
        <v>-0.248916</v>
      </c>
      <c r="EB111">
        <v>20.189699999999998</v>
      </c>
      <c r="EC111">
        <v>5.2411000000000003</v>
      </c>
      <c r="ED111">
        <v>12.039899999999999</v>
      </c>
      <c r="EE111">
        <v>5.0170000000000003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1.8689199999999999</v>
      </c>
      <c r="EL111">
        <v>1.8646199999999999</v>
      </c>
      <c r="EM111">
        <v>1.8692</v>
      </c>
      <c r="EN111">
        <v>1.8672299999999999</v>
      </c>
      <c r="EO111">
        <v>1.8633999999999999</v>
      </c>
      <c r="EP111">
        <v>1.8644700000000001</v>
      </c>
      <c r="EQ111">
        <v>1.8701700000000001</v>
      </c>
      <c r="ER111">
        <v>1.8694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-0.14599999999999999</v>
      </c>
      <c r="FG111">
        <v>0.28149999999999997</v>
      </c>
      <c r="FH111">
        <v>0.23539598422606861</v>
      </c>
      <c r="FI111">
        <v>-6.1462078757559423E-4</v>
      </c>
      <c r="FJ111">
        <v>-1.8861989874597051E-7</v>
      </c>
      <c r="FK111">
        <v>1.1980462299894961E-10</v>
      </c>
      <c r="FL111">
        <v>0.28151999999999688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25</v>
      </c>
      <c r="FU111">
        <v>25.2</v>
      </c>
      <c r="FV111">
        <v>1.78101</v>
      </c>
      <c r="FW111">
        <v>2.5903299999999998</v>
      </c>
      <c r="FX111">
        <v>1.5490699999999999</v>
      </c>
      <c r="FY111">
        <v>2.3290999999999999</v>
      </c>
      <c r="FZ111">
        <v>1.50146</v>
      </c>
      <c r="GA111">
        <v>2.3706100000000001</v>
      </c>
      <c r="GB111">
        <v>33.625399999999999</v>
      </c>
      <c r="GC111">
        <v>23.982399999999998</v>
      </c>
      <c r="GD111">
        <v>19</v>
      </c>
      <c r="GE111">
        <v>283.25700000000001</v>
      </c>
      <c r="GF111">
        <v>592.60400000000004</v>
      </c>
      <c r="GG111">
        <v>25.118200000000002</v>
      </c>
      <c r="GH111">
        <v>26.145600000000002</v>
      </c>
      <c r="GI111">
        <v>30</v>
      </c>
      <c r="GJ111">
        <v>26.2822</v>
      </c>
      <c r="GK111">
        <v>26.264700000000001</v>
      </c>
      <c r="GL111">
        <v>35.600900000000003</v>
      </c>
      <c r="GM111">
        <v>56.5884</v>
      </c>
      <c r="GN111">
        <v>84.347399999999993</v>
      </c>
      <c r="GO111">
        <v>25.125800000000002</v>
      </c>
      <c r="GP111">
        <v>800</v>
      </c>
      <c r="GQ111">
        <v>10.116</v>
      </c>
      <c r="GR111">
        <v>99.781599999999997</v>
      </c>
      <c r="GS111">
        <v>99.643100000000004</v>
      </c>
    </row>
    <row r="112" spans="1:201" x14ac:dyDescent="0.25">
      <c r="A112">
        <v>96</v>
      </c>
      <c r="B112">
        <v>1690301989.5999999</v>
      </c>
      <c r="C112">
        <v>1085.599999904633</v>
      </c>
      <c r="D112" t="s">
        <v>523</v>
      </c>
      <c r="E112" t="s">
        <v>524</v>
      </c>
      <c r="F112" t="s">
        <v>330</v>
      </c>
      <c r="H112">
        <v>1690301989.5999999</v>
      </c>
      <c r="I112">
        <f t="shared" si="30"/>
        <v>1.3695357055206537E-3</v>
      </c>
      <c r="J112">
        <f t="shared" si="31"/>
        <v>1.3695357055206536</v>
      </c>
      <c r="K112">
        <f t="shared" si="32"/>
        <v>21.774663413266008</v>
      </c>
      <c r="L112">
        <f t="shared" si="33"/>
        <v>554.67899999999997</v>
      </c>
      <c r="M112">
        <f t="shared" si="34"/>
        <v>161.13270244748253</v>
      </c>
      <c r="N112">
        <f t="shared" si="35"/>
        <v>16.021462631670968</v>
      </c>
      <c r="O112">
        <f t="shared" si="36"/>
        <v>55.151863874244</v>
      </c>
      <c r="P112">
        <f t="shared" si="37"/>
        <v>9.2399490615885038E-2</v>
      </c>
      <c r="Q112">
        <f t="shared" si="38"/>
        <v>2.1131936659805808</v>
      </c>
      <c r="R112">
        <f t="shared" si="39"/>
        <v>9.02122596214016E-2</v>
      </c>
      <c r="S112">
        <f t="shared" si="40"/>
        <v>5.6574863984739973E-2</v>
      </c>
      <c r="T112">
        <f t="shared" si="41"/>
        <v>276.11443108841632</v>
      </c>
      <c r="U112">
        <f t="shared" si="42"/>
        <v>28.489092948060392</v>
      </c>
      <c r="V112">
        <f t="shared" si="43"/>
        <v>28.489092948060392</v>
      </c>
      <c r="W112">
        <f t="shared" si="44"/>
        <v>3.9043950373833156</v>
      </c>
      <c r="X112">
        <f t="shared" si="45"/>
        <v>69.185332735637886</v>
      </c>
      <c r="Y112">
        <f t="shared" si="46"/>
        <v>2.443100328756</v>
      </c>
      <c r="Z112">
        <f t="shared" si="47"/>
        <v>3.5312402674874188</v>
      </c>
      <c r="AA112">
        <f t="shared" si="48"/>
        <v>1.4612947086273156</v>
      </c>
      <c r="AB112">
        <f t="shared" si="49"/>
        <v>-60.396524613460826</v>
      </c>
      <c r="AC112">
        <f t="shared" si="50"/>
        <v>-195.77048890514479</v>
      </c>
      <c r="AD112">
        <f t="shared" si="51"/>
        <v>-20.119592585659518</v>
      </c>
      <c r="AE112">
        <f t="shared" si="52"/>
        <v>-0.17217501584880779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52377.09333846606</v>
      </c>
      <c r="AK112">
        <f t="shared" si="56"/>
        <v>1799.99</v>
      </c>
      <c r="AL112">
        <f t="shared" si="57"/>
        <v>1499.1030362035299</v>
      </c>
      <c r="AM112">
        <f t="shared" si="58"/>
        <v>0.83283964699999991</v>
      </c>
      <c r="AN112">
        <f t="shared" si="59"/>
        <v>0.15339775837</v>
      </c>
      <c r="AO112">
        <v>32.700000000000003</v>
      </c>
      <c r="AP112">
        <v>0.5</v>
      </c>
      <c r="AQ112" t="s">
        <v>331</v>
      </c>
      <c r="AR112">
        <v>2</v>
      </c>
      <c r="AS112">
        <v>1690301989.5999999</v>
      </c>
      <c r="AT112">
        <v>554.67899999999997</v>
      </c>
      <c r="AU112">
        <v>800.08299999999997</v>
      </c>
      <c r="AV112">
        <v>24.571000000000002</v>
      </c>
      <c r="AW112">
        <v>10.0229</v>
      </c>
      <c r="AX112">
        <v>554.822</v>
      </c>
      <c r="AY112">
        <v>24.2895</v>
      </c>
      <c r="AZ112">
        <v>300.26900000000001</v>
      </c>
      <c r="BA112">
        <v>99.330100000000002</v>
      </c>
      <c r="BB112">
        <v>0.100136</v>
      </c>
      <c r="BC112">
        <v>26.770700000000001</v>
      </c>
      <c r="BD112">
        <v>26.991599999999998</v>
      </c>
      <c r="BE112">
        <v>28.3431</v>
      </c>
      <c r="BF112">
        <v>0</v>
      </c>
      <c r="BG112">
        <v>0</v>
      </c>
      <c r="BH112">
        <v>9963.1200000000008</v>
      </c>
      <c r="BI112">
        <v>1077.83</v>
      </c>
      <c r="BJ112">
        <v>1.96231</v>
      </c>
      <c r="BK112">
        <v>-245.404</v>
      </c>
      <c r="BL112">
        <v>568.65099999999995</v>
      </c>
      <c r="BM112">
        <v>808.18299999999999</v>
      </c>
      <c r="BN112">
        <v>14.5482</v>
      </c>
      <c r="BO112">
        <v>800.08299999999997</v>
      </c>
      <c r="BP112">
        <v>10.0229</v>
      </c>
      <c r="BQ112">
        <v>2.4406400000000001</v>
      </c>
      <c r="BR112">
        <v>0.99557399999999996</v>
      </c>
      <c r="BS112">
        <v>20.635999999999999</v>
      </c>
      <c r="BT112">
        <v>6.8517700000000001</v>
      </c>
      <c r="BU112">
        <v>1799.99</v>
      </c>
      <c r="BV112">
        <v>0.90998800000000002</v>
      </c>
      <c r="BW112">
        <v>3.3994999999999997E-2</v>
      </c>
      <c r="BX112">
        <v>2.2004599999999999E-2</v>
      </c>
      <c r="BY112">
        <v>3.4012300000000002E-2</v>
      </c>
      <c r="BZ112">
        <v>25.208300000000001</v>
      </c>
      <c r="CA112">
        <v>33528.199999999997</v>
      </c>
      <c r="CB112">
        <v>1690300477.5</v>
      </c>
      <c r="CC112" t="s">
        <v>332</v>
      </c>
      <c r="CD112">
        <v>1690300477.5</v>
      </c>
      <c r="CE112">
        <v>1690300465.5</v>
      </c>
      <c r="CF112">
        <v>7</v>
      </c>
      <c r="CG112">
        <v>5.0999999999999997E-2</v>
      </c>
      <c r="CH112">
        <v>-8.0000000000000002E-3</v>
      </c>
      <c r="CI112">
        <v>-0.316</v>
      </c>
      <c r="CJ112">
        <v>0.28199999999999997</v>
      </c>
      <c r="CK112">
        <v>800</v>
      </c>
      <c r="CL112">
        <v>24</v>
      </c>
      <c r="CM112">
        <v>0.25</v>
      </c>
      <c r="CN112">
        <v>0.13</v>
      </c>
      <c r="CO112">
        <v>-241.4633</v>
      </c>
      <c r="CP112">
        <v>-23.386041275797119</v>
      </c>
      <c r="CQ112">
        <v>2.2523458238023739</v>
      </c>
      <c r="CR112">
        <v>-1</v>
      </c>
      <c r="CS112">
        <v>14.265404999999999</v>
      </c>
      <c r="CT112">
        <v>1.707807129455917</v>
      </c>
      <c r="CU112">
        <v>0.16440938530083979</v>
      </c>
      <c r="CV112">
        <v>-1</v>
      </c>
      <c r="CW112">
        <v>0</v>
      </c>
      <c r="CX112">
        <v>0</v>
      </c>
      <c r="CY112" t="s">
        <v>333</v>
      </c>
      <c r="CZ112">
        <v>2.36503</v>
      </c>
      <c r="DA112">
        <v>2.7139000000000002</v>
      </c>
      <c r="DB112">
        <v>0.114278</v>
      </c>
      <c r="DC112">
        <v>0.146567</v>
      </c>
      <c r="DD112">
        <v>0.115804</v>
      </c>
      <c r="DE112">
        <v>5.9414000000000002E-2</v>
      </c>
      <c r="DF112">
        <v>32354.400000000001</v>
      </c>
      <c r="DG112">
        <v>27523.7</v>
      </c>
      <c r="DH112">
        <v>31184.3</v>
      </c>
      <c r="DI112">
        <v>28101.5</v>
      </c>
      <c r="DJ112">
        <v>37432.800000000003</v>
      </c>
      <c r="DK112">
        <v>37590.199999999997</v>
      </c>
      <c r="DL112">
        <v>44381.599999999999</v>
      </c>
      <c r="DM112">
        <v>42596.1</v>
      </c>
      <c r="DN112">
        <v>1.4780800000000001</v>
      </c>
      <c r="DO112">
        <v>2.0478299999999998</v>
      </c>
      <c r="DP112">
        <v>9.3318499999999999E-2</v>
      </c>
      <c r="DQ112">
        <v>0.18829099999999999</v>
      </c>
      <c r="DR112">
        <v>25.4635</v>
      </c>
      <c r="DS112">
        <v>25.262799999999999</v>
      </c>
      <c r="DT112">
        <v>55.3</v>
      </c>
      <c r="DU112">
        <v>28.8</v>
      </c>
      <c r="DV112">
        <v>22.1325</v>
      </c>
      <c r="DW112">
        <v>61.531100000000002</v>
      </c>
      <c r="DX112">
        <v>35.9054</v>
      </c>
      <c r="DY112">
        <v>1</v>
      </c>
      <c r="DZ112">
        <v>-0.100595</v>
      </c>
      <c r="EA112">
        <v>-0.287437</v>
      </c>
      <c r="EB112">
        <v>20.189399999999999</v>
      </c>
      <c r="EC112">
        <v>5.2409499999999998</v>
      </c>
      <c r="ED112">
        <v>12.039899999999999</v>
      </c>
      <c r="EE112">
        <v>5.0169499999999996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1.8689100000000001</v>
      </c>
      <c r="EL112">
        <v>1.8646199999999999</v>
      </c>
      <c r="EM112">
        <v>1.8692</v>
      </c>
      <c r="EN112">
        <v>1.8672500000000001</v>
      </c>
      <c r="EO112">
        <v>1.8633999999999999</v>
      </c>
      <c r="EP112">
        <v>1.8644700000000001</v>
      </c>
      <c r="EQ112">
        <v>1.87019</v>
      </c>
      <c r="ER112">
        <v>1.8694299999999999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-0.14299999999999999</v>
      </c>
      <c r="FG112">
        <v>0.28149999999999997</v>
      </c>
      <c r="FH112">
        <v>0.23539598422606861</v>
      </c>
      <c r="FI112">
        <v>-6.1462078757559423E-4</v>
      </c>
      <c r="FJ112">
        <v>-1.8861989874597051E-7</v>
      </c>
      <c r="FK112">
        <v>1.1980462299894961E-10</v>
      </c>
      <c r="FL112">
        <v>0.28151999999999688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25.2</v>
      </c>
      <c r="FU112">
        <v>25.4</v>
      </c>
      <c r="FV112">
        <v>1.77979</v>
      </c>
      <c r="FW112">
        <v>2.5866699999999998</v>
      </c>
      <c r="FX112">
        <v>1.5490699999999999</v>
      </c>
      <c r="FY112">
        <v>2.3278799999999999</v>
      </c>
      <c r="FZ112">
        <v>1.50146</v>
      </c>
      <c r="GA112">
        <v>2.3938000000000001</v>
      </c>
      <c r="GB112">
        <v>33.625399999999999</v>
      </c>
      <c r="GC112">
        <v>23.991199999999999</v>
      </c>
      <c r="GD112">
        <v>19</v>
      </c>
      <c r="GE112">
        <v>283.36399999999998</v>
      </c>
      <c r="GF112">
        <v>591.79999999999995</v>
      </c>
      <c r="GG112">
        <v>25.152100000000001</v>
      </c>
      <c r="GH112">
        <v>26.142700000000001</v>
      </c>
      <c r="GI112">
        <v>29.9999</v>
      </c>
      <c r="GJ112">
        <v>26.279699999999998</v>
      </c>
      <c r="GK112">
        <v>26.2621</v>
      </c>
      <c r="GL112">
        <v>35.587600000000002</v>
      </c>
      <c r="GM112">
        <v>57.429600000000001</v>
      </c>
      <c r="GN112">
        <v>83.528800000000004</v>
      </c>
      <c r="GO112">
        <v>25.158300000000001</v>
      </c>
      <c r="GP112">
        <v>800</v>
      </c>
      <c r="GQ112">
        <v>9.84253</v>
      </c>
      <c r="GR112">
        <v>99.781000000000006</v>
      </c>
      <c r="GS112">
        <v>99.643500000000003</v>
      </c>
    </row>
    <row r="113" spans="1:201" x14ac:dyDescent="0.25">
      <c r="A113">
        <v>97</v>
      </c>
      <c r="B113">
        <v>1690301999.5999999</v>
      </c>
      <c r="C113">
        <v>1095.599999904633</v>
      </c>
      <c r="D113" t="s">
        <v>525</v>
      </c>
      <c r="E113" t="s">
        <v>526</v>
      </c>
      <c r="F113" t="s">
        <v>330</v>
      </c>
      <c r="H113">
        <v>1690301999.5999999</v>
      </c>
      <c r="I113">
        <f t="shared" si="30"/>
        <v>1.3953295235422691E-3</v>
      </c>
      <c r="J113">
        <f t="shared" si="31"/>
        <v>1.3953295235422691</v>
      </c>
      <c r="K113">
        <f t="shared" si="32"/>
        <v>22.095505017270586</v>
      </c>
      <c r="L113">
        <f t="shared" si="33"/>
        <v>550.93799999999999</v>
      </c>
      <c r="M113">
        <f t="shared" si="34"/>
        <v>159.67136636921373</v>
      </c>
      <c r="N113">
        <f t="shared" si="35"/>
        <v>15.875998855575371</v>
      </c>
      <c r="O113">
        <f t="shared" si="36"/>
        <v>54.779333680077002</v>
      </c>
      <c r="P113">
        <f t="shared" si="37"/>
        <v>9.4337810545463641E-2</v>
      </c>
      <c r="Q113">
        <f t="shared" si="38"/>
        <v>2.1162808705409977</v>
      </c>
      <c r="R113">
        <f t="shared" si="39"/>
        <v>9.2062308094064793E-2</v>
      </c>
      <c r="S113">
        <f t="shared" si="40"/>
        <v>5.7738815911629368E-2</v>
      </c>
      <c r="T113">
        <f t="shared" si="41"/>
        <v>276.11639789399993</v>
      </c>
      <c r="U113">
        <f t="shared" si="42"/>
        <v>28.479980545177998</v>
      </c>
      <c r="V113">
        <f t="shared" si="43"/>
        <v>28.479980545177998</v>
      </c>
      <c r="W113">
        <f t="shared" si="44"/>
        <v>3.9023289371434755</v>
      </c>
      <c r="X113">
        <f t="shared" si="45"/>
        <v>69.185804455401339</v>
      </c>
      <c r="Y113">
        <f t="shared" si="46"/>
        <v>2.4434332238009002</v>
      </c>
      <c r="Z113">
        <f t="shared" si="47"/>
        <v>3.5316973518404202</v>
      </c>
      <c r="AA113">
        <f t="shared" si="48"/>
        <v>1.4588957133425753</v>
      </c>
      <c r="AB113">
        <f t="shared" si="49"/>
        <v>-61.534031988214068</v>
      </c>
      <c r="AC113">
        <f t="shared" si="50"/>
        <v>-194.76582847317985</v>
      </c>
      <c r="AD113">
        <f t="shared" si="51"/>
        <v>-19.986451227969575</v>
      </c>
      <c r="AE113">
        <f t="shared" si="52"/>
        <v>-0.16991379536352724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52511.892581076812</v>
      </c>
      <c r="AK113">
        <f t="shared" si="56"/>
        <v>1800</v>
      </c>
      <c r="AL113">
        <f t="shared" si="57"/>
        <v>1499.1115464</v>
      </c>
      <c r="AM113">
        <f t="shared" si="58"/>
        <v>0.83283974799999994</v>
      </c>
      <c r="AN113">
        <f t="shared" si="59"/>
        <v>0.15339799882999997</v>
      </c>
      <c r="AO113">
        <v>32.700000000000003</v>
      </c>
      <c r="AP113">
        <v>0.5</v>
      </c>
      <c r="AQ113" t="s">
        <v>331</v>
      </c>
      <c r="AR113">
        <v>2</v>
      </c>
      <c r="AS113">
        <v>1690301999.5999999</v>
      </c>
      <c r="AT113">
        <v>550.93799999999999</v>
      </c>
      <c r="AU113">
        <v>800.09100000000001</v>
      </c>
      <c r="AV113">
        <v>24.5746</v>
      </c>
      <c r="AW113">
        <v>9.7432700000000008</v>
      </c>
      <c r="AX113">
        <v>551.07899999999995</v>
      </c>
      <c r="AY113">
        <v>24.293099999999999</v>
      </c>
      <c r="AZ113">
        <v>300.08100000000002</v>
      </c>
      <c r="BA113">
        <v>99.329300000000003</v>
      </c>
      <c r="BB113">
        <v>9.9916500000000005E-2</v>
      </c>
      <c r="BC113">
        <v>26.7729</v>
      </c>
      <c r="BD113">
        <v>26.99</v>
      </c>
      <c r="BE113">
        <v>28.345099999999999</v>
      </c>
      <c r="BF113">
        <v>0</v>
      </c>
      <c r="BG113">
        <v>0</v>
      </c>
      <c r="BH113">
        <v>9990</v>
      </c>
      <c r="BI113">
        <v>1077.8699999999999</v>
      </c>
      <c r="BJ113">
        <v>1.96231</v>
      </c>
      <c r="BK113">
        <v>-249.15299999999999</v>
      </c>
      <c r="BL113">
        <v>564.81899999999996</v>
      </c>
      <c r="BM113">
        <v>807.96299999999997</v>
      </c>
      <c r="BN113">
        <v>14.831300000000001</v>
      </c>
      <c r="BO113">
        <v>800.09100000000001</v>
      </c>
      <c r="BP113">
        <v>9.7432700000000008</v>
      </c>
      <c r="BQ113">
        <v>2.4409800000000001</v>
      </c>
      <c r="BR113">
        <v>0.96779300000000001</v>
      </c>
      <c r="BS113">
        <v>20.638200000000001</v>
      </c>
      <c r="BT113">
        <v>6.4403199999999998</v>
      </c>
      <c r="BU113">
        <v>1800</v>
      </c>
      <c r="BV113">
        <v>0.90998599999999996</v>
      </c>
      <c r="BW113">
        <v>3.3993700000000002E-2</v>
      </c>
      <c r="BX113">
        <v>2.2008900000000001E-2</v>
      </c>
      <c r="BY113">
        <v>3.4010899999999997E-2</v>
      </c>
      <c r="BZ113">
        <v>25.333300000000001</v>
      </c>
      <c r="CA113">
        <v>33528.300000000003</v>
      </c>
      <c r="CB113">
        <v>1690300477.5</v>
      </c>
      <c r="CC113" t="s">
        <v>332</v>
      </c>
      <c r="CD113">
        <v>1690300477.5</v>
      </c>
      <c r="CE113">
        <v>1690300465.5</v>
      </c>
      <c r="CF113">
        <v>7</v>
      </c>
      <c r="CG113">
        <v>5.0999999999999997E-2</v>
      </c>
      <c r="CH113">
        <v>-8.0000000000000002E-3</v>
      </c>
      <c r="CI113">
        <v>-0.316</v>
      </c>
      <c r="CJ113">
        <v>0.28199999999999997</v>
      </c>
      <c r="CK113">
        <v>800</v>
      </c>
      <c r="CL113">
        <v>24</v>
      </c>
      <c r="CM113">
        <v>0.25</v>
      </c>
      <c r="CN113">
        <v>0.13</v>
      </c>
      <c r="CO113">
        <v>-244.92189999999999</v>
      </c>
      <c r="CP113">
        <v>-22.371174484052521</v>
      </c>
      <c r="CQ113">
        <v>2.154184402505972</v>
      </c>
      <c r="CR113">
        <v>-1</v>
      </c>
      <c r="CS113">
        <v>14.517277500000001</v>
      </c>
      <c r="CT113">
        <v>1.701706941838631</v>
      </c>
      <c r="CU113">
        <v>0.1638828720267923</v>
      </c>
      <c r="CV113">
        <v>-1</v>
      </c>
      <c r="CW113">
        <v>0</v>
      </c>
      <c r="CX113">
        <v>0</v>
      </c>
      <c r="CY113" t="s">
        <v>333</v>
      </c>
      <c r="CZ113">
        <v>2.3643900000000002</v>
      </c>
      <c r="DA113">
        <v>2.7136999999999998</v>
      </c>
      <c r="DB113">
        <v>0.11372500000000001</v>
      </c>
      <c r="DC113">
        <v>0.146562</v>
      </c>
      <c r="DD113">
        <v>0.115816</v>
      </c>
      <c r="DE113">
        <v>5.81331E-2</v>
      </c>
      <c r="DF113">
        <v>32374.799999999999</v>
      </c>
      <c r="DG113">
        <v>27524</v>
      </c>
      <c r="DH113">
        <v>31184.5</v>
      </c>
      <c r="DI113">
        <v>28101.7</v>
      </c>
      <c r="DJ113">
        <v>37432.400000000001</v>
      </c>
      <c r="DK113">
        <v>37641.9</v>
      </c>
      <c r="DL113">
        <v>44381.7</v>
      </c>
      <c r="DM113">
        <v>42596.6</v>
      </c>
      <c r="DN113">
        <v>1.4779800000000001</v>
      </c>
      <c r="DO113">
        <v>2.04813</v>
      </c>
      <c r="DP113">
        <v>9.3340900000000004E-2</v>
      </c>
      <c r="DQ113">
        <v>0.18840999999999999</v>
      </c>
      <c r="DR113">
        <v>25.461600000000001</v>
      </c>
      <c r="DS113">
        <v>25.262799999999999</v>
      </c>
      <c r="DT113">
        <v>55.2</v>
      </c>
      <c r="DU113">
        <v>28.8</v>
      </c>
      <c r="DV113">
        <v>22.091699999999999</v>
      </c>
      <c r="DW113">
        <v>61.851100000000002</v>
      </c>
      <c r="DX113">
        <v>36.710700000000003</v>
      </c>
      <c r="DY113">
        <v>1</v>
      </c>
      <c r="DZ113">
        <v>-0.101118</v>
      </c>
      <c r="EA113">
        <v>-6.5664500000000001E-2</v>
      </c>
      <c r="EB113">
        <v>20.189399999999999</v>
      </c>
      <c r="EC113">
        <v>5.2411000000000003</v>
      </c>
      <c r="ED113">
        <v>12.039899999999999</v>
      </c>
      <c r="EE113">
        <v>5.0166500000000003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1.8689199999999999</v>
      </c>
      <c r="EL113">
        <v>1.8646</v>
      </c>
      <c r="EM113">
        <v>1.8692</v>
      </c>
      <c r="EN113">
        <v>1.8672299999999999</v>
      </c>
      <c r="EO113">
        <v>1.8633900000000001</v>
      </c>
      <c r="EP113">
        <v>1.8644700000000001</v>
      </c>
      <c r="EQ113">
        <v>1.8701399999999999</v>
      </c>
      <c r="ER113">
        <v>1.86938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-0.14099999999999999</v>
      </c>
      <c r="FG113">
        <v>0.28149999999999997</v>
      </c>
      <c r="FH113">
        <v>0.23539598422606861</v>
      </c>
      <c r="FI113">
        <v>-6.1462078757559423E-4</v>
      </c>
      <c r="FJ113">
        <v>-1.8861989874597051E-7</v>
      </c>
      <c r="FK113">
        <v>1.1980462299894961E-10</v>
      </c>
      <c r="FL113">
        <v>0.28151999999999688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25.4</v>
      </c>
      <c r="FU113">
        <v>25.6</v>
      </c>
      <c r="FV113">
        <v>1.77979</v>
      </c>
      <c r="FW113">
        <v>2.5854499999999998</v>
      </c>
      <c r="FX113">
        <v>1.5490699999999999</v>
      </c>
      <c r="FY113">
        <v>2.3290999999999999</v>
      </c>
      <c r="FZ113">
        <v>1.50146</v>
      </c>
      <c r="GA113">
        <v>2.3730500000000001</v>
      </c>
      <c r="GB113">
        <v>33.625399999999999</v>
      </c>
      <c r="GC113">
        <v>23.982399999999998</v>
      </c>
      <c r="GD113">
        <v>19</v>
      </c>
      <c r="GE113">
        <v>283.30799999999999</v>
      </c>
      <c r="GF113">
        <v>592.02499999999998</v>
      </c>
      <c r="GG113">
        <v>25.160599999999999</v>
      </c>
      <c r="GH113">
        <v>26.140499999999999</v>
      </c>
      <c r="GI113">
        <v>30</v>
      </c>
      <c r="GJ113">
        <v>26.276700000000002</v>
      </c>
      <c r="GK113">
        <v>26.259799999999998</v>
      </c>
      <c r="GL113">
        <v>35.579599999999999</v>
      </c>
      <c r="GM113">
        <v>58.0154</v>
      </c>
      <c r="GN113">
        <v>82.780199999999994</v>
      </c>
      <c r="GO113">
        <v>25.105799999999999</v>
      </c>
      <c r="GP113">
        <v>800</v>
      </c>
      <c r="GQ113">
        <v>9.5645000000000007</v>
      </c>
      <c r="GR113">
        <v>99.781400000000005</v>
      </c>
      <c r="GS113">
        <v>99.644300000000001</v>
      </c>
    </row>
    <row r="114" spans="1:201" x14ac:dyDescent="0.25">
      <c r="A114">
        <v>98</v>
      </c>
      <c r="B114">
        <v>1690302009.5999999</v>
      </c>
      <c r="C114">
        <v>1105.599999904633</v>
      </c>
      <c r="D114" t="s">
        <v>527</v>
      </c>
      <c r="E114" t="s">
        <v>528</v>
      </c>
      <c r="F114" t="s">
        <v>330</v>
      </c>
      <c r="H114">
        <v>1690302009.5999999</v>
      </c>
      <c r="I114">
        <f t="shared" si="30"/>
        <v>1.4220053985683533E-3</v>
      </c>
      <c r="J114">
        <f t="shared" si="31"/>
        <v>1.4220053985683534</v>
      </c>
      <c r="K114">
        <f t="shared" si="32"/>
        <v>22.420033701324812</v>
      </c>
      <c r="L114">
        <f t="shared" si="33"/>
        <v>547.22900000000004</v>
      </c>
      <c r="M114">
        <f t="shared" si="34"/>
        <v>158.59840095912165</v>
      </c>
      <c r="N114">
        <f t="shared" si="35"/>
        <v>15.768479487039663</v>
      </c>
      <c r="O114">
        <f t="shared" si="36"/>
        <v>54.407668734550008</v>
      </c>
      <c r="P114">
        <f t="shared" si="37"/>
        <v>9.640785487543678E-2</v>
      </c>
      <c r="Q114">
        <f t="shared" si="38"/>
        <v>2.1199530060686342</v>
      </c>
      <c r="R114">
        <f t="shared" si="39"/>
        <v>9.403675383249982E-2</v>
      </c>
      <c r="S114">
        <f t="shared" si="40"/>
        <v>5.8981148023870417E-2</v>
      </c>
      <c r="T114">
        <f t="shared" si="41"/>
        <v>276.11638765200001</v>
      </c>
      <c r="U114">
        <f t="shared" si="42"/>
        <v>28.463159628066773</v>
      </c>
      <c r="V114">
        <f t="shared" si="43"/>
        <v>28.463159628066773</v>
      </c>
      <c r="W114">
        <f t="shared" si="44"/>
        <v>3.8985175520715272</v>
      </c>
      <c r="X114">
        <f t="shared" si="45"/>
        <v>69.192950070829497</v>
      </c>
      <c r="Y114">
        <f t="shared" si="46"/>
        <v>2.442995587425</v>
      </c>
      <c r="Z114">
        <f t="shared" si="47"/>
        <v>3.5307001434744767</v>
      </c>
      <c r="AA114">
        <f t="shared" si="48"/>
        <v>1.4555219646465272</v>
      </c>
      <c r="AB114">
        <f t="shared" si="49"/>
        <v>-62.710438076864378</v>
      </c>
      <c r="AC114">
        <f t="shared" si="50"/>
        <v>-193.72990140087896</v>
      </c>
      <c r="AD114">
        <f t="shared" si="51"/>
        <v>-19.843567568698017</v>
      </c>
      <c r="AE114">
        <f t="shared" si="52"/>
        <v>-0.16751939444131381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52673.740791255339</v>
      </c>
      <c r="AK114">
        <f t="shared" si="56"/>
        <v>1800</v>
      </c>
      <c r="AL114">
        <f t="shared" si="57"/>
        <v>1499.1118362</v>
      </c>
      <c r="AM114">
        <f t="shared" si="58"/>
        <v>0.83283990900000004</v>
      </c>
      <c r="AN114">
        <f t="shared" si="59"/>
        <v>0.15339799313999999</v>
      </c>
      <c r="AO114">
        <v>32.700000000000003</v>
      </c>
      <c r="AP114">
        <v>0.5</v>
      </c>
      <c r="AQ114" t="s">
        <v>331</v>
      </c>
      <c r="AR114">
        <v>2</v>
      </c>
      <c r="AS114">
        <v>1690302009.5999999</v>
      </c>
      <c r="AT114">
        <v>547.22900000000004</v>
      </c>
      <c r="AU114">
        <v>800.05899999999997</v>
      </c>
      <c r="AV114">
        <v>24.5715</v>
      </c>
      <c r="AW114">
        <v>9.4543099999999995</v>
      </c>
      <c r="AX114">
        <v>547.36599999999999</v>
      </c>
      <c r="AY114">
        <v>24.289899999999999</v>
      </c>
      <c r="AZ114">
        <v>300.036</v>
      </c>
      <c r="BA114">
        <v>99.323999999999998</v>
      </c>
      <c r="BB114">
        <v>9.9949999999999997E-2</v>
      </c>
      <c r="BC114">
        <v>26.7681</v>
      </c>
      <c r="BD114">
        <v>26.977799999999998</v>
      </c>
      <c r="BE114">
        <v>28.3447</v>
      </c>
      <c r="BF114">
        <v>0</v>
      </c>
      <c r="BG114">
        <v>0</v>
      </c>
      <c r="BH114">
        <v>10022.5</v>
      </c>
      <c r="BI114">
        <v>1077.8699999999999</v>
      </c>
      <c r="BJ114">
        <v>1.96231</v>
      </c>
      <c r="BK114">
        <v>-252.83</v>
      </c>
      <c r="BL114">
        <v>561.01300000000003</v>
      </c>
      <c r="BM114">
        <v>807.69500000000005</v>
      </c>
      <c r="BN114">
        <v>15.117100000000001</v>
      </c>
      <c r="BO114">
        <v>800.05899999999997</v>
      </c>
      <c r="BP114">
        <v>9.4543099999999995</v>
      </c>
      <c r="BQ114">
        <v>2.4405299999999999</v>
      </c>
      <c r="BR114">
        <v>0.93903899999999996</v>
      </c>
      <c r="BS114">
        <v>20.635300000000001</v>
      </c>
      <c r="BT114">
        <v>6.0033399999999997</v>
      </c>
      <c r="BU114">
        <v>1800</v>
      </c>
      <c r="BV114">
        <v>0.90998699999999999</v>
      </c>
      <c r="BW114">
        <v>3.3993299999999997E-2</v>
      </c>
      <c r="BX114">
        <v>2.2008699999999999E-2</v>
      </c>
      <c r="BY114">
        <v>3.4010600000000002E-2</v>
      </c>
      <c r="BZ114">
        <v>25.291699999999999</v>
      </c>
      <c r="CA114">
        <v>33528.199999999997</v>
      </c>
      <c r="CB114">
        <v>1690300477.5</v>
      </c>
      <c r="CC114" t="s">
        <v>332</v>
      </c>
      <c r="CD114">
        <v>1690300477.5</v>
      </c>
      <c r="CE114">
        <v>1690300465.5</v>
      </c>
      <c r="CF114">
        <v>7</v>
      </c>
      <c r="CG114">
        <v>5.0999999999999997E-2</v>
      </c>
      <c r="CH114">
        <v>-8.0000000000000002E-3</v>
      </c>
      <c r="CI114">
        <v>-0.316</v>
      </c>
      <c r="CJ114">
        <v>0.28199999999999997</v>
      </c>
      <c r="CK114">
        <v>800</v>
      </c>
      <c r="CL114">
        <v>24</v>
      </c>
      <c r="CM114">
        <v>0.25</v>
      </c>
      <c r="CN114">
        <v>0.13</v>
      </c>
      <c r="CO114">
        <v>-248.77131707317071</v>
      </c>
      <c r="CP114">
        <v>-22.532717770034861</v>
      </c>
      <c r="CQ114">
        <v>2.222455689031507</v>
      </c>
      <c r="CR114">
        <v>-1</v>
      </c>
      <c r="CS114">
        <v>14.809497560975609</v>
      </c>
      <c r="CT114">
        <v>1.762120557491309</v>
      </c>
      <c r="CU114">
        <v>0.17380901277229679</v>
      </c>
      <c r="CV114">
        <v>-1</v>
      </c>
      <c r="CW114">
        <v>0</v>
      </c>
      <c r="CX114">
        <v>0</v>
      </c>
      <c r="CY114" t="s">
        <v>333</v>
      </c>
      <c r="CZ114">
        <v>2.3642500000000002</v>
      </c>
      <c r="DA114">
        <v>2.7137600000000002</v>
      </c>
      <c r="DB114">
        <v>0.11317000000000001</v>
      </c>
      <c r="DC114">
        <v>0.14654600000000001</v>
      </c>
      <c r="DD114">
        <v>0.1158</v>
      </c>
      <c r="DE114">
        <v>5.67936E-2</v>
      </c>
      <c r="DF114">
        <v>32395.4</v>
      </c>
      <c r="DG114">
        <v>27525</v>
      </c>
      <c r="DH114">
        <v>31184.799999999999</v>
      </c>
      <c r="DI114">
        <v>28102.1</v>
      </c>
      <c r="DJ114">
        <v>37433.300000000003</v>
      </c>
      <c r="DK114">
        <v>37696</v>
      </c>
      <c r="DL114">
        <v>44382.1</v>
      </c>
      <c r="DM114">
        <v>42597.1</v>
      </c>
      <c r="DN114">
        <v>1.4783500000000001</v>
      </c>
      <c r="DO114">
        <v>2.0479799999999999</v>
      </c>
      <c r="DP114">
        <v>9.2640500000000001E-2</v>
      </c>
      <c r="DQ114">
        <v>0.188384</v>
      </c>
      <c r="DR114">
        <v>25.460799999999999</v>
      </c>
      <c r="DS114">
        <v>25.262799999999999</v>
      </c>
      <c r="DT114">
        <v>55</v>
      </c>
      <c r="DU114">
        <v>28.9</v>
      </c>
      <c r="DV114">
        <v>22.1371</v>
      </c>
      <c r="DW114">
        <v>61.631100000000004</v>
      </c>
      <c r="DX114">
        <v>36.766800000000003</v>
      </c>
      <c r="DY114">
        <v>1</v>
      </c>
      <c r="DZ114">
        <v>-0.10097100000000001</v>
      </c>
      <c r="EA114">
        <v>-0.17227100000000001</v>
      </c>
      <c r="EB114">
        <v>20.189699999999998</v>
      </c>
      <c r="EC114">
        <v>5.2411000000000003</v>
      </c>
      <c r="ED114">
        <v>12.039899999999999</v>
      </c>
      <c r="EE114">
        <v>5.0165499999999996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1.8689100000000001</v>
      </c>
      <c r="EL114">
        <v>1.8646100000000001</v>
      </c>
      <c r="EM114">
        <v>1.8692</v>
      </c>
      <c r="EN114">
        <v>1.8672299999999999</v>
      </c>
      <c r="EO114">
        <v>1.86338</v>
      </c>
      <c r="EP114">
        <v>1.86446</v>
      </c>
      <c r="EQ114">
        <v>1.87016</v>
      </c>
      <c r="ER114">
        <v>1.8693900000000001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-0.13700000000000001</v>
      </c>
      <c r="FG114">
        <v>0.28160000000000002</v>
      </c>
      <c r="FH114">
        <v>0.23539598422606861</v>
      </c>
      <c r="FI114">
        <v>-6.1462078757559423E-4</v>
      </c>
      <c r="FJ114">
        <v>-1.8861989874597051E-7</v>
      </c>
      <c r="FK114">
        <v>1.1980462299894961E-10</v>
      </c>
      <c r="FL114">
        <v>0.28151999999999688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25.5</v>
      </c>
      <c r="FU114">
        <v>25.7</v>
      </c>
      <c r="FV114">
        <v>1.7785599999999999</v>
      </c>
      <c r="FW114">
        <v>2.5927699999999998</v>
      </c>
      <c r="FX114">
        <v>1.5490699999999999</v>
      </c>
      <c r="FY114">
        <v>2.3290999999999999</v>
      </c>
      <c r="FZ114">
        <v>1.50146</v>
      </c>
      <c r="GA114">
        <v>2.2851599999999999</v>
      </c>
      <c r="GB114">
        <v>33.625399999999999</v>
      </c>
      <c r="GC114">
        <v>23.982399999999998</v>
      </c>
      <c r="GD114">
        <v>19</v>
      </c>
      <c r="GE114">
        <v>283.45299999999997</v>
      </c>
      <c r="GF114">
        <v>591.85</v>
      </c>
      <c r="GG114">
        <v>25.113199999999999</v>
      </c>
      <c r="GH114">
        <v>26.1373</v>
      </c>
      <c r="GI114">
        <v>30.0001</v>
      </c>
      <c r="GJ114">
        <v>26.273399999999999</v>
      </c>
      <c r="GK114">
        <v>26.255600000000001</v>
      </c>
      <c r="GL114">
        <v>35.570399999999999</v>
      </c>
      <c r="GM114">
        <v>58.595199999999998</v>
      </c>
      <c r="GN114">
        <v>81.977199999999996</v>
      </c>
      <c r="GO114">
        <v>25.1191</v>
      </c>
      <c r="GP114">
        <v>800</v>
      </c>
      <c r="GQ114">
        <v>9.2997999999999994</v>
      </c>
      <c r="GR114">
        <v>99.782300000000006</v>
      </c>
      <c r="GS114">
        <v>99.645600000000002</v>
      </c>
    </row>
    <row r="115" spans="1:201" x14ac:dyDescent="0.25">
      <c r="A115">
        <v>99</v>
      </c>
      <c r="B115">
        <v>1690302019.5999999</v>
      </c>
      <c r="C115">
        <v>1115.599999904633</v>
      </c>
      <c r="D115" t="s">
        <v>529</v>
      </c>
      <c r="E115" t="s">
        <v>530</v>
      </c>
      <c r="F115" t="s">
        <v>330</v>
      </c>
      <c r="H115">
        <v>1690302019.5999999</v>
      </c>
      <c r="I115">
        <f t="shared" si="30"/>
        <v>1.4469984407230131E-3</v>
      </c>
      <c r="J115">
        <f t="shared" si="31"/>
        <v>1.4469984407230132</v>
      </c>
      <c r="K115">
        <f t="shared" si="32"/>
        <v>22.768084634204104</v>
      </c>
      <c r="L115">
        <f t="shared" si="33"/>
        <v>543.50199999999995</v>
      </c>
      <c r="M115">
        <f t="shared" si="34"/>
        <v>156.47381133484205</v>
      </c>
      <c r="N115">
        <f t="shared" si="35"/>
        <v>15.55765920653862</v>
      </c>
      <c r="O115">
        <f t="shared" si="36"/>
        <v>54.038556496701993</v>
      </c>
      <c r="P115">
        <f t="shared" si="37"/>
        <v>9.8345104663908778E-2</v>
      </c>
      <c r="Q115">
        <f t="shared" si="38"/>
        <v>2.1128647900264763</v>
      </c>
      <c r="R115">
        <f t="shared" si="39"/>
        <v>9.5871018803290131E-2</v>
      </c>
      <c r="S115">
        <f t="shared" si="40"/>
        <v>6.0136489458944828E-2</v>
      </c>
      <c r="T115">
        <f t="shared" si="41"/>
        <v>276.11501817315474</v>
      </c>
      <c r="U115">
        <f t="shared" si="42"/>
        <v>28.450242694333308</v>
      </c>
      <c r="V115">
        <f t="shared" si="43"/>
        <v>28.450242694333308</v>
      </c>
      <c r="W115">
        <f t="shared" si="44"/>
        <v>3.8955929595516574</v>
      </c>
      <c r="X115">
        <f t="shared" si="45"/>
        <v>69.224214407277429</v>
      </c>
      <c r="Y115">
        <f t="shared" si="46"/>
        <v>2.4427624466685001</v>
      </c>
      <c r="Z115">
        <f t="shared" si="47"/>
        <v>3.5287687517789967</v>
      </c>
      <c r="AA115">
        <f t="shared" si="48"/>
        <v>1.4528305128831573</v>
      </c>
      <c r="AB115">
        <f t="shared" si="49"/>
        <v>-63.812631235884879</v>
      </c>
      <c r="AC115">
        <f t="shared" si="50"/>
        <v>-192.67015101827354</v>
      </c>
      <c r="AD115">
        <f t="shared" si="51"/>
        <v>-19.799029496626144</v>
      </c>
      <c r="AE115">
        <f t="shared" si="52"/>
        <v>-0.16679357762981795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52364.70922197734</v>
      </c>
      <c r="AK115">
        <f t="shared" si="56"/>
        <v>1799.99</v>
      </c>
      <c r="AL115">
        <f t="shared" si="57"/>
        <v>1499.1048829932702</v>
      </c>
      <c r="AM115">
        <f t="shared" si="58"/>
        <v>0.83284067300000009</v>
      </c>
      <c r="AN115">
        <f t="shared" si="59"/>
        <v>0.15339808453000001</v>
      </c>
      <c r="AO115">
        <v>32.700000000000003</v>
      </c>
      <c r="AP115">
        <v>0.5</v>
      </c>
      <c r="AQ115" t="s">
        <v>331</v>
      </c>
      <c r="AR115">
        <v>2</v>
      </c>
      <c r="AS115">
        <v>1690302019.5999999</v>
      </c>
      <c r="AT115">
        <v>543.50199999999995</v>
      </c>
      <c r="AU115">
        <v>800.09500000000003</v>
      </c>
      <c r="AV115">
        <v>24.5685</v>
      </c>
      <c r="AW115">
        <v>9.1927900000000005</v>
      </c>
      <c r="AX115">
        <v>543.63699999999994</v>
      </c>
      <c r="AY115">
        <v>24.286899999999999</v>
      </c>
      <c r="AZ115">
        <v>300.17700000000002</v>
      </c>
      <c r="BA115">
        <v>99.326599999999999</v>
      </c>
      <c r="BB115">
        <v>0.10000100000000001</v>
      </c>
      <c r="BC115">
        <v>26.758800000000001</v>
      </c>
      <c r="BD115">
        <v>26.9861</v>
      </c>
      <c r="BE115">
        <v>28.330200000000001</v>
      </c>
      <c r="BF115">
        <v>0</v>
      </c>
      <c r="BG115">
        <v>0</v>
      </c>
      <c r="BH115">
        <v>9960.6200000000008</v>
      </c>
      <c r="BI115">
        <v>1078.02</v>
      </c>
      <c r="BJ115">
        <v>1.96231</v>
      </c>
      <c r="BK115">
        <v>-256.59399999999999</v>
      </c>
      <c r="BL115">
        <v>557.19100000000003</v>
      </c>
      <c r="BM115">
        <v>807.51900000000001</v>
      </c>
      <c r="BN115">
        <v>15.3757</v>
      </c>
      <c r="BO115">
        <v>800.09500000000003</v>
      </c>
      <c r="BP115">
        <v>9.1927900000000005</v>
      </c>
      <c r="BQ115">
        <v>2.4403000000000001</v>
      </c>
      <c r="BR115">
        <v>0.91308900000000004</v>
      </c>
      <c r="BS115">
        <v>20.633700000000001</v>
      </c>
      <c r="BT115">
        <v>5.5987</v>
      </c>
      <c r="BU115">
        <v>1799.99</v>
      </c>
      <c r="BV115">
        <v>0.90998900000000005</v>
      </c>
      <c r="BW115">
        <v>3.39929E-2</v>
      </c>
      <c r="BX115">
        <v>2.2008400000000001E-2</v>
      </c>
      <c r="BY115">
        <v>3.4010100000000001E-2</v>
      </c>
      <c r="BZ115">
        <v>25.041699999999999</v>
      </c>
      <c r="CA115">
        <v>33528.199999999997</v>
      </c>
      <c r="CB115">
        <v>1690300477.5</v>
      </c>
      <c r="CC115" t="s">
        <v>332</v>
      </c>
      <c r="CD115">
        <v>1690300477.5</v>
      </c>
      <c r="CE115">
        <v>1690300465.5</v>
      </c>
      <c r="CF115">
        <v>7</v>
      </c>
      <c r="CG115">
        <v>5.0999999999999997E-2</v>
      </c>
      <c r="CH115">
        <v>-8.0000000000000002E-3</v>
      </c>
      <c r="CI115">
        <v>-0.316</v>
      </c>
      <c r="CJ115">
        <v>0.28199999999999997</v>
      </c>
      <c r="CK115">
        <v>800</v>
      </c>
      <c r="CL115">
        <v>24</v>
      </c>
      <c r="CM115">
        <v>0.25</v>
      </c>
      <c r="CN115">
        <v>0.13</v>
      </c>
      <c r="CO115">
        <v>-252.77802500000001</v>
      </c>
      <c r="CP115">
        <v>-22.140799249531081</v>
      </c>
      <c r="CQ115">
        <v>2.1302114388893432</v>
      </c>
      <c r="CR115">
        <v>-1</v>
      </c>
      <c r="CS115">
        <v>15.106987500000001</v>
      </c>
      <c r="CT115">
        <v>1.5973632270168749</v>
      </c>
      <c r="CU115">
        <v>0.15397466542827751</v>
      </c>
      <c r="CV115">
        <v>-1</v>
      </c>
      <c r="CW115">
        <v>0</v>
      </c>
      <c r="CX115">
        <v>0</v>
      </c>
      <c r="CY115" t="s">
        <v>333</v>
      </c>
      <c r="CZ115">
        <v>2.3647100000000001</v>
      </c>
      <c r="DA115">
        <v>2.7137600000000002</v>
      </c>
      <c r="DB115">
        <v>0.112619</v>
      </c>
      <c r="DC115">
        <v>0.14654900000000001</v>
      </c>
      <c r="DD115">
        <v>0.11579399999999999</v>
      </c>
      <c r="DE115">
        <v>5.5572999999999997E-2</v>
      </c>
      <c r="DF115">
        <v>32415.9</v>
      </c>
      <c r="DG115">
        <v>27524.6</v>
      </c>
      <c r="DH115">
        <v>31185.200000000001</v>
      </c>
      <c r="DI115">
        <v>28101.9</v>
      </c>
      <c r="DJ115">
        <v>37433.9</v>
      </c>
      <c r="DK115">
        <v>37744.699999999997</v>
      </c>
      <c r="DL115">
        <v>44382.6</v>
      </c>
      <c r="DM115">
        <v>42596.800000000003</v>
      </c>
      <c r="DN115">
        <v>1.47882</v>
      </c>
      <c r="DO115">
        <v>2.04732</v>
      </c>
      <c r="DP115">
        <v>9.3415399999999996E-2</v>
      </c>
      <c r="DQ115">
        <v>0.18751200000000001</v>
      </c>
      <c r="DR115">
        <v>25.456499999999998</v>
      </c>
      <c r="DS115">
        <v>25.262599999999999</v>
      </c>
      <c r="DT115">
        <v>54.8</v>
      </c>
      <c r="DU115">
        <v>28.8</v>
      </c>
      <c r="DV115">
        <v>21.931799999999999</v>
      </c>
      <c r="DW115">
        <v>62.0411</v>
      </c>
      <c r="DX115">
        <v>35.945500000000003</v>
      </c>
      <c r="DY115">
        <v>1</v>
      </c>
      <c r="DZ115">
        <v>-0.101054</v>
      </c>
      <c r="EA115">
        <v>-0.28515800000000002</v>
      </c>
      <c r="EB115">
        <v>20.189299999999999</v>
      </c>
      <c r="EC115">
        <v>5.2408000000000001</v>
      </c>
      <c r="ED115">
        <v>12.039899999999999</v>
      </c>
      <c r="EE115">
        <v>5.0170500000000002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1.8689100000000001</v>
      </c>
      <c r="EL115">
        <v>1.8646199999999999</v>
      </c>
      <c r="EM115">
        <v>1.8692</v>
      </c>
      <c r="EN115">
        <v>1.8672299999999999</v>
      </c>
      <c r="EO115">
        <v>1.8633900000000001</v>
      </c>
      <c r="EP115">
        <v>1.8644700000000001</v>
      </c>
      <c r="EQ115">
        <v>1.87016</v>
      </c>
      <c r="ER115">
        <v>1.86941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-0.13500000000000001</v>
      </c>
      <c r="FG115">
        <v>0.28160000000000002</v>
      </c>
      <c r="FH115">
        <v>0.23539598422606861</v>
      </c>
      <c r="FI115">
        <v>-6.1462078757559423E-4</v>
      </c>
      <c r="FJ115">
        <v>-1.8861989874597051E-7</v>
      </c>
      <c r="FK115">
        <v>1.1980462299894961E-10</v>
      </c>
      <c r="FL115">
        <v>0.28151999999999688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25.7</v>
      </c>
      <c r="FU115">
        <v>25.9</v>
      </c>
      <c r="FV115">
        <v>1.7785599999999999</v>
      </c>
      <c r="FW115">
        <v>2.5927699999999998</v>
      </c>
      <c r="FX115">
        <v>1.5490699999999999</v>
      </c>
      <c r="FY115">
        <v>2.3290999999999999</v>
      </c>
      <c r="FZ115">
        <v>1.50146</v>
      </c>
      <c r="GA115">
        <v>2.323</v>
      </c>
      <c r="GB115">
        <v>33.625399999999999</v>
      </c>
      <c r="GC115">
        <v>23.973700000000001</v>
      </c>
      <c r="GD115">
        <v>19</v>
      </c>
      <c r="GE115">
        <v>283.64400000000001</v>
      </c>
      <c r="GF115">
        <v>591.28200000000004</v>
      </c>
      <c r="GG115">
        <v>25.134799999999998</v>
      </c>
      <c r="GH115">
        <v>26.134599999999999</v>
      </c>
      <c r="GI115">
        <v>30.0001</v>
      </c>
      <c r="GJ115">
        <v>26.270900000000001</v>
      </c>
      <c r="GK115">
        <v>26.253399999999999</v>
      </c>
      <c r="GL115">
        <v>35.5672</v>
      </c>
      <c r="GM115">
        <v>59.188499999999998</v>
      </c>
      <c r="GN115">
        <v>81.168899999999994</v>
      </c>
      <c r="GO115">
        <v>25.152999999999999</v>
      </c>
      <c r="GP115">
        <v>800</v>
      </c>
      <c r="GQ115">
        <v>9.0306300000000004</v>
      </c>
      <c r="GR115">
        <v>99.783299999999997</v>
      </c>
      <c r="GS115">
        <v>99.644999999999996</v>
      </c>
    </row>
    <row r="116" spans="1:201" x14ac:dyDescent="0.25">
      <c r="A116">
        <v>100</v>
      </c>
      <c r="B116">
        <v>1690302029.5999999</v>
      </c>
      <c r="C116">
        <v>1125.599999904633</v>
      </c>
      <c r="D116" t="s">
        <v>531</v>
      </c>
      <c r="E116" t="s">
        <v>532</v>
      </c>
      <c r="F116" t="s">
        <v>330</v>
      </c>
      <c r="H116">
        <v>1690302029.5999999</v>
      </c>
      <c r="I116">
        <f t="shared" si="30"/>
        <v>1.4723899924947131E-3</v>
      </c>
      <c r="J116">
        <f t="shared" si="31"/>
        <v>1.472389992494713</v>
      </c>
      <c r="K116">
        <f t="shared" si="32"/>
        <v>23.094117745844756</v>
      </c>
      <c r="L116">
        <f t="shared" si="33"/>
        <v>539.91099999999994</v>
      </c>
      <c r="M116">
        <f t="shared" si="34"/>
        <v>154.57982858351551</v>
      </c>
      <c r="N116">
        <f t="shared" si="35"/>
        <v>15.369115069478717</v>
      </c>
      <c r="O116">
        <f t="shared" si="36"/>
        <v>53.680705706011004</v>
      </c>
      <c r="P116">
        <f t="shared" si="37"/>
        <v>0.10021793379971894</v>
      </c>
      <c r="Q116">
        <f t="shared" si="38"/>
        <v>2.1183933231494918</v>
      </c>
      <c r="R116">
        <f t="shared" si="39"/>
        <v>9.7656562671357292E-2</v>
      </c>
      <c r="S116">
        <f t="shared" si="40"/>
        <v>6.1260028177875521E-2</v>
      </c>
      <c r="T116">
        <f t="shared" si="41"/>
        <v>276.11490027380972</v>
      </c>
      <c r="U116">
        <f t="shared" si="42"/>
        <v>28.445022563414504</v>
      </c>
      <c r="V116">
        <f t="shared" si="43"/>
        <v>28.445022563414504</v>
      </c>
      <c r="W116">
        <f t="shared" si="44"/>
        <v>3.8944115846692449</v>
      </c>
      <c r="X116">
        <f t="shared" si="45"/>
        <v>69.203362892479177</v>
      </c>
      <c r="Y116">
        <f t="shared" si="46"/>
        <v>2.4431332368326002</v>
      </c>
      <c r="Z116">
        <f t="shared" si="47"/>
        <v>3.5303677953172312</v>
      </c>
      <c r="AA116">
        <f t="shared" si="48"/>
        <v>1.4512783478366447</v>
      </c>
      <c r="AB116">
        <f t="shared" si="49"/>
        <v>-64.932398669016848</v>
      </c>
      <c r="AC116">
        <f t="shared" si="50"/>
        <v>-191.69872567180875</v>
      </c>
      <c r="AD116">
        <f t="shared" si="51"/>
        <v>-19.64803483538466</v>
      </c>
      <c r="AE116">
        <f t="shared" si="52"/>
        <v>-0.16425890240049057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52605.571170526862</v>
      </c>
      <c r="AK116">
        <f t="shared" si="56"/>
        <v>1799.99</v>
      </c>
      <c r="AL116">
        <f t="shared" si="57"/>
        <v>1499.1050359924197</v>
      </c>
      <c r="AM116">
        <f t="shared" si="58"/>
        <v>0.8328407579999999</v>
      </c>
      <c r="AN116">
        <f t="shared" si="59"/>
        <v>0.15339801903</v>
      </c>
      <c r="AO116">
        <v>32.700000000000003</v>
      </c>
      <c r="AP116">
        <v>0.5</v>
      </c>
      <c r="AQ116" t="s">
        <v>331</v>
      </c>
      <c r="AR116">
        <v>2</v>
      </c>
      <c r="AS116">
        <v>1690302029.5999999</v>
      </c>
      <c r="AT116">
        <v>539.91099999999994</v>
      </c>
      <c r="AU116">
        <v>800.07299999999998</v>
      </c>
      <c r="AV116">
        <v>24.572600000000001</v>
      </c>
      <c r="AW116">
        <v>8.9316800000000001</v>
      </c>
      <c r="AX116">
        <v>540.04399999999998</v>
      </c>
      <c r="AY116">
        <v>24.291</v>
      </c>
      <c r="AZ116">
        <v>300.26400000000001</v>
      </c>
      <c r="BA116">
        <v>99.325100000000006</v>
      </c>
      <c r="BB116">
        <v>0.10000100000000001</v>
      </c>
      <c r="BC116">
        <v>26.766500000000001</v>
      </c>
      <c r="BD116">
        <v>26.9801</v>
      </c>
      <c r="BE116">
        <v>28.325500000000002</v>
      </c>
      <c r="BF116">
        <v>0</v>
      </c>
      <c r="BG116">
        <v>0</v>
      </c>
      <c r="BH116">
        <v>10008.799999999999</v>
      </c>
      <c r="BI116">
        <v>1078.2</v>
      </c>
      <c r="BJ116">
        <v>1.9482999999999999</v>
      </c>
      <c r="BK116">
        <v>-260.16199999999998</v>
      </c>
      <c r="BL116">
        <v>553.51199999999994</v>
      </c>
      <c r="BM116">
        <v>807.28399999999999</v>
      </c>
      <c r="BN116">
        <v>15.6409</v>
      </c>
      <c r="BO116">
        <v>800.07299999999998</v>
      </c>
      <c r="BP116">
        <v>8.9316800000000001</v>
      </c>
      <c r="BQ116">
        <v>2.4406699999999999</v>
      </c>
      <c r="BR116">
        <v>0.88714099999999996</v>
      </c>
      <c r="BS116">
        <v>20.636199999999999</v>
      </c>
      <c r="BT116">
        <v>5.1838100000000003</v>
      </c>
      <c r="BU116">
        <v>1799.99</v>
      </c>
      <c r="BV116">
        <v>0.90999099999999999</v>
      </c>
      <c r="BW116">
        <v>3.3992099999999997E-2</v>
      </c>
      <c r="BX116">
        <v>2.20079E-2</v>
      </c>
      <c r="BY116">
        <v>3.4009299999999999E-2</v>
      </c>
      <c r="BZ116">
        <v>25</v>
      </c>
      <c r="CA116">
        <v>33528.199999999997</v>
      </c>
      <c r="CB116">
        <v>1690300477.5</v>
      </c>
      <c r="CC116" t="s">
        <v>332</v>
      </c>
      <c r="CD116">
        <v>1690300477.5</v>
      </c>
      <c r="CE116">
        <v>1690300465.5</v>
      </c>
      <c r="CF116">
        <v>7</v>
      </c>
      <c r="CG116">
        <v>5.0999999999999997E-2</v>
      </c>
      <c r="CH116">
        <v>-8.0000000000000002E-3</v>
      </c>
      <c r="CI116">
        <v>-0.316</v>
      </c>
      <c r="CJ116">
        <v>0.28199999999999997</v>
      </c>
      <c r="CK116">
        <v>800</v>
      </c>
      <c r="CL116">
        <v>24</v>
      </c>
      <c r="CM116">
        <v>0.25</v>
      </c>
      <c r="CN116">
        <v>0.13</v>
      </c>
      <c r="CO116">
        <v>-256.11849999999993</v>
      </c>
      <c r="CP116">
        <v>-22.51454409005574</v>
      </c>
      <c r="CQ116">
        <v>2.166049168417004</v>
      </c>
      <c r="CR116">
        <v>-1</v>
      </c>
      <c r="CS116">
        <v>15.345615</v>
      </c>
      <c r="CT116">
        <v>1.6279857410881551</v>
      </c>
      <c r="CU116">
        <v>0.15681968714099639</v>
      </c>
      <c r="CV116">
        <v>-1</v>
      </c>
      <c r="CW116">
        <v>0</v>
      </c>
      <c r="CX116">
        <v>0</v>
      </c>
      <c r="CY116" t="s">
        <v>333</v>
      </c>
      <c r="CZ116">
        <v>2.3650000000000002</v>
      </c>
      <c r="DA116">
        <v>2.7138</v>
      </c>
      <c r="DB116">
        <v>0.112083</v>
      </c>
      <c r="DC116">
        <v>0.14654</v>
      </c>
      <c r="DD116">
        <v>0.11580699999999999</v>
      </c>
      <c r="DE116">
        <v>5.4340399999999997E-2</v>
      </c>
      <c r="DF116">
        <v>32435.3</v>
      </c>
      <c r="DG116">
        <v>27525.7</v>
      </c>
      <c r="DH116">
        <v>31185</v>
      </c>
      <c r="DI116">
        <v>28102.7</v>
      </c>
      <c r="DJ116">
        <v>37433</v>
      </c>
      <c r="DK116">
        <v>37795</v>
      </c>
      <c r="DL116">
        <v>44382.2</v>
      </c>
      <c r="DM116">
        <v>42597.9</v>
      </c>
      <c r="DN116">
        <v>1.47892</v>
      </c>
      <c r="DO116">
        <v>2.04697</v>
      </c>
      <c r="DP116">
        <v>9.3374399999999996E-2</v>
      </c>
      <c r="DQ116">
        <v>0.187337</v>
      </c>
      <c r="DR116">
        <v>25.4512</v>
      </c>
      <c r="DS116">
        <v>25.2607</v>
      </c>
      <c r="DT116">
        <v>54.6</v>
      </c>
      <c r="DU116">
        <v>28.8</v>
      </c>
      <c r="DV116">
        <v>21.8523</v>
      </c>
      <c r="DW116">
        <v>61.701099999999997</v>
      </c>
      <c r="DX116">
        <v>35.789299999999997</v>
      </c>
      <c r="DY116">
        <v>1</v>
      </c>
      <c r="DZ116">
        <v>-0.101588</v>
      </c>
      <c r="EA116">
        <v>-0.29727900000000002</v>
      </c>
      <c r="EB116">
        <v>20.189299999999999</v>
      </c>
      <c r="EC116">
        <v>5.24125</v>
      </c>
      <c r="ED116">
        <v>12.039899999999999</v>
      </c>
      <c r="EE116">
        <v>5.0168999999999997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</v>
      </c>
      <c r="EL116">
        <v>1.8646199999999999</v>
      </c>
      <c r="EM116">
        <v>1.8692</v>
      </c>
      <c r="EN116">
        <v>1.8672299999999999</v>
      </c>
      <c r="EO116">
        <v>1.8633900000000001</v>
      </c>
      <c r="EP116">
        <v>1.86446</v>
      </c>
      <c r="EQ116">
        <v>1.8701399999999999</v>
      </c>
      <c r="ER116">
        <v>1.86937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-0.13300000000000001</v>
      </c>
      <c r="FG116">
        <v>0.28160000000000002</v>
      </c>
      <c r="FH116">
        <v>0.23539598422606861</v>
      </c>
      <c r="FI116">
        <v>-6.1462078757559423E-4</v>
      </c>
      <c r="FJ116">
        <v>-1.8861989874597051E-7</v>
      </c>
      <c r="FK116">
        <v>1.1980462299894961E-10</v>
      </c>
      <c r="FL116">
        <v>0.28151999999999688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25.9</v>
      </c>
      <c r="FU116">
        <v>26.1</v>
      </c>
      <c r="FV116">
        <v>1.7785599999999999</v>
      </c>
      <c r="FW116">
        <v>2.5891099999999998</v>
      </c>
      <c r="FX116">
        <v>1.5490699999999999</v>
      </c>
      <c r="FY116">
        <v>2.3290999999999999</v>
      </c>
      <c r="FZ116">
        <v>1.50146</v>
      </c>
      <c r="GA116">
        <v>2.3596200000000001</v>
      </c>
      <c r="GB116">
        <v>33.625399999999999</v>
      </c>
      <c r="GC116">
        <v>23.982399999999998</v>
      </c>
      <c r="GD116">
        <v>19</v>
      </c>
      <c r="GE116">
        <v>283.67599999999999</v>
      </c>
      <c r="GF116">
        <v>590.95100000000002</v>
      </c>
      <c r="GG116">
        <v>25.172000000000001</v>
      </c>
      <c r="GH116">
        <v>26.131599999999999</v>
      </c>
      <c r="GI116">
        <v>29.9999</v>
      </c>
      <c r="GJ116">
        <v>26.2684</v>
      </c>
      <c r="GK116">
        <v>26.2499</v>
      </c>
      <c r="GL116">
        <v>35.561199999999999</v>
      </c>
      <c r="GM116">
        <v>60.073799999999999</v>
      </c>
      <c r="GN116">
        <v>80.396000000000001</v>
      </c>
      <c r="GO116">
        <v>25.1812</v>
      </c>
      <c r="GP116">
        <v>800</v>
      </c>
      <c r="GQ116">
        <v>8.7589000000000006</v>
      </c>
      <c r="GR116">
        <v>99.782600000000002</v>
      </c>
      <c r="GS116">
        <v>99.647599999999997</v>
      </c>
    </row>
    <row r="117" spans="1:201" x14ac:dyDescent="0.25">
      <c r="A117">
        <v>101</v>
      </c>
      <c r="B117">
        <v>1690302039.5999999</v>
      </c>
      <c r="C117">
        <v>1135.599999904633</v>
      </c>
      <c r="D117" t="s">
        <v>533</v>
      </c>
      <c r="E117" t="s">
        <v>534</v>
      </c>
      <c r="F117" t="s">
        <v>330</v>
      </c>
      <c r="H117">
        <v>1690302039.5999999</v>
      </c>
      <c r="I117">
        <f t="shared" si="30"/>
        <v>1.4972971652715572E-3</v>
      </c>
      <c r="J117">
        <f t="shared" si="31"/>
        <v>1.4972971652715572</v>
      </c>
      <c r="K117">
        <f t="shared" si="32"/>
        <v>23.42334344169689</v>
      </c>
      <c r="L117">
        <f t="shared" si="33"/>
        <v>536.30999999999995</v>
      </c>
      <c r="M117">
        <f t="shared" si="34"/>
        <v>152.56306936454772</v>
      </c>
      <c r="N117">
        <f t="shared" si="35"/>
        <v>15.168053625156393</v>
      </c>
      <c r="O117">
        <f t="shared" si="36"/>
        <v>53.320760217989999</v>
      </c>
      <c r="P117">
        <f t="shared" si="37"/>
        <v>0.10210231834181394</v>
      </c>
      <c r="Q117">
        <f t="shared" si="38"/>
        <v>2.1127342565156875</v>
      </c>
      <c r="R117">
        <f t="shared" si="39"/>
        <v>9.9438177237963166E-2</v>
      </c>
      <c r="S117">
        <f t="shared" si="40"/>
        <v>6.2382433258948967E-2</v>
      </c>
      <c r="T117">
        <f t="shared" si="41"/>
        <v>276.116297616</v>
      </c>
      <c r="U117">
        <f t="shared" si="42"/>
        <v>28.439264013198489</v>
      </c>
      <c r="V117">
        <f t="shared" si="43"/>
        <v>28.439264013198489</v>
      </c>
      <c r="W117">
        <f t="shared" si="44"/>
        <v>3.8931087218989502</v>
      </c>
      <c r="X117">
        <f t="shared" si="45"/>
        <v>69.225914840641551</v>
      </c>
      <c r="Y117">
        <f t="shared" si="46"/>
        <v>2.4437712406670999</v>
      </c>
      <c r="Z117">
        <f t="shared" si="47"/>
        <v>3.5301393218026451</v>
      </c>
      <c r="AA117">
        <f t="shared" si="48"/>
        <v>1.4493374812318502</v>
      </c>
      <c r="AB117">
        <f t="shared" si="49"/>
        <v>-66.030804988475666</v>
      </c>
      <c r="AC117">
        <f t="shared" si="50"/>
        <v>-190.65600561135076</v>
      </c>
      <c r="AD117">
        <f t="shared" si="51"/>
        <v>-19.592832532335095</v>
      </c>
      <c r="AE117">
        <f t="shared" si="52"/>
        <v>-0.16334551616151316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52357.738528119036</v>
      </c>
      <c r="AK117">
        <f t="shared" si="56"/>
        <v>1800</v>
      </c>
      <c r="AL117">
        <f t="shared" si="57"/>
        <v>1499.1131016000002</v>
      </c>
      <c r="AM117">
        <f t="shared" si="58"/>
        <v>0.83284061200000004</v>
      </c>
      <c r="AN117">
        <f t="shared" si="59"/>
        <v>0.15339794311999999</v>
      </c>
      <c r="AO117">
        <v>32.700000000000003</v>
      </c>
      <c r="AP117">
        <v>0.5</v>
      </c>
      <c r="AQ117" t="s">
        <v>331</v>
      </c>
      <c r="AR117">
        <v>2</v>
      </c>
      <c r="AS117">
        <v>1690302039.5999999</v>
      </c>
      <c r="AT117">
        <v>536.30999999999995</v>
      </c>
      <c r="AU117">
        <v>800.226</v>
      </c>
      <c r="AV117">
        <v>24.579899999999999</v>
      </c>
      <c r="AW117">
        <v>8.6696399999999993</v>
      </c>
      <c r="AX117">
        <v>536.44000000000005</v>
      </c>
      <c r="AY117">
        <v>24.298400000000001</v>
      </c>
      <c r="AZ117">
        <v>300.17200000000003</v>
      </c>
      <c r="BA117">
        <v>99.3215</v>
      </c>
      <c r="BB117">
        <v>0.10002900000000001</v>
      </c>
      <c r="BC117">
        <v>26.7654</v>
      </c>
      <c r="BD117">
        <v>26.977399999999999</v>
      </c>
      <c r="BE117">
        <v>28.3066</v>
      </c>
      <c r="BF117">
        <v>0</v>
      </c>
      <c r="BG117">
        <v>0</v>
      </c>
      <c r="BH117">
        <v>9960</v>
      </c>
      <c r="BI117">
        <v>1078.1600000000001</v>
      </c>
      <c r="BJ117">
        <v>1.96231</v>
      </c>
      <c r="BK117">
        <v>-263.91699999999997</v>
      </c>
      <c r="BL117">
        <v>549.82399999999996</v>
      </c>
      <c r="BM117">
        <v>807.22500000000002</v>
      </c>
      <c r="BN117">
        <v>15.910299999999999</v>
      </c>
      <c r="BO117">
        <v>800.226</v>
      </c>
      <c r="BP117">
        <v>8.6696399999999993</v>
      </c>
      <c r="BQ117">
        <v>2.4413100000000001</v>
      </c>
      <c r="BR117">
        <v>0.86108200000000001</v>
      </c>
      <c r="BS117">
        <v>20.640499999999999</v>
      </c>
      <c r="BT117">
        <v>4.7562300000000004</v>
      </c>
      <c r="BU117">
        <v>1800</v>
      </c>
      <c r="BV117">
        <v>0.90999200000000002</v>
      </c>
      <c r="BW117">
        <v>3.3991599999999997E-2</v>
      </c>
      <c r="BX117">
        <v>2.2007599999999999E-2</v>
      </c>
      <c r="BY117">
        <v>3.4008799999999999E-2</v>
      </c>
      <c r="BZ117">
        <v>25.041699999999999</v>
      </c>
      <c r="CA117">
        <v>33528.300000000003</v>
      </c>
      <c r="CB117">
        <v>1690300477.5</v>
      </c>
      <c r="CC117" t="s">
        <v>332</v>
      </c>
      <c r="CD117">
        <v>1690300477.5</v>
      </c>
      <c r="CE117">
        <v>1690300465.5</v>
      </c>
      <c r="CF117">
        <v>7</v>
      </c>
      <c r="CG117">
        <v>5.0999999999999997E-2</v>
      </c>
      <c r="CH117">
        <v>-8.0000000000000002E-3</v>
      </c>
      <c r="CI117">
        <v>-0.316</v>
      </c>
      <c r="CJ117">
        <v>0.28199999999999997</v>
      </c>
      <c r="CK117">
        <v>800</v>
      </c>
      <c r="CL117">
        <v>24</v>
      </c>
      <c r="CM117">
        <v>0.25</v>
      </c>
      <c r="CN117">
        <v>0.13</v>
      </c>
      <c r="CO117">
        <v>-259.84685365853659</v>
      </c>
      <c r="CP117">
        <v>-21.3799651567947</v>
      </c>
      <c r="CQ117">
        <v>2.109380310815796</v>
      </c>
      <c r="CR117">
        <v>-1</v>
      </c>
      <c r="CS117">
        <v>15.62228536585366</v>
      </c>
      <c r="CT117">
        <v>1.6402891986063131</v>
      </c>
      <c r="CU117">
        <v>0.16183622188086019</v>
      </c>
      <c r="CV117">
        <v>-1</v>
      </c>
      <c r="CW117">
        <v>0</v>
      </c>
      <c r="CX117">
        <v>0</v>
      </c>
      <c r="CY117" t="s">
        <v>333</v>
      </c>
      <c r="CZ117">
        <v>2.36469</v>
      </c>
      <c r="DA117">
        <v>2.7137799999999999</v>
      </c>
      <c r="DB117">
        <v>0.111541</v>
      </c>
      <c r="DC117">
        <v>0.14655000000000001</v>
      </c>
      <c r="DD117">
        <v>0.115828</v>
      </c>
      <c r="DE117">
        <v>5.3089799999999999E-2</v>
      </c>
      <c r="DF117">
        <v>32455.5</v>
      </c>
      <c r="DG117">
        <v>27525.3</v>
      </c>
      <c r="DH117">
        <v>31185.4</v>
      </c>
      <c r="DI117">
        <v>28102.6</v>
      </c>
      <c r="DJ117">
        <v>37432.6</v>
      </c>
      <c r="DK117">
        <v>37845.199999999997</v>
      </c>
      <c r="DL117">
        <v>44383</v>
      </c>
      <c r="DM117">
        <v>42597.9</v>
      </c>
      <c r="DN117">
        <v>1.4791300000000001</v>
      </c>
      <c r="DO117">
        <v>2.0468500000000001</v>
      </c>
      <c r="DP117">
        <v>9.32254E-2</v>
      </c>
      <c r="DQ117">
        <v>0.18618299999999999</v>
      </c>
      <c r="DR117">
        <v>25.450900000000001</v>
      </c>
      <c r="DS117">
        <v>25.2607</v>
      </c>
      <c r="DT117">
        <v>54.3</v>
      </c>
      <c r="DU117">
        <v>28.8</v>
      </c>
      <c r="DV117">
        <v>21.735900000000001</v>
      </c>
      <c r="DW117">
        <v>61.991100000000003</v>
      </c>
      <c r="DX117">
        <v>36.286099999999998</v>
      </c>
      <c r="DY117">
        <v>1</v>
      </c>
      <c r="DZ117">
        <v>-0.10174</v>
      </c>
      <c r="EA117">
        <v>-0.26658999999999999</v>
      </c>
      <c r="EB117">
        <v>20.189299999999999</v>
      </c>
      <c r="EC117">
        <v>5.2413999999999996</v>
      </c>
      <c r="ED117">
        <v>12.039899999999999</v>
      </c>
      <c r="EE117">
        <v>5.0172999999999996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1.8689100000000001</v>
      </c>
      <c r="EL117">
        <v>1.8646199999999999</v>
      </c>
      <c r="EM117">
        <v>1.8692</v>
      </c>
      <c r="EN117">
        <v>1.86724</v>
      </c>
      <c r="EO117">
        <v>1.8633999999999999</v>
      </c>
      <c r="EP117">
        <v>1.8644700000000001</v>
      </c>
      <c r="EQ117">
        <v>1.87018</v>
      </c>
      <c r="ER117">
        <v>1.8693900000000001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-0.13</v>
      </c>
      <c r="FG117">
        <v>0.28149999999999997</v>
      </c>
      <c r="FH117">
        <v>0.23539598422606861</v>
      </c>
      <c r="FI117">
        <v>-6.1462078757559423E-4</v>
      </c>
      <c r="FJ117">
        <v>-1.8861989874597051E-7</v>
      </c>
      <c r="FK117">
        <v>1.1980462299894961E-10</v>
      </c>
      <c r="FL117">
        <v>0.28151999999999688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26</v>
      </c>
      <c r="FU117">
        <v>26.2</v>
      </c>
      <c r="FV117">
        <v>1.7773399999999999</v>
      </c>
      <c r="FW117">
        <v>2.5854499999999998</v>
      </c>
      <c r="FX117">
        <v>1.5490699999999999</v>
      </c>
      <c r="FY117">
        <v>2.3290999999999999</v>
      </c>
      <c r="FZ117">
        <v>1.50146</v>
      </c>
      <c r="GA117">
        <v>2.3840300000000001</v>
      </c>
      <c r="GB117">
        <v>33.625399999999999</v>
      </c>
      <c r="GC117">
        <v>23.991199999999999</v>
      </c>
      <c r="GD117">
        <v>19</v>
      </c>
      <c r="GE117">
        <v>283.745</v>
      </c>
      <c r="GF117">
        <v>590.80999999999995</v>
      </c>
      <c r="GG117">
        <v>25.1983</v>
      </c>
      <c r="GH117">
        <v>26.1295</v>
      </c>
      <c r="GI117">
        <v>30</v>
      </c>
      <c r="GJ117">
        <v>26.264600000000002</v>
      </c>
      <c r="GK117">
        <v>26.2468</v>
      </c>
      <c r="GL117">
        <v>35.546599999999998</v>
      </c>
      <c r="GM117">
        <v>60.945999999999998</v>
      </c>
      <c r="GN117">
        <v>79.604399999999998</v>
      </c>
      <c r="GO117">
        <v>25.1952</v>
      </c>
      <c r="GP117">
        <v>800</v>
      </c>
      <c r="GQ117">
        <v>8.4804499999999994</v>
      </c>
      <c r="GR117">
        <v>99.784199999999998</v>
      </c>
      <c r="GS117">
        <v>99.647599999999997</v>
      </c>
    </row>
    <row r="118" spans="1:201" x14ac:dyDescent="0.25">
      <c r="A118">
        <v>102</v>
      </c>
      <c r="B118">
        <v>1690302049.5999999</v>
      </c>
      <c r="C118">
        <v>1145.599999904633</v>
      </c>
      <c r="D118" t="s">
        <v>535</v>
      </c>
      <c r="E118" t="s">
        <v>536</v>
      </c>
      <c r="F118" t="s">
        <v>330</v>
      </c>
      <c r="H118">
        <v>1690302049.5999999</v>
      </c>
      <c r="I118">
        <f t="shared" si="30"/>
        <v>1.5239926056429796E-3</v>
      </c>
      <c r="J118">
        <f t="shared" si="31"/>
        <v>1.5239926056429796</v>
      </c>
      <c r="K118">
        <f t="shared" si="32"/>
        <v>23.709960393578513</v>
      </c>
      <c r="L118">
        <f t="shared" si="33"/>
        <v>532.90499999999997</v>
      </c>
      <c r="M118">
        <f t="shared" si="34"/>
        <v>152.0532831619625</v>
      </c>
      <c r="N118">
        <f t="shared" si="35"/>
        <v>15.117593875918363</v>
      </c>
      <c r="O118">
        <f t="shared" si="36"/>
        <v>52.983014880809996</v>
      </c>
      <c r="P118">
        <f t="shared" si="37"/>
        <v>0.10417809926443476</v>
      </c>
      <c r="Q118">
        <f t="shared" si="38"/>
        <v>2.1182886230194651</v>
      </c>
      <c r="R118">
        <f t="shared" si="39"/>
        <v>0.10141317522556161</v>
      </c>
      <c r="S118">
        <f t="shared" si="40"/>
        <v>6.362553981406846E-2</v>
      </c>
      <c r="T118">
        <f t="shared" si="41"/>
        <v>276.116071428</v>
      </c>
      <c r="U118">
        <f t="shared" si="42"/>
        <v>28.427318368820536</v>
      </c>
      <c r="V118">
        <f t="shared" si="43"/>
        <v>28.427318368820536</v>
      </c>
      <c r="W118">
        <f t="shared" si="44"/>
        <v>3.890407251252967</v>
      </c>
      <c r="X118">
        <f t="shared" si="45"/>
        <v>69.224336328503185</v>
      </c>
      <c r="Y118">
        <f t="shared" si="46"/>
        <v>2.4439168121620001</v>
      </c>
      <c r="Z118">
        <f t="shared" si="47"/>
        <v>3.530430108516208</v>
      </c>
      <c r="AA118">
        <f t="shared" si="48"/>
        <v>1.446490439090967</v>
      </c>
      <c r="AB118">
        <f t="shared" si="49"/>
        <v>-67.208073908855397</v>
      </c>
      <c r="AC118">
        <f t="shared" si="50"/>
        <v>-189.63315089444777</v>
      </c>
      <c r="AD118">
        <f t="shared" si="51"/>
        <v>-19.435594563217393</v>
      </c>
      <c r="AE118">
        <f t="shared" si="52"/>
        <v>-0.16074793852058633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52600.878347607686</v>
      </c>
      <c r="AK118">
        <f t="shared" si="56"/>
        <v>1800</v>
      </c>
      <c r="AL118">
        <f t="shared" si="57"/>
        <v>1499.1131267999999</v>
      </c>
      <c r="AM118">
        <f t="shared" si="58"/>
        <v>0.83284062599999997</v>
      </c>
      <c r="AN118">
        <f t="shared" si="59"/>
        <v>0.15339781746</v>
      </c>
      <c r="AO118">
        <v>32.700000000000003</v>
      </c>
      <c r="AP118">
        <v>0.5</v>
      </c>
      <c r="AQ118" t="s">
        <v>331</v>
      </c>
      <c r="AR118">
        <v>2</v>
      </c>
      <c r="AS118">
        <v>1690302049.5999999</v>
      </c>
      <c r="AT118">
        <v>532.90499999999997</v>
      </c>
      <c r="AU118">
        <v>800.12199999999996</v>
      </c>
      <c r="AV118">
        <v>24.581</v>
      </c>
      <c r="AW118">
        <v>8.3822899999999994</v>
      </c>
      <c r="AX118">
        <v>533.03300000000002</v>
      </c>
      <c r="AY118">
        <v>24.299499999999998</v>
      </c>
      <c r="AZ118">
        <v>300.08300000000003</v>
      </c>
      <c r="BA118">
        <v>99.322999999999993</v>
      </c>
      <c r="BB118">
        <v>0.10000199999999999</v>
      </c>
      <c r="BC118">
        <v>26.7668</v>
      </c>
      <c r="BD118">
        <v>27.001100000000001</v>
      </c>
      <c r="BE118">
        <v>28.308</v>
      </c>
      <c r="BF118">
        <v>0</v>
      </c>
      <c r="BG118">
        <v>0</v>
      </c>
      <c r="BH118">
        <v>10008.1</v>
      </c>
      <c r="BI118">
        <v>1078.21</v>
      </c>
      <c r="BJ118">
        <v>1.96231</v>
      </c>
      <c r="BK118">
        <v>-267.21699999999998</v>
      </c>
      <c r="BL118">
        <v>546.33500000000004</v>
      </c>
      <c r="BM118">
        <v>806.88599999999997</v>
      </c>
      <c r="BN118">
        <v>16.198799999999999</v>
      </c>
      <c r="BO118">
        <v>800.12199999999996</v>
      </c>
      <c r="BP118">
        <v>8.3822899999999994</v>
      </c>
      <c r="BQ118">
        <v>2.4414600000000002</v>
      </c>
      <c r="BR118">
        <v>0.83255400000000002</v>
      </c>
      <c r="BS118">
        <v>20.641400000000001</v>
      </c>
      <c r="BT118">
        <v>4.2748100000000004</v>
      </c>
      <c r="BU118">
        <v>1800</v>
      </c>
      <c r="BV118">
        <v>0.909995</v>
      </c>
      <c r="BW118">
        <v>3.3990300000000001E-2</v>
      </c>
      <c r="BX118">
        <v>2.20068E-2</v>
      </c>
      <c r="BY118">
        <v>3.4007599999999999E-2</v>
      </c>
      <c r="BZ118">
        <v>25.083300000000001</v>
      </c>
      <c r="CA118">
        <v>33528.300000000003</v>
      </c>
      <c r="CB118">
        <v>1690300477.5</v>
      </c>
      <c r="CC118" t="s">
        <v>332</v>
      </c>
      <c r="CD118">
        <v>1690300477.5</v>
      </c>
      <c r="CE118">
        <v>1690300465.5</v>
      </c>
      <c r="CF118">
        <v>7</v>
      </c>
      <c r="CG118">
        <v>5.0999999999999997E-2</v>
      </c>
      <c r="CH118">
        <v>-8.0000000000000002E-3</v>
      </c>
      <c r="CI118">
        <v>-0.316</v>
      </c>
      <c r="CJ118">
        <v>0.28199999999999997</v>
      </c>
      <c r="CK118">
        <v>800</v>
      </c>
      <c r="CL118">
        <v>24</v>
      </c>
      <c r="CM118">
        <v>0.25</v>
      </c>
      <c r="CN118">
        <v>0.13</v>
      </c>
      <c r="CO118">
        <v>-263.63717500000001</v>
      </c>
      <c r="CP118">
        <v>-21.046142589117729</v>
      </c>
      <c r="CQ118">
        <v>2.0269295854506151</v>
      </c>
      <c r="CR118">
        <v>-1</v>
      </c>
      <c r="CS118">
        <v>15.9135425</v>
      </c>
      <c r="CT118">
        <v>1.64670281425888</v>
      </c>
      <c r="CU118">
        <v>0.1585235753563172</v>
      </c>
      <c r="CV118">
        <v>-1</v>
      </c>
      <c r="CW118">
        <v>0</v>
      </c>
      <c r="CX118">
        <v>0</v>
      </c>
      <c r="CY118" t="s">
        <v>333</v>
      </c>
      <c r="CZ118">
        <v>2.3643999999999998</v>
      </c>
      <c r="DA118">
        <v>2.7138</v>
      </c>
      <c r="DB118">
        <v>0.11103200000000001</v>
      </c>
      <c r="DC118">
        <v>0.146535</v>
      </c>
      <c r="DD118">
        <v>0.11583400000000001</v>
      </c>
      <c r="DE118">
        <v>5.1706599999999998E-2</v>
      </c>
      <c r="DF118">
        <v>32474.6</v>
      </c>
      <c r="DG118">
        <v>27525.8</v>
      </c>
      <c r="DH118">
        <v>31185.8</v>
      </c>
      <c r="DI118">
        <v>28102.6</v>
      </c>
      <c r="DJ118">
        <v>37432.800000000003</v>
      </c>
      <c r="DK118">
        <v>37900.5</v>
      </c>
      <c r="DL118">
        <v>44383.6</v>
      </c>
      <c r="DM118">
        <v>42597.8</v>
      </c>
      <c r="DN118">
        <v>1.47925</v>
      </c>
      <c r="DO118">
        <v>2.0460500000000001</v>
      </c>
      <c r="DP118">
        <v>9.4674499999999995E-2</v>
      </c>
      <c r="DQ118">
        <v>0.186168</v>
      </c>
      <c r="DR118">
        <v>25.450900000000001</v>
      </c>
      <c r="DS118">
        <v>25.2623</v>
      </c>
      <c r="DT118">
        <v>54</v>
      </c>
      <c r="DU118">
        <v>28.8</v>
      </c>
      <c r="DV118">
        <v>21.617000000000001</v>
      </c>
      <c r="DW118">
        <v>61.771099999999997</v>
      </c>
      <c r="DX118">
        <v>36.939100000000003</v>
      </c>
      <c r="DY118">
        <v>1</v>
      </c>
      <c r="DZ118">
        <v>-0.102086</v>
      </c>
      <c r="EA118">
        <v>-0.30083599999999999</v>
      </c>
      <c r="EB118">
        <v>20.189299999999999</v>
      </c>
      <c r="EC118">
        <v>5.2409499999999998</v>
      </c>
      <c r="ED118">
        <v>12.039899999999999</v>
      </c>
      <c r="EE118">
        <v>5.0171999999999999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</v>
      </c>
      <c r="EL118">
        <v>1.8646199999999999</v>
      </c>
      <c r="EM118">
        <v>1.8692</v>
      </c>
      <c r="EN118">
        <v>1.8672599999999999</v>
      </c>
      <c r="EO118">
        <v>1.86338</v>
      </c>
      <c r="EP118">
        <v>1.8644700000000001</v>
      </c>
      <c r="EQ118">
        <v>1.8701399999999999</v>
      </c>
      <c r="ER118">
        <v>1.8694200000000001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-0.128</v>
      </c>
      <c r="FG118">
        <v>0.28149999999999997</v>
      </c>
      <c r="FH118">
        <v>0.23539598422606861</v>
      </c>
      <c r="FI118">
        <v>-6.1462078757559423E-4</v>
      </c>
      <c r="FJ118">
        <v>-1.8861989874597051E-7</v>
      </c>
      <c r="FK118">
        <v>1.1980462299894961E-10</v>
      </c>
      <c r="FL118">
        <v>0.28151999999999688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26.2</v>
      </c>
      <c r="FU118">
        <v>26.4</v>
      </c>
      <c r="FV118">
        <v>1.7773399999999999</v>
      </c>
      <c r="FW118">
        <v>2.5891099999999998</v>
      </c>
      <c r="FX118">
        <v>1.5490699999999999</v>
      </c>
      <c r="FY118">
        <v>2.3290999999999999</v>
      </c>
      <c r="FZ118">
        <v>1.50146</v>
      </c>
      <c r="GA118">
        <v>2.3120099999999999</v>
      </c>
      <c r="GB118">
        <v>33.625399999999999</v>
      </c>
      <c r="GC118">
        <v>23.982399999999998</v>
      </c>
      <c r="GD118">
        <v>19</v>
      </c>
      <c r="GE118">
        <v>283.78699999999998</v>
      </c>
      <c r="GF118">
        <v>590.09799999999996</v>
      </c>
      <c r="GG118">
        <v>25.213699999999999</v>
      </c>
      <c r="GH118">
        <v>26.126899999999999</v>
      </c>
      <c r="GI118">
        <v>29.9999</v>
      </c>
      <c r="GJ118">
        <v>26.2621</v>
      </c>
      <c r="GK118">
        <v>26.242699999999999</v>
      </c>
      <c r="GL118">
        <v>35.541499999999999</v>
      </c>
      <c r="GM118">
        <v>61.528199999999998</v>
      </c>
      <c r="GN118">
        <v>78.460499999999996</v>
      </c>
      <c r="GO118">
        <v>25.222100000000001</v>
      </c>
      <c r="GP118">
        <v>800</v>
      </c>
      <c r="GQ118">
        <v>8.2077200000000001</v>
      </c>
      <c r="GR118">
        <v>99.785600000000002</v>
      </c>
      <c r="GS118">
        <v>99.647400000000005</v>
      </c>
    </row>
    <row r="119" spans="1:201" x14ac:dyDescent="0.25">
      <c r="A119">
        <v>103</v>
      </c>
      <c r="B119">
        <v>1690302059.5999999</v>
      </c>
      <c r="C119">
        <v>1155.599999904633</v>
      </c>
      <c r="D119" t="s">
        <v>537</v>
      </c>
      <c r="E119" t="s">
        <v>538</v>
      </c>
      <c r="F119" t="s">
        <v>330</v>
      </c>
      <c r="H119">
        <v>1690302059.5999999</v>
      </c>
      <c r="I119">
        <f t="shared" si="30"/>
        <v>1.5490512049966927E-3</v>
      </c>
      <c r="J119">
        <f t="shared" si="31"/>
        <v>1.5490512049966927</v>
      </c>
      <c r="K119">
        <f t="shared" si="32"/>
        <v>24.017216802009514</v>
      </c>
      <c r="L119">
        <f t="shared" si="33"/>
        <v>529.51199999999994</v>
      </c>
      <c r="M119">
        <f t="shared" si="34"/>
        <v>150.16982813380849</v>
      </c>
      <c r="N119">
        <f t="shared" si="35"/>
        <v>14.930441142785961</v>
      </c>
      <c r="O119">
        <f t="shared" si="36"/>
        <v>52.646046470495996</v>
      </c>
      <c r="P119">
        <f t="shared" si="37"/>
        <v>0.10597898891990896</v>
      </c>
      <c r="Q119">
        <f t="shared" si="38"/>
        <v>2.119157840953811</v>
      </c>
      <c r="R119">
        <f t="shared" si="39"/>
        <v>0.10312019815940372</v>
      </c>
      <c r="S119">
        <f t="shared" si="40"/>
        <v>6.470055163840184E-2</v>
      </c>
      <c r="T119">
        <f t="shared" si="41"/>
        <v>276.11633302199999</v>
      </c>
      <c r="U119">
        <f t="shared" si="42"/>
        <v>28.4253103291169</v>
      </c>
      <c r="V119">
        <f t="shared" si="43"/>
        <v>28.4253103291169</v>
      </c>
      <c r="W119">
        <f t="shared" si="44"/>
        <v>3.8899532998316593</v>
      </c>
      <c r="X119">
        <f t="shared" si="45"/>
        <v>69.196666807416278</v>
      </c>
      <c r="Y119">
        <f t="shared" si="46"/>
        <v>2.4440037629436002</v>
      </c>
      <c r="Z119">
        <f t="shared" si="47"/>
        <v>3.5319674714182323</v>
      </c>
      <c r="AA119">
        <f t="shared" si="48"/>
        <v>1.4459495368880591</v>
      </c>
      <c r="AB119">
        <f t="shared" si="49"/>
        <v>-68.313158140354147</v>
      </c>
      <c r="AC119">
        <f t="shared" si="50"/>
        <v>-188.63611483308691</v>
      </c>
      <c r="AD119">
        <f t="shared" si="51"/>
        <v>-19.325996150108722</v>
      </c>
      <c r="AE119">
        <f t="shared" si="52"/>
        <v>-0.15893610154978433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52637.745680041386</v>
      </c>
      <c r="AK119">
        <f t="shared" si="56"/>
        <v>1800</v>
      </c>
      <c r="AL119">
        <f t="shared" si="57"/>
        <v>1499.1119801999998</v>
      </c>
      <c r="AM119">
        <f t="shared" si="58"/>
        <v>0.83283998899999989</v>
      </c>
      <c r="AN119">
        <f t="shared" si="59"/>
        <v>0.15339796279000001</v>
      </c>
      <c r="AO119">
        <v>32.700000000000003</v>
      </c>
      <c r="AP119">
        <v>0.5</v>
      </c>
      <c r="AQ119" t="s">
        <v>331</v>
      </c>
      <c r="AR119">
        <v>2</v>
      </c>
      <c r="AS119">
        <v>1690302059.5999999</v>
      </c>
      <c r="AT119">
        <v>529.51199999999994</v>
      </c>
      <c r="AU119">
        <v>800.16</v>
      </c>
      <c r="AV119">
        <v>24.581700000000001</v>
      </c>
      <c r="AW119">
        <v>8.1169799999999999</v>
      </c>
      <c r="AX119">
        <v>529.63699999999994</v>
      </c>
      <c r="AY119">
        <v>24.3002</v>
      </c>
      <c r="AZ119">
        <v>300.089</v>
      </c>
      <c r="BA119">
        <v>99.323700000000002</v>
      </c>
      <c r="BB119">
        <v>0.100008</v>
      </c>
      <c r="BC119">
        <v>26.7742</v>
      </c>
      <c r="BD119">
        <v>26.9849</v>
      </c>
      <c r="BE119">
        <v>28.318000000000001</v>
      </c>
      <c r="BF119">
        <v>0</v>
      </c>
      <c r="BG119">
        <v>0</v>
      </c>
      <c r="BH119">
        <v>10015.6</v>
      </c>
      <c r="BI119">
        <v>1078.23</v>
      </c>
      <c r="BJ119">
        <v>1.96231</v>
      </c>
      <c r="BK119">
        <v>-270.64800000000002</v>
      </c>
      <c r="BL119">
        <v>542.85599999999999</v>
      </c>
      <c r="BM119">
        <v>806.70799999999997</v>
      </c>
      <c r="BN119">
        <v>16.464700000000001</v>
      </c>
      <c r="BO119">
        <v>800.16</v>
      </c>
      <c r="BP119">
        <v>8.1169799999999999</v>
      </c>
      <c r="BQ119">
        <v>2.4415399999999998</v>
      </c>
      <c r="BR119">
        <v>0.80620800000000004</v>
      </c>
      <c r="BS119">
        <v>20.641999999999999</v>
      </c>
      <c r="BT119">
        <v>3.8170899999999999</v>
      </c>
      <c r="BU119">
        <v>1800</v>
      </c>
      <c r="BV119">
        <v>0.90998800000000002</v>
      </c>
      <c r="BW119">
        <v>3.3999500000000002E-2</v>
      </c>
      <c r="BX119">
        <v>2.20062E-2</v>
      </c>
      <c r="BY119">
        <v>3.4006700000000001E-2</v>
      </c>
      <c r="BZ119">
        <v>25.125</v>
      </c>
      <c r="CA119">
        <v>33528.199999999997</v>
      </c>
      <c r="CB119">
        <v>1690300477.5</v>
      </c>
      <c r="CC119" t="s">
        <v>332</v>
      </c>
      <c r="CD119">
        <v>1690300477.5</v>
      </c>
      <c r="CE119">
        <v>1690300465.5</v>
      </c>
      <c r="CF119">
        <v>7</v>
      </c>
      <c r="CG119">
        <v>5.0999999999999997E-2</v>
      </c>
      <c r="CH119">
        <v>-8.0000000000000002E-3</v>
      </c>
      <c r="CI119">
        <v>-0.316</v>
      </c>
      <c r="CJ119">
        <v>0.28199999999999997</v>
      </c>
      <c r="CK119">
        <v>800</v>
      </c>
      <c r="CL119">
        <v>24</v>
      </c>
      <c r="CM119">
        <v>0.25</v>
      </c>
      <c r="CN119">
        <v>0.13</v>
      </c>
      <c r="CO119">
        <v>-266.76515000000001</v>
      </c>
      <c r="CP119">
        <v>-20.339257035646781</v>
      </c>
      <c r="CQ119">
        <v>1.9575229570812209</v>
      </c>
      <c r="CR119">
        <v>-1</v>
      </c>
      <c r="CS119">
        <v>16.167517499999999</v>
      </c>
      <c r="CT119">
        <v>1.75930694183859</v>
      </c>
      <c r="CU119">
        <v>0.16934440481973381</v>
      </c>
      <c r="CV119">
        <v>-1</v>
      </c>
      <c r="CW119">
        <v>0</v>
      </c>
      <c r="CX119">
        <v>0</v>
      </c>
      <c r="CY119" t="s">
        <v>333</v>
      </c>
      <c r="CZ119">
        <v>2.36443</v>
      </c>
      <c r="DA119">
        <v>2.7138100000000001</v>
      </c>
      <c r="DB119">
        <v>0.110523</v>
      </c>
      <c r="DC119">
        <v>0.146536</v>
      </c>
      <c r="DD119">
        <v>0.115838</v>
      </c>
      <c r="DE119">
        <v>5.0415099999999997E-2</v>
      </c>
      <c r="DF119">
        <v>32493.5</v>
      </c>
      <c r="DG119">
        <v>27526.5</v>
      </c>
      <c r="DH119">
        <v>31186.1</v>
      </c>
      <c r="DI119">
        <v>28103.4</v>
      </c>
      <c r="DJ119">
        <v>37433</v>
      </c>
      <c r="DK119">
        <v>37953.300000000003</v>
      </c>
      <c r="DL119">
        <v>44384</v>
      </c>
      <c r="DM119">
        <v>42599</v>
      </c>
      <c r="DN119">
        <v>1.47922</v>
      </c>
      <c r="DO119">
        <v>2.0455299999999998</v>
      </c>
      <c r="DP119">
        <v>9.3679899999999997E-2</v>
      </c>
      <c r="DQ119">
        <v>0.186749</v>
      </c>
      <c r="DR119">
        <v>25.450900000000001</v>
      </c>
      <c r="DS119">
        <v>25.262799999999999</v>
      </c>
      <c r="DT119">
        <v>53.8</v>
      </c>
      <c r="DU119">
        <v>28.8</v>
      </c>
      <c r="DV119">
        <v>21.532699999999998</v>
      </c>
      <c r="DW119">
        <v>61.461100000000002</v>
      </c>
      <c r="DX119">
        <v>36.302100000000003</v>
      </c>
      <c r="DY119">
        <v>1</v>
      </c>
      <c r="DZ119">
        <v>-0.102259</v>
      </c>
      <c r="EA119">
        <v>-0.30687900000000001</v>
      </c>
      <c r="EB119">
        <v>20.1891</v>
      </c>
      <c r="EC119">
        <v>5.2416999999999998</v>
      </c>
      <c r="ED119">
        <v>12.039899999999999</v>
      </c>
      <c r="EE119">
        <v>5.0175000000000001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1.8689100000000001</v>
      </c>
      <c r="EL119">
        <v>1.8646199999999999</v>
      </c>
      <c r="EM119">
        <v>1.8692</v>
      </c>
      <c r="EN119">
        <v>1.86724</v>
      </c>
      <c r="EO119">
        <v>1.8633999999999999</v>
      </c>
      <c r="EP119">
        <v>1.8644799999999999</v>
      </c>
      <c r="EQ119">
        <v>1.87015</v>
      </c>
      <c r="ER119">
        <v>1.8693900000000001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-0.125</v>
      </c>
      <c r="FG119">
        <v>0.28149999999999997</v>
      </c>
      <c r="FH119">
        <v>0.23539598422606861</v>
      </c>
      <c r="FI119">
        <v>-6.1462078757559423E-4</v>
      </c>
      <c r="FJ119">
        <v>-1.8861989874597051E-7</v>
      </c>
      <c r="FK119">
        <v>1.1980462299894961E-10</v>
      </c>
      <c r="FL119">
        <v>0.28151999999999688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26.4</v>
      </c>
      <c r="FU119">
        <v>26.6</v>
      </c>
      <c r="FV119">
        <v>1.7773399999999999</v>
      </c>
      <c r="FW119">
        <v>2.5976599999999999</v>
      </c>
      <c r="FX119">
        <v>1.5490699999999999</v>
      </c>
      <c r="FY119">
        <v>2.3278799999999999</v>
      </c>
      <c r="FZ119">
        <v>1.50146</v>
      </c>
      <c r="GA119">
        <v>2.3156699999999999</v>
      </c>
      <c r="GB119">
        <v>33.625399999999999</v>
      </c>
      <c r="GC119">
        <v>23.973700000000001</v>
      </c>
      <c r="GD119">
        <v>19</v>
      </c>
      <c r="GE119">
        <v>283.76299999999998</v>
      </c>
      <c r="GF119">
        <v>589.63</v>
      </c>
      <c r="GG119">
        <v>25.229900000000001</v>
      </c>
      <c r="GH119">
        <v>26.123000000000001</v>
      </c>
      <c r="GI119">
        <v>30</v>
      </c>
      <c r="GJ119">
        <v>26.259</v>
      </c>
      <c r="GK119">
        <v>26.240200000000002</v>
      </c>
      <c r="GL119">
        <v>35.5319</v>
      </c>
      <c r="GM119">
        <v>62.3812</v>
      </c>
      <c r="GN119">
        <v>77.694000000000003</v>
      </c>
      <c r="GO119">
        <v>25.239799999999999</v>
      </c>
      <c r="GP119">
        <v>800</v>
      </c>
      <c r="GQ119">
        <v>7.9318600000000004</v>
      </c>
      <c r="GR119">
        <v>99.786600000000007</v>
      </c>
      <c r="GS119">
        <v>99.650099999999995</v>
      </c>
    </row>
    <row r="120" spans="1:201" x14ac:dyDescent="0.25">
      <c r="A120">
        <v>104</v>
      </c>
      <c r="B120">
        <v>1690302069.5999999</v>
      </c>
      <c r="C120">
        <v>1165.599999904633</v>
      </c>
      <c r="D120" t="s">
        <v>539</v>
      </c>
      <c r="E120" t="s">
        <v>540</v>
      </c>
      <c r="F120" t="s">
        <v>330</v>
      </c>
      <c r="H120">
        <v>1690302069.5999999</v>
      </c>
      <c r="I120">
        <f t="shared" si="30"/>
        <v>1.5766276983404262E-3</v>
      </c>
      <c r="J120">
        <f t="shared" si="31"/>
        <v>1.5766276983404262</v>
      </c>
      <c r="K120">
        <f t="shared" si="32"/>
        <v>24.327345670174477</v>
      </c>
      <c r="L120">
        <f t="shared" si="33"/>
        <v>526.101</v>
      </c>
      <c r="M120">
        <f t="shared" si="34"/>
        <v>149.34916706841966</v>
      </c>
      <c r="N120">
        <f t="shared" si="35"/>
        <v>14.848673178388635</v>
      </c>
      <c r="O120">
        <f t="shared" si="36"/>
        <v>52.306296453897602</v>
      </c>
      <c r="P120">
        <f t="shared" si="37"/>
        <v>0.10813415855653082</v>
      </c>
      <c r="Q120">
        <f t="shared" si="38"/>
        <v>2.1182839937149169</v>
      </c>
      <c r="R120">
        <f t="shared" si="39"/>
        <v>0.10515848025528841</v>
      </c>
      <c r="S120">
        <f t="shared" si="40"/>
        <v>6.5984582471330655E-2</v>
      </c>
      <c r="T120">
        <f t="shared" si="41"/>
        <v>276.11470216691032</v>
      </c>
      <c r="U120">
        <f t="shared" si="42"/>
        <v>28.416648651215102</v>
      </c>
      <c r="V120">
        <f t="shared" si="43"/>
        <v>28.416648651215102</v>
      </c>
      <c r="W120">
        <f t="shared" si="44"/>
        <v>3.8879957101139691</v>
      </c>
      <c r="X120">
        <f t="shared" si="45"/>
        <v>69.218713242021039</v>
      </c>
      <c r="Y120">
        <f t="shared" si="46"/>
        <v>2.4448399685990396</v>
      </c>
      <c r="Z120">
        <f t="shared" si="47"/>
        <v>3.5320505887630911</v>
      </c>
      <c r="AA120">
        <f t="shared" si="48"/>
        <v>1.4431557415149294</v>
      </c>
      <c r="AB120">
        <f t="shared" si="49"/>
        <v>-69.5292814968128</v>
      </c>
      <c r="AC120">
        <f t="shared" si="50"/>
        <v>-187.52347760460668</v>
      </c>
      <c r="AD120">
        <f t="shared" si="51"/>
        <v>-19.21913665146198</v>
      </c>
      <c r="AE120">
        <f t="shared" si="52"/>
        <v>-0.15719358597118571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52599.29786431502</v>
      </c>
      <c r="AK120">
        <f t="shared" si="56"/>
        <v>1799.99</v>
      </c>
      <c r="AL120">
        <f t="shared" si="57"/>
        <v>1499.1006062170297</v>
      </c>
      <c r="AM120">
        <f t="shared" si="58"/>
        <v>0.83283829699999989</v>
      </c>
      <c r="AN120">
        <f t="shared" si="59"/>
        <v>0.15339790897</v>
      </c>
      <c r="AO120">
        <v>32.700000000000003</v>
      </c>
      <c r="AP120">
        <v>0.5</v>
      </c>
      <c r="AQ120" t="s">
        <v>331</v>
      </c>
      <c r="AR120">
        <v>2</v>
      </c>
      <c r="AS120">
        <v>1690302069.5999999</v>
      </c>
      <c r="AT120">
        <v>526.101</v>
      </c>
      <c r="AU120">
        <v>800.10199999999998</v>
      </c>
      <c r="AV120">
        <v>24.590399999999999</v>
      </c>
      <c r="AW120">
        <v>7.8404800000000003</v>
      </c>
      <c r="AX120">
        <v>526.22400000000005</v>
      </c>
      <c r="AY120">
        <v>24.308900000000001</v>
      </c>
      <c r="AZ120">
        <v>300.22800000000001</v>
      </c>
      <c r="BA120">
        <v>99.322599999999994</v>
      </c>
      <c r="BB120">
        <v>9.9937600000000001E-2</v>
      </c>
      <c r="BC120">
        <v>26.7746</v>
      </c>
      <c r="BD120">
        <v>26.992100000000001</v>
      </c>
      <c r="BE120">
        <v>28.305</v>
      </c>
      <c r="BF120">
        <v>0</v>
      </c>
      <c r="BG120">
        <v>0</v>
      </c>
      <c r="BH120">
        <v>10008.1</v>
      </c>
      <c r="BI120">
        <v>1078.32</v>
      </c>
      <c r="BJ120">
        <v>1.9482999999999999</v>
      </c>
      <c r="BK120">
        <v>-274.00099999999998</v>
      </c>
      <c r="BL120">
        <v>539.36400000000003</v>
      </c>
      <c r="BM120">
        <v>806.42399999999998</v>
      </c>
      <c r="BN120">
        <v>16.75</v>
      </c>
      <c r="BO120">
        <v>800.10199999999998</v>
      </c>
      <c r="BP120">
        <v>7.8404800000000003</v>
      </c>
      <c r="BQ120">
        <v>2.44238</v>
      </c>
      <c r="BR120">
        <v>0.77873599999999998</v>
      </c>
      <c r="BS120">
        <v>20.647600000000001</v>
      </c>
      <c r="BT120">
        <v>3.3254999999999999</v>
      </c>
      <c r="BU120">
        <v>1799.99</v>
      </c>
      <c r="BV120">
        <v>0.90998000000000001</v>
      </c>
      <c r="BW120">
        <v>3.4008499999999997E-2</v>
      </c>
      <c r="BX120">
        <v>2.20056E-2</v>
      </c>
      <c r="BY120">
        <v>3.40057E-2</v>
      </c>
      <c r="BZ120">
        <v>25.208300000000001</v>
      </c>
      <c r="CA120">
        <v>33528.1</v>
      </c>
      <c r="CB120">
        <v>1690300477.5</v>
      </c>
      <c r="CC120" t="s">
        <v>332</v>
      </c>
      <c r="CD120">
        <v>1690300477.5</v>
      </c>
      <c r="CE120">
        <v>1690300465.5</v>
      </c>
      <c r="CF120">
        <v>7</v>
      </c>
      <c r="CG120">
        <v>5.0999999999999997E-2</v>
      </c>
      <c r="CH120">
        <v>-8.0000000000000002E-3</v>
      </c>
      <c r="CI120">
        <v>-0.316</v>
      </c>
      <c r="CJ120">
        <v>0.28199999999999997</v>
      </c>
      <c r="CK120">
        <v>800</v>
      </c>
      <c r="CL120">
        <v>24</v>
      </c>
      <c r="CM120">
        <v>0.25</v>
      </c>
      <c r="CN120">
        <v>0.13</v>
      </c>
      <c r="CO120">
        <v>-270.25690243902437</v>
      </c>
      <c r="CP120">
        <v>-20.450006968640981</v>
      </c>
      <c r="CQ120">
        <v>2.016697479095257</v>
      </c>
      <c r="CR120">
        <v>-1</v>
      </c>
      <c r="CS120">
        <v>16.450219512195119</v>
      </c>
      <c r="CT120">
        <v>1.6126557491289439</v>
      </c>
      <c r="CU120">
        <v>0.1594467725537613</v>
      </c>
      <c r="CV120">
        <v>-1</v>
      </c>
      <c r="CW120">
        <v>0</v>
      </c>
      <c r="CX120">
        <v>0</v>
      </c>
      <c r="CY120" t="s">
        <v>333</v>
      </c>
      <c r="CZ120">
        <v>2.3649100000000001</v>
      </c>
      <c r="DA120">
        <v>2.71374</v>
      </c>
      <c r="DB120">
        <v>0.11000699999999999</v>
      </c>
      <c r="DC120">
        <v>0.14652200000000001</v>
      </c>
      <c r="DD120">
        <v>0.115867</v>
      </c>
      <c r="DE120">
        <v>4.9053100000000002E-2</v>
      </c>
      <c r="DF120">
        <v>32512.1</v>
      </c>
      <c r="DG120">
        <v>27527</v>
      </c>
      <c r="DH120">
        <v>31185.9</v>
      </c>
      <c r="DI120">
        <v>28103.5</v>
      </c>
      <c r="DJ120">
        <v>37431.300000000003</v>
      </c>
      <c r="DK120">
        <v>38008.199999999997</v>
      </c>
      <c r="DL120">
        <v>44383.6</v>
      </c>
      <c r="DM120">
        <v>42599.3</v>
      </c>
      <c r="DN120">
        <v>1.4797</v>
      </c>
      <c r="DO120">
        <v>2.0452699999999999</v>
      </c>
      <c r="DP120">
        <v>9.4123200000000004E-2</v>
      </c>
      <c r="DQ120">
        <v>0.18595200000000001</v>
      </c>
      <c r="DR120">
        <v>25.450900000000001</v>
      </c>
      <c r="DS120">
        <v>25.262799999999999</v>
      </c>
      <c r="DT120">
        <v>53.4</v>
      </c>
      <c r="DU120">
        <v>28.8</v>
      </c>
      <c r="DV120">
        <v>21.3706</v>
      </c>
      <c r="DW120">
        <v>61.331099999999999</v>
      </c>
      <c r="DX120">
        <v>35.841299999999997</v>
      </c>
      <c r="DY120">
        <v>1</v>
      </c>
      <c r="DZ120">
        <v>-0.10263</v>
      </c>
      <c r="EA120">
        <v>-0.28445300000000001</v>
      </c>
      <c r="EB120">
        <v>20.189599999999999</v>
      </c>
      <c r="EC120">
        <v>5.2418500000000003</v>
      </c>
      <c r="ED120">
        <v>12.039899999999999</v>
      </c>
      <c r="EE120">
        <v>5.0172499999999998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1.8689100000000001</v>
      </c>
      <c r="EL120">
        <v>1.8646199999999999</v>
      </c>
      <c r="EM120">
        <v>1.8692</v>
      </c>
      <c r="EN120">
        <v>1.86727</v>
      </c>
      <c r="EO120">
        <v>1.8633999999999999</v>
      </c>
      <c r="EP120">
        <v>1.8644700000000001</v>
      </c>
      <c r="EQ120">
        <v>1.87016</v>
      </c>
      <c r="ER120">
        <v>1.86941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-0.123</v>
      </c>
      <c r="FG120">
        <v>0.28149999999999997</v>
      </c>
      <c r="FH120">
        <v>0.23539598422606861</v>
      </c>
      <c r="FI120">
        <v>-6.1462078757559423E-4</v>
      </c>
      <c r="FJ120">
        <v>-1.8861989874597051E-7</v>
      </c>
      <c r="FK120">
        <v>1.1980462299894961E-10</v>
      </c>
      <c r="FL120">
        <v>0.28151999999999688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26.5</v>
      </c>
      <c r="FU120">
        <v>26.7</v>
      </c>
      <c r="FV120">
        <v>1.7773399999999999</v>
      </c>
      <c r="FW120">
        <v>2.5915499999999998</v>
      </c>
      <c r="FX120">
        <v>1.5490699999999999</v>
      </c>
      <c r="FY120">
        <v>2.3278799999999999</v>
      </c>
      <c r="FZ120">
        <v>1.50146</v>
      </c>
      <c r="GA120">
        <v>2.36694</v>
      </c>
      <c r="GB120">
        <v>33.625399999999999</v>
      </c>
      <c r="GC120">
        <v>23.982399999999998</v>
      </c>
      <c r="GD120">
        <v>19</v>
      </c>
      <c r="GE120">
        <v>283.95</v>
      </c>
      <c r="GF120">
        <v>589.39</v>
      </c>
      <c r="GG120">
        <v>25.251100000000001</v>
      </c>
      <c r="GH120">
        <v>26.1206</v>
      </c>
      <c r="GI120">
        <v>29.9999</v>
      </c>
      <c r="GJ120">
        <v>26.255500000000001</v>
      </c>
      <c r="GK120">
        <v>26.237300000000001</v>
      </c>
      <c r="GL120">
        <v>35.5242</v>
      </c>
      <c r="GM120">
        <v>63.248399999999997</v>
      </c>
      <c r="GN120">
        <v>76.917199999999994</v>
      </c>
      <c r="GO120">
        <v>25.248699999999999</v>
      </c>
      <c r="GP120">
        <v>800</v>
      </c>
      <c r="GQ120">
        <v>7.65259</v>
      </c>
      <c r="GR120">
        <v>99.785600000000002</v>
      </c>
      <c r="GS120">
        <v>99.650700000000001</v>
      </c>
    </row>
    <row r="121" spans="1:201" x14ac:dyDescent="0.25">
      <c r="A121">
        <v>105</v>
      </c>
      <c r="B121">
        <v>1690302079.5999999</v>
      </c>
      <c r="C121">
        <v>1175.599999904633</v>
      </c>
      <c r="D121" t="s">
        <v>541</v>
      </c>
      <c r="E121" t="s">
        <v>542</v>
      </c>
      <c r="F121" t="s">
        <v>330</v>
      </c>
      <c r="H121">
        <v>1690302079.5999999</v>
      </c>
      <c r="I121">
        <f t="shared" si="30"/>
        <v>1.6029224960463775E-3</v>
      </c>
      <c r="J121">
        <f t="shared" si="31"/>
        <v>1.6029224960463775</v>
      </c>
      <c r="K121">
        <f t="shared" si="32"/>
        <v>24.612052235728754</v>
      </c>
      <c r="L121">
        <f t="shared" si="33"/>
        <v>522.87099999999998</v>
      </c>
      <c r="M121">
        <f t="shared" si="34"/>
        <v>148.09512853841204</v>
      </c>
      <c r="N121">
        <f t="shared" si="35"/>
        <v>14.724092620366145</v>
      </c>
      <c r="O121">
        <f t="shared" si="36"/>
        <v>51.985511667296997</v>
      </c>
      <c r="P121">
        <f t="shared" si="37"/>
        <v>0.11001774195990484</v>
      </c>
      <c r="Q121">
        <f t="shared" si="38"/>
        <v>2.118151945563608</v>
      </c>
      <c r="R121">
        <f t="shared" si="39"/>
        <v>0.10693889732742751</v>
      </c>
      <c r="S121">
        <f t="shared" si="40"/>
        <v>6.7106256036192358E-2</v>
      </c>
      <c r="T121">
        <f t="shared" si="41"/>
        <v>276.11460300546116</v>
      </c>
      <c r="U121">
        <f t="shared" si="42"/>
        <v>28.413713803113364</v>
      </c>
      <c r="V121">
        <f t="shared" si="43"/>
        <v>28.413713803113364</v>
      </c>
      <c r="W121">
        <f t="shared" si="44"/>
        <v>3.8873326122601588</v>
      </c>
      <c r="X121">
        <f t="shared" si="45"/>
        <v>69.184369327238926</v>
      </c>
      <c r="Y121">
        <f t="shared" si="46"/>
        <v>2.4445183905089998</v>
      </c>
      <c r="Z121">
        <f t="shared" si="47"/>
        <v>3.5333391259903504</v>
      </c>
      <c r="AA121">
        <f t="shared" si="48"/>
        <v>1.442814221751159</v>
      </c>
      <c r="AB121">
        <f t="shared" si="49"/>
        <v>-70.688882075645253</v>
      </c>
      <c r="AC121">
        <f t="shared" si="50"/>
        <v>-186.46864480580896</v>
      </c>
      <c r="AD121">
        <f t="shared" si="51"/>
        <v>-19.112528877092895</v>
      </c>
      <c r="AE121">
        <f t="shared" si="52"/>
        <v>-0.15545275308593887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52592.426989271931</v>
      </c>
      <c r="AK121">
        <f t="shared" si="56"/>
        <v>1799.99</v>
      </c>
      <c r="AL121">
        <f t="shared" si="57"/>
        <v>1499.1011750138698</v>
      </c>
      <c r="AM121">
        <f t="shared" si="58"/>
        <v>0.83283861299999995</v>
      </c>
      <c r="AN121">
        <f t="shared" si="59"/>
        <v>0.15339785387999999</v>
      </c>
      <c r="AO121">
        <v>32.700000000000003</v>
      </c>
      <c r="AP121">
        <v>0.5</v>
      </c>
      <c r="AQ121" t="s">
        <v>331</v>
      </c>
      <c r="AR121">
        <v>2</v>
      </c>
      <c r="AS121">
        <v>1690302079.5999999</v>
      </c>
      <c r="AT121">
        <v>522.87099999999998</v>
      </c>
      <c r="AU121">
        <v>800.08199999999999</v>
      </c>
      <c r="AV121">
        <v>24.587</v>
      </c>
      <c r="AW121">
        <v>7.5567599999999997</v>
      </c>
      <c r="AX121">
        <v>522.99099999999999</v>
      </c>
      <c r="AY121">
        <v>24.305499999999999</v>
      </c>
      <c r="AZ121">
        <v>300.21199999999999</v>
      </c>
      <c r="BA121">
        <v>99.323099999999997</v>
      </c>
      <c r="BB121">
        <v>0.100107</v>
      </c>
      <c r="BC121">
        <v>26.780799999999999</v>
      </c>
      <c r="BD121">
        <v>26.977</v>
      </c>
      <c r="BE121">
        <v>28.300899999999999</v>
      </c>
      <c r="BF121">
        <v>0</v>
      </c>
      <c r="BG121">
        <v>0</v>
      </c>
      <c r="BH121">
        <v>10006.9</v>
      </c>
      <c r="BI121">
        <v>1078.26</v>
      </c>
      <c r="BJ121">
        <v>1.96231</v>
      </c>
      <c r="BK121">
        <v>-277.21100000000001</v>
      </c>
      <c r="BL121">
        <v>536.05100000000004</v>
      </c>
      <c r="BM121">
        <v>806.17399999999998</v>
      </c>
      <c r="BN121">
        <v>17.030200000000001</v>
      </c>
      <c r="BO121">
        <v>800.08199999999999</v>
      </c>
      <c r="BP121">
        <v>7.5567599999999997</v>
      </c>
      <c r="BQ121">
        <v>2.4420600000000001</v>
      </c>
      <c r="BR121">
        <v>0.75056199999999995</v>
      </c>
      <c r="BS121">
        <v>20.645399999999999</v>
      </c>
      <c r="BT121">
        <v>2.8051400000000002</v>
      </c>
      <c r="BU121">
        <v>1799.99</v>
      </c>
      <c r="BV121">
        <v>0.90998299999999999</v>
      </c>
      <c r="BW121">
        <v>3.40074E-2</v>
      </c>
      <c r="BX121">
        <v>2.2004900000000001E-2</v>
      </c>
      <c r="BY121">
        <v>3.4004600000000003E-2</v>
      </c>
      <c r="BZ121">
        <v>25.583300000000001</v>
      </c>
      <c r="CA121">
        <v>33528</v>
      </c>
      <c r="CB121">
        <v>1690300477.5</v>
      </c>
      <c r="CC121" t="s">
        <v>332</v>
      </c>
      <c r="CD121">
        <v>1690300477.5</v>
      </c>
      <c r="CE121">
        <v>1690300465.5</v>
      </c>
      <c r="CF121">
        <v>7</v>
      </c>
      <c r="CG121">
        <v>5.0999999999999997E-2</v>
      </c>
      <c r="CH121">
        <v>-8.0000000000000002E-3</v>
      </c>
      <c r="CI121">
        <v>-0.316</v>
      </c>
      <c r="CJ121">
        <v>0.28199999999999997</v>
      </c>
      <c r="CK121">
        <v>800</v>
      </c>
      <c r="CL121">
        <v>24</v>
      </c>
      <c r="CM121">
        <v>0.25</v>
      </c>
      <c r="CN121">
        <v>0.13</v>
      </c>
      <c r="CO121">
        <v>-273.84460000000001</v>
      </c>
      <c r="CP121">
        <v>-19.688690431518591</v>
      </c>
      <c r="CQ121">
        <v>1.8947569342794319</v>
      </c>
      <c r="CR121">
        <v>-1</v>
      </c>
      <c r="CS121">
        <v>16.740285</v>
      </c>
      <c r="CT121">
        <v>1.6888975609756101</v>
      </c>
      <c r="CU121">
        <v>0.1625909000374865</v>
      </c>
      <c r="CV121">
        <v>-1</v>
      </c>
      <c r="CW121">
        <v>0</v>
      </c>
      <c r="CX121">
        <v>0</v>
      </c>
      <c r="CY121" t="s">
        <v>333</v>
      </c>
      <c r="CZ121">
        <v>2.3648500000000001</v>
      </c>
      <c r="DA121">
        <v>2.7139000000000002</v>
      </c>
      <c r="DB121">
        <v>0.10951900000000001</v>
      </c>
      <c r="DC121">
        <v>0.14651600000000001</v>
      </c>
      <c r="DD121">
        <v>0.115856</v>
      </c>
      <c r="DE121">
        <v>4.7640000000000002E-2</v>
      </c>
      <c r="DF121">
        <v>32530</v>
      </c>
      <c r="DG121">
        <v>27527.7</v>
      </c>
      <c r="DH121">
        <v>31185.9</v>
      </c>
      <c r="DI121">
        <v>28103.9</v>
      </c>
      <c r="DJ121">
        <v>37432</v>
      </c>
      <c r="DK121">
        <v>38065.199999999997</v>
      </c>
      <c r="DL121">
        <v>44384</v>
      </c>
      <c r="DM121">
        <v>42599.7</v>
      </c>
      <c r="DN121">
        <v>1.4800800000000001</v>
      </c>
      <c r="DO121">
        <v>2.0447199999999999</v>
      </c>
      <c r="DP121">
        <v>9.3184400000000001E-2</v>
      </c>
      <c r="DQ121">
        <v>0.18562000000000001</v>
      </c>
      <c r="DR121">
        <v>25.4512</v>
      </c>
      <c r="DS121">
        <v>25.264199999999999</v>
      </c>
      <c r="DT121">
        <v>53.1</v>
      </c>
      <c r="DU121">
        <v>28.8</v>
      </c>
      <c r="DV121">
        <v>21.2502</v>
      </c>
      <c r="DW121">
        <v>61.591099999999997</v>
      </c>
      <c r="DX121">
        <v>36.526400000000002</v>
      </c>
      <c r="DY121">
        <v>1</v>
      </c>
      <c r="DZ121">
        <v>-0.102731</v>
      </c>
      <c r="EA121">
        <v>-0.32268799999999997</v>
      </c>
      <c r="EB121">
        <v>20.189299999999999</v>
      </c>
      <c r="EC121">
        <v>5.2415500000000002</v>
      </c>
      <c r="ED121">
        <v>12.039899999999999</v>
      </c>
      <c r="EE121">
        <v>5.0176999999999996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1.8689100000000001</v>
      </c>
      <c r="EL121">
        <v>1.8646199999999999</v>
      </c>
      <c r="EM121">
        <v>1.8692</v>
      </c>
      <c r="EN121">
        <v>1.8672299999999999</v>
      </c>
      <c r="EO121">
        <v>1.8633900000000001</v>
      </c>
      <c r="EP121">
        <v>1.8644700000000001</v>
      </c>
      <c r="EQ121">
        <v>1.87015</v>
      </c>
      <c r="ER121">
        <v>1.8694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-0.12</v>
      </c>
      <c r="FG121">
        <v>0.28149999999999997</v>
      </c>
      <c r="FH121">
        <v>0.23539598422606861</v>
      </c>
      <c r="FI121">
        <v>-6.1462078757559423E-4</v>
      </c>
      <c r="FJ121">
        <v>-1.8861989874597051E-7</v>
      </c>
      <c r="FK121">
        <v>1.1980462299894961E-10</v>
      </c>
      <c r="FL121">
        <v>0.28151999999999688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26.7</v>
      </c>
      <c r="FU121">
        <v>26.9</v>
      </c>
      <c r="FV121">
        <v>1.7761199999999999</v>
      </c>
      <c r="FW121">
        <v>2.5903299999999998</v>
      </c>
      <c r="FX121">
        <v>1.5490699999999999</v>
      </c>
      <c r="FY121">
        <v>2.3290999999999999</v>
      </c>
      <c r="FZ121">
        <v>1.50146</v>
      </c>
      <c r="GA121">
        <v>2.36694</v>
      </c>
      <c r="GB121">
        <v>33.625399999999999</v>
      </c>
      <c r="GC121">
        <v>23.991199999999999</v>
      </c>
      <c r="GD121">
        <v>19</v>
      </c>
      <c r="GE121">
        <v>284.10000000000002</v>
      </c>
      <c r="GF121">
        <v>588.89499999999998</v>
      </c>
      <c r="GG121">
        <v>25.258500000000002</v>
      </c>
      <c r="GH121">
        <v>26.118400000000001</v>
      </c>
      <c r="GI121">
        <v>30.0001</v>
      </c>
      <c r="GJ121">
        <v>26.2532</v>
      </c>
      <c r="GK121">
        <v>26.234000000000002</v>
      </c>
      <c r="GL121">
        <v>35.515099999999997</v>
      </c>
      <c r="GM121">
        <v>64.087800000000001</v>
      </c>
      <c r="GN121">
        <v>76.123199999999997</v>
      </c>
      <c r="GO121">
        <v>25.270700000000001</v>
      </c>
      <c r="GP121">
        <v>800</v>
      </c>
      <c r="GQ121">
        <v>7.3809100000000001</v>
      </c>
      <c r="GR121">
        <v>99.786199999999994</v>
      </c>
      <c r="GS121">
        <v>99.651899999999998</v>
      </c>
    </row>
    <row r="122" spans="1:201" x14ac:dyDescent="0.25">
      <c r="A122">
        <v>106</v>
      </c>
      <c r="B122">
        <v>1690302089.5999999</v>
      </c>
      <c r="C122">
        <v>1185.599999904633</v>
      </c>
      <c r="D122" t="s">
        <v>543</v>
      </c>
      <c r="E122" t="s">
        <v>544</v>
      </c>
      <c r="F122" t="s">
        <v>330</v>
      </c>
      <c r="H122">
        <v>1690302089.5999999</v>
      </c>
      <c r="I122">
        <f t="shared" si="30"/>
        <v>1.6268983125879515E-3</v>
      </c>
      <c r="J122">
        <f t="shared" si="31"/>
        <v>1.6268983125879515</v>
      </c>
      <c r="K122">
        <f t="shared" si="32"/>
        <v>24.906328248530116</v>
      </c>
      <c r="L122">
        <f t="shared" si="33"/>
        <v>519.61</v>
      </c>
      <c r="M122">
        <f t="shared" si="34"/>
        <v>146.70962955415055</v>
      </c>
      <c r="N122">
        <f t="shared" si="35"/>
        <v>14.585903352972892</v>
      </c>
      <c r="O122">
        <f t="shared" si="36"/>
        <v>51.659739474980007</v>
      </c>
      <c r="P122">
        <f t="shared" si="37"/>
        <v>0.11192951823482926</v>
      </c>
      <c r="Q122">
        <f t="shared" si="38"/>
        <v>2.1187614782484103</v>
      </c>
      <c r="R122">
        <f t="shared" si="39"/>
        <v>0.10874529787709318</v>
      </c>
      <c r="S122">
        <f t="shared" si="40"/>
        <v>6.8244355345065344E-2</v>
      </c>
      <c r="T122">
        <f t="shared" si="41"/>
        <v>276.11453219385459</v>
      </c>
      <c r="U122">
        <f t="shared" si="42"/>
        <v>28.403087045525979</v>
      </c>
      <c r="V122">
        <f t="shared" si="43"/>
        <v>28.403087045525979</v>
      </c>
      <c r="W122">
        <f t="shared" si="44"/>
        <v>3.8849324340735594</v>
      </c>
      <c r="X122">
        <f t="shared" si="45"/>
        <v>69.202279000740177</v>
      </c>
      <c r="Y122">
        <f t="shared" si="46"/>
        <v>2.4448922909470001</v>
      </c>
      <c r="Z122">
        <f t="shared" si="47"/>
        <v>3.5329649922668733</v>
      </c>
      <c r="AA122">
        <f t="shared" si="48"/>
        <v>1.4400401431265593</v>
      </c>
      <c r="AB122">
        <f t="shared" si="49"/>
        <v>-71.746215585128667</v>
      </c>
      <c r="AC122">
        <f t="shared" si="50"/>
        <v>-185.51405307656103</v>
      </c>
      <c r="AD122">
        <f t="shared" si="51"/>
        <v>-19.008035360753116</v>
      </c>
      <c r="AE122">
        <f t="shared" si="52"/>
        <v>-0.15377182858821925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52619.427851928136</v>
      </c>
      <c r="AK122">
        <f t="shared" si="56"/>
        <v>1799.99</v>
      </c>
      <c r="AL122">
        <f t="shared" si="57"/>
        <v>1499.1018788099598</v>
      </c>
      <c r="AM122">
        <f t="shared" si="58"/>
        <v>0.83283900399999988</v>
      </c>
      <c r="AN122">
        <f t="shared" si="59"/>
        <v>0.15339781453999998</v>
      </c>
      <c r="AO122">
        <v>32.700000000000003</v>
      </c>
      <c r="AP122">
        <v>0.5</v>
      </c>
      <c r="AQ122" t="s">
        <v>331</v>
      </c>
      <c r="AR122">
        <v>2</v>
      </c>
      <c r="AS122">
        <v>1690302089.5999999</v>
      </c>
      <c r="AT122">
        <v>519.61</v>
      </c>
      <c r="AU122">
        <v>800.25</v>
      </c>
      <c r="AV122">
        <v>24.5915</v>
      </c>
      <c r="AW122">
        <v>7.2976799999999997</v>
      </c>
      <c r="AX122">
        <v>519.72900000000004</v>
      </c>
      <c r="AY122">
        <v>24.31</v>
      </c>
      <c r="AZ122">
        <v>300.05700000000002</v>
      </c>
      <c r="BA122">
        <v>99.3202</v>
      </c>
      <c r="BB122">
        <v>0.100018</v>
      </c>
      <c r="BC122">
        <v>26.779</v>
      </c>
      <c r="BD122">
        <v>26.976700000000001</v>
      </c>
      <c r="BE122">
        <v>28.3062</v>
      </c>
      <c r="BF122">
        <v>0</v>
      </c>
      <c r="BG122">
        <v>0</v>
      </c>
      <c r="BH122">
        <v>10012.5</v>
      </c>
      <c r="BI122">
        <v>1078.27</v>
      </c>
      <c r="BJ122">
        <v>1.96231</v>
      </c>
      <c r="BK122">
        <v>-280.64</v>
      </c>
      <c r="BL122">
        <v>532.71100000000001</v>
      </c>
      <c r="BM122">
        <v>806.13300000000004</v>
      </c>
      <c r="BN122">
        <v>17.293800000000001</v>
      </c>
      <c r="BO122">
        <v>800.25</v>
      </c>
      <c r="BP122">
        <v>7.2976799999999997</v>
      </c>
      <c r="BQ122">
        <v>2.4424299999999999</v>
      </c>
      <c r="BR122">
        <v>0.72480699999999998</v>
      </c>
      <c r="BS122">
        <v>20.6479</v>
      </c>
      <c r="BT122">
        <v>2.3141500000000002</v>
      </c>
      <c r="BU122">
        <v>1799.99</v>
      </c>
      <c r="BV122">
        <v>0.90998599999999996</v>
      </c>
      <c r="BW122">
        <v>3.4006300000000003E-2</v>
      </c>
      <c r="BX122">
        <v>2.2004200000000002E-2</v>
      </c>
      <c r="BY122">
        <v>3.4003600000000002E-2</v>
      </c>
      <c r="BZ122">
        <v>25.666699999999999</v>
      </c>
      <c r="CA122">
        <v>33528.199999999997</v>
      </c>
      <c r="CB122">
        <v>1690300477.5</v>
      </c>
      <c r="CC122" t="s">
        <v>332</v>
      </c>
      <c r="CD122">
        <v>1690300477.5</v>
      </c>
      <c r="CE122">
        <v>1690300465.5</v>
      </c>
      <c r="CF122">
        <v>7</v>
      </c>
      <c r="CG122">
        <v>5.0999999999999997E-2</v>
      </c>
      <c r="CH122">
        <v>-8.0000000000000002E-3</v>
      </c>
      <c r="CI122">
        <v>-0.316</v>
      </c>
      <c r="CJ122">
        <v>0.28199999999999997</v>
      </c>
      <c r="CK122">
        <v>800</v>
      </c>
      <c r="CL122">
        <v>24</v>
      </c>
      <c r="CM122">
        <v>0.25</v>
      </c>
      <c r="CN122">
        <v>0.13</v>
      </c>
      <c r="CO122">
        <v>-276.79332499999998</v>
      </c>
      <c r="CP122">
        <v>-19.66463414634034</v>
      </c>
      <c r="CQ122">
        <v>1.892727190953575</v>
      </c>
      <c r="CR122">
        <v>-1</v>
      </c>
      <c r="CS122">
        <v>16.9926225</v>
      </c>
      <c r="CT122">
        <v>1.665450281425862</v>
      </c>
      <c r="CU122">
        <v>0.1602516731386916</v>
      </c>
      <c r="CV122">
        <v>-1</v>
      </c>
      <c r="CW122">
        <v>0</v>
      </c>
      <c r="CX122">
        <v>0</v>
      </c>
      <c r="CY122" t="s">
        <v>333</v>
      </c>
      <c r="CZ122">
        <v>2.36436</v>
      </c>
      <c r="DA122">
        <v>2.7138200000000001</v>
      </c>
      <c r="DB122">
        <v>0.10902100000000001</v>
      </c>
      <c r="DC122">
        <v>0.14652799999999999</v>
      </c>
      <c r="DD122">
        <v>0.115869</v>
      </c>
      <c r="DE122">
        <v>4.6333100000000002E-2</v>
      </c>
      <c r="DF122">
        <v>32548.9</v>
      </c>
      <c r="DG122">
        <v>27527.5</v>
      </c>
      <c r="DH122">
        <v>31186.6</v>
      </c>
      <c r="DI122">
        <v>28104.2</v>
      </c>
      <c r="DJ122">
        <v>37432</v>
      </c>
      <c r="DK122">
        <v>38118</v>
      </c>
      <c r="DL122">
        <v>44384.7</v>
      </c>
      <c r="DM122">
        <v>42600.2</v>
      </c>
      <c r="DN122">
        <v>1.4800800000000001</v>
      </c>
      <c r="DO122">
        <v>2.0447000000000002</v>
      </c>
      <c r="DP122">
        <v>9.29199E-2</v>
      </c>
      <c r="DQ122">
        <v>0.18584700000000001</v>
      </c>
      <c r="DR122">
        <v>25.455200000000001</v>
      </c>
      <c r="DS122">
        <v>25.265799999999999</v>
      </c>
      <c r="DT122">
        <v>52.8</v>
      </c>
      <c r="DU122">
        <v>28.8</v>
      </c>
      <c r="DV122">
        <v>21.1341</v>
      </c>
      <c r="DW122">
        <v>61.881100000000004</v>
      </c>
      <c r="DX122">
        <v>36.983199999999997</v>
      </c>
      <c r="DY122">
        <v>1</v>
      </c>
      <c r="DZ122">
        <v>-0.102995</v>
      </c>
      <c r="EA122">
        <v>-0.34329300000000001</v>
      </c>
      <c r="EB122">
        <v>20.189499999999999</v>
      </c>
      <c r="EC122">
        <v>5.242</v>
      </c>
      <c r="ED122">
        <v>12.039899999999999</v>
      </c>
      <c r="EE122">
        <v>5.0175999999999998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1.8689100000000001</v>
      </c>
      <c r="EL122">
        <v>1.8646100000000001</v>
      </c>
      <c r="EM122">
        <v>1.8691899999999999</v>
      </c>
      <c r="EN122">
        <v>1.8672299999999999</v>
      </c>
      <c r="EO122">
        <v>1.86338</v>
      </c>
      <c r="EP122">
        <v>1.8644700000000001</v>
      </c>
      <c r="EQ122">
        <v>1.87016</v>
      </c>
      <c r="ER122">
        <v>1.8694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-0.11899999999999999</v>
      </c>
      <c r="FG122">
        <v>0.28149999999999997</v>
      </c>
      <c r="FH122">
        <v>0.23539598422606861</v>
      </c>
      <c r="FI122">
        <v>-6.1462078757559423E-4</v>
      </c>
      <c r="FJ122">
        <v>-1.8861989874597051E-7</v>
      </c>
      <c r="FK122">
        <v>1.1980462299894961E-10</v>
      </c>
      <c r="FL122">
        <v>0.28151999999999688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26.9</v>
      </c>
      <c r="FU122">
        <v>27.1</v>
      </c>
      <c r="FV122">
        <v>1.7761199999999999</v>
      </c>
      <c r="FW122">
        <v>2.5939899999999998</v>
      </c>
      <c r="FX122">
        <v>1.5490699999999999</v>
      </c>
      <c r="FY122">
        <v>2.3290999999999999</v>
      </c>
      <c r="FZ122">
        <v>1.50146</v>
      </c>
      <c r="GA122">
        <v>2.3034699999999999</v>
      </c>
      <c r="GB122">
        <v>33.625399999999999</v>
      </c>
      <c r="GC122">
        <v>23.982399999999998</v>
      </c>
      <c r="GD122">
        <v>19</v>
      </c>
      <c r="GE122">
        <v>284.084</v>
      </c>
      <c r="GF122">
        <v>588.84400000000005</v>
      </c>
      <c r="GG122">
        <v>25.291699999999999</v>
      </c>
      <c r="GH122">
        <v>26.114799999999999</v>
      </c>
      <c r="GI122">
        <v>29.9999</v>
      </c>
      <c r="GJ122">
        <v>26.249700000000001</v>
      </c>
      <c r="GK122">
        <v>26.231400000000001</v>
      </c>
      <c r="GL122">
        <v>35.503399999999999</v>
      </c>
      <c r="GM122">
        <v>64.948899999999995</v>
      </c>
      <c r="GN122">
        <v>74.928200000000004</v>
      </c>
      <c r="GO122">
        <v>25.295000000000002</v>
      </c>
      <c r="GP122">
        <v>800</v>
      </c>
      <c r="GQ122">
        <v>7.1045699999999998</v>
      </c>
      <c r="GR122">
        <v>99.7881</v>
      </c>
      <c r="GS122">
        <v>99.653000000000006</v>
      </c>
    </row>
    <row r="123" spans="1:201" x14ac:dyDescent="0.25">
      <c r="A123">
        <v>107</v>
      </c>
      <c r="B123">
        <v>1690302099.5999999</v>
      </c>
      <c r="C123">
        <v>1195.599999904633</v>
      </c>
      <c r="D123" t="s">
        <v>545</v>
      </c>
      <c r="E123" t="s">
        <v>546</v>
      </c>
      <c r="F123" t="s">
        <v>330</v>
      </c>
      <c r="H123">
        <v>1690302099.5999999</v>
      </c>
      <c r="I123">
        <f t="shared" si="30"/>
        <v>1.6547965055183158E-3</v>
      </c>
      <c r="J123">
        <f t="shared" si="31"/>
        <v>1.6547965055183158</v>
      </c>
      <c r="K123">
        <f t="shared" si="32"/>
        <v>25.188458168751822</v>
      </c>
      <c r="L123">
        <f t="shared" si="33"/>
        <v>516.40899999999999</v>
      </c>
      <c r="M123">
        <f t="shared" si="34"/>
        <v>145.87626906435398</v>
      </c>
      <c r="N123">
        <f t="shared" si="35"/>
        <v>14.503220796536487</v>
      </c>
      <c r="O123">
        <f t="shared" si="36"/>
        <v>51.342098316310398</v>
      </c>
      <c r="P123">
        <f t="shared" si="37"/>
        <v>0.11397536082858963</v>
      </c>
      <c r="Q123">
        <f t="shared" si="38"/>
        <v>2.1153262735542993</v>
      </c>
      <c r="R123">
        <f t="shared" si="39"/>
        <v>0.11067033055255843</v>
      </c>
      <c r="S123">
        <f t="shared" si="40"/>
        <v>6.9457917464445768E-2</v>
      </c>
      <c r="T123">
        <f t="shared" si="41"/>
        <v>276.11587920599999</v>
      </c>
      <c r="U123">
        <f t="shared" si="42"/>
        <v>28.400492844136931</v>
      </c>
      <c r="V123">
        <f t="shared" si="43"/>
        <v>28.400492844136931</v>
      </c>
      <c r="W123">
        <f t="shared" si="44"/>
        <v>3.884346699514126</v>
      </c>
      <c r="X123">
        <f t="shared" si="45"/>
        <v>69.187773124978577</v>
      </c>
      <c r="Y123">
        <f t="shared" si="46"/>
        <v>2.4450701360607998</v>
      </c>
      <c r="Z123">
        <f t="shared" si="47"/>
        <v>3.5339627590616383</v>
      </c>
      <c r="AA123">
        <f t="shared" si="48"/>
        <v>1.4392765634533262</v>
      </c>
      <c r="AB123">
        <f t="shared" si="49"/>
        <v>-72.976525893357731</v>
      </c>
      <c r="AC123">
        <f t="shared" si="50"/>
        <v>-184.37002858063079</v>
      </c>
      <c r="AD123">
        <f t="shared" si="51"/>
        <v>-18.92170191977052</v>
      </c>
      <c r="AE123">
        <f t="shared" si="52"/>
        <v>-0.15237718775904341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52467.985714566108</v>
      </c>
      <c r="AK123">
        <f t="shared" si="56"/>
        <v>1800</v>
      </c>
      <c r="AL123">
        <f t="shared" si="57"/>
        <v>1499.1100685999997</v>
      </c>
      <c r="AM123">
        <f t="shared" si="58"/>
        <v>0.83283892699999984</v>
      </c>
      <c r="AN123">
        <f t="shared" si="59"/>
        <v>0.15339771066999999</v>
      </c>
      <c r="AO123">
        <v>32.700000000000003</v>
      </c>
      <c r="AP123">
        <v>0.5</v>
      </c>
      <c r="AQ123" t="s">
        <v>331</v>
      </c>
      <c r="AR123">
        <v>2</v>
      </c>
      <c r="AS123">
        <v>1690302099.5999999</v>
      </c>
      <c r="AT123">
        <v>516.40899999999999</v>
      </c>
      <c r="AU123">
        <v>800.13499999999999</v>
      </c>
      <c r="AV123">
        <v>24.593</v>
      </c>
      <c r="AW123">
        <v>7.0081600000000002</v>
      </c>
      <c r="AX123">
        <v>516.52499999999998</v>
      </c>
      <c r="AY123">
        <v>24.311499999999999</v>
      </c>
      <c r="AZ123">
        <v>300.15100000000001</v>
      </c>
      <c r="BA123">
        <v>99.321399999999997</v>
      </c>
      <c r="BB123">
        <v>9.9985599999999994E-2</v>
      </c>
      <c r="BC123">
        <v>26.783799999999999</v>
      </c>
      <c r="BD123">
        <v>26.981100000000001</v>
      </c>
      <c r="BE123">
        <v>28.3139</v>
      </c>
      <c r="BF123">
        <v>0</v>
      </c>
      <c r="BG123">
        <v>0</v>
      </c>
      <c r="BH123">
        <v>9982.5</v>
      </c>
      <c r="BI123">
        <v>1078.3499999999999</v>
      </c>
      <c r="BJ123">
        <v>1.96231</v>
      </c>
      <c r="BK123">
        <v>-283.726</v>
      </c>
      <c r="BL123">
        <v>529.42999999999995</v>
      </c>
      <c r="BM123">
        <v>805.78200000000004</v>
      </c>
      <c r="BN123">
        <v>17.584900000000001</v>
      </c>
      <c r="BO123">
        <v>800.13499999999999</v>
      </c>
      <c r="BP123">
        <v>7.0081600000000002</v>
      </c>
      <c r="BQ123">
        <v>2.4426199999999998</v>
      </c>
      <c r="BR123">
        <v>0.69606100000000004</v>
      </c>
      <c r="BS123">
        <v>20.649100000000001</v>
      </c>
      <c r="BT123">
        <v>1.7475400000000001</v>
      </c>
      <c r="BU123">
        <v>1800</v>
      </c>
      <c r="BV123">
        <v>0.90998800000000002</v>
      </c>
      <c r="BW123">
        <v>3.4005500000000001E-2</v>
      </c>
      <c r="BX123">
        <v>2.2003600000000002E-2</v>
      </c>
      <c r="BY123">
        <v>3.4002699999999997E-2</v>
      </c>
      <c r="BZ123">
        <v>25.666699999999999</v>
      </c>
      <c r="CA123">
        <v>33528.300000000003</v>
      </c>
      <c r="CB123">
        <v>1690300477.5</v>
      </c>
      <c r="CC123" t="s">
        <v>332</v>
      </c>
      <c r="CD123">
        <v>1690300477.5</v>
      </c>
      <c r="CE123">
        <v>1690300465.5</v>
      </c>
      <c r="CF123">
        <v>7</v>
      </c>
      <c r="CG123">
        <v>5.0999999999999997E-2</v>
      </c>
      <c r="CH123">
        <v>-8.0000000000000002E-3</v>
      </c>
      <c r="CI123">
        <v>-0.316</v>
      </c>
      <c r="CJ123">
        <v>0.28199999999999997</v>
      </c>
      <c r="CK123">
        <v>800</v>
      </c>
      <c r="CL123">
        <v>24</v>
      </c>
      <c r="CM123">
        <v>0.25</v>
      </c>
      <c r="CN123">
        <v>0.13</v>
      </c>
      <c r="CO123">
        <v>-280.13443902439019</v>
      </c>
      <c r="CP123">
        <v>-19.33515679442597</v>
      </c>
      <c r="CQ123">
        <v>1.908323284581807</v>
      </c>
      <c r="CR123">
        <v>-1</v>
      </c>
      <c r="CS123">
        <v>17.27665609756097</v>
      </c>
      <c r="CT123">
        <v>1.6516996515679341</v>
      </c>
      <c r="CU123">
        <v>0.16293219605590589</v>
      </c>
      <c r="CV123">
        <v>-1</v>
      </c>
      <c r="CW123">
        <v>0</v>
      </c>
      <c r="CX123">
        <v>0</v>
      </c>
      <c r="CY123" t="s">
        <v>333</v>
      </c>
      <c r="CZ123">
        <v>2.3646600000000002</v>
      </c>
      <c r="DA123">
        <v>2.7137600000000002</v>
      </c>
      <c r="DB123">
        <v>0.10853599999999999</v>
      </c>
      <c r="DC123">
        <v>0.146511</v>
      </c>
      <c r="DD123">
        <v>0.11587600000000001</v>
      </c>
      <c r="DE123">
        <v>4.4857099999999997E-2</v>
      </c>
      <c r="DF123">
        <v>32566.400000000001</v>
      </c>
      <c r="DG123">
        <v>27528.400000000001</v>
      </c>
      <c r="DH123">
        <v>31186.400000000001</v>
      </c>
      <c r="DI123">
        <v>28104.5</v>
      </c>
      <c r="DJ123">
        <v>37431.599999999999</v>
      </c>
      <c r="DK123">
        <v>38177.5</v>
      </c>
      <c r="DL123">
        <v>44384.6</v>
      </c>
      <c r="DM123">
        <v>42600.7</v>
      </c>
      <c r="DN123">
        <v>1.4800500000000001</v>
      </c>
      <c r="DO123">
        <v>2.0442999999999998</v>
      </c>
      <c r="DP123">
        <v>9.3076400000000004E-2</v>
      </c>
      <c r="DQ123">
        <v>0.18623500000000001</v>
      </c>
      <c r="DR123">
        <v>25.457000000000001</v>
      </c>
      <c r="DS123">
        <v>25.267099999999999</v>
      </c>
      <c r="DT123">
        <v>52.5</v>
      </c>
      <c r="DU123">
        <v>28.8</v>
      </c>
      <c r="DV123">
        <v>21.013500000000001</v>
      </c>
      <c r="DW123">
        <v>61.661099999999998</v>
      </c>
      <c r="DX123">
        <v>35.9696</v>
      </c>
      <c r="DY123">
        <v>1</v>
      </c>
      <c r="DZ123">
        <v>-0.10336099999999999</v>
      </c>
      <c r="EA123">
        <v>-0.33595900000000001</v>
      </c>
      <c r="EB123">
        <v>20.189399999999999</v>
      </c>
      <c r="EC123">
        <v>5.2413999999999996</v>
      </c>
      <c r="ED123">
        <v>12.039899999999999</v>
      </c>
      <c r="EE123">
        <v>5.0174000000000003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1.8689100000000001</v>
      </c>
      <c r="EL123">
        <v>1.8646199999999999</v>
      </c>
      <c r="EM123">
        <v>1.8692</v>
      </c>
      <c r="EN123">
        <v>1.86724</v>
      </c>
      <c r="EO123">
        <v>1.8633900000000001</v>
      </c>
      <c r="EP123">
        <v>1.8644700000000001</v>
      </c>
      <c r="EQ123">
        <v>1.87015</v>
      </c>
      <c r="ER123">
        <v>1.8694200000000001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-0.11600000000000001</v>
      </c>
      <c r="FG123">
        <v>0.28149999999999997</v>
      </c>
      <c r="FH123">
        <v>0.23539598422606861</v>
      </c>
      <c r="FI123">
        <v>-6.1462078757559423E-4</v>
      </c>
      <c r="FJ123">
        <v>-1.8861989874597051E-7</v>
      </c>
      <c r="FK123">
        <v>1.1980462299894961E-10</v>
      </c>
      <c r="FL123">
        <v>0.28151999999999688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27</v>
      </c>
      <c r="FU123">
        <v>27.2</v>
      </c>
      <c r="FV123">
        <v>1.7761199999999999</v>
      </c>
      <c r="FW123">
        <v>2.5915499999999998</v>
      </c>
      <c r="FX123">
        <v>1.5490699999999999</v>
      </c>
      <c r="FY123">
        <v>2.3290999999999999</v>
      </c>
      <c r="FZ123">
        <v>1.50146</v>
      </c>
      <c r="GA123">
        <v>2.35107</v>
      </c>
      <c r="GB123">
        <v>33.625399999999999</v>
      </c>
      <c r="GC123">
        <v>23.982399999999998</v>
      </c>
      <c r="GD123">
        <v>19</v>
      </c>
      <c r="GE123">
        <v>284.06</v>
      </c>
      <c r="GF123">
        <v>588.47299999999996</v>
      </c>
      <c r="GG123">
        <v>25.312899999999999</v>
      </c>
      <c r="GH123">
        <v>26.111799999999999</v>
      </c>
      <c r="GI123">
        <v>29.9998</v>
      </c>
      <c r="GJ123">
        <v>26.246600000000001</v>
      </c>
      <c r="GK123">
        <v>26.228000000000002</v>
      </c>
      <c r="GL123">
        <v>35.502899999999997</v>
      </c>
      <c r="GM123">
        <v>65.827399999999997</v>
      </c>
      <c r="GN123">
        <v>74.108099999999993</v>
      </c>
      <c r="GO123">
        <v>25.3123</v>
      </c>
      <c r="GP123">
        <v>800</v>
      </c>
      <c r="GQ123">
        <v>6.82646</v>
      </c>
      <c r="GR123">
        <v>99.787700000000001</v>
      </c>
      <c r="GS123">
        <v>99.6541</v>
      </c>
    </row>
    <row r="124" spans="1:201" x14ac:dyDescent="0.25">
      <c r="A124">
        <v>108</v>
      </c>
      <c r="B124">
        <v>1690302109.5999999</v>
      </c>
      <c r="C124">
        <v>1205.599999904633</v>
      </c>
      <c r="D124" t="s">
        <v>547</v>
      </c>
      <c r="E124" t="s">
        <v>548</v>
      </c>
      <c r="F124" t="s">
        <v>330</v>
      </c>
      <c r="H124">
        <v>1690302109.5999999</v>
      </c>
      <c r="I124">
        <f t="shared" si="30"/>
        <v>1.6805664430419986E-3</v>
      </c>
      <c r="J124">
        <f t="shared" si="31"/>
        <v>1.6805664430419986</v>
      </c>
      <c r="K124">
        <f t="shared" si="32"/>
        <v>25.477926645905438</v>
      </c>
      <c r="L124">
        <f t="shared" si="33"/>
        <v>513.23</v>
      </c>
      <c r="M124">
        <f t="shared" si="34"/>
        <v>144.92554765886049</v>
      </c>
      <c r="N124">
        <f t="shared" si="35"/>
        <v>14.408903464418815</v>
      </c>
      <c r="O124">
        <f t="shared" si="36"/>
        <v>51.026762668863</v>
      </c>
      <c r="P124">
        <f t="shared" si="37"/>
        <v>0.11602059482778447</v>
      </c>
      <c r="Q124">
        <f t="shared" si="38"/>
        <v>2.1213720379592345</v>
      </c>
      <c r="R124">
        <f t="shared" si="39"/>
        <v>0.11260724918518189</v>
      </c>
      <c r="S124">
        <f t="shared" si="40"/>
        <v>7.0677841509347639E-2</v>
      </c>
      <c r="T124">
        <f t="shared" si="41"/>
        <v>276.115808394</v>
      </c>
      <c r="U124">
        <f t="shared" si="42"/>
        <v>28.390084172335055</v>
      </c>
      <c r="V124">
        <f t="shared" si="43"/>
        <v>28.390084172335055</v>
      </c>
      <c r="W124">
        <f t="shared" si="44"/>
        <v>3.8819973408212021</v>
      </c>
      <c r="X124">
        <f t="shared" si="45"/>
        <v>69.186080563585776</v>
      </c>
      <c r="Y124">
        <f t="shared" si="46"/>
        <v>2.4454130843474098</v>
      </c>
      <c r="Z124">
        <f t="shared" si="47"/>
        <v>3.5345449032915548</v>
      </c>
      <c r="AA124">
        <f t="shared" si="48"/>
        <v>1.4365842564737923</v>
      </c>
      <c r="AB124">
        <f t="shared" si="49"/>
        <v>-74.112980138152139</v>
      </c>
      <c r="AC124">
        <f t="shared" si="50"/>
        <v>-183.38633066028459</v>
      </c>
      <c r="AD124">
        <f t="shared" si="51"/>
        <v>-18.766393452632737</v>
      </c>
      <c r="AE124">
        <f t="shared" si="52"/>
        <v>-0.14989585706942421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52732.811502960292</v>
      </c>
      <c r="AK124">
        <f t="shared" si="56"/>
        <v>1800</v>
      </c>
      <c r="AL124">
        <f t="shared" si="57"/>
        <v>1499.1107723999999</v>
      </c>
      <c r="AM124">
        <f t="shared" si="58"/>
        <v>0.83283931799999988</v>
      </c>
      <c r="AN124">
        <f t="shared" si="59"/>
        <v>0.15339767133000001</v>
      </c>
      <c r="AO124">
        <v>32.700000000000003</v>
      </c>
      <c r="AP124">
        <v>0.5</v>
      </c>
      <c r="AQ124" t="s">
        <v>331</v>
      </c>
      <c r="AR124">
        <v>2</v>
      </c>
      <c r="AS124">
        <v>1690302109.5999999</v>
      </c>
      <c r="AT124">
        <v>513.23</v>
      </c>
      <c r="AU124">
        <v>800.14</v>
      </c>
      <c r="AV124">
        <v>24.5961</v>
      </c>
      <c r="AW124">
        <v>6.7409800000000004</v>
      </c>
      <c r="AX124">
        <v>513.34400000000005</v>
      </c>
      <c r="AY124">
        <v>24.314499999999999</v>
      </c>
      <c r="AZ124">
        <v>300.20999999999998</v>
      </c>
      <c r="BA124">
        <v>99.322800000000001</v>
      </c>
      <c r="BB124">
        <v>9.9998100000000006E-2</v>
      </c>
      <c r="BC124">
        <v>26.7866</v>
      </c>
      <c r="BD124">
        <v>27.003799999999998</v>
      </c>
      <c r="BE124">
        <v>28.291399999999999</v>
      </c>
      <c r="BF124">
        <v>0</v>
      </c>
      <c r="BG124">
        <v>0</v>
      </c>
      <c r="BH124">
        <v>10035</v>
      </c>
      <c r="BI124">
        <v>1078.4100000000001</v>
      </c>
      <c r="BJ124">
        <v>1.96231</v>
      </c>
      <c r="BK124">
        <v>-286.90899999999999</v>
      </c>
      <c r="BL124">
        <v>526.17200000000003</v>
      </c>
      <c r="BM124">
        <v>805.57</v>
      </c>
      <c r="BN124">
        <v>17.8551</v>
      </c>
      <c r="BO124">
        <v>800.14</v>
      </c>
      <c r="BP124">
        <v>6.7409800000000004</v>
      </c>
      <c r="BQ124">
        <v>2.4429500000000002</v>
      </c>
      <c r="BR124">
        <v>0.66953399999999996</v>
      </c>
      <c r="BS124">
        <v>20.651299999999999</v>
      </c>
      <c r="BT124">
        <v>1.2059899999999999</v>
      </c>
      <c r="BU124">
        <v>1800</v>
      </c>
      <c r="BV124">
        <v>0.90999099999999999</v>
      </c>
      <c r="BW124">
        <v>3.4004399999999997E-2</v>
      </c>
      <c r="BX124">
        <v>2.2002899999999999E-2</v>
      </c>
      <c r="BY124">
        <v>3.4001700000000003E-2</v>
      </c>
      <c r="BZ124">
        <v>25.625</v>
      </c>
      <c r="CA124">
        <v>33528.199999999997</v>
      </c>
      <c r="CB124">
        <v>1690300477.5</v>
      </c>
      <c r="CC124" t="s">
        <v>332</v>
      </c>
      <c r="CD124">
        <v>1690300477.5</v>
      </c>
      <c r="CE124">
        <v>1690300465.5</v>
      </c>
      <c r="CF124">
        <v>7</v>
      </c>
      <c r="CG124">
        <v>5.0999999999999997E-2</v>
      </c>
      <c r="CH124">
        <v>-8.0000000000000002E-3</v>
      </c>
      <c r="CI124">
        <v>-0.316</v>
      </c>
      <c r="CJ124">
        <v>0.28199999999999997</v>
      </c>
      <c r="CK124">
        <v>800</v>
      </c>
      <c r="CL124">
        <v>24</v>
      </c>
      <c r="CM124">
        <v>0.25</v>
      </c>
      <c r="CN124">
        <v>0.13</v>
      </c>
      <c r="CO124">
        <v>-283.30714999999998</v>
      </c>
      <c r="CP124">
        <v>-19.316690431519628</v>
      </c>
      <c r="CQ124">
        <v>1.8602323315919469</v>
      </c>
      <c r="CR124">
        <v>-1</v>
      </c>
      <c r="CS124">
        <v>17.548272499999999</v>
      </c>
      <c r="CT124">
        <v>1.7063155722325889</v>
      </c>
      <c r="CU124">
        <v>0.16421769695666191</v>
      </c>
      <c r="CV124">
        <v>-1</v>
      </c>
      <c r="CW124">
        <v>0</v>
      </c>
      <c r="CX124">
        <v>0</v>
      </c>
      <c r="CY124" t="s">
        <v>333</v>
      </c>
      <c r="CZ124">
        <v>2.3648699999999998</v>
      </c>
      <c r="DA124">
        <v>2.7138200000000001</v>
      </c>
      <c r="DB124">
        <v>0.108052</v>
      </c>
      <c r="DC124">
        <v>0.146509</v>
      </c>
      <c r="DD124">
        <v>0.11588900000000001</v>
      </c>
      <c r="DE124">
        <v>4.3478000000000003E-2</v>
      </c>
      <c r="DF124">
        <v>32584.799999999999</v>
      </c>
      <c r="DG124">
        <v>27528</v>
      </c>
      <c r="DH124">
        <v>31187.1</v>
      </c>
      <c r="DI124">
        <v>28104.1</v>
      </c>
      <c r="DJ124">
        <v>37431.800000000003</v>
      </c>
      <c r="DK124">
        <v>38232.400000000001</v>
      </c>
      <c r="DL124">
        <v>44385.599999999999</v>
      </c>
      <c r="DM124">
        <v>42600.2</v>
      </c>
      <c r="DN124">
        <v>1.4804299999999999</v>
      </c>
      <c r="DO124">
        <v>2.0437799999999999</v>
      </c>
      <c r="DP124">
        <v>9.4704300000000005E-2</v>
      </c>
      <c r="DQ124">
        <v>0.18485599999999999</v>
      </c>
      <c r="DR124">
        <v>25.452999999999999</v>
      </c>
      <c r="DS124">
        <v>25.267099999999999</v>
      </c>
      <c r="DT124">
        <v>52.2</v>
      </c>
      <c r="DU124">
        <v>28.8</v>
      </c>
      <c r="DV124">
        <v>20.8947</v>
      </c>
      <c r="DW124">
        <v>61.381100000000004</v>
      </c>
      <c r="DX124">
        <v>35.749200000000002</v>
      </c>
      <c r="DY124">
        <v>1</v>
      </c>
      <c r="DZ124">
        <v>-0.10352600000000001</v>
      </c>
      <c r="EA124">
        <v>-0.32212099999999999</v>
      </c>
      <c r="EB124">
        <v>20.189499999999999</v>
      </c>
      <c r="EC124">
        <v>5.2415500000000002</v>
      </c>
      <c r="ED124">
        <v>12.039899999999999</v>
      </c>
      <c r="EE124">
        <v>5.0174000000000003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1.8689100000000001</v>
      </c>
      <c r="EL124">
        <v>1.8646199999999999</v>
      </c>
      <c r="EM124">
        <v>1.8692</v>
      </c>
      <c r="EN124">
        <v>1.86724</v>
      </c>
      <c r="EO124">
        <v>1.8633900000000001</v>
      </c>
      <c r="EP124">
        <v>1.8644700000000001</v>
      </c>
      <c r="EQ124">
        <v>1.87018</v>
      </c>
      <c r="ER124">
        <v>1.8694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-0.114</v>
      </c>
      <c r="FG124">
        <v>0.28160000000000002</v>
      </c>
      <c r="FH124">
        <v>0.23539598422606861</v>
      </c>
      <c r="FI124">
        <v>-6.1462078757559423E-4</v>
      </c>
      <c r="FJ124">
        <v>-1.8861989874597051E-7</v>
      </c>
      <c r="FK124">
        <v>1.1980462299894961E-10</v>
      </c>
      <c r="FL124">
        <v>0.28151999999999688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27.2</v>
      </c>
      <c r="FU124">
        <v>27.4</v>
      </c>
      <c r="FV124">
        <v>1.7748999999999999</v>
      </c>
      <c r="FW124">
        <v>2.5891099999999998</v>
      </c>
      <c r="FX124">
        <v>1.5490699999999999</v>
      </c>
      <c r="FY124">
        <v>2.3290999999999999</v>
      </c>
      <c r="FZ124">
        <v>1.50146</v>
      </c>
      <c r="GA124">
        <v>2.3864700000000001</v>
      </c>
      <c r="GB124">
        <v>33.625399999999999</v>
      </c>
      <c r="GC124">
        <v>23.982399999999998</v>
      </c>
      <c r="GD124">
        <v>19</v>
      </c>
      <c r="GE124">
        <v>284.21100000000001</v>
      </c>
      <c r="GF124">
        <v>588</v>
      </c>
      <c r="GG124">
        <v>25.3279</v>
      </c>
      <c r="GH124">
        <v>26.1096</v>
      </c>
      <c r="GI124">
        <v>30</v>
      </c>
      <c r="GJ124">
        <v>26.244399999999999</v>
      </c>
      <c r="GK124">
        <v>26.224900000000002</v>
      </c>
      <c r="GL124">
        <v>35.493200000000002</v>
      </c>
      <c r="GM124">
        <v>66.740200000000002</v>
      </c>
      <c r="GN124">
        <v>73.287099999999995</v>
      </c>
      <c r="GO124">
        <v>25.324999999999999</v>
      </c>
      <c r="GP124">
        <v>800</v>
      </c>
      <c r="GQ124">
        <v>6.5529299999999999</v>
      </c>
      <c r="GR124">
        <v>99.7898</v>
      </c>
      <c r="GS124">
        <v>99.652799999999999</v>
      </c>
    </row>
    <row r="125" spans="1:201" x14ac:dyDescent="0.25">
      <c r="A125">
        <v>109</v>
      </c>
      <c r="B125">
        <v>1690302119.5999999</v>
      </c>
      <c r="C125">
        <v>1215.599999904633</v>
      </c>
      <c r="D125" t="s">
        <v>549</v>
      </c>
      <c r="E125" t="s">
        <v>550</v>
      </c>
      <c r="F125" t="s">
        <v>330</v>
      </c>
      <c r="H125">
        <v>1690302119.5999999</v>
      </c>
      <c r="I125">
        <f t="shared" si="30"/>
        <v>1.7062162265465957E-3</v>
      </c>
      <c r="J125">
        <f t="shared" si="31"/>
        <v>1.7062162265465957</v>
      </c>
      <c r="K125">
        <f t="shared" si="32"/>
        <v>25.742088844289867</v>
      </c>
      <c r="L125">
        <f t="shared" si="33"/>
        <v>510.18700000000001</v>
      </c>
      <c r="M125">
        <f t="shared" si="34"/>
        <v>143.8776420669551</v>
      </c>
      <c r="N125">
        <f t="shared" si="35"/>
        <v>14.304265824265446</v>
      </c>
      <c r="O125">
        <f t="shared" si="36"/>
        <v>50.722616545859005</v>
      </c>
      <c r="P125">
        <f t="shared" si="37"/>
        <v>0.11791757119566137</v>
      </c>
      <c r="Q125">
        <f t="shared" si="38"/>
        <v>2.1140821467331112</v>
      </c>
      <c r="R125">
        <f t="shared" si="39"/>
        <v>0.1143817597614195</v>
      </c>
      <c r="S125">
        <f t="shared" si="40"/>
        <v>7.1797446959707717E-2</v>
      </c>
      <c r="T125">
        <f t="shared" si="41"/>
        <v>276.11581752000006</v>
      </c>
      <c r="U125">
        <f t="shared" si="42"/>
        <v>28.383199459260485</v>
      </c>
      <c r="V125">
        <f t="shared" si="43"/>
        <v>28.383199459260485</v>
      </c>
      <c r="W125">
        <f t="shared" si="44"/>
        <v>3.8804440618658669</v>
      </c>
      <c r="X125">
        <f t="shared" si="45"/>
        <v>69.174598763627614</v>
      </c>
      <c r="Y125">
        <f t="shared" si="46"/>
        <v>2.4445901781101997</v>
      </c>
      <c r="Z125">
        <f t="shared" si="47"/>
        <v>3.5339419697445051</v>
      </c>
      <c r="AA125">
        <f t="shared" si="48"/>
        <v>1.4358538837556671</v>
      </c>
      <c r="AB125">
        <f t="shared" si="49"/>
        <v>-75.244135590704872</v>
      </c>
      <c r="AC125">
        <f t="shared" si="50"/>
        <v>-182.30198588267351</v>
      </c>
      <c r="AD125">
        <f t="shared" si="51"/>
        <v>-18.718843635713402</v>
      </c>
      <c r="AE125">
        <f t="shared" si="52"/>
        <v>-0.14914758909173997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52413.484219956132</v>
      </c>
      <c r="AK125">
        <f t="shared" si="56"/>
        <v>1800</v>
      </c>
      <c r="AL125">
        <f t="shared" si="57"/>
        <v>1499.1114690000002</v>
      </c>
      <c r="AM125">
        <f t="shared" si="58"/>
        <v>0.83283970500000004</v>
      </c>
      <c r="AN125">
        <f t="shared" si="59"/>
        <v>0.15339767640000004</v>
      </c>
      <c r="AO125">
        <v>32.700000000000003</v>
      </c>
      <c r="AP125">
        <v>0.5</v>
      </c>
      <c r="AQ125" t="s">
        <v>331</v>
      </c>
      <c r="AR125">
        <v>2</v>
      </c>
      <c r="AS125">
        <v>1690302119.5999999</v>
      </c>
      <c r="AT125">
        <v>510.18700000000001</v>
      </c>
      <c r="AU125">
        <v>800.12300000000005</v>
      </c>
      <c r="AV125">
        <v>24.5886</v>
      </c>
      <c r="AW125">
        <v>6.4569599999999996</v>
      </c>
      <c r="AX125">
        <v>510.29899999999998</v>
      </c>
      <c r="AY125">
        <v>24.307099999999998</v>
      </c>
      <c r="AZ125">
        <v>300.14600000000002</v>
      </c>
      <c r="BA125">
        <v>99.319599999999994</v>
      </c>
      <c r="BB125">
        <v>0.10005699999999999</v>
      </c>
      <c r="BC125">
        <v>26.7837</v>
      </c>
      <c r="BD125">
        <v>26.995999999999999</v>
      </c>
      <c r="BE125">
        <v>28.2837</v>
      </c>
      <c r="BF125">
        <v>0</v>
      </c>
      <c r="BG125">
        <v>0</v>
      </c>
      <c r="BH125">
        <v>9971.8799999999992</v>
      </c>
      <c r="BI125">
        <v>1078.49</v>
      </c>
      <c r="BJ125">
        <v>1.9553100000000001</v>
      </c>
      <c r="BK125">
        <v>-289.93599999999998</v>
      </c>
      <c r="BL125">
        <v>523.048</v>
      </c>
      <c r="BM125">
        <v>805.32299999999998</v>
      </c>
      <c r="BN125">
        <v>18.131599999999999</v>
      </c>
      <c r="BO125">
        <v>800.12300000000005</v>
      </c>
      <c r="BP125">
        <v>6.4569599999999996</v>
      </c>
      <c r="BQ125">
        <v>2.4421300000000001</v>
      </c>
      <c r="BR125">
        <v>0.64130299999999996</v>
      </c>
      <c r="BS125">
        <v>20.645900000000001</v>
      </c>
      <c r="BT125">
        <v>0.60839600000000005</v>
      </c>
      <c r="BU125">
        <v>1800</v>
      </c>
      <c r="BV125">
        <v>0.90999300000000005</v>
      </c>
      <c r="BW125">
        <v>3.4003800000000001E-2</v>
      </c>
      <c r="BX125">
        <v>2.2002500000000001E-2</v>
      </c>
      <c r="BY125">
        <v>3.4001000000000003E-2</v>
      </c>
      <c r="BZ125">
        <v>25.666699999999999</v>
      </c>
      <c r="CA125">
        <v>33528.199999999997</v>
      </c>
      <c r="CB125">
        <v>1690300477.5</v>
      </c>
      <c r="CC125" t="s">
        <v>332</v>
      </c>
      <c r="CD125">
        <v>1690300477.5</v>
      </c>
      <c r="CE125">
        <v>1690300465.5</v>
      </c>
      <c r="CF125">
        <v>7</v>
      </c>
      <c r="CG125">
        <v>5.0999999999999997E-2</v>
      </c>
      <c r="CH125">
        <v>-8.0000000000000002E-3</v>
      </c>
      <c r="CI125">
        <v>-0.316</v>
      </c>
      <c r="CJ125">
        <v>0.28199999999999997</v>
      </c>
      <c r="CK125">
        <v>800</v>
      </c>
      <c r="CL125">
        <v>24</v>
      </c>
      <c r="CM125">
        <v>0.25</v>
      </c>
      <c r="CN125">
        <v>0.13</v>
      </c>
      <c r="CO125">
        <v>-286.56773170731708</v>
      </c>
      <c r="CP125">
        <v>-18.77393728223019</v>
      </c>
      <c r="CQ125">
        <v>1.852665068178351</v>
      </c>
      <c r="CR125">
        <v>-1</v>
      </c>
      <c r="CS125">
        <v>17.83339512195122</v>
      </c>
      <c r="CT125">
        <v>1.6578104529616591</v>
      </c>
      <c r="CU125">
        <v>0.16358143187493321</v>
      </c>
      <c r="CV125">
        <v>-1</v>
      </c>
      <c r="CW125">
        <v>0</v>
      </c>
      <c r="CX125">
        <v>0</v>
      </c>
      <c r="CY125" t="s">
        <v>333</v>
      </c>
      <c r="CZ125">
        <v>2.3646500000000001</v>
      </c>
      <c r="DA125">
        <v>2.7138200000000001</v>
      </c>
      <c r="DB125">
        <v>0.107582</v>
      </c>
      <c r="DC125">
        <v>0.14649799999999999</v>
      </c>
      <c r="DD125">
        <v>0.11586100000000001</v>
      </c>
      <c r="DE125">
        <v>4.1990899999999998E-2</v>
      </c>
      <c r="DF125">
        <v>32602.2</v>
      </c>
      <c r="DG125">
        <v>27528.5</v>
      </c>
      <c r="DH125">
        <v>31187.3</v>
      </c>
      <c r="DI125">
        <v>28104.2</v>
      </c>
      <c r="DJ125">
        <v>37433.1</v>
      </c>
      <c r="DK125">
        <v>38292.199999999997</v>
      </c>
      <c r="DL125">
        <v>44385.8</v>
      </c>
      <c r="DM125">
        <v>42600.5</v>
      </c>
      <c r="DN125">
        <v>1.4802200000000001</v>
      </c>
      <c r="DO125">
        <v>2.04332</v>
      </c>
      <c r="DP125">
        <v>9.4357899999999995E-2</v>
      </c>
      <c r="DQ125">
        <v>0.184253</v>
      </c>
      <c r="DR125">
        <v>25.450900000000001</v>
      </c>
      <c r="DS125">
        <v>25.269300000000001</v>
      </c>
      <c r="DT125">
        <v>52</v>
      </c>
      <c r="DU125">
        <v>28.8</v>
      </c>
      <c r="DV125">
        <v>20.816400000000002</v>
      </c>
      <c r="DW125">
        <v>61.6111</v>
      </c>
      <c r="DX125">
        <v>36.654600000000002</v>
      </c>
      <c r="DY125">
        <v>1</v>
      </c>
      <c r="DZ125">
        <v>-0.10359500000000001</v>
      </c>
      <c r="EA125">
        <v>-3.02042E-2</v>
      </c>
      <c r="EB125">
        <v>20.189800000000002</v>
      </c>
      <c r="EC125">
        <v>5.2415500000000002</v>
      </c>
      <c r="ED125">
        <v>12.039899999999999</v>
      </c>
      <c r="EE125">
        <v>5.0175999999999998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1.8689100000000001</v>
      </c>
      <c r="EL125">
        <v>1.8646199999999999</v>
      </c>
      <c r="EM125">
        <v>1.8691899999999999</v>
      </c>
      <c r="EN125">
        <v>1.8672299999999999</v>
      </c>
      <c r="EO125">
        <v>1.8633900000000001</v>
      </c>
      <c r="EP125">
        <v>1.8644700000000001</v>
      </c>
      <c r="EQ125">
        <v>1.8701399999999999</v>
      </c>
      <c r="ER125">
        <v>1.8693900000000001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-0.112</v>
      </c>
      <c r="FG125">
        <v>0.28149999999999997</v>
      </c>
      <c r="FH125">
        <v>0.23539598422606861</v>
      </c>
      <c r="FI125">
        <v>-6.1462078757559423E-4</v>
      </c>
      <c r="FJ125">
        <v>-1.8861989874597051E-7</v>
      </c>
      <c r="FK125">
        <v>1.1980462299894961E-10</v>
      </c>
      <c r="FL125">
        <v>0.28151999999999688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27.4</v>
      </c>
      <c r="FU125">
        <v>27.6</v>
      </c>
      <c r="FV125">
        <v>1.7748999999999999</v>
      </c>
      <c r="FW125">
        <v>2.5817899999999998</v>
      </c>
      <c r="FX125">
        <v>1.5490699999999999</v>
      </c>
      <c r="FY125">
        <v>2.3290999999999999</v>
      </c>
      <c r="FZ125">
        <v>1.50146</v>
      </c>
      <c r="GA125">
        <v>2.3974600000000001</v>
      </c>
      <c r="GB125">
        <v>33.602899999999998</v>
      </c>
      <c r="GC125">
        <v>23.991199999999999</v>
      </c>
      <c r="GD125">
        <v>19</v>
      </c>
      <c r="GE125">
        <v>284.11200000000002</v>
      </c>
      <c r="GF125">
        <v>587.6</v>
      </c>
      <c r="GG125">
        <v>25.225100000000001</v>
      </c>
      <c r="GH125">
        <v>26.107399999999998</v>
      </c>
      <c r="GI125">
        <v>30</v>
      </c>
      <c r="GJ125">
        <v>26.241399999999999</v>
      </c>
      <c r="GK125">
        <v>26.2225</v>
      </c>
      <c r="GL125">
        <v>35.488199999999999</v>
      </c>
      <c r="GM125">
        <v>67.349599999999995</v>
      </c>
      <c r="GN125">
        <v>72.166899999999998</v>
      </c>
      <c r="GO125">
        <v>25.2121</v>
      </c>
      <c r="GP125">
        <v>800</v>
      </c>
      <c r="GQ125">
        <v>6.2852399999999999</v>
      </c>
      <c r="GR125">
        <v>99.790300000000002</v>
      </c>
      <c r="GS125">
        <v>99.653300000000002</v>
      </c>
    </row>
    <row r="126" spans="1:201" x14ac:dyDescent="0.25">
      <c r="A126">
        <v>110</v>
      </c>
      <c r="B126">
        <v>1690302129.5999999</v>
      </c>
      <c r="C126">
        <v>1225.599999904633</v>
      </c>
      <c r="D126" t="s">
        <v>551</v>
      </c>
      <c r="E126" t="s">
        <v>552</v>
      </c>
      <c r="F126" t="s">
        <v>330</v>
      </c>
      <c r="H126">
        <v>1690302129.5999999</v>
      </c>
      <c r="I126">
        <f t="shared" si="30"/>
        <v>1.7293553713966273E-3</v>
      </c>
      <c r="J126">
        <f t="shared" si="31"/>
        <v>1.7293553713966274</v>
      </c>
      <c r="K126">
        <f t="shared" si="32"/>
        <v>26.018643093417115</v>
      </c>
      <c r="L126">
        <f t="shared" si="33"/>
        <v>507.02</v>
      </c>
      <c r="M126">
        <f t="shared" si="34"/>
        <v>142.39857169863743</v>
      </c>
      <c r="N126">
        <f t="shared" si="35"/>
        <v>14.157489492836813</v>
      </c>
      <c r="O126">
        <f t="shared" si="36"/>
        <v>50.40872416789</v>
      </c>
      <c r="P126">
        <f t="shared" si="37"/>
        <v>0.11975968232764982</v>
      </c>
      <c r="Q126">
        <f t="shared" si="38"/>
        <v>2.1232939404328901</v>
      </c>
      <c r="R126">
        <f t="shared" si="39"/>
        <v>0.11612967211031049</v>
      </c>
      <c r="S126">
        <f t="shared" si="40"/>
        <v>7.289802183286459E-2</v>
      </c>
      <c r="T126">
        <f t="shared" si="41"/>
        <v>276.11719611990083</v>
      </c>
      <c r="U126">
        <f t="shared" si="42"/>
        <v>28.366220319277797</v>
      </c>
      <c r="V126">
        <f t="shared" si="43"/>
        <v>28.366220319277797</v>
      </c>
      <c r="W126">
        <f t="shared" si="44"/>
        <v>3.8766156685366031</v>
      </c>
      <c r="X126">
        <f t="shared" si="45"/>
        <v>69.143741698787153</v>
      </c>
      <c r="Y126">
        <f t="shared" si="46"/>
        <v>2.4431259959512999</v>
      </c>
      <c r="Z126">
        <f t="shared" si="47"/>
        <v>3.5334014849736644</v>
      </c>
      <c r="AA126">
        <f t="shared" si="48"/>
        <v>1.4334896725853032</v>
      </c>
      <c r="AB126">
        <f t="shared" si="49"/>
        <v>-76.264571878591269</v>
      </c>
      <c r="AC126">
        <f t="shared" si="50"/>
        <v>-181.45034439364571</v>
      </c>
      <c r="AD126">
        <f t="shared" si="51"/>
        <v>-18.548750667915836</v>
      </c>
      <c r="AE126">
        <f t="shared" si="52"/>
        <v>-0.14647082025197733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52818.277727109795</v>
      </c>
      <c r="AK126">
        <f t="shared" si="56"/>
        <v>1800.01</v>
      </c>
      <c r="AL126">
        <f t="shared" si="57"/>
        <v>1499.11911879328</v>
      </c>
      <c r="AM126">
        <f t="shared" si="58"/>
        <v>0.83283932800000005</v>
      </c>
      <c r="AN126">
        <f t="shared" si="59"/>
        <v>0.15339759008000001</v>
      </c>
      <c r="AO126">
        <v>32.700000000000003</v>
      </c>
      <c r="AP126">
        <v>0.5</v>
      </c>
      <c r="AQ126" t="s">
        <v>331</v>
      </c>
      <c r="AR126">
        <v>2</v>
      </c>
      <c r="AS126">
        <v>1690302129.5999999</v>
      </c>
      <c r="AT126">
        <v>507.02</v>
      </c>
      <c r="AU126">
        <v>800.07600000000002</v>
      </c>
      <c r="AV126">
        <v>24.573399999999999</v>
      </c>
      <c r="AW126">
        <v>6.1931900000000004</v>
      </c>
      <c r="AX126">
        <v>507.12900000000002</v>
      </c>
      <c r="AY126">
        <v>24.291899999999998</v>
      </c>
      <c r="AZ126">
        <v>300.10700000000003</v>
      </c>
      <c r="BA126">
        <v>99.321700000000007</v>
      </c>
      <c r="BB126">
        <v>9.98695E-2</v>
      </c>
      <c r="BC126">
        <v>26.781099999999999</v>
      </c>
      <c r="BD126">
        <v>26.996300000000002</v>
      </c>
      <c r="BE126">
        <v>28.273800000000001</v>
      </c>
      <c r="BF126">
        <v>0</v>
      </c>
      <c r="BG126">
        <v>0</v>
      </c>
      <c r="BH126">
        <v>10051.9</v>
      </c>
      <c r="BI126">
        <v>1078.6199999999999</v>
      </c>
      <c r="BJ126">
        <v>1.9553100000000001</v>
      </c>
      <c r="BK126">
        <v>-293.05599999999998</v>
      </c>
      <c r="BL126">
        <v>519.79300000000001</v>
      </c>
      <c r="BM126">
        <v>805.06200000000001</v>
      </c>
      <c r="BN126">
        <v>18.380199999999999</v>
      </c>
      <c r="BO126">
        <v>800.07600000000002</v>
      </c>
      <c r="BP126">
        <v>6.1931900000000004</v>
      </c>
      <c r="BQ126">
        <v>2.44068</v>
      </c>
      <c r="BR126">
        <v>0.61511800000000005</v>
      </c>
      <c r="BS126">
        <v>20.636199999999999</v>
      </c>
      <c r="BT126">
        <v>3.2907499999999999E-2</v>
      </c>
      <c r="BU126">
        <v>1800.01</v>
      </c>
      <c r="BV126">
        <v>0.90999300000000005</v>
      </c>
      <c r="BW126">
        <v>3.4003600000000002E-2</v>
      </c>
      <c r="BX126">
        <v>2.2002399999999998E-2</v>
      </c>
      <c r="BY126">
        <v>3.4000799999999998E-2</v>
      </c>
      <c r="BZ126">
        <v>25.666699999999999</v>
      </c>
      <c r="CA126">
        <v>33528.5</v>
      </c>
      <c r="CB126">
        <v>1690300477.5</v>
      </c>
      <c r="CC126" t="s">
        <v>332</v>
      </c>
      <c r="CD126">
        <v>1690300477.5</v>
      </c>
      <c r="CE126">
        <v>1690300465.5</v>
      </c>
      <c r="CF126">
        <v>7</v>
      </c>
      <c r="CG126">
        <v>5.0999999999999997E-2</v>
      </c>
      <c r="CH126">
        <v>-8.0000000000000002E-3</v>
      </c>
      <c r="CI126">
        <v>-0.316</v>
      </c>
      <c r="CJ126">
        <v>0.28199999999999997</v>
      </c>
      <c r="CK126">
        <v>800</v>
      </c>
      <c r="CL126">
        <v>24</v>
      </c>
      <c r="CM126">
        <v>0.25</v>
      </c>
      <c r="CN126">
        <v>0.13</v>
      </c>
      <c r="CO126">
        <v>-289.62880487804881</v>
      </c>
      <c r="CP126">
        <v>-18.114355400696851</v>
      </c>
      <c r="CQ126">
        <v>1.7866073615561009</v>
      </c>
      <c r="CR126">
        <v>-1</v>
      </c>
      <c r="CS126">
        <v>18.10490731707317</v>
      </c>
      <c r="CT126">
        <v>1.6208362369337741</v>
      </c>
      <c r="CU126">
        <v>0.15991954439082109</v>
      </c>
      <c r="CV126">
        <v>-1</v>
      </c>
      <c r="CW126">
        <v>0</v>
      </c>
      <c r="CX126">
        <v>0</v>
      </c>
      <c r="CY126" t="s">
        <v>333</v>
      </c>
      <c r="CZ126">
        <v>2.3645200000000002</v>
      </c>
      <c r="DA126">
        <v>2.7137099999999998</v>
      </c>
      <c r="DB126">
        <v>0.107098</v>
      </c>
      <c r="DC126">
        <v>0.14649000000000001</v>
      </c>
      <c r="DD126">
        <v>0.115814</v>
      </c>
      <c r="DE126">
        <v>4.0594400000000003E-2</v>
      </c>
      <c r="DF126">
        <v>32619.8</v>
      </c>
      <c r="DG126">
        <v>27528.799999999999</v>
      </c>
      <c r="DH126">
        <v>31187.200000000001</v>
      </c>
      <c r="DI126">
        <v>28104.3</v>
      </c>
      <c r="DJ126">
        <v>37434.800000000003</v>
      </c>
      <c r="DK126">
        <v>38348.6</v>
      </c>
      <c r="DL126">
        <v>44385.5</v>
      </c>
      <c r="DM126">
        <v>42600.9</v>
      </c>
      <c r="DN126">
        <v>1.48065</v>
      </c>
      <c r="DO126">
        <v>2.04312</v>
      </c>
      <c r="DP126">
        <v>9.4380199999999997E-2</v>
      </c>
      <c r="DQ126">
        <v>0.18364900000000001</v>
      </c>
      <c r="DR126">
        <v>25.450900000000001</v>
      </c>
      <c r="DS126">
        <v>25.269300000000001</v>
      </c>
      <c r="DT126">
        <v>51.6</v>
      </c>
      <c r="DU126">
        <v>28.8</v>
      </c>
      <c r="DV126">
        <v>20.6524</v>
      </c>
      <c r="DW126">
        <v>61.601100000000002</v>
      </c>
      <c r="DX126">
        <v>36.902999999999999</v>
      </c>
      <c r="DY126">
        <v>1</v>
      </c>
      <c r="DZ126">
        <v>-0.10412100000000001</v>
      </c>
      <c r="EA126">
        <v>-0.225101</v>
      </c>
      <c r="EB126">
        <v>20.189399999999999</v>
      </c>
      <c r="EC126">
        <v>5.2409499999999998</v>
      </c>
      <c r="ED126">
        <v>12.039899999999999</v>
      </c>
      <c r="EE126">
        <v>5.0172999999999996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1.8689100000000001</v>
      </c>
      <c r="EL126">
        <v>1.8646199999999999</v>
      </c>
      <c r="EM126">
        <v>1.8692</v>
      </c>
      <c r="EN126">
        <v>1.8672299999999999</v>
      </c>
      <c r="EO126">
        <v>1.8633900000000001</v>
      </c>
      <c r="EP126">
        <v>1.8644700000000001</v>
      </c>
      <c r="EQ126">
        <v>1.8701700000000001</v>
      </c>
      <c r="ER126">
        <v>1.86944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-0.109</v>
      </c>
      <c r="FG126">
        <v>0.28149999999999997</v>
      </c>
      <c r="FH126">
        <v>0.23539598422606861</v>
      </c>
      <c r="FI126">
        <v>-6.1462078757559423E-4</v>
      </c>
      <c r="FJ126">
        <v>-1.8861989874597051E-7</v>
      </c>
      <c r="FK126">
        <v>1.1980462299894961E-10</v>
      </c>
      <c r="FL126">
        <v>0.28151999999999688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27.5</v>
      </c>
      <c r="FU126">
        <v>27.7</v>
      </c>
      <c r="FV126">
        <v>1.7748999999999999</v>
      </c>
      <c r="FW126">
        <v>2.5903299999999998</v>
      </c>
      <c r="FX126">
        <v>1.5490699999999999</v>
      </c>
      <c r="FY126">
        <v>2.3290999999999999</v>
      </c>
      <c r="FZ126">
        <v>1.50146</v>
      </c>
      <c r="GA126">
        <v>2.32422</v>
      </c>
      <c r="GB126">
        <v>33.602899999999998</v>
      </c>
      <c r="GC126">
        <v>23.982399999999998</v>
      </c>
      <c r="GD126">
        <v>19</v>
      </c>
      <c r="GE126">
        <v>284.27699999999999</v>
      </c>
      <c r="GF126">
        <v>587.40300000000002</v>
      </c>
      <c r="GG126">
        <v>25.203399999999998</v>
      </c>
      <c r="GH126">
        <v>26.104299999999999</v>
      </c>
      <c r="GI126">
        <v>29.9999</v>
      </c>
      <c r="GJ126">
        <v>26.2379</v>
      </c>
      <c r="GK126">
        <v>26.219799999999999</v>
      </c>
      <c r="GL126">
        <v>35.4831</v>
      </c>
      <c r="GM126">
        <v>68.281000000000006</v>
      </c>
      <c r="GN126">
        <v>71.3733</v>
      </c>
      <c r="GO126">
        <v>25.218800000000002</v>
      </c>
      <c r="GP126">
        <v>800</v>
      </c>
      <c r="GQ126">
        <v>6.0222800000000003</v>
      </c>
      <c r="GR126">
        <v>99.7898</v>
      </c>
      <c r="GS126">
        <v>99.654200000000003</v>
      </c>
    </row>
    <row r="127" spans="1:201" x14ac:dyDescent="0.25">
      <c r="A127">
        <v>111</v>
      </c>
      <c r="B127">
        <v>1690302139.5999999</v>
      </c>
      <c r="C127">
        <v>1235.599999904633</v>
      </c>
      <c r="D127" t="s">
        <v>553</v>
      </c>
      <c r="E127" t="s">
        <v>554</v>
      </c>
      <c r="F127" t="s">
        <v>330</v>
      </c>
      <c r="H127">
        <v>1690302139.5999999</v>
      </c>
      <c r="I127">
        <f t="shared" si="30"/>
        <v>1.7544342370828059E-3</v>
      </c>
      <c r="J127">
        <f t="shared" si="31"/>
        <v>1.7544342370828059</v>
      </c>
      <c r="K127">
        <f t="shared" si="32"/>
        <v>26.290008521881131</v>
      </c>
      <c r="L127">
        <f t="shared" si="33"/>
        <v>504.06099999999998</v>
      </c>
      <c r="M127">
        <f t="shared" si="34"/>
        <v>141.22929491628707</v>
      </c>
      <c r="N127">
        <f t="shared" si="35"/>
        <v>14.041391888043149</v>
      </c>
      <c r="O127">
        <f t="shared" si="36"/>
        <v>50.115084414138003</v>
      </c>
      <c r="P127">
        <f t="shared" si="37"/>
        <v>0.12166170531595891</v>
      </c>
      <c r="Q127">
        <f t="shared" si="38"/>
        <v>2.1154840649122479</v>
      </c>
      <c r="R127">
        <f t="shared" si="39"/>
        <v>0.11790405272180576</v>
      </c>
      <c r="S127">
        <f t="shared" si="40"/>
        <v>7.4017975382868126E-2</v>
      </c>
      <c r="T127">
        <f t="shared" si="41"/>
        <v>276.11560157399998</v>
      </c>
      <c r="U127">
        <f t="shared" si="42"/>
        <v>28.359921579372291</v>
      </c>
      <c r="V127">
        <f t="shared" si="43"/>
        <v>28.359921579372291</v>
      </c>
      <c r="W127">
        <f t="shared" si="44"/>
        <v>3.8751962901254271</v>
      </c>
      <c r="X127">
        <f t="shared" si="45"/>
        <v>69.145195061036048</v>
      </c>
      <c r="Y127">
        <f t="shared" si="46"/>
        <v>2.4427749379967998</v>
      </c>
      <c r="Z127">
        <f t="shared" si="47"/>
        <v>3.5328195051594062</v>
      </c>
      <c r="AA127">
        <f t="shared" si="48"/>
        <v>1.4324213521286273</v>
      </c>
      <c r="AB127">
        <f t="shared" si="49"/>
        <v>-77.37054985535174</v>
      </c>
      <c r="AC127">
        <f t="shared" si="50"/>
        <v>-180.38390460389093</v>
      </c>
      <c r="AD127">
        <f t="shared" si="51"/>
        <v>-18.506968203450231</v>
      </c>
      <c r="AE127">
        <f t="shared" si="52"/>
        <v>-0.14582108869291233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52475.886578451595</v>
      </c>
      <c r="AK127">
        <f t="shared" si="56"/>
        <v>1800</v>
      </c>
      <c r="AL127">
        <f t="shared" si="57"/>
        <v>1499.1112043999999</v>
      </c>
      <c r="AM127">
        <f t="shared" si="58"/>
        <v>0.83283955799999998</v>
      </c>
      <c r="AN127">
        <f t="shared" si="59"/>
        <v>0.15339755643</v>
      </c>
      <c r="AO127">
        <v>32.700000000000003</v>
      </c>
      <c r="AP127">
        <v>0.5</v>
      </c>
      <c r="AQ127" t="s">
        <v>331</v>
      </c>
      <c r="AR127">
        <v>2</v>
      </c>
      <c r="AS127">
        <v>1690302139.5999999</v>
      </c>
      <c r="AT127">
        <v>504.06099999999998</v>
      </c>
      <c r="AU127">
        <v>800.14200000000005</v>
      </c>
      <c r="AV127">
        <v>24.569600000000001</v>
      </c>
      <c r="AW127">
        <v>5.9236399999999998</v>
      </c>
      <c r="AX127">
        <v>504.16800000000001</v>
      </c>
      <c r="AY127">
        <v>24.2881</v>
      </c>
      <c r="AZ127">
        <v>300.12099999999998</v>
      </c>
      <c r="BA127">
        <v>99.322599999999994</v>
      </c>
      <c r="BB127">
        <v>0.10005799999999999</v>
      </c>
      <c r="BC127">
        <v>26.778300000000002</v>
      </c>
      <c r="BD127">
        <v>26.996099999999998</v>
      </c>
      <c r="BE127">
        <v>28.2561</v>
      </c>
      <c r="BF127">
        <v>0</v>
      </c>
      <c r="BG127">
        <v>0</v>
      </c>
      <c r="BH127">
        <v>9983.75</v>
      </c>
      <c r="BI127">
        <v>1078.5999999999999</v>
      </c>
      <c r="BJ127">
        <v>1.96231</v>
      </c>
      <c r="BK127">
        <v>-296.08100000000002</v>
      </c>
      <c r="BL127">
        <v>516.75800000000004</v>
      </c>
      <c r="BM127">
        <v>804.91</v>
      </c>
      <c r="BN127">
        <v>18.646000000000001</v>
      </c>
      <c r="BO127">
        <v>800.14200000000005</v>
      </c>
      <c r="BP127">
        <v>5.9236399999999998</v>
      </c>
      <c r="BQ127">
        <v>2.4403199999999998</v>
      </c>
      <c r="BR127">
        <v>0.58835099999999996</v>
      </c>
      <c r="BS127">
        <v>20.633800000000001</v>
      </c>
      <c r="BT127">
        <v>-0.57826</v>
      </c>
      <c r="BU127">
        <v>1800</v>
      </c>
      <c r="BV127">
        <v>0.909995</v>
      </c>
      <c r="BW127">
        <v>3.4002900000000003E-2</v>
      </c>
      <c r="BX127">
        <v>2.2001900000000001E-2</v>
      </c>
      <c r="BY127">
        <v>3.4000099999999998E-2</v>
      </c>
      <c r="BZ127">
        <v>25.666699999999999</v>
      </c>
      <c r="CA127">
        <v>33528.300000000003</v>
      </c>
      <c r="CB127">
        <v>1690300477.5</v>
      </c>
      <c r="CC127" t="s">
        <v>332</v>
      </c>
      <c r="CD127">
        <v>1690300477.5</v>
      </c>
      <c r="CE127">
        <v>1690300465.5</v>
      </c>
      <c r="CF127">
        <v>7</v>
      </c>
      <c r="CG127">
        <v>5.0999999999999997E-2</v>
      </c>
      <c r="CH127">
        <v>-8.0000000000000002E-3</v>
      </c>
      <c r="CI127">
        <v>-0.316</v>
      </c>
      <c r="CJ127">
        <v>0.28199999999999997</v>
      </c>
      <c r="CK127">
        <v>800</v>
      </c>
      <c r="CL127">
        <v>24</v>
      </c>
      <c r="CM127">
        <v>0.25</v>
      </c>
      <c r="CN127">
        <v>0.13</v>
      </c>
      <c r="CO127">
        <v>-292.71263414634137</v>
      </c>
      <c r="CP127">
        <v>-18.68617421602886</v>
      </c>
      <c r="CQ127">
        <v>1.8435875518328571</v>
      </c>
      <c r="CR127">
        <v>-1</v>
      </c>
      <c r="CS127">
        <v>18.364297560975611</v>
      </c>
      <c r="CT127">
        <v>1.5267616724738931</v>
      </c>
      <c r="CU127">
        <v>0.15070310577958271</v>
      </c>
      <c r="CV127">
        <v>-1</v>
      </c>
      <c r="CW127">
        <v>0</v>
      </c>
      <c r="CX127">
        <v>0</v>
      </c>
      <c r="CY127" t="s">
        <v>333</v>
      </c>
      <c r="CZ127">
        <v>2.36456</v>
      </c>
      <c r="DA127">
        <v>2.7138300000000002</v>
      </c>
      <c r="DB127">
        <v>0.106643</v>
      </c>
      <c r="DC127">
        <v>0.14649599999999999</v>
      </c>
      <c r="DD127">
        <v>0.115803</v>
      </c>
      <c r="DE127">
        <v>3.9147899999999999E-2</v>
      </c>
      <c r="DF127">
        <v>32636.6</v>
      </c>
      <c r="DG127">
        <v>27528.7</v>
      </c>
      <c r="DH127">
        <v>31187.4</v>
      </c>
      <c r="DI127">
        <v>28104.3</v>
      </c>
      <c r="DJ127">
        <v>37435.800000000003</v>
      </c>
      <c r="DK127">
        <v>38406.300000000003</v>
      </c>
      <c r="DL127">
        <v>44386.1</v>
      </c>
      <c r="DM127">
        <v>42600.6</v>
      </c>
      <c r="DN127">
        <v>1.48088</v>
      </c>
      <c r="DO127">
        <v>2.0428500000000001</v>
      </c>
      <c r="DP127">
        <v>9.4365299999999999E-2</v>
      </c>
      <c r="DQ127">
        <v>0.182502</v>
      </c>
      <c r="DR127">
        <v>25.450900000000001</v>
      </c>
      <c r="DS127">
        <v>25.270299999999999</v>
      </c>
      <c r="DT127">
        <v>51.2</v>
      </c>
      <c r="DU127">
        <v>28.8</v>
      </c>
      <c r="DV127">
        <v>20.4956</v>
      </c>
      <c r="DW127">
        <v>61.321100000000001</v>
      </c>
      <c r="DX127">
        <v>36.213900000000002</v>
      </c>
      <c r="DY127">
        <v>1</v>
      </c>
      <c r="DZ127">
        <v>-0.10412100000000001</v>
      </c>
      <c r="EA127">
        <v>-0.28557199999999999</v>
      </c>
      <c r="EB127">
        <v>20.189499999999999</v>
      </c>
      <c r="EC127">
        <v>5.2409499999999998</v>
      </c>
      <c r="ED127">
        <v>12.039899999999999</v>
      </c>
      <c r="EE127">
        <v>5.01715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1.8689199999999999</v>
      </c>
      <c r="EL127">
        <v>1.86463</v>
      </c>
      <c r="EM127">
        <v>1.8692</v>
      </c>
      <c r="EN127">
        <v>1.8672299999999999</v>
      </c>
      <c r="EO127">
        <v>1.86338</v>
      </c>
      <c r="EP127">
        <v>1.8644700000000001</v>
      </c>
      <c r="EQ127">
        <v>1.87015</v>
      </c>
      <c r="ER127">
        <v>1.8694299999999999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-0.107</v>
      </c>
      <c r="FG127">
        <v>0.28149999999999997</v>
      </c>
      <c r="FH127">
        <v>0.23539598422606861</v>
      </c>
      <c r="FI127">
        <v>-6.1462078757559423E-4</v>
      </c>
      <c r="FJ127">
        <v>-1.8861989874597051E-7</v>
      </c>
      <c r="FK127">
        <v>1.1980462299894961E-10</v>
      </c>
      <c r="FL127">
        <v>0.28151999999999688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27.7</v>
      </c>
      <c r="FU127">
        <v>27.9</v>
      </c>
      <c r="FV127">
        <v>1.7748999999999999</v>
      </c>
      <c r="FW127">
        <v>2.5964399999999999</v>
      </c>
      <c r="FX127">
        <v>1.5490699999999999</v>
      </c>
      <c r="FY127">
        <v>2.3290999999999999</v>
      </c>
      <c r="FZ127">
        <v>1.50146</v>
      </c>
      <c r="GA127">
        <v>2.2875999999999999</v>
      </c>
      <c r="GB127">
        <v>33.625399999999999</v>
      </c>
      <c r="GC127">
        <v>23.982399999999998</v>
      </c>
      <c r="GD127">
        <v>19</v>
      </c>
      <c r="GE127">
        <v>284.36399999999998</v>
      </c>
      <c r="GF127">
        <v>587.13199999999995</v>
      </c>
      <c r="GG127">
        <v>25.2197</v>
      </c>
      <c r="GH127">
        <v>26.101500000000001</v>
      </c>
      <c r="GI127">
        <v>30</v>
      </c>
      <c r="GJ127">
        <v>26.235700000000001</v>
      </c>
      <c r="GK127">
        <v>26.216100000000001</v>
      </c>
      <c r="GL127">
        <v>35.472000000000001</v>
      </c>
      <c r="GM127">
        <v>68.826800000000006</v>
      </c>
      <c r="GN127">
        <v>70.572800000000001</v>
      </c>
      <c r="GO127">
        <v>25.2316</v>
      </c>
      <c r="GP127">
        <v>800</v>
      </c>
      <c r="GQ127">
        <v>5.75312</v>
      </c>
      <c r="GR127">
        <v>99.790999999999997</v>
      </c>
      <c r="GS127">
        <v>99.653700000000001</v>
      </c>
    </row>
    <row r="128" spans="1:201" x14ac:dyDescent="0.25">
      <c r="A128">
        <v>112</v>
      </c>
      <c r="B128">
        <v>1690302149.5999999</v>
      </c>
      <c r="C128">
        <v>1245.599999904633</v>
      </c>
      <c r="D128" t="s">
        <v>555</v>
      </c>
      <c r="E128" t="s">
        <v>556</v>
      </c>
      <c r="F128" t="s">
        <v>330</v>
      </c>
      <c r="H128">
        <v>1690302149.5999999</v>
      </c>
      <c r="I128">
        <f t="shared" si="30"/>
        <v>1.7809119890965152E-3</v>
      </c>
      <c r="J128">
        <f t="shared" si="31"/>
        <v>1.7809119890965153</v>
      </c>
      <c r="K128">
        <f t="shared" si="32"/>
        <v>26.555292908639618</v>
      </c>
      <c r="L128">
        <f t="shared" si="33"/>
        <v>501.11399999999998</v>
      </c>
      <c r="M128">
        <f t="shared" si="34"/>
        <v>140.9450276939377</v>
      </c>
      <c r="N128">
        <f t="shared" si="35"/>
        <v>14.012735146539455</v>
      </c>
      <c r="O128">
        <f t="shared" si="36"/>
        <v>49.820684525822401</v>
      </c>
      <c r="P128">
        <f t="shared" si="37"/>
        <v>0.12385449768886767</v>
      </c>
      <c r="Q128">
        <f t="shared" si="38"/>
        <v>2.1169633881438865</v>
      </c>
      <c r="R128">
        <f t="shared" si="39"/>
        <v>0.11996513083711954</v>
      </c>
      <c r="S128">
        <f t="shared" si="40"/>
        <v>7.5317476808223427E-2</v>
      </c>
      <c r="T128">
        <f t="shared" si="41"/>
        <v>276.11562031199998</v>
      </c>
      <c r="U128">
        <f t="shared" si="42"/>
        <v>28.346137158394367</v>
      </c>
      <c r="V128">
        <f t="shared" si="43"/>
        <v>28.346137158394367</v>
      </c>
      <c r="W128">
        <f t="shared" si="44"/>
        <v>3.8720916455958734</v>
      </c>
      <c r="X128">
        <f t="shared" si="45"/>
        <v>69.167340450441571</v>
      </c>
      <c r="Y128">
        <f t="shared" si="46"/>
        <v>2.4430542010829601</v>
      </c>
      <c r="Z128">
        <f t="shared" si="47"/>
        <v>3.5320921480758818</v>
      </c>
      <c r="AA128">
        <f t="shared" si="48"/>
        <v>1.4290374445129133</v>
      </c>
      <c r="AB128">
        <f t="shared" si="49"/>
        <v>-78.538218719156319</v>
      </c>
      <c r="AC128">
        <f t="shared" si="50"/>
        <v>-179.33628591189199</v>
      </c>
      <c r="AD128">
        <f t="shared" si="51"/>
        <v>-18.385039901656054</v>
      </c>
      <c r="AE128">
        <f t="shared" si="52"/>
        <v>-0.1439242207043776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52541.27827660535</v>
      </c>
      <c r="AK128">
        <f t="shared" si="56"/>
        <v>1800</v>
      </c>
      <c r="AL128">
        <f t="shared" si="57"/>
        <v>1499.1116201999998</v>
      </c>
      <c r="AM128">
        <f t="shared" si="58"/>
        <v>0.83283978899999989</v>
      </c>
      <c r="AN128">
        <f t="shared" si="59"/>
        <v>0.15339756684</v>
      </c>
      <c r="AO128">
        <v>32.700000000000003</v>
      </c>
      <c r="AP128">
        <v>0.5</v>
      </c>
      <c r="AQ128" t="s">
        <v>331</v>
      </c>
      <c r="AR128">
        <v>2</v>
      </c>
      <c r="AS128">
        <v>1690302149.5999999</v>
      </c>
      <c r="AT128">
        <v>501.11399999999998</v>
      </c>
      <c r="AU128">
        <v>800.08699999999999</v>
      </c>
      <c r="AV128">
        <v>24.5731</v>
      </c>
      <c r="AW128">
        <v>5.6512900000000004</v>
      </c>
      <c r="AX128">
        <v>501.21899999999999</v>
      </c>
      <c r="AY128">
        <v>24.291599999999999</v>
      </c>
      <c r="AZ128">
        <v>300.20800000000003</v>
      </c>
      <c r="BA128">
        <v>99.319900000000004</v>
      </c>
      <c r="BB128">
        <v>9.9961599999999998E-2</v>
      </c>
      <c r="BC128">
        <v>26.774799999999999</v>
      </c>
      <c r="BD128">
        <v>26.987400000000001</v>
      </c>
      <c r="BE128">
        <v>28.2485</v>
      </c>
      <c r="BF128">
        <v>0</v>
      </c>
      <c r="BG128">
        <v>0</v>
      </c>
      <c r="BH128">
        <v>9996.8799999999992</v>
      </c>
      <c r="BI128">
        <v>1078.72</v>
      </c>
      <c r="BJ128">
        <v>1.93428</v>
      </c>
      <c r="BK128">
        <v>-298.97300000000001</v>
      </c>
      <c r="BL128">
        <v>513.73800000000006</v>
      </c>
      <c r="BM128">
        <v>804.63400000000001</v>
      </c>
      <c r="BN128">
        <v>18.921800000000001</v>
      </c>
      <c r="BO128">
        <v>800.08699999999999</v>
      </c>
      <c r="BP128">
        <v>5.6512900000000004</v>
      </c>
      <c r="BQ128">
        <v>2.4405999999999999</v>
      </c>
      <c r="BR128">
        <v>0.56128599999999995</v>
      </c>
      <c r="BS128">
        <v>20.6357</v>
      </c>
      <c r="BT128">
        <v>-1.2218199999999999</v>
      </c>
      <c r="BU128">
        <v>1800</v>
      </c>
      <c r="BV128">
        <v>0.90999600000000003</v>
      </c>
      <c r="BW128">
        <v>3.4002600000000001E-2</v>
      </c>
      <c r="BX128">
        <v>2.2001699999999999E-2</v>
      </c>
      <c r="BY128">
        <v>3.3999799999999997E-2</v>
      </c>
      <c r="BZ128">
        <v>25.625</v>
      </c>
      <c r="CA128">
        <v>33528.300000000003</v>
      </c>
      <c r="CB128">
        <v>1690300477.5</v>
      </c>
      <c r="CC128" t="s">
        <v>332</v>
      </c>
      <c r="CD128">
        <v>1690300477.5</v>
      </c>
      <c r="CE128">
        <v>1690300465.5</v>
      </c>
      <c r="CF128">
        <v>7</v>
      </c>
      <c r="CG128">
        <v>5.0999999999999997E-2</v>
      </c>
      <c r="CH128">
        <v>-8.0000000000000002E-3</v>
      </c>
      <c r="CI128">
        <v>-0.316</v>
      </c>
      <c r="CJ128">
        <v>0.28199999999999997</v>
      </c>
      <c r="CK128">
        <v>800</v>
      </c>
      <c r="CL128">
        <v>24</v>
      </c>
      <c r="CM128">
        <v>0.25</v>
      </c>
      <c r="CN128">
        <v>0.13</v>
      </c>
      <c r="CO128">
        <v>-295.74746341463418</v>
      </c>
      <c r="CP128">
        <v>-17.485923344948109</v>
      </c>
      <c r="CQ128">
        <v>1.7247462888368981</v>
      </c>
      <c r="CR128">
        <v>-1</v>
      </c>
      <c r="CS128">
        <v>18.621214634146341</v>
      </c>
      <c r="CT128">
        <v>1.5933114982578609</v>
      </c>
      <c r="CU128">
        <v>0.15717018515900211</v>
      </c>
      <c r="CV128">
        <v>-1</v>
      </c>
      <c r="CW128">
        <v>0</v>
      </c>
      <c r="CX128">
        <v>0</v>
      </c>
      <c r="CY128" t="s">
        <v>333</v>
      </c>
      <c r="CZ128">
        <v>2.3648400000000001</v>
      </c>
      <c r="DA128">
        <v>2.7137500000000001</v>
      </c>
      <c r="DB128">
        <v>0.106186</v>
      </c>
      <c r="DC128">
        <v>0.14648</v>
      </c>
      <c r="DD128">
        <v>0.115812</v>
      </c>
      <c r="DE128">
        <v>3.7665200000000003E-2</v>
      </c>
      <c r="DF128">
        <v>32653.5</v>
      </c>
      <c r="DG128">
        <v>27529.3</v>
      </c>
      <c r="DH128">
        <v>31187.5</v>
      </c>
      <c r="DI128">
        <v>28104.5</v>
      </c>
      <c r="DJ128">
        <v>37435.4</v>
      </c>
      <c r="DK128">
        <v>38466</v>
      </c>
      <c r="DL128">
        <v>44386.2</v>
      </c>
      <c r="DM128">
        <v>42600.9</v>
      </c>
      <c r="DN128">
        <v>1.4810000000000001</v>
      </c>
      <c r="DO128">
        <v>2.0424000000000002</v>
      </c>
      <c r="DP128">
        <v>9.3720899999999996E-2</v>
      </c>
      <c r="DQ128">
        <v>0.18198800000000001</v>
      </c>
      <c r="DR128">
        <v>25.4528</v>
      </c>
      <c r="DS128">
        <v>25.271100000000001</v>
      </c>
      <c r="DT128">
        <v>50.9</v>
      </c>
      <c r="DU128">
        <v>28.8</v>
      </c>
      <c r="DV128">
        <v>20.374300000000002</v>
      </c>
      <c r="DW128">
        <v>61.191099999999999</v>
      </c>
      <c r="DX128">
        <v>35.961500000000001</v>
      </c>
      <c r="DY128">
        <v>1</v>
      </c>
      <c r="DZ128">
        <v>-0.10419</v>
      </c>
      <c r="EA128">
        <v>-0.28916900000000001</v>
      </c>
      <c r="EB128">
        <v>20.189399999999999</v>
      </c>
      <c r="EC128">
        <v>5.24125</v>
      </c>
      <c r="ED128">
        <v>12.039899999999999</v>
      </c>
      <c r="EE128">
        <v>5.0178000000000003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</v>
      </c>
      <c r="EL128">
        <v>1.8646199999999999</v>
      </c>
      <c r="EM128">
        <v>1.86917</v>
      </c>
      <c r="EN128">
        <v>1.86724</v>
      </c>
      <c r="EO128">
        <v>1.86337</v>
      </c>
      <c r="EP128">
        <v>1.8644700000000001</v>
      </c>
      <c r="EQ128">
        <v>1.87015</v>
      </c>
      <c r="ER128">
        <v>1.8694299999999999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-0.105</v>
      </c>
      <c r="FG128">
        <v>0.28149999999999997</v>
      </c>
      <c r="FH128">
        <v>0.23539598422606861</v>
      </c>
      <c r="FI128">
        <v>-6.1462078757559423E-4</v>
      </c>
      <c r="FJ128">
        <v>-1.8861989874597051E-7</v>
      </c>
      <c r="FK128">
        <v>1.1980462299894961E-10</v>
      </c>
      <c r="FL128">
        <v>0.28151999999999688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27.9</v>
      </c>
      <c r="FU128">
        <v>28.1</v>
      </c>
      <c r="FV128">
        <v>1.7736799999999999</v>
      </c>
      <c r="FW128">
        <v>2.5903299999999998</v>
      </c>
      <c r="FX128">
        <v>1.5490699999999999</v>
      </c>
      <c r="FY128">
        <v>2.3290999999999999</v>
      </c>
      <c r="FZ128">
        <v>1.50146</v>
      </c>
      <c r="GA128">
        <v>2.3706100000000001</v>
      </c>
      <c r="GB128">
        <v>33.602899999999998</v>
      </c>
      <c r="GC128">
        <v>23.982399999999998</v>
      </c>
      <c r="GD128">
        <v>19</v>
      </c>
      <c r="GE128">
        <v>284.40699999999998</v>
      </c>
      <c r="GF128">
        <v>586.73400000000004</v>
      </c>
      <c r="GG128">
        <v>25.239599999999999</v>
      </c>
      <c r="GH128">
        <v>26.099299999999999</v>
      </c>
      <c r="GI128">
        <v>30</v>
      </c>
      <c r="GJ128">
        <v>26.2334</v>
      </c>
      <c r="GK128">
        <v>26.213899999999999</v>
      </c>
      <c r="GL128">
        <v>35.462499999999999</v>
      </c>
      <c r="GM128">
        <v>69.682900000000004</v>
      </c>
      <c r="GN128">
        <v>69.431200000000004</v>
      </c>
      <c r="GO128">
        <v>25.245799999999999</v>
      </c>
      <c r="GP128">
        <v>800</v>
      </c>
      <c r="GQ128">
        <v>5.4775999999999998</v>
      </c>
      <c r="GR128">
        <v>99.791300000000007</v>
      </c>
      <c r="GS128">
        <v>99.654399999999995</v>
      </c>
    </row>
    <row r="129" spans="1:201" x14ac:dyDescent="0.25">
      <c r="A129">
        <v>113</v>
      </c>
      <c r="B129">
        <v>1690302159.5999999</v>
      </c>
      <c r="C129">
        <v>1255.599999904633</v>
      </c>
      <c r="D129" t="s">
        <v>557</v>
      </c>
      <c r="E129" t="s">
        <v>558</v>
      </c>
      <c r="F129" t="s">
        <v>330</v>
      </c>
      <c r="H129">
        <v>1690302159.5999999</v>
      </c>
      <c r="I129">
        <f t="shared" si="30"/>
        <v>1.805027134857121E-3</v>
      </c>
      <c r="J129">
        <f t="shared" si="31"/>
        <v>1.805027134857121</v>
      </c>
      <c r="K129">
        <f t="shared" si="32"/>
        <v>26.797144694020318</v>
      </c>
      <c r="L129">
        <f t="shared" si="33"/>
        <v>498.375</v>
      </c>
      <c r="M129">
        <f t="shared" si="34"/>
        <v>140.00888393357189</v>
      </c>
      <c r="N129">
        <f t="shared" si="35"/>
        <v>13.919856851691796</v>
      </c>
      <c r="O129">
        <f t="shared" si="36"/>
        <v>49.549060484999998</v>
      </c>
      <c r="P129">
        <f t="shared" si="37"/>
        <v>0.12566270308860839</v>
      </c>
      <c r="Q129">
        <f t="shared" si="38"/>
        <v>2.1135231415226414</v>
      </c>
      <c r="R129">
        <f t="shared" si="39"/>
        <v>0.12165462669128684</v>
      </c>
      <c r="S129">
        <f t="shared" si="40"/>
        <v>7.638360208537151E-2</v>
      </c>
      <c r="T129">
        <f t="shared" si="41"/>
        <v>276.11558172000002</v>
      </c>
      <c r="U129">
        <f t="shared" si="42"/>
        <v>28.340786563135893</v>
      </c>
      <c r="V129">
        <f t="shared" si="43"/>
        <v>28.340786563135893</v>
      </c>
      <c r="W129">
        <f t="shared" si="44"/>
        <v>3.8708871236923645</v>
      </c>
      <c r="X129">
        <f t="shared" si="45"/>
        <v>69.150689301617845</v>
      </c>
      <c r="Y129">
        <f t="shared" si="46"/>
        <v>2.4425810243199999</v>
      </c>
      <c r="Z129">
        <f t="shared" si="47"/>
        <v>3.5322583895962021</v>
      </c>
      <c r="AA129">
        <f t="shared" si="48"/>
        <v>1.4283060993723646</v>
      </c>
      <c r="AB129">
        <f t="shared" si="49"/>
        <v>-79.601696647199034</v>
      </c>
      <c r="AC129">
        <f t="shared" si="50"/>
        <v>-178.34402408141693</v>
      </c>
      <c r="AD129">
        <f t="shared" si="51"/>
        <v>-18.31265951779098</v>
      </c>
      <c r="AE129">
        <f t="shared" si="52"/>
        <v>-0.1427985264069207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52390.464842350259</v>
      </c>
      <c r="AK129">
        <f t="shared" si="56"/>
        <v>1800</v>
      </c>
      <c r="AL129">
        <f t="shared" si="57"/>
        <v>1499.1117750000001</v>
      </c>
      <c r="AM129">
        <f t="shared" si="58"/>
        <v>0.83283987500000001</v>
      </c>
      <c r="AN129">
        <f t="shared" si="59"/>
        <v>0.1533975454</v>
      </c>
      <c r="AO129">
        <v>32.700000000000003</v>
      </c>
      <c r="AP129">
        <v>0.5</v>
      </c>
      <c r="AQ129" t="s">
        <v>331</v>
      </c>
      <c r="AR129">
        <v>2</v>
      </c>
      <c r="AS129">
        <v>1690302159.5999999</v>
      </c>
      <c r="AT129">
        <v>498.375</v>
      </c>
      <c r="AU129">
        <v>800.03200000000004</v>
      </c>
      <c r="AV129">
        <v>24.568000000000001</v>
      </c>
      <c r="AW129">
        <v>5.3916599999999999</v>
      </c>
      <c r="AX129">
        <v>498.47800000000001</v>
      </c>
      <c r="AY129">
        <v>24.2865</v>
      </c>
      <c r="AZ129">
        <v>300.23599999999999</v>
      </c>
      <c r="BA129">
        <v>99.321100000000001</v>
      </c>
      <c r="BB129">
        <v>0.10014000000000001</v>
      </c>
      <c r="BC129">
        <v>26.775600000000001</v>
      </c>
      <c r="BD129">
        <v>26.986899999999999</v>
      </c>
      <c r="BE129">
        <v>28.260200000000001</v>
      </c>
      <c r="BF129">
        <v>0</v>
      </c>
      <c r="BG129">
        <v>0</v>
      </c>
      <c r="BH129">
        <v>9966.8799999999992</v>
      </c>
      <c r="BI129">
        <v>1078.77</v>
      </c>
      <c r="BJ129">
        <v>1.9553100000000001</v>
      </c>
      <c r="BK129">
        <v>-301.65699999999998</v>
      </c>
      <c r="BL129">
        <v>510.92700000000002</v>
      </c>
      <c r="BM129">
        <v>804.36900000000003</v>
      </c>
      <c r="BN129">
        <v>19.176300000000001</v>
      </c>
      <c r="BO129">
        <v>800.03200000000004</v>
      </c>
      <c r="BP129">
        <v>5.3916599999999999</v>
      </c>
      <c r="BQ129">
        <v>2.4401199999999998</v>
      </c>
      <c r="BR129">
        <v>0.53550600000000004</v>
      </c>
      <c r="BS129">
        <v>20.6325</v>
      </c>
      <c r="BT129">
        <v>-1.8609199999999999</v>
      </c>
      <c r="BU129">
        <v>1800</v>
      </c>
      <c r="BV129">
        <v>0.90999699999999994</v>
      </c>
      <c r="BW129">
        <v>3.4002200000000003E-2</v>
      </c>
      <c r="BX129">
        <v>2.20015E-2</v>
      </c>
      <c r="BY129">
        <v>3.3999399999999999E-2</v>
      </c>
      <c r="BZ129">
        <v>25.666699999999999</v>
      </c>
      <c r="CA129">
        <v>33528.300000000003</v>
      </c>
      <c r="CB129">
        <v>1690300477.5</v>
      </c>
      <c r="CC129" t="s">
        <v>332</v>
      </c>
      <c r="CD129">
        <v>1690300477.5</v>
      </c>
      <c r="CE129">
        <v>1690300465.5</v>
      </c>
      <c r="CF129">
        <v>7</v>
      </c>
      <c r="CG129">
        <v>5.0999999999999997E-2</v>
      </c>
      <c r="CH129">
        <v>-8.0000000000000002E-3</v>
      </c>
      <c r="CI129">
        <v>-0.316</v>
      </c>
      <c r="CJ129">
        <v>0.28199999999999997</v>
      </c>
      <c r="CK129">
        <v>800</v>
      </c>
      <c r="CL129">
        <v>24</v>
      </c>
      <c r="CM129">
        <v>0.25</v>
      </c>
      <c r="CN129">
        <v>0.13</v>
      </c>
      <c r="CO129">
        <v>-298.65631707317073</v>
      </c>
      <c r="CP129">
        <v>-17.246571428571912</v>
      </c>
      <c r="CQ129">
        <v>1.70154330863834</v>
      </c>
      <c r="CR129">
        <v>-1</v>
      </c>
      <c r="CS129">
        <v>18.88594634146342</v>
      </c>
      <c r="CT129">
        <v>1.577755400696883</v>
      </c>
      <c r="CU129">
        <v>0.15565367921275991</v>
      </c>
      <c r="CV129">
        <v>-1</v>
      </c>
      <c r="CW129">
        <v>0</v>
      </c>
      <c r="CX129">
        <v>0</v>
      </c>
      <c r="CY129" t="s">
        <v>333</v>
      </c>
      <c r="CZ129">
        <v>2.3649200000000001</v>
      </c>
      <c r="DA129">
        <v>2.7139000000000002</v>
      </c>
      <c r="DB129">
        <v>0.10576199999999999</v>
      </c>
      <c r="DC129">
        <v>0.14647099999999999</v>
      </c>
      <c r="DD129">
        <v>0.115797</v>
      </c>
      <c r="DE129">
        <v>3.6233599999999998E-2</v>
      </c>
      <c r="DF129">
        <v>32668.9</v>
      </c>
      <c r="DG129">
        <v>27529.7</v>
      </c>
      <c r="DH129">
        <v>31187.5</v>
      </c>
      <c r="DI129">
        <v>28104.6</v>
      </c>
      <c r="DJ129">
        <v>37435.800000000003</v>
      </c>
      <c r="DK129">
        <v>38523.5</v>
      </c>
      <c r="DL129">
        <v>44386</v>
      </c>
      <c r="DM129">
        <v>42601.1</v>
      </c>
      <c r="DN129">
        <v>1.4813000000000001</v>
      </c>
      <c r="DO129">
        <v>2.0418699999999999</v>
      </c>
      <c r="DP129">
        <v>9.3542E-2</v>
      </c>
      <c r="DQ129">
        <v>0.18264</v>
      </c>
      <c r="DR129">
        <v>25.455200000000001</v>
      </c>
      <c r="DS129">
        <v>25.272099999999998</v>
      </c>
      <c r="DT129">
        <v>50.4</v>
      </c>
      <c r="DU129">
        <v>28.8</v>
      </c>
      <c r="DV129">
        <v>20.173400000000001</v>
      </c>
      <c r="DW129">
        <v>61.661099999999998</v>
      </c>
      <c r="DX129">
        <v>36.446300000000001</v>
      </c>
      <c r="DY129">
        <v>1</v>
      </c>
      <c r="DZ129">
        <v>-0.104682</v>
      </c>
      <c r="EA129">
        <v>-0.303867</v>
      </c>
      <c r="EB129">
        <v>20.189299999999999</v>
      </c>
      <c r="EC129">
        <v>5.2409499999999998</v>
      </c>
      <c r="ED129">
        <v>12.039899999999999</v>
      </c>
      <c r="EE129">
        <v>5.0174000000000003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1.8689100000000001</v>
      </c>
      <c r="EL129">
        <v>1.8646199999999999</v>
      </c>
      <c r="EM129">
        <v>1.8691899999999999</v>
      </c>
      <c r="EN129">
        <v>1.8672299999999999</v>
      </c>
      <c r="EO129">
        <v>1.86337</v>
      </c>
      <c r="EP129">
        <v>1.86446</v>
      </c>
      <c r="EQ129">
        <v>1.87015</v>
      </c>
      <c r="ER129">
        <v>1.86941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-0.10299999999999999</v>
      </c>
      <c r="FG129">
        <v>0.28149999999999997</v>
      </c>
      <c r="FH129">
        <v>0.23539598422606861</v>
      </c>
      <c r="FI129">
        <v>-6.1462078757559423E-4</v>
      </c>
      <c r="FJ129">
        <v>-1.8861989874597051E-7</v>
      </c>
      <c r="FK129">
        <v>1.1980462299894961E-10</v>
      </c>
      <c r="FL129">
        <v>0.28151999999999688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28</v>
      </c>
      <c r="FU129">
        <v>28.2</v>
      </c>
      <c r="FV129">
        <v>1.7736799999999999</v>
      </c>
      <c r="FW129">
        <v>2.5854499999999998</v>
      </c>
      <c r="FX129">
        <v>1.5490699999999999</v>
      </c>
      <c r="FY129">
        <v>2.3278799999999999</v>
      </c>
      <c r="FZ129">
        <v>1.50146</v>
      </c>
      <c r="GA129">
        <v>2.3889200000000002</v>
      </c>
      <c r="GB129">
        <v>33.602899999999998</v>
      </c>
      <c r="GC129">
        <v>23.991199999999999</v>
      </c>
      <c r="GD129">
        <v>19</v>
      </c>
      <c r="GE129">
        <v>284.52499999999998</v>
      </c>
      <c r="GF129">
        <v>586.27200000000005</v>
      </c>
      <c r="GG129">
        <v>25.258900000000001</v>
      </c>
      <c r="GH129">
        <v>26.096599999999999</v>
      </c>
      <c r="GI129">
        <v>30</v>
      </c>
      <c r="GJ129">
        <v>26.231000000000002</v>
      </c>
      <c r="GK129">
        <v>26.211500000000001</v>
      </c>
      <c r="GL129">
        <v>35.460799999999999</v>
      </c>
      <c r="GM129">
        <v>70.821899999999999</v>
      </c>
      <c r="GN129">
        <v>68.671800000000005</v>
      </c>
      <c r="GO129">
        <v>25.264900000000001</v>
      </c>
      <c r="GP129">
        <v>800</v>
      </c>
      <c r="GQ129">
        <v>5.2165100000000004</v>
      </c>
      <c r="GR129">
        <v>99.790999999999997</v>
      </c>
      <c r="GS129">
        <v>99.654799999999994</v>
      </c>
    </row>
    <row r="130" spans="1:201" x14ac:dyDescent="0.25">
      <c r="A130">
        <v>114</v>
      </c>
      <c r="B130">
        <v>1690302169.5999999</v>
      </c>
      <c r="C130">
        <v>1265.599999904633</v>
      </c>
      <c r="D130" t="s">
        <v>559</v>
      </c>
      <c r="E130" t="s">
        <v>560</v>
      </c>
      <c r="F130" t="s">
        <v>330</v>
      </c>
      <c r="H130">
        <v>1690302169.5999999</v>
      </c>
      <c r="I130">
        <f t="shared" si="30"/>
        <v>1.827522992663476E-3</v>
      </c>
      <c r="J130">
        <f t="shared" si="31"/>
        <v>1.827522992663476</v>
      </c>
      <c r="K130">
        <f t="shared" si="32"/>
        <v>27.032897151622983</v>
      </c>
      <c r="L130">
        <f t="shared" si="33"/>
        <v>495.63499999999999</v>
      </c>
      <c r="M130">
        <f t="shared" si="34"/>
        <v>139.14111175744463</v>
      </c>
      <c r="N130">
        <f t="shared" si="35"/>
        <v>13.833251878843081</v>
      </c>
      <c r="O130">
        <f t="shared" si="36"/>
        <v>49.275470839434</v>
      </c>
      <c r="P130">
        <f t="shared" si="37"/>
        <v>0.12747208405008861</v>
      </c>
      <c r="Q130">
        <f t="shared" si="38"/>
        <v>2.11752886060364</v>
      </c>
      <c r="R130">
        <f t="shared" si="39"/>
        <v>0.12335731924742591</v>
      </c>
      <c r="S130">
        <f t="shared" si="40"/>
        <v>7.7456955173802328E-2</v>
      </c>
      <c r="T130">
        <f t="shared" si="41"/>
        <v>276.11538451199999</v>
      </c>
      <c r="U130">
        <f t="shared" si="42"/>
        <v>28.330109562695206</v>
      </c>
      <c r="V130">
        <f t="shared" si="43"/>
        <v>28.330109562695206</v>
      </c>
      <c r="W130">
        <f t="shared" si="44"/>
        <v>3.8684845023492631</v>
      </c>
      <c r="X130">
        <f t="shared" si="45"/>
        <v>69.144661744423829</v>
      </c>
      <c r="Y130">
        <f t="shared" si="46"/>
        <v>2.4423537467749199</v>
      </c>
      <c r="Z130">
        <f t="shared" si="47"/>
        <v>3.5322376090326069</v>
      </c>
      <c r="AA130">
        <f t="shared" si="48"/>
        <v>1.4261307555743432</v>
      </c>
      <c r="AB130">
        <f t="shared" si="49"/>
        <v>-80.593763976459286</v>
      </c>
      <c r="AC130">
        <f t="shared" si="50"/>
        <v>-177.47456336857906</v>
      </c>
      <c r="AD130">
        <f t="shared" si="51"/>
        <v>-18.187928841718936</v>
      </c>
      <c r="AE130">
        <f t="shared" si="52"/>
        <v>-0.14087167475727824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52565.931963017596</v>
      </c>
      <c r="AK130">
        <f t="shared" si="56"/>
        <v>1800</v>
      </c>
      <c r="AL130">
        <f t="shared" si="57"/>
        <v>1499.1119262</v>
      </c>
      <c r="AM130">
        <f t="shared" si="58"/>
        <v>0.83283995899999996</v>
      </c>
      <c r="AN130">
        <f t="shared" si="59"/>
        <v>0.15339743583999998</v>
      </c>
      <c r="AO130">
        <v>32.700000000000003</v>
      </c>
      <c r="AP130">
        <v>0.5</v>
      </c>
      <c r="AQ130" t="s">
        <v>331</v>
      </c>
      <c r="AR130">
        <v>2</v>
      </c>
      <c r="AS130">
        <v>1690302169.5999999</v>
      </c>
      <c r="AT130">
        <v>495.63499999999999</v>
      </c>
      <c r="AU130">
        <v>800.12400000000002</v>
      </c>
      <c r="AV130">
        <v>24.566299999999998</v>
      </c>
      <c r="AW130">
        <v>5.1383799999999997</v>
      </c>
      <c r="AX130">
        <v>495.73599999999999</v>
      </c>
      <c r="AY130">
        <v>24.284800000000001</v>
      </c>
      <c r="AZ130">
        <v>300.04199999999997</v>
      </c>
      <c r="BA130">
        <v>99.318899999999999</v>
      </c>
      <c r="BB130">
        <v>9.9968399999999999E-2</v>
      </c>
      <c r="BC130">
        <v>26.775500000000001</v>
      </c>
      <c r="BD130">
        <v>26.986000000000001</v>
      </c>
      <c r="BE130">
        <v>28.2319</v>
      </c>
      <c r="BF130">
        <v>0</v>
      </c>
      <c r="BG130">
        <v>0</v>
      </c>
      <c r="BH130">
        <v>10001.9</v>
      </c>
      <c r="BI130">
        <v>1078.78</v>
      </c>
      <c r="BJ130">
        <v>1.93428</v>
      </c>
      <c r="BK130">
        <v>-304.48899999999998</v>
      </c>
      <c r="BL130">
        <v>508.11799999999999</v>
      </c>
      <c r="BM130">
        <v>804.25699999999995</v>
      </c>
      <c r="BN130">
        <v>19.427900000000001</v>
      </c>
      <c r="BO130">
        <v>800.12400000000002</v>
      </c>
      <c r="BP130">
        <v>5.1383799999999997</v>
      </c>
      <c r="BQ130">
        <v>2.4399000000000002</v>
      </c>
      <c r="BR130">
        <v>0.51033799999999996</v>
      </c>
      <c r="BS130">
        <v>20.631</v>
      </c>
      <c r="BT130">
        <v>-2.5117099999999999</v>
      </c>
      <c r="BU130">
        <v>1800</v>
      </c>
      <c r="BV130">
        <v>0.91</v>
      </c>
      <c r="BW130">
        <v>3.4001000000000003E-2</v>
      </c>
      <c r="BX130">
        <v>2.2000700000000002E-2</v>
      </c>
      <c r="BY130">
        <v>3.3998199999999999E-2</v>
      </c>
      <c r="BZ130">
        <v>25.666699999999999</v>
      </c>
      <c r="CA130">
        <v>33528.400000000001</v>
      </c>
      <c r="CB130">
        <v>1690300477.5</v>
      </c>
      <c r="CC130" t="s">
        <v>332</v>
      </c>
      <c r="CD130">
        <v>1690300477.5</v>
      </c>
      <c r="CE130">
        <v>1690300465.5</v>
      </c>
      <c r="CF130">
        <v>7</v>
      </c>
      <c r="CG130">
        <v>5.0999999999999997E-2</v>
      </c>
      <c r="CH130">
        <v>-8.0000000000000002E-3</v>
      </c>
      <c r="CI130">
        <v>-0.316</v>
      </c>
      <c r="CJ130">
        <v>0.28199999999999997</v>
      </c>
      <c r="CK130">
        <v>800</v>
      </c>
      <c r="CL130">
        <v>24</v>
      </c>
      <c r="CM130">
        <v>0.25</v>
      </c>
      <c r="CN130">
        <v>0.13</v>
      </c>
      <c r="CO130">
        <v>-301.38027499999998</v>
      </c>
      <c r="CP130">
        <v>-16.23927579737288</v>
      </c>
      <c r="CQ130">
        <v>1.563302945489131</v>
      </c>
      <c r="CR130">
        <v>-1</v>
      </c>
      <c r="CS130">
        <v>19.140750000000001</v>
      </c>
      <c r="CT130">
        <v>1.529459662288837</v>
      </c>
      <c r="CU130">
        <v>0.14717161071347981</v>
      </c>
      <c r="CV130">
        <v>-1</v>
      </c>
      <c r="CW130">
        <v>0</v>
      </c>
      <c r="CX130">
        <v>0</v>
      </c>
      <c r="CY130" t="s">
        <v>333</v>
      </c>
      <c r="CZ130">
        <v>2.3642599999999998</v>
      </c>
      <c r="DA130">
        <v>2.7137600000000002</v>
      </c>
      <c r="DB130">
        <v>0.105335</v>
      </c>
      <c r="DC130">
        <v>0.14647499999999999</v>
      </c>
      <c r="DD130">
        <v>0.115789</v>
      </c>
      <c r="DE130">
        <v>3.4816899999999998E-2</v>
      </c>
      <c r="DF130">
        <v>32684.9</v>
      </c>
      <c r="DG130">
        <v>27529.9</v>
      </c>
      <c r="DH130">
        <v>31187.8</v>
      </c>
      <c r="DI130">
        <v>28105</v>
      </c>
      <c r="DJ130">
        <v>37436.5</v>
      </c>
      <c r="DK130">
        <v>38580.800000000003</v>
      </c>
      <c r="DL130">
        <v>44386.5</v>
      </c>
      <c r="DM130">
        <v>42601.599999999999</v>
      </c>
      <c r="DN130">
        <v>1.48143</v>
      </c>
      <c r="DO130">
        <v>2.0414500000000002</v>
      </c>
      <c r="DP130">
        <v>9.3243999999999994E-2</v>
      </c>
      <c r="DQ130">
        <v>0.180647</v>
      </c>
      <c r="DR130">
        <v>25.459199999999999</v>
      </c>
      <c r="DS130">
        <v>25.276399999999999</v>
      </c>
      <c r="DT130">
        <v>50</v>
      </c>
      <c r="DU130">
        <v>28.8</v>
      </c>
      <c r="DV130">
        <v>20.016500000000001</v>
      </c>
      <c r="DW130">
        <v>61.591099999999997</v>
      </c>
      <c r="DX130">
        <v>37.159500000000001</v>
      </c>
      <c r="DY130">
        <v>1</v>
      </c>
      <c r="DZ130">
        <v>-0.10469299999999999</v>
      </c>
      <c r="EA130">
        <v>-0.32525300000000001</v>
      </c>
      <c r="EB130">
        <v>20.189299999999999</v>
      </c>
      <c r="EC130">
        <v>5.2411000000000003</v>
      </c>
      <c r="ED130">
        <v>12.039899999999999</v>
      </c>
      <c r="EE130">
        <v>5.0172999999999996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1.8689100000000001</v>
      </c>
      <c r="EL130">
        <v>1.8646199999999999</v>
      </c>
      <c r="EM130">
        <v>1.8691800000000001</v>
      </c>
      <c r="EN130">
        <v>1.8672299999999999</v>
      </c>
      <c r="EO130">
        <v>1.86337</v>
      </c>
      <c r="EP130">
        <v>1.8644700000000001</v>
      </c>
      <c r="EQ130">
        <v>1.87015</v>
      </c>
      <c r="ER130">
        <v>1.86941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-0.10100000000000001</v>
      </c>
      <c r="FG130">
        <v>0.28149999999999997</v>
      </c>
      <c r="FH130">
        <v>0.23539598422606861</v>
      </c>
      <c r="FI130">
        <v>-6.1462078757559423E-4</v>
      </c>
      <c r="FJ130">
        <v>-1.8861989874597051E-7</v>
      </c>
      <c r="FK130">
        <v>1.1980462299894961E-10</v>
      </c>
      <c r="FL130">
        <v>0.28151999999999688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28.2</v>
      </c>
      <c r="FU130">
        <v>28.4</v>
      </c>
      <c r="FV130">
        <v>1.7724599999999999</v>
      </c>
      <c r="FW130">
        <v>2.5866699999999998</v>
      </c>
      <c r="FX130">
        <v>1.5490699999999999</v>
      </c>
      <c r="FY130">
        <v>2.3278799999999999</v>
      </c>
      <c r="FZ130">
        <v>1.50146</v>
      </c>
      <c r="GA130">
        <v>2.3095699999999999</v>
      </c>
      <c r="GB130">
        <v>33.602899999999998</v>
      </c>
      <c r="GC130">
        <v>23.991199999999999</v>
      </c>
      <c r="GD130">
        <v>19</v>
      </c>
      <c r="GE130">
        <v>284.56599999999997</v>
      </c>
      <c r="GF130">
        <v>585.88300000000004</v>
      </c>
      <c r="GG130">
        <v>25.280799999999999</v>
      </c>
      <c r="GH130">
        <v>26.0944</v>
      </c>
      <c r="GI130">
        <v>30</v>
      </c>
      <c r="GJ130">
        <v>26.228200000000001</v>
      </c>
      <c r="GK130">
        <v>26.208300000000001</v>
      </c>
      <c r="GL130">
        <v>35.4497</v>
      </c>
      <c r="GM130">
        <v>71.6828</v>
      </c>
      <c r="GN130">
        <v>67.514700000000005</v>
      </c>
      <c r="GO130">
        <v>25.287600000000001</v>
      </c>
      <c r="GP130">
        <v>800</v>
      </c>
      <c r="GQ130">
        <v>4.9459999999999997</v>
      </c>
      <c r="GR130">
        <v>99.792100000000005</v>
      </c>
      <c r="GS130">
        <v>99.656000000000006</v>
      </c>
    </row>
    <row r="131" spans="1:201" x14ac:dyDescent="0.25">
      <c r="A131">
        <v>115</v>
      </c>
      <c r="B131">
        <v>1690302179.5999999</v>
      </c>
      <c r="C131">
        <v>1275.599999904633</v>
      </c>
      <c r="D131" t="s">
        <v>561</v>
      </c>
      <c r="E131" t="s">
        <v>562</v>
      </c>
      <c r="F131" t="s">
        <v>330</v>
      </c>
      <c r="H131">
        <v>1690302179.5999999</v>
      </c>
      <c r="I131">
        <f t="shared" si="30"/>
        <v>1.8543368953955518E-3</v>
      </c>
      <c r="J131">
        <f t="shared" si="31"/>
        <v>1.8543368953955519</v>
      </c>
      <c r="K131">
        <f t="shared" si="32"/>
        <v>27.294989226823752</v>
      </c>
      <c r="L131">
        <f t="shared" si="33"/>
        <v>492.81200000000001</v>
      </c>
      <c r="M131">
        <f t="shared" si="34"/>
        <v>138.09977212690967</v>
      </c>
      <c r="N131">
        <f t="shared" si="35"/>
        <v>13.730070060642666</v>
      </c>
      <c r="O131">
        <f t="shared" si="36"/>
        <v>48.996049613372001</v>
      </c>
      <c r="P131">
        <f t="shared" si="37"/>
        <v>0.12941473594841676</v>
      </c>
      <c r="Q131">
        <f t="shared" si="38"/>
        <v>2.1123719258337545</v>
      </c>
      <c r="R131">
        <f t="shared" si="39"/>
        <v>0.12516586043549147</v>
      </c>
      <c r="S131">
        <f t="shared" si="40"/>
        <v>7.8598786634431594E-2</v>
      </c>
      <c r="T131">
        <f t="shared" si="41"/>
        <v>276.11516856600002</v>
      </c>
      <c r="U131">
        <f t="shared" si="42"/>
        <v>28.332616900792754</v>
      </c>
      <c r="V131">
        <f t="shared" si="43"/>
        <v>28.332616900792754</v>
      </c>
      <c r="W131">
        <f t="shared" si="44"/>
        <v>3.8690486060864564</v>
      </c>
      <c r="X131">
        <f t="shared" si="45"/>
        <v>69.12478244959334</v>
      </c>
      <c r="Y131">
        <f t="shared" si="46"/>
        <v>2.4428728104128998</v>
      </c>
      <c r="Z131">
        <f t="shared" si="47"/>
        <v>3.5340043380162149</v>
      </c>
      <c r="AA131">
        <f t="shared" si="48"/>
        <v>1.4261757956735566</v>
      </c>
      <c r="AB131">
        <f t="shared" si="49"/>
        <v>-81.776257086943829</v>
      </c>
      <c r="AC131">
        <f t="shared" si="50"/>
        <v>-176.35989228761045</v>
      </c>
      <c r="AD131">
        <f t="shared" si="51"/>
        <v>-18.118812955987593</v>
      </c>
      <c r="AE131">
        <f t="shared" si="52"/>
        <v>-0.13979376454184944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52338.638184589807</v>
      </c>
      <c r="AK131">
        <f t="shared" si="56"/>
        <v>1800</v>
      </c>
      <c r="AL131">
        <f t="shared" si="57"/>
        <v>1499.1116615999999</v>
      </c>
      <c r="AM131">
        <f t="shared" si="58"/>
        <v>0.8328398119999999</v>
      </c>
      <c r="AN131">
        <f t="shared" si="59"/>
        <v>0.15339731587000002</v>
      </c>
      <c r="AO131">
        <v>32.700000000000003</v>
      </c>
      <c r="AP131">
        <v>0.5</v>
      </c>
      <c r="AQ131" t="s">
        <v>331</v>
      </c>
      <c r="AR131">
        <v>2</v>
      </c>
      <c r="AS131">
        <v>1690302179.5999999</v>
      </c>
      <c r="AT131">
        <v>492.81200000000001</v>
      </c>
      <c r="AU131">
        <v>800.11</v>
      </c>
      <c r="AV131">
        <v>24.570900000000002</v>
      </c>
      <c r="AW131">
        <v>4.8666900000000002</v>
      </c>
      <c r="AX131">
        <v>492.911</v>
      </c>
      <c r="AY131">
        <v>24.289400000000001</v>
      </c>
      <c r="AZ131">
        <v>300.17399999999998</v>
      </c>
      <c r="BA131">
        <v>99.321299999999994</v>
      </c>
      <c r="BB131">
        <v>0.100081</v>
      </c>
      <c r="BC131">
        <v>26.783999999999999</v>
      </c>
      <c r="BD131">
        <v>26.9787</v>
      </c>
      <c r="BE131">
        <v>28.238700000000001</v>
      </c>
      <c r="BF131">
        <v>0</v>
      </c>
      <c r="BG131">
        <v>0</v>
      </c>
      <c r="BH131">
        <v>9956.8799999999992</v>
      </c>
      <c r="BI131">
        <v>1078.74</v>
      </c>
      <c r="BJ131">
        <v>1.9202600000000001</v>
      </c>
      <c r="BK131">
        <v>-307.298</v>
      </c>
      <c r="BL131">
        <v>505.226</v>
      </c>
      <c r="BM131">
        <v>804.02300000000002</v>
      </c>
      <c r="BN131">
        <v>19.7042</v>
      </c>
      <c r="BO131">
        <v>800.11</v>
      </c>
      <c r="BP131">
        <v>4.8666900000000002</v>
      </c>
      <c r="BQ131">
        <v>2.44041</v>
      </c>
      <c r="BR131">
        <v>0.48336600000000002</v>
      </c>
      <c r="BS131">
        <v>20.634499999999999</v>
      </c>
      <c r="BT131">
        <v>-3.2415699999999998</v>
      </c>
      <c r="BU131">
        <v>1800</v>
      </c>
      <c r="BV131">
        <v>0.91000199999999998</v>
      </c>
      <c r="BW131">
        <v>3.4000099999999998E-2</v>
      </c>
      <c r="BX131">
        <v>2.2000100000000002E-2</v>
      </c>
      <c r="BY131">
        <v>3.3997300000000001E-2</v>
      </c>
      <c r="BZ131">
        <v>25.666699999999999</v>
      </c>
      <c r="CA131">
        <v>33528.300000000003</v>
      </c>
      <c r="CB131">
        <v>1690300477.5</v>
      </c>
      <c r="CC131" t="s">
        <v>332</v>
      </c>
      <c r="CD131">
        <v>1690300477.5</v>
      </c>
      <c r="CE131">
        <v>1690300465.5</v>
      </c>
      <c r="CF131">
        <v>7</v>
      </c>
      <c r="CG131">
        <v>5.0999999999999997E-2</v>
      </c>
      <c r="CH131">
        <v>-8.0000000000000002E-3</v>
      </c>
      <c r="CI131">
        <v>-0.316</v>
      </c>
      <c r="CJ131">
        <v>0.28199999999999997</v>
      </c>
      <c r="CK131">
        <v>800</v>
      </c>
      <c r="CL131">
        <v>24</v>
      </c>
      <c r="CM131">
        <v>0.25</v>
      </c>
      <c r="CN131">
        <v>0.13</v>
      </c>
      <c r="CO131">
        <v>-304.22019512195118</v>
      </c>
      <c r="CP131">
        <v>-17.041045296167241</v>
      </c>
      <c r="CQ131">
        <v>1.681267933544935</v>
      </c>
      <c r="CR131">
        <v>-1</v>
      </c>
      <c r="CS131">
        <v>19.40813414634146</v>
      </c>
      <c r="CT131">
        <v>1.589354006968666</v>
      </c>
      <c r="CU131">
        <v>0.15678384002365811</v>
      </c>
      <c r="CV131">
        <v>-1</v>
      </c>
      <c r="CW131">
        <v>0</v>
      </c>
      <c r="CX131">
        <v>0</v>
      </c>
      <c r="CY131" t="s">
        <v>333</v>
      </c>
      <c r="CZ131">
        <v>2.3646799999999999</v>
      </c>
      <c r="DA131">
        <v>2.7138399999999998</v>
      </c>
      <c r="DB131">
        <v>0.10489800000000001</v>
      </c>
      <c r="DC131">
        <v>0.14647199999999999</v>
      </c>
      <c r="DD131">
        <v>0.11580799999999999</v>
      </c>
      <c r="DE131">
        <v>3.3277000000000001E-2</v>
      </c>
      <c r="DF131">
        <v>32700.6</v>
      </c>
      <c r="DG131">
        <v>27530.2</v>
      </c>
      <c r="DH131">
        <v>31187.599999999999</v>
      </c>
      <c r="DI131">
        <v>28105.200000000001</v>
      </c>
      <c r="DJ131">
        <v>37435.599999999999</v>
      </c>
      <c r="DK131">
        <v>38642.6</v>
      </c>
      <c r="DL131">
        <v>44386.5</v>
      </c>
      <c r="DM131">
        <v>42601.7</v>
      </c>
      <c r="DN131">
        <v>1.482</v>
      </c>
      <c r="DO131">
        <v>2.0407500000000001</v>
      </c>
      <c r="DP131">
        <v>9.2565999999999996E-2</v>
      </c>
      <c r="DQ131">
        <v>0.18083299999999999</v>
      </c>
      <c r="DR131">
        <v>25.463000000000001</v>
      </c>
      <c r="DS131">
        <v>25.280100000000001</v>
      </c>
      <c r="DT131">
        <v>49.6</v>
      </c>
      <c r="DU131">
        <v>28.8</v>
      </c>
      <c r="DV131">
        <v>19.851400000000002</v>
      </c>
      <c r="DW131">
        <v>61.461100000000002</v>
      </c>
      <c r="DX131">
        <v>36.346200000000003</v>
      </c>
      <c r="DY131">
        <v>1</v>
      </c>
      <c r="DZ131">
        <v>-0.104878</v>
      </c>
      <c r="EA131">
        <v>-0.318772</v>
      </c>
      <c r="EB131">
        <v>20.1892</v>
      </c>
      <c r="EC131">
        <v>5.2411000000000003</v>
      </c>
      <c r="ED131">
        <v>12.039899999999999</v>
      </c>
      <c r="EE131">
        <v>5.0168999999999997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1.86893</v>
      </c>
      <c r="EL131">
        <v>1.8646199999999999</v>
      </c>
      <c r="EM131">
        <v>1.8691899999999999</v>
      </c>
      <c r="EN131">
        <v>1.8672500000000001</v>
      </c>
      <c r="EO131">
        <v>1.86338</v>
      </c>
      <c r="EP131">
        <v>1.8644700000000001</v>
      </c>
      <c r="EQ131">
        <v>1.87015</v>
      </c>
      <c r="ER131">
        <v>1.86944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-9.9000000000000005E-2</v>
      </c>
      <c r="FG131">
        <v>0.28149999999999997</v>
      </c>
      <c r="FH131">
        <v>0.23539598422606861</v>
      </c>
      <c r="FI131">
        <v>-6.1462078757559423E-4</v>
      </c>
      <c r="FJ131">
        <v>-1.8861989874597051E-7</v>
      </c>
      <c r="FK131">
        <v>1.1980462299894961E-10</v>
      </c>
      <c r="FL131">
        <v>0.28151999999999688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28.4</v>
      </c>
      <c r="FU131">
        <v>28.6</v>
      </c>
      <c r="FV131">
        <v>1.7724599999999999</v>
      </c>
      <c r="FW131">
        <v>2.5976599999999999</v>
      </c>
      <c r="FX131">
        <v>1.5490699999999999</v>
      </c>
      <c r="FY131">
        <v>2.3278799999999999</v>
      </c>
      <c r="FZ131">
        <v>1.50146</v>
      </c>
      <c r="GA131">
        <v>2.2900399999999999</v>
      </c>
      <c r="GB131">
        <v>33.625399999999999</v>
      </c>
      <c r="GC131">
        <v>23.982399999999998</v>
      </c>
      <c r="GD131">
        <v>19</v>
      </c>
      <c r="GE131">
        <v>284.8</v>
      </c>
      <c r="GF131">
        <v>585.26700000000005</v>
      </c>
      <c r="GG131">
        <v>25.301200000000001</v>
      </c>
      <c r="GH131">
        <v>26.092199999999998</v>
      </c>
      <c r="GI131">
        <v>29.9999</v>
      </c>
      <c r="GJ131">
        <v>26.2255</v>
      </c>
      <c r="GK131">
        <v>26.205200000000001</v>
      </c>
      <c r="GL131">
        <v>35.439599999999999</v>
      </c>
      <c r="GM131">
        <v>72.836200000000005</v>
      </c>
      <c r="GN131">
        <v>66.732399999999998</v>
      </c>
      <c r="GO131">
        <v>25.3035</v>
      </c>
      <c r="GP131">
        <v>800</v>
      </c>
      <c r="GQ131">
        <v>4.6729000000000003</v>
      </c>
      <c r="GR131">
        <v>99.791799999999995</v>
      </c>
      <c r="GS131">
        <v>99.656599999999997</v>
      </c>
    </row>
    <row r="132" spans="1:201" x14ac:dyDescent="0.25">
      <c r="A132">
        <v>116</v>
      </c>
      <c r="B132">
        <v>1690302189.5999999</v>
      </c>
      <c r="C132">
        <v>1285.599999904633</v>
      </c>
      <c r="D132" t="s">
        <v>563</v>
      </c>
      <c r="E132" t="s">
        <v>564</v>
      </c>
      <c r="F132" t="s">
        <v>330</v>
      </c>
      <c r="H132">
        <v>1690302189.5999999</v>
      </c>
      <c r="I132">
        <f t="shared" si="30"/>
        <v>1.8786911698503318E-3</v>
      </c>
      <c r="J132">
        <f t="shared" si="31"/>
        <v>1.8786911698503317</v>
      </c>
      <c r="K132">
        <f t="shared" si="32"/>
        <v>27.52916925928043</v>
      </c>
      <c r="L132">
        <f t="shared" si="33"/>
        <v>490.17399999999998</v>
      </c>
      <c r="M132">
        <f t="shared" si="34"/>
        <v>137.59959648858305</v>
      </c>
      <c r="N132">
        <f t="shared" si="35"/>
        <v>13.679982167552616</v>
      </c>
      <c r="O132">
        <f t="shared" si="36"/>
        <v>48.732494499388402</v>
      </c>
      <c r="P132">
        <f t="shared" si="37"/>
        <v>0.13136041939880944</v>
      </c>
      <c r="Q132">
        <f t="shared" si="38"/>
        <v>2.1182400144500249</v>
      </c>
      <c r="R132">
        <f t="shared" si="39"/>
        <v>0.12699683577436724</v>
      </c>
      <c r="S132">
        <f t="shared" si="40"/>
        <v>7.9752997765658959E-2</v>
      </c>
      <c r="T132">
        <f t="shared" si="41"/>
        <v>276.11532282599995</v>
      </c>
      <c r="U132">
        <f t="shared" si="42"/>
        <v>28.319887379286797</v>
      </c>
      <c r="V132">
        <f t="shared" si="43"/>
        <v>28.319887379286797</v>
      </c>
      <c r="W132">
        <f t="shared" si="44"/>
        <v>3.8661854464588576</v>
      </c>
      <c r="X132">
        <f t="shared" si="45"/>
        <v>69.10477318729032</v>
      </c>
      <c r="Y132">
        <f t="shared" si="46"/>
        <v>2.4421225827624</v>
      </c>
      <c r="Z132">
        <f t="shared" si="47"/>
        <v>3.5339419697445051</v>
      </c>
      <c r="AA132">
        <f t="shared" si="48"/>
        <v>1.4240628636964576</v>
      </c>
      <c r="AB132">
        <f t="shared" si="49"/>
        <v>-82.850280590399635</v>
      </c>
      <c r="AC132">
        <f t="shared" si="50"/>
        <v>-175.43037993618239</v>
      </c>
      <c r="AD132">
        <f t="shared" si="51"/>
        <v>-17.972216967997774</v>
      </c>
      <c r="AE132">
        <f t="shared" si="52"/>
        <v>-0.13755466857983834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52595.688856819914</v>
      </c>
      <c r="AK132">
        <f t="shared" si="56"/>
        <v>1800</v>
      </c>
      <c r="AL132">
        <f t="shared" si="57"/>
        <v>1499.1133266000002</v>
      </c>
      <c r="AM132">
        <f t="shared" si="58"/>
        <v>0.83284073700000005</v>
      </c>
      <c r="AN132">
        <f t="shared" si="59"/>
        <v>0.15339740156999998</v>
      </c>
      <c r="AO132">
        <v>32.700000000000003</v>
      </c>
      <c r="AP132">
        <v>0.5</v>
      </c>
      <c r="AQ132" t="s">
        <v>331</v>
      </c>
      <c r="AR132">
        <v>2</v>
      </c>
      <c r="AS132">
        <v>1690302189.5999999</v>
      </c>
      <c r="AT132">
        <v>490.17399999999998</v>
      </c>
      <c r="AU132">
        <v>800.04100000000005</v>
      </c>
      <c r="AV132">
        <v>24.564</v>
      </c>
      <c r="AW132">
        <v>4.6046500000000004</v>
      </c>
      <c r="AX132">
        <v>490.27100000000002</v>
      </c>
      <c r="AY132">
        <v>24.282499999999999</v>
      </c>
      <c r="AZ132">
        <v>300.23099999999999</v>
      </c>
      <c r="BA132">
        <v>99.318799999999996</v>
      </c>
      <c r="BB132">
        <v>9.9966600000000003E-2</v>
      </c>
      <c r="BC132">
        <v>26.7837</v>
      </c>
      <c r="BD132">
        <v>26.9663</v>
      </c>
      <c r="BE132">
        <v>28.245999999999999</v>
      </c>
      <c r="BF132">
        <v>0</v>
      </c>
      <c r="BG132">
        <v>0</v>
      </c>
      <c r="BH132">
        <v>10008.1</v>
      </c>
      <c r="BI132">
        <v>1078.8499999999999</v>
      </c>
      <c r="BJ132">
        <v>1.93428</v>
      </c>
      <c r="BK132">
        <v>-309.86700000000002</v>
      </c>
      <c r="BL132">
        <v>502.51799999999997</v>
      </c>
      <c r="BM132">
        <v>803.74199999999996</v>
      </c>
      <c r="BN132">
        <v>19.959299999999999</v>
      </c>
      <c r="BO132">
        <v>800.04100000000005</v>
      </c>
      <c r="BP132">
        <v>4.6046500000000004</v>
      </c>
      <c r="BQ132">
        <v>2.43967</v>
      </c>
      <c r="BR132">
        <v>0.45732800000000001</v>
      </c>
      <c r="BS132">
        <v>20.6295</v>
      </c>
      <c r="BT132">
        <v>-3.9812699999999999</v>
      </c>
      <c r="BU132">
        <v>1800</v>
      </c>
      <c r="BV132">
        <v>0.91000499999999995</v>
      </c>
      <c r="BW132">
        <v>3.3999300000000003E-2</v>
      </c>
      <c r="BX132">
        <v>2.1999600000000001E-2</v>
      </c>
      <c r="BY132">
        <v>3.3996499999999999E-2</v>
      </c>
      <c r="BZ132">
        <v>25.666699999999999</v>
      </c>
      <c r="CA132">
        <v>33528.300000000003</v>
      </c>
      <c r="CB132">
        <v>1690300477.5</v>
      </c>
      <c r="CC132" t="s">
        <v>332</v>
      </c>
      <c r="CD132">
        <v>1690300477.5</v>
      </c>
      <c r="CE132">
        <v>1690300465.5</v>
      </c>
      <c r="CF132">
        <v>7</v>
      </c>
      <c r="CG132">
        <v>5.0999999999999997E-2</v>
      </c>
      <c r="CH132">
        <v>-8.0000000000000002E-3</v>
      </c>
      <c r="CI132">
        <v>-0.316</v>
      </c>
      <c r="CJ132">
        <v>0.28199999999999997</v>
      </c>
      <c r="CK132">
        <v>800</v>
      </c>
      <c r="CL132">
        <v>24</v>
      </c>
      <c r="CM132">
        <v>0.25</v>
      </c>
      <c r="CN132">
        <v>0.13</v>
      </c>
      <c r="CO132">
        <v>-306.98760975609758</v>
      </c>
      <c r="CP132">
        <v>-16.137846689895341</v>
      </c>
      <c r="CQ132">
        <v>1.592162678262234</v>
      </c>
      <c r="CR132">
        <v>-1</v>
      </c>
      <c r="CS132">
        <v>19.67494878048781</v>
      </c>
      <c r="CT132">
        <v>1.616448083623701</v>
      </c>
      <c r="CU132">
        <v>0.15943183285586671</v>
      </c>
      <c r="CV132">
        <v>-1</v>
      </c>
      <c r="CW132">
        <v>0</v>
      </c>
      <c r="CX132">
        <v>0</v>
      </c>
      <c r="CY132" t="s">
        <v>333</v>
      </c>
      <c r="CZ132">
        <v>2.3648500000000001</v>
      </c>
      <c r="DA132">
        <v>2.7137699999999998</v>
      </c>
      <c r="DB132">
        <v>0.10448399999999999</v>
      </c>
      <c r="DC132">
        <v>0.146455</v>
      </c>
      <c r="DD132">
        <v>0.115783</v>
      </c>
      <c r="DE132">
        <v>3.1767799999999999E-2</v>
      </c>
      <c r="DF132">
        <v>32715.9</v>
      </c>
      <c r="DG132">
        <v>27530.799999999999</v>
      </c>
      <c r="DH132">
        <v>31187.8</v>
      </c>
      <c r="DI132">
        <v>28105.200000000001</v>
      </c>
      <c r="DJ132">
        <v>37436.6</v>
      </c>
      <c r="DK132">
        <v>38703.199999999997</v>
      </c>
      <c r="DL132">
        <v>44386.5</v>
      </c>
      <c r="DM132">
        <v>42601.9</v>
      </c>
      <c r="DN132">
        <v>1.4818</v>
      </c>
      <c r="DO132">
        <v>2.0405199999999999</v>
      </c>
      <c r="DP132">
        <v>9.1757599999999995E-2</v>
      </c>
      <c r="DQ132">
        <v>0.181038</v>
      </c>
      <c r="DR132">
        <v>25.463799999999999</v>
      </c>
      <c r="DS132">
        <v>25.284099999999999</v>
      </c>
      <c r="DT132">
        <v>49.1</v>
      </c>
      <c r="DU132">
        <v>28.8</v>
      </c>
      <c r="DV132">
        <v>19.652200000000001</v>
      </c>
      <c r="DW132">
        <v>61.271099999999997</v>
      </c>
      <c r="DX132">
        <v>35.953499999999998</v>
      </c>
      <c r="DY132">
        <v>1</v>
      </c>
      <c r="DZ132">
        <v>-0.105211</v>
      </c>
      <c r="EA132">
        <v>-0.38503500000000002</v>
      </c>
      <c r="EB132">
        <v>20.1892</v>
      </c>
      <c r="EC132">
        <v>5.2411000000000003</v>
      </c>
      <c r="ED132">
        <v>12.039899999999999</v>
      </c>
      <c r="EE132">
        <v>5.0168499999999998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1.8646199999999999</v>
      </c>
      <c r="EM132">
        <v>1.8692</v>
      </c>
      <c r="EN132">
        <v>1.8672500000000001</v>
      </c>
      <c r="EO132">
        <v>1.86337</v>
      </c>
      <c r="EP132">
        <v>1.8644700000000001</v>
      </c>
      <c r="EQ132">
        <v>1.8701399999999999</v>
      </c>
      <c r="ER132">
        <v>1.86938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-9.7000000000000003E-2</v>
      </c>
      <c r="FG132">
        <v>0.28149999999999997</v>
      </c>
      <c r="FH132">
        <v>0.23539598422606861</v>
      </c>
      <c r="FI132">
        <v>-6.1462078757559423E-4</v>
      </c>
      <c r="FJ132">
        <v>-1.8861989874597051E-7</v>
      </c>
      <c r="FK132">
        <v>1.1980462299894961E-10</v>
      </c>
      <c r="FL132">
        <v>0.28151999999999688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28.5</v>
      </c>
      <c r="FU132">
        <v>28.7</v>
      </c>
      <c r="FV132">
        <v>1.7724599999999999</v>
      </c>
      <c r="FW132">
        <v>2.5891099999999998</v>
      </c>
      <c r="FX132">
        <v>1.5490699999999999</v>
      </c>
      <c r="FY132">
        <v>2.3278799999999999</v>
      </c>
      <c r="FZ132">
        <v>1.50146</v>
      </c>
      <c r="GA132">
        <v>2.3779300000000001</v>
      </c>
      <c r="GB132">
        <v>33.602899999999998</v>
      </c>
      <c r="GC132">
        <v>23.982399999999998</v>
      </c>
      <c r="GD132">
        <v>19</v>
      </c>
      <c r="GE132">
        <v>284.70299999999997</v>
      </c>
      <c r="GF132">
        <v>585.05600000000004</v>
      </c>
      <c r="GG132">
        <v>25.325399999999998</v>
      </c>
      <c r="GH132">
        <v>26.090499999999999</v>
      </c>
      <c r="GI132">
        <v>29.9999</v>
      </c>
      <c r="GJ132">
        <v>26.2227</v>
      </c>
      <c r="GK132">
        <v>26.202999999999999</v>
      </c>
      <c r="GL132">
        <v>35.433399999999999</v>
      </c>
      <c r="GM132">
        <v>74.026700000000005</v>
      </c>
      <c r="GN132">
        <v>65.556100000000001</v>
      </c>
      <c r="GO132">
        <v>25.341699999999999</v>
      </c>
      <c r="GP132">
        <v>800</v>
      </c>
      <c r="GQ132">
        <v>4.4069799999999999</v>
      </c>
      <c r="GR132">
        <v>99.792000000000002</v>
      </c>
      <c r="GS132">
        <v>99.656800000000004</v>
      </c>
    </row>
    <row r="133" spans="1:201" x14ac:dyDescent="0.25">
      <c r="A133">
        <v>117</v>
      </c>
      <c r="B133">
        <v>1690302199.5999999</v>
      </c>
      <c r="C133">
        <v>1295.599999904633</v>
      </c>
      <c r="D133" t="s">
        <v>565</v>
      </c>
      <c r="E133" t="s">
        <v>566</v>
      </c>
      <c r="F133" t="s">
        <v>330</v>
      </c>
      <c r="H133">
        <v>1690302199.5999999</v>
      </c>
      <c r="I133">
        <f t="shared" si="30"/>
        <v>1.9043169592862237E-3</v>
      </c>
      <c r="J133">
        <f t="shared" si="31"/>
        <v>1.9043169592862237</v>
      </c>
      <c r="K133">
        <f t="shared" si="32"/>
        <v>27.7648870039366</v>
      </c>
      <c r="L133">
        <f t="shared" si="33"/>
        <v>487.55500000000001</v>
      </c>
      <c r="M133">
        <f t="shared" si="34"/>
        <v>137.17636344736258</v>
      </c>
      <c r="N133">
        <f t="shared" si="35"/>
        <v>13.63753577388662</v>
      </c>
      <c r="O133">
        <f t="shared" si="36"/>
        <v>48.470804934180002</v>
      </c>
      <c r="P133">
        <f t="shared" si="37"/>
        <v>0.13337304243861534</v>
      </c>
      <c r="Q133">
        <f t="shared" si="38"/>
        <v>2.1188621083956947</v>
      </c>
      <c r="R133">
        <f t="shared" si="39"/>
        <v>0.12887845674835027</v>
      </c>
      <c r="S133">
        <f t="shared" si="40"/>
        <v>8.0940238104047532E-2</v>
      </c>
      <c r="T133">
        <f t="shared" si="41"/>
        <v>276.11369080652895</v>
      </c>
      <c r="U133">
        <f t="shared" si="42"/>
        <v>28.313180889869702</v>
      </c>
      <c r="V133">
        <f t="shared" si="43"/>
        <v>28.313180889869702</v>
      </c>
      <c r="W133">
        <f t="shared" si="44"/>
        <v>3.8646777475719905</v>
      </c>
      <c r="X133">
        <f t="shared" si="45"/>
        <v>69.098678630926074</v>
      </c>
      <c r="Y133">
        <f t="shared" si="46"/>
        <v>2.4422950894464002</v>
      </c>
      <c r="Z133">
        <f t="shared" si="47"/>
        <v>3.5345033187846187</v>
      </c>
      <c r="AA133">
        <f t="shared" si="48"/>
        <v>1.4223826581255903</v>
      </c>
      <c r="AB133">
        <f t="shared" si="49"/>
        <v>-83.98037790452247</v>
      </c>
      <c r="AC133">
        <f t="shared" si="50"/>
        <v>-174.40737811041652</v>
      </c>
      <c r="AD133">
        <f t="shared" si="51"/>
        <v>-17.861809652563871</v>
      </c>
      <c r="AE133">
        <f t="shared" si="52"/>
        <v>-0.13587486097389956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52622.454019845121</v>
      </c>
      <c r="AK133">
        <f t="shared" si="56"/>
        <v>1799.99</v>
      </c>
      <c r="AL133">
        <f t="shared" si="57"/>
        <v>1499.1045805949502</v>
      </c>
      <c r="AM133">
        <f t="shared" si="58"/>
        <v>0.83284050500000006</v>
      </c>
      <c r="AN133">
        <f t="shared" si="59"/>
        <v>0.15339734709999997</v>
      </c>
      <c r="AO133">
        <v>32.700000000000003</v>
      </c>
      <c r="AP133">
        <v>0.5</v>
      </c>
      <c r="AQ133" t="s">
        <v>331</v>
      </c>
      <c r="AR133">
        <v>2</v>
      </c>
      <c r="AS133">
        <v>1690302199.5999999</v>
      </c>
      <c r="AT133">
        <v>487.55500000000001</v>
      </c>
      <c r="AU133">
        <v>800.07600000000002</v>
      </c>
      <c r="AV133">
        <v>24.566400000000002</v>
      </c>
      <c r="AW133">
        <v>4.3345799999999999</v>
      </c>
      <c r="AX133">
        <v>487.65</v>
      </c>
      <c r="AY133">
        <v>24.2849</v>
      </c>
      <c r="AZ133">
        <v>300.22699999999998</v>
      </c>
      <c r="BA133">
        <v>99.316000000000003</v>
      </c>
      <c r="BB133">
        <v>0.100076</v>
      </c>
      <c r="BC133">
        <v>26.7864</v>
      </c>
      <c r="BD133">
        <v>26.994299999999999</v>
      </c>
      <c r="BE133">
        <v>28.227900000000002</v>
      </c>
      <c r="BF133">
        <v>0</v>
      </c>
      <c r="BG133">
        <v>0</v>
      </c>
      <c r="BH133">
        <v>10013.799999999999</v>
      </c>
      <c r="BI133">
        <v>1078.8599999999999</v>
      </c>
      <c r="BJ133">
        <v>1.90625</v>
      </c>
      <c r="BK133">
        <v>-312.52100000000002</v>
      </c>
      <c r="BL133">
        <v>499.834</v>
      </c>
      <c r="BM133">
        <v>803.55899999999997</v>
      </c>
      <c r="BN133">
        <v>20.2319</v>
      </c>
      <c r="BO133">
        <v>800.07600000000002</v>
      </c>
      <c r="BP133">
        <v>4.3345799999999999</v>
      </c>
      <c r="BQ133">
        <v>2.4398399999999998</v>
      </c>
      <c r="BR133">
        <v>0.43049300000000001</v>
      </c>
      <c r="BS133">
        <v>20.630700000000001</v>
      </c>
      <c r="BT133">
        <v>-4.7838099999999999</v>
      </c>
      <c r="BU133">
        <v>1799.99</v>
      </c>
      <c r="BV133">
        <v>0.91000499999999995</v>
      </c>
      <c r="BW133">
        <v>3.39992E-2</v>
      </c>
      <c r="BX133">
        <v>2.1999500000000002E-2</v>
      </c>
      <c r="BY133">
        <v>3.3996400000000003E-2</v>
      </c>
      <c r="BZ133">
        <v>25.666699999999999</v>
      </c>
      <c r="CA133">
        <v>33528.300000000003</v>
      </c>
      <c r="CB133">
        <v>1690300477.5</v>
      </c>
      <c r="CC133" t="s">
        <v>332</v>
      </c>
      <c r="CD133">
        <v>1690300477.5</v>
      </c>
      <c r="CE133">
        <v>1690300465.5</v>
      </c>
      <c r="CF133">
        <v>7</v>
      </c>
      <c r="CG133">
        <v>5.0999999999999997E-2</v>
      </c>
      <c r="CH133">
        <v>-8.0000000000000002E-3</v>
      </c>
      <c r="CI133">
        <v>-0.316</v>
      </c>
      <c r="CJ133">
        <v>0.28199999999999997</v>
      </c>
      <c r="CK133">
        <v>800</v>
      </c>
      <c r="CL133">
        <v>24</v>
      </c>
      <c r="CM133">
        <v>0.25</v>
      </c>
      <c r="CN133">
        <v>0.13</v>
      </c>
      <c r="CO133">
        <v>-309.62392499999999</v>
      </c>
      <c r="CP133">
        <v>-16.27734709193253</v>
      </c>
      <c r="CQ133">
        <v>1.5667087059740881</v>
      </c>
      <c r="CR133">
        <v>-1</v>
      </c>
      <c r="CS133">
        <v>19.933992499999999</v>
      </c>
      <c r="CT133">
        <v>1.5775215759849339</v>
      </c>
      <c r="CU133">
        <v>0.15179382956414919</v>
      </c>
      <c r="CV133">
        <v>-1</v>
      </c>
      <c r="CW133">
        <v>0</v>
      </c>
      <c r="CX133">
        <v>0</v>
      </c>
      <c r="CY133" t="s">
        <v>333</v>
      </c>
      <c r="CZ133">
        <v>2.36483</v>
      </c>
      <c r="DA133">
        <v>2.7138800000000001</v>
      </c>
      <c r="DB133">
        <v>0.104071</v>
      </c>
      <c r="DC133">
        <v>0.146451</v>
      </c>
      <c r="DD133">
        <v>0.115789</v>
      </c>
      <c r="DE133">
        <v>3.0188400000000001E-2</v>
      </c>
      <c r="DF133">
        <v>32731.4</v>
      </c>
      <c r="DG133">
        <v>27531.3</v>
      </c>
      <c r="DH133">
        <v>31188.2</v>
      </c>
      <c r="DI133">
        <v>28105.599999999999</v>
      </c>
      <c r="DJ133">
        <v>37436.800000000003</v>
      </c>
      <c r="DK133">
        <v>38767</v>
      </c>
      <c r="DL133">
        <v>44387</v>
      </c>
      <c r="DM133">
        <v>42602.400000000001</v>
      </c>
      <c r="DN133">
        <v>1.48255</v>
      </c>
      <c r="DO133">
        <v>2.0400999999999998</v>
      </c>
      <c r="DP133">
        <v>9.3471299999999993E-2</v>
      </c>
      <c r="DQ133">
        <v>0.17993200000000001</v>
      </c>
      <c r="DR133">
        <v>25.463799999999999</v>
      </c>
      <c r="DS133">
        <v>25.284099999999999</v>
      </c>
      <c r="DT133">
        <v>48.7</v>
      </c>
      <c r="DU133">
        <v>28.9</v>
      </c>
      <c r="DV133">
        <v>19.6084</v>
      </c>
      <c r="DW133">
        <v>61.621099999999998</v>
      </c>
      <c r="DX133">
        <v>36.887</v>
      </c>
      <c r="DY133">
        <v>1</v>
      </c>
      <c r="DZ133">
        <v>-0.105325</v>
      </c>
      <c r="EA133">
        <v>-0.41974899999999998</v>
      </c>
      <c r="EB133">
        <v>20.1891</v>
      </c>
      <c r="EC133">
        <v>5.2411000000000003</v>
      </c>
      <c r="ED133">
        <v>12.039899999999999</v>
      </c>
      <c r="EE133">
        <v>5.0174500000000002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</v>
      </c>
      <c r="EL133">
        <v>1.8646199999999999</v>
      </c>
      <c r="EM133">
        <v>1.8691800000000001</v>
      </c>
      <c r="EN133">
        <v>1.8672299999999999</v>
      </c>
      <c r="EO133">
        <v>1.8633900000000001</v>
      </c>
      <c r="EP133">
        <v>1.8644700000000001</v>
      </c>
      <c r="EQ133">
        <v>1.8701399999999999</v>
      </c>
      <c r="ER133">
        <v>1.8694200000000001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-9.5000000000000001E-2</v>
      </c>
      <c r="FG133">
        <v>0.28149999999999997</v>
      </c>
      <c r="FH133">
        <v>0.23539598422606861</v>
      </c>
      <c r="FI133">
        <v>-6.1462078757559423E-4</v>
      </c>
      <c r="FJ133">
        <v>-1.8861989874597051E-7</v>
      </c>
      <c r="FK133">
        <v>1.1980462299894961E-10</v>
      </c>
      <c r="FL133">
        <v>0.28151999999999688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28.7</v>
      </c>
      <c r="FU133">
        <v>28.9</v>
      </c>
      <c r="FV133">
        <v>1.7712399999999999</v>
      </c>
      <c r="FW133">
        <v>2.5866699999999998</v>
      </c>
      <c r="FX133">
        <v>1.5490699999999999</v>
      </c>
      <c r="FY133">
        <v>2.3290999999999999</v>
      </c>
      <c r="FZ133">
        <v>1.50146</v>
      </c>
      <c r="GA133">
        <v>2.3889200000000002</v>
      </c>
      <c r="GB133">
        <v>33.602899999999998</v>
      </c>
      <c r="GC133">
        <v>23.991199999999999</v>
      </c>
      <c r="GD133">
        <v>19</v>
      </c>
      <c r="GE133">
        <v>285.012</v>
      </c>
      <c r="GF133">
        <v>584.673</v>
      </c>
      <c r="GG133">
        <v>25.372399999999999</v>
      </c>
      <c r="GH133">
        <v>26.087800000000001</v>
      </c>
      <c r="GI133">
        <v>30</v>
      </c>
      <c r="GJ133">
        <v>26.220199999999998</v>
      </c>
      <c r="GK133">
        <v>26.200099999999999</v>
      </c>
      <c r="GL133">
        <v>35.426299999999998</v>
      </c>
      <c r="GM133">
        <v>74.964799999999997</v>
      </c>
      <c r="GN133">
        <v>64.754900000000006</v>
      </c>
      <c r="GO133">
        <v>25.383800000000001</v>
      </c>
      <c r="GP133">
        <v>800</v>
      </c>
      <c r="GQ133">
        <v>4.1353900000000001</v>
      </c>
      <c r="GR133">
        <v>99.793199999999999</v>
      </c>
      <c r="GS133">
        <v>99.658100000000005</v>
      </c>
    </row>
    <row r="134" spans="1:201" x14ac:dyDescent="0.25">
      <c r="A134">
        <v>118</v>
      </c>
      <c r="B134">
        <v>1690302209.5999999</v>
      </c>
      <c r="C134">
        <v>1305.599999904633</v>
      </c>
      <c r="D134" t="s">
        <v>567</v>
      </c>
      <c r="E134" t="s">
        <v>568</v>
      </c>
      <c r="F134" t="s">
        <v>330</v>
      </c>
      <c r="H134">
        <v>1690302209.5999999</v>
      </c>
      <c r="I134">
        <f t="shared" si="30"/>
        <v>1.9294528581714908E-3</v>
      </c>
      <c r="J134">
        <f t="shared" si="31"/>
        <v>1.9294528581714907</v>
      </c>
      <c r="K134">
        <f t="shared" si="32"/>
        <v>27.996095848084497</v>
      </c>
      <c r="L134">
        <f t="shared" si="33"/>
        <v>484.86599999999999</v>
      </c>
      <c r="M134">
        <f t="shared" si="34"/>
        <v>136.17807853549502</v>
      </c>
      <c r="N134">
        <f t="shared" si="35"/>
        <v>13.538493723357112</v>
      </c>
      <c r="O134">
        <f t="shared" si="36"/>
        <v>48.204199738052992</v>
      </c>
      <c r="P134">
        <f t="shared" si="37"/>
        <v>0.13518799008833909</v>
      </c>
      <c r="Q134">
        <f t="shared" si="38"/>
        <v>2.1177321479912137</v>
      </c>
      <c r="R134">
        <f t="shared" si="39"/>
        <v>0.1305701524307688</v>
      </c>
      <c r="S134">
        <f t="shared" si="40"/>
        <v>8.2008098715245517E-2</v>
      </c>
      <c r="T134">
        <f t="shared" si="41"/>
        <v>276.11495150400003</v>
      </c>
      <c r="U134">
        <f t="shared" si="42"/>
        <v>28.311408656883625</v>
      </c>
      <c r="V134">
        <f t="shared" si="43"/>
        <v>28.311408656883625</v>
      </c>
      <c r="W134">
        <f t="shared" si="44"/>
        <v>3.8642794141219903</v>
      </c>
      <c r="X134">
        <f t="shared" si="45"/>
        <v>69.05808714200306</v>
      </c>
      <c r="Y134">
        <f t="shared" si="46"/>
        <v>2.4417651237793496</v>
      </c>
      <c r="Z134">
        <f t="shared" si="47"/>
        <v>3.5358134359533975</v>
      </c>
      <c r="AA134">
        <f t="shared" si="48"/>
        <v>1.4225142903426407</v>
      </c>
      <c r="AB134">
        <f t="shared" si="49"/>
        <v>-85.088871045362751</v>
      </c>
      <c r="AC134">
        <f t="shared" si="50"/>
        <v>-173.39275269335246</v>
      </c>
      <c r="AD134">
        <f t="shared" si="51"/>
        <v>-17.767772887985352</v>
      </c>
      <c r="AE134">
        <f t="shared" si="52"/>
        <v>-0.13444512270052655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52571.804187884904</v>
      </c>
      <c r="AK134">
        <f t="shared" si="56"/>
        <v>1800</v>
      </c>
      <c r="AL134">
        <f t="shared" si="57"/>
        <v>1499.1123834</v>
      </c>
      <c r="AM134">
        <f t="shared" si="58"/>
        <v>0.832840213</v>
      </c>
      <c r="AN134">
        <f t="shared" si="59"/>
        <v>0.15339719528000001</v>
      </c>
      <c r="AO134">
        <v>32.700000000000003</v>
      </c>
      <c r="AP134">
        <v>0.5</v>
      </c>
      <c r="AQ134" t="s">
        <v>331</v>
      </c>
      <c r="AR134">
        <v>2</v>
      </c>
      <c r="AS134">
        <v>1690302209.5999999</v>
      </c>
      <c r="AT134">
        <v>484.86599999999999</v>
      </c>
      <c r="AU134">
        <v>800.12400000000002</v>
      </c>
      <c r="AV134">
        <v>24.560700000000001</v>
      </c>
      <c r="AW134">
        <v>4.0524899999999997</v>
      </c>
      <c r="AX134">
        <v>484.959</v>
      </c>
      <c r="AY134">
        <v>24.279199999999999</v>
      </c>
      <c r="AZ134">
        <v>300.09199999999998</v>
      </c>
      <c r="BA134">
        <v>99.317599999999999</v>
      </c>
      <c r="BB134">
        <v>9.9970500000000004E-2</v>
      </c>
      <c r="BC134">
        <v>26.7927</v>
      </c>
      <c r="BD134">
        <v>26.988800000000001</v>
      </c>
      <c r="BE134">
        <v>28.242699999999999</v>
      </c>
      <c r="BF134">
        <v>0</v>
      </c>
      <c r="BG134">
        <v>0</v>
      </c>
      <c r="BH134">
        <v>10003.799999999999</v>
      </c>
      <c r="BI134">
        <v>1078.94</v>
      </c>
      <c r="BJ134">
        <v>1.91326</v>
      </c>
      <c r="BK134">
        <v>-315.25799999999998</v>
      </c>
      <c r="BL134">
        <v>497.07499999999999</v>
      </c>
      <c r="BM134">
        <v>803.38</v>
      </c>
      <c r="BN134">
        <v>20.508299999999998</v>
      </c>
      <c r="BO134">
        <v>800.12400000000002</v>
      </c>
      <c r="BP134">
        <v>4.0524899999999997</v>
      </c>
      <c r="BQ134">
        <v>2.4393099999999999</v>
      </c>
      <c r="BR134">
        <v>0.40248299999999998</v>
      </c>
      <c r="BS134">
        <v>20.627099999999999</v>
      </c>
      <c r="BT134">
        <v>-5.6703700000000001</v>
      </c>
      <c r="BU134">
        <v>1800</v>
      </c>
      <c r="BV134">
        <v>0.91000700000000001</v>
      </c>
      <c r="BW134">
        <v>3.3998199999999999E-2</v>
      </c>
      <c r="BX134">
        <v>2.1998899999999998E-2</v>
      </c>
      <c r="BY134">
        <v>3.3995400000000002E-2</v>
      </c>
      <c r="BZ134">
        <v>25.666699999999999</v>
      </c>
      <c r="CA134">
        <v>33528.400000000001</v>
      </c>
      <c r="CB134">
        <v>1690300477.5</v>
      </c>
      <c r="CC134" t="s">
        <v>332</v>
      </c>
      <c r="CD134">
        <v>1690300477.5</v>
      </c>
      <c r="CE134">
        <v>1690300465.5</v>
      </c>
      <c r="CF134">
        <v>7</v>
      </c>
      <c r="CG134">
        <v>5.0999999999999997E-2</v>
      </c>
      <c r="CH134">
        <v>-8.0000000000000002E-3</v>
      </c>
      <c r="CI134">
        <v>-0.316</v>
      </c>
      <c r="CJ134">
        <v>0.28199999999999997</v>
      </c>
      <c r="CK134">
        <v>800</v>
      </c>
      <c r="CL134">
        <v>24</v>
      </c>
      <c r="CM134">
        <v>0.25</v>
      </c>
      <c r="CN134">
        <v>0.13</v>
      </c>
      <c r="CO134">
        <v>-312.3445609756098</v>
      </c>
      <c r="CP134">
        <v>-15.79812543554026</v>
      </c>
      <c r="CQ134">
        <v>1.5591008204196359</v>
      </c>
      <c r="CR134">
        <v>-1</v>
      </c>
      <c r="CS134">
        <v>20.209758536585369</v>
      </c>
      <c r="CT134">
        <v>1.6703749128919689</v>
      </c>
      <c r="CU134">
        <v>0.16481670673014501</v>
      </c>
      <c r="CV134">
        <v>-1</v>
      </c>
      <c r="CW134">
        <v>0</v>
      </c>
      <c r="CX134">
        <v>0</v>
      </c>
      <c r="CY134" t="s">
        <v>333</v>
      </c>
      <c r="CZ134">
        <v>2.3643800000000001</v>
      </c>
      <c r="DA134">
        <v>2.7137600000000002</v>
      </c>
      <c r="DB134">
        <v>0.10365099999999999</v>
      </c>
      <c r="DC134">
        <v>0.146455</v>
      </c>
      <c r="DD134">
        <v>0.115772</v>
      </c>
      <c r="DE134">
        <v>2.8512300000000001E-2</v>
      </c>
      <c r="DF134">
        <v>32746.9</v>
      </c>
      <c r="DG134">
        <v>27531.4</v>
      </c>
      <c r="DH134">
        <v>31188.3</v>
      </c>
      <c r="DI134">
        <v>28105.8</v>
      </c>
      <c r="DJ134">
        <v>37437.800000000003</v>
      </c>
      <c r="DK134">
        <v>38834.5</v>
      </c>
      <c r="DL134">
        <v>44387.4</v>
      </c>
      <c r="DM134">
        <v>42602.7</v>
      </c>
      <c r="DN134">
        <v>1.4823999999999999</v>
      </c>
      <c r="DO134">
        <v>2.0399699999999998</v>
      </c>
      <c r="DP134">
        <v>9.3132300000000001E-2</v>
      </c>
      <c r="DQ134">
        <v>0.180755</v>
      </c>
      <c r="DR134">
        <v>25.463799999999999</v>
      </c>
      <c r="DS134">
        <v>25.285499999999999</v>
      </c>
      <c r="DT134">
        <v>48.3</v>
      </c>
      <c r="DU134">
        <v>28.8</v>
      </c>
      <c r="DV134">
        <v>19.3367</v>
      </c>
      <c r="DW134">
        <v>61.6111</v>
      </c>
      <c r="DX134">
        <v>37.1554</v>
      </c>
      <c r="DY134">
        <v>1</v>
      </c>
      <c r="DZ134">
        <v>-0.105531</v>
      </c>
      <c r="EA134">
        <v>-0.37987199999999999</v>
      </c>
      <c r="EB134">
        <v>20.189399999999999</v>
      </c>
      <c r="EC134">
        <v>5.24125</v>
      </c>
      <c r="ED134">
        <v>12.039899999999999</v>
      </c>
      <c r="EE134">
        <v>5.0174500000000002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</v>
      </c>
      <c r="EL134">
        <v>1.8646199999999999</v>
      </c>
      <c r="EM134">
        <v>1.8691899999999999</v>
      </c>
      <c r="EN134">
        <v>1.86724</v>
      </c>
      <c r="EO134">
        <v>1.8633900000000001</v>
      </c>
      <c r="EP134">
        <v>1.8644700000000001</v>
      </c>
      <c r="EQ134">
        <v>1.87015</v>
      </c>
      <c r="ER134">
        <v>1.8693900000000001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-9.2999999999999999E-2</v>
      </c>
      <c r="FG134">
        <v>0.28149999999999997</v>
      </c>
      <c r="FH134">
        <v>0.23539598422606861</v>
      </c>
      <c r="FI134">
        <v>-6.1462078757559423E-4</v>
      </c>
      <c r="FJ134">
        <v>-1.8861989874597051E-7</v>
      </c>
      <c r="FK134">
        <v>1.1980462299894961E-10</v>
      </c>
      <c r="FL134">
        <v>0.28151999999999688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28.9</v>
      </c>
      <c r="FU134">
        <v>29.1</v>
      </c>
      <c r="FV134">
        <v>1.7712399999999999</v>
      </c>
      <c r="FW134">
        <v>2.5866699999999998</v>
      </c>
      <c r="FX134">
        <v>1.5490699999999999</v>
      </c>
      <c r="FY134">
        <v>2.3278799999999999</v>
      </c>
      <c r="FZ134">
        <v>1.50146</v>
      </c>
      <c r="GA134">
        <v>2.31812</v>
      </c>
      <c r="GB134">
        <v>33.602899999999998</v>
      </c>
      <c r="GC134">
        <v>23.982399999999998</v>
      </c>
      <c r="GD134">
        <v>19</v>
      </c>
      <c r="GE134">
        <v>284.93799999999999</v>
      </c>
      <c r="GF134">
        <v>584.53200000000004</v>
      </c>
      <c r="GG134">
        <v>25.397300000000001</v>
      </c>
      <c r="GH134">
        <v>26.085599999999999</v>
      </c>
      <c r="GI134">
        <v>29.9999</v>
      </c>
      <c r="GJ134">
        <v>26.218</v>
      </c>
      <c r="GK134">
        <v>26.1968</v>
      </c>
      <c r="GL134">
        <v>35.419699999999999</v>
      </c>
      <c r="GM134">
        <v>75.838399999999993</v>
      </c>
      <c r="GN134">
        <v>63.564799999999998</v>
      </c>
      <c r="GO134">
        <v>25.3993</v>
      </c>
      <c r="GP134">
        <v>800</v>
      </c>
      <c r="GQ134">
        <v>3.8717100000000002</v>
      </c>
      <c r="GR134">
        <v>99.793899999999994</v>
      </c>
      <c r="GS134">
        <v>99.658799999999999</v>
      </c>
    </row>
    <row r="135" spans="1:201" x14ac:dyDescent="0.25">
      <c r="A135">
        <v>119</v>
      </c>
      <c r="B135">
        <v>1690302219.5999999</v>
      </c>
      <c r="C135">
        <v>1315.599999904633</v>
      </c>
      <c r="D135" t="s">
        <v>569</v>
      </c>
      <c r="E135" t="s">
        <v>570</v>
      </c>
      <c r="F135" t="s">
        <v>330</v>
      </c>
      <c r="H135">
        <v>1690302219.5999999</v>
      </c>
      <c r="I135">
        <f t="shared" si="30"/>
        <v>1.9553205151556785E-3</v>
      </c>
      <c r="J135">
        <f t="shared" si="31"/>
        <v>1.9553205151556785</v>
      </c>
      <c r="K135">
        <f t="shared" si="32"/>
        <v>28.230293757905812</v>
      </c>
      <c r="L135">
        <f t="shared" si="33"/>
        <v>482.26600000000002</v>
      </c>
      <c r="M135">
        <f t="shared" si="34"/>
        <v>135.55419083743752</v>
      </c>
      <c r="N135">
        <f t="shared" si="35"/>
        <v>13.476482774228144</v>
      </c>
      <c r="O135">
        <f t="shared" si="36"/>
        <v>47.945765464308607</v>
      </c>
      <c r="P135">
        <f t="shared" si="37"/>
        <v>0.13715385868176502</v>
      </c>
      <c r="Q135">
        <f t="shared" si="38"/>
        <v>2.1176528714978393</v>
      </c>
      <c r="R135">
        <f t="shared" si="39"/>
        <v>0.13240310968911145</v>
      </c>
      <c r="S135">
        <f t="shared" si="40"/>
        <v>8.3165070363372617E-2</v>
      </c>
      <c r="T135">
        <f t="shared" si="41"/>
        <v>276.11519468400007</v>
      </c>
      <c r="U135">
        <f t="shared" si="42"/>
        <v>28.306686513766046</v>
      </c>
      <c r="V135">
        <f t="shared" si="43"/>
        <v>28.306686513766046</v>
      </c>
      <c r="W135">
        <f t="shared" si="44"/>
        <v>3.8632182231171739</v>
      </c>
      <c r="X135">
        <f t="shared" si="45"/>
        <v>69.035355105357183</v>
      </c>
      <c r="Y135">
        <f t="shared" si="46"/>
        <v>2.4415788483634802</v>
      </c>
      <c r="Z135">
        <f t="shared" si="47"/>
        <v>3.5367078863247738</v>
      </c>
      <c r="AA135">
        <f t="shared" si="48"/>
        <v>1.4216393747536937</v>
      </c>
      <c r="AB135">
        <f t="shared" si="49"/>
        <v>-86.229634718365418</v>
      </c>
      <c r="AC135">
        <f t="shared" si="50"/>
        <v>-172.35623167634176</v>
      </c>
      <c r="AD135">
        <f t="shared" si="51"/>
        <v>-17.662181910709261</v>
      </c>
      <c r="AE135">
        <f t="shared" si="52"/>
        <v>-0.13285362141635915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52567.57515535612</v>
      </c>
      <c r="AK135">
        <f t="shared" si="56"/>
        <v>1800</v>
      </c>
      <c r="AL135">
        <f t="shared" si="57"/>
        <v>1499.1137693999999</v>
      </c>
      <c r="AM135">
        <f t="shared" si="58"/>
        <v>0.83284098299999998</v>
      </c>
      <c r="AN135">
        <f t="shared" si="59"/>
        <v>0.15339733038000003</v>
      </c>
      <c r="AO135">
        <v>32.700000000000003</v>
      </c>
      <c r="AP135">
        <v>0.5</v>
      </c>
      <c r="AQ135" t="s">
        <v>331</v>
      </c>
      <c r="AR135">
        <v>2</v>
      </c>
      <c r="AS135">
        <v>1690302219.5999999</v>
      </c>
      <c r="AT135">
        <v>482.26600000000002</v>
      </c>
      <c r="AU135">
        <v>800.04499999999996</v>
      </c>
      <c r="AV135">
        <v>24.558800000000002</v>
      </c>
      <c r="AW135">
        <v>3.78294</v>
      </c>
      <c r="AX135">
        <v>482.358</v>
      </c>
      <c r="AY135">
        <v>24.277200000000001</v>
      </c>
      <c r="AZ135">
        <v>300.19799999999998</v>
      </c>
      <c r="BA135">
        <v>99.317700000000002</v>
      </c>
      <c r="BB135">
        <v>9.9977099999999999E-2</v>
      </c>
      <c r="BC135">
        <v>26.797000000000001</v>
      </c>
      <c r="BD135">
        <v>27.003699999999998</v>
      </c>
      <c r="BE135">
        <v>28.222999999999999</v>
      </c>
      <c r="BF135">
        <v>0</v>
      </c>
      <c r="BG135">
        <v>0</v>
      </c>
      <c r="BH135">
        <v>10003.1</v>
      </c>
      <c r="BI135">
        <v>1079.0899999999999</v>
      </c>
      <c r="BJ135">
        <v>1.90625</v>
      </c>
      <c r="BK135">
        <v>-317.779</v>
      </c>
      <c r="BL135">
        <v>494.40800000000002</v>
      </c>
      <c r="BM135">
        <v>803.08299999999997</v>
      </c>
      <c r="BN135">
        <v>20.7758</v>
      </c>
      <c r="BO135">
        <v>800.04499999999996</v>
      </c>
      <c r="BP135">
        <v>3.78294</v>
      </c>
      <c r="BQ135">
        <v>2.43912</v>
      </c>
      <c r="BR135">
        <v>0.37571300000000002</v>
      </c>
      <c r="BS135">
        <v>20.625900000000001</v>
      </c>
      <c r="BT135">
        <v>-6.5704599999999997</v>
      </c>
      <c r="BU135">
        <v>1800</v>
      </c>
      <c r="BV135">
        <v>0.91000800000000004</v>
      </c>
      <c r="BW135">
        <v>3.3998100000000003E-2</v>
      </c>
      <c r="BX135">
        <v>2.1998899999999998E-2</v>
      </c>
      <c r="BY135">
        <v>3.3995400000000002E-2</v>
      </c>
      <c r="BZ135">
        <v>25.666699999999999</v>
      </c>
      <c r="CA135">
        <v>33528.400000000001</v>
      </c>
      <c r="CB135">
        <v>1690300477.5</v>
      </c>
      <c r="CC135" t="s">
        <v>332</v>
      </c>
      <c r="CD135">
        <v>1690300477.5</v>
      </c>
      <c r="CE135">
        <v>1690300465.5</v>
      </c>
      <c r="CF135">
        <v>7</v>
      </c>
      <c r="CG135">
        <v>5.0999999999999997E-2</v>
      </c>
      <c r="CH135">
        <v>-8.0000000000000002E-3</v>
      </c>
      <c r="CI135">
        <v>-0.316</v>
      </c>
      <c r="CJ135">
        <v>0.28199999999999997</v>
      </c>
      <c r="CK135">
        <v>800</v>
      </c>
      <c r="CL135">
        <v>24</v>
      </c>
      <c r="CM135">
        <v>0.25</v>
      </c>
      <c r="CN135">
        <v>0.13</v>
      </c>
      <c r="CO135">
        <v>-314.97019512195118</v>
      </c>
      <c r="CP135">
        <v>-16.134355400697071</v>
      </c>
      <c r="CQ135">
        <v>1.591914512650086</v>
      </c>
      <c r="CR135">
        <v>-1</v>
      </c>
      <c r="CS135">
        <v>20.481131707317068</v>
      </c>
      <c r="CT135">
        <v>1.609967247386817</v>
      </c>
      <c r="CU135">
        <v>0.15893947066763961</v>
      </c>
      <c r="CV135">
        <v>-1</v>
      </c>
      <c r="CW135">
        <v>0</v>
      </c>
      <c r="CX135">
        <v>0</v>
      </c>
      <c r="CY135" t="s">
        <v>333</v>
      </c>
      <c r="CZ135">
        <v>2.3647399999999998</v>
      </c>
      <c r="DA135">
        <v>2.7137699999999998</v>
      </c>
      <c r="DB135">
        <v>0.103242</v>
      </c>
      <c r="DC135">
        <v>0.14644099999999999</v>
      </c>
      <c r="DD135">
        <v>0.11576599999999999</v>
      </c>
      <c r="DE135">
        <v>2.68831E-2</v>
      </c>
      <c r="DF135">
        <v>32761.9</v>
      </c>
      <c r="DG135">
        <v>27531.5</v>
      </c>
      <c r="DH135">
        <v>31188.3</v>
      </c>
      <c r="DI135">
        <v>28105.5</v>
      </c>
      <c r="DJ135">
        <v>37438</v>
      </c>
      <c r="DK135">
        <v>38899.4</v>
      </c>
      <c r="DL135">
        <v>44387.4</v>
      </c>
      <c r="DM135">
        <v>42602.3</v>
      </c>
      <c r="DN135">
        <v>1.48258</v>
      </c>
      <c r="DO135">
        <v>2.0393699999999999</v>
      </c>
      <c r="DP135">
        <v>9.3948100000000007E-2</v>
      </c>
      <c r="DQ135">
        <v>0.179369</v>
      </c>
      <c r="DR135">
        <v>25.465399999999999</v>
      </c>
      <c r="DS135">
        <v>25.288399999999999</v>
      </c>
      <c r="DT135">
        <v>47.8</v>
      </c>
      <c r="DU135">
        <v>28.8</v>
      </c>
      <c r="DV135">
        <v>19.136299999999999</v>
      </c>
      <c r="DW135">
        <v>61.601100000000002</v>
      </c>
      <c r="DX135">
        <v>36.173900000000003</v>
      </c>
      <c r="DY135">
        <v>1</v>
      </c>
      <c r="DZ135">
        <v>-0.105277</v>
      </c>
      <c r="EA135">
        <v>-0.38218099999999999</v>
      </c>
      <c r="EB135">
        <v>20.1892</v>
      </c>
      <c r="EC135">
        <v>5.2411000000000003</v>
      </c>
      <c r="ED135">
        <v>12.039899999999999</v>
      </c>
      <c r="EE135">
        <v>5.0168999999999997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</v>
      </c>
      <c r="EL135">
        <v>1.8646199999999999</v>
      </c>
      <c r="EM135">
        <v>1.86917</v>
      </c>
      <c r="EN135">
        <v>1.8672200000000001</v>
      </c>
      <c r="EO135">
        <v>1.8633900000000001</v>
      </c>
      <c r="EP135">
        <v>1.8644700000000001</v>
      </c>
      <c r="EQ135">
        <v>1.87015</v>
      </c>
      <c r="ER135">
        <v>1.8693900000000001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-9.1999999999999998E-2</v>
      </c>
      <c r="FG135">
        <v>0.28160000000000002</v>
      </c>
      <c r="FH135">
        <v>0.23539598422606861</v>
      </c>
      <c r="FI135">
        <v>-6.1462078757559423E-4</v>
      </c>
      <c r="FJ135">
        <v>-1.8861989874597051E-7</v>
      </c>
      <c r="FK135">
        <v>1.1980462299894961E-10</v>
      </c>
      <c r="FL135">
        <v>0.28151999999999688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</v>
      </c>
      <c r="FU135">
        <v>29.2</v>
      </c>
      <c r="FV135">
        <v>1.7712399999999999</v>
      </c>
      <c r="FW135">
        <v>2.5915499999999998</v>
      </c>
      <c r="FX135">
        <v>1.5490699999999999</v>
      </c>
      <c r="FY135">
        <v>2.3278799999999999</v>
      </c>
      <c r="FZ135">
        <v>1.50146</v>
      </c>
      <c r="GA135">
        <v>2.3071299999999999</v>
      </c>
      <c r="GB135">
        <v>33.602899999999998</v>
      </c>
      <c r="GC135">
        <v>23.982399999999998</v>
      </c>
      <c r="GD135">
        <v>19</v>
      </c>
      <c r="GE135">
        <v>285.00299999999999</v>
      </c>
      <c r="GF135">
        <v>584.00599999999997</v>
      </c>
      <c r="GG135">
        <v>25.413</v>
      </c>
      <c r="GH135">
        <v>26.083400000000001</v>
      </c>
      <c r="GI135">
        <v>30.000399999999999</v>
      </c>
      <c r="GJ135">
        <v>26.215900000000001</v>
      </c>
      <c r="GK135">
        <v>26.194199999999999</v>
      </c>
      <c r="GL135">
        <v>35.412599999999998</v>
      </c>
      <c r="GM135">
        <v>77.047200000000004</v>
      </c>
      <c r="GN135">
        <v>62.767699999999998</v>
      </c>
      <c r="GO135">
        <v>25.418199999999999</v>
      </c>
      <c r="GP135">
        <v>800</v>
      </c>
      <c r="GQ135">
        <v>3.6055700000000002</v>
      </c>
      <c r="GR135">
        <v>99.793899999999994</v>
      </c>
      <c r="GS135">
        <v>99.657799999999995</v>
      </c>
    </row>
    <row r="136" spans="1:201" x14ac:dyDescent="0.25">
      <c r="A136">
        <v>120</v>
      </c>
      <c r="B136">
        <v>1690302229.5999999</v>
      </c>
      <c r="C136">
        <v>1325.599999904633</v>
      </c>
      <c r="D136" t="s">
        <v>571</v>
      </c>
      <c r="E136" t="s">
        <v>572</v>
      </c>
      <c r="F136" t="s">
        <v>330</v>
      </c>
      <c r="H136">
        <v>1690302229.5999999</v>
      </c>
      <c r="I136">
        <f t="shared" si="30"/>
        <v>1.9793996743668629E-3</v>
      </c>
      <c r="J136">
        <f t="shared" si="31"/>
        <v>1.9793996743668629</v>
      </c>
      <c r="K136">
        <f t="shared" si="32"/>
        <v>28.474546633739308</v>
      </c>
      <c r="L136">
        <f t="shared" si="33"/>
        <v>479.62599999999998</v>
      </c>
      <c r="M136">
        <f t="shared" si="34"/>
        <v>134.69162928922231</v>
      </c>
      <c r="N136">
        <f t="shared" si="35"/>
        <v>13.390266202594708</v>
      </c>
      <c r="O136">
        <f t="shared" si="36"/>
        <v>47.6816551375668</v>
      </c>
      <c r="P136">
        <f t="shared" si="37"/>
        <v>0.13909568926622812</v>
      </c>
      <c r="Q136">
        <f t="shared" si="38"/>
        <v>2.1228536301425511</v>
      </c>
      <c r="R136">
        <f t="shared" si="39"/>
        <v>0.1342235557866833</v>
      </c>
      <c r="S136">
        <f t="shared" si="40"/>
        <v>8.4313246695299715E-2</v>
      </c>
      <c r="T136">
        <f t="shared" si="41"/>
        <v>276.11489093400002</v>
      </c>
      <c r="U136">
        <f t="shared" si="42"/>
        <v>28.295501590713389</v>
      </c>
      <c r="V136">
        <f t="shared" si="43"/>
        <v>28.295501590713389</v>
      </c>
      <c r="W136">
        <f t="shared" si="44"/>
        <v>3.860705687863379</v>
      </c>
      <c r="X136">
        <f t="shared" si="45"/>
        <v>69.019571090370775</v>
      </c>
      <c r="Y136">
        <f t="shared" si="46"/>
        <v>2.44110676597482</v>
      </c>
      <c r="Z136">
        <f t="shared" si="47"/>
        <v>3.5368327090566196</v>
      </c>
      <c r="AA136">
        <f t="shared" si="48"/>
        <v>1.419598921888559</v>
      </c>
      <c r="AB136">
        <f t="shared" si="49"/>
        <v>-87.291525639578651</v>
      </c>
      <c r="AC136">
        <f t="shared" si="50"/>
        <v>-171.43077011688905</v>
      </c>
      <c r="AD136">
        <f t="shared" si="51"/>
        <v>-17.523379827367052</v>
      </c>
      <c r="AE136">
        <f t="shared" si="52"/>
        <v>-0.13078464983470894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52795.833994596367</v>
      </c>
      <c r="AK136">
        <f t="shared" si="56"/>
        <v>1800</v>
      </c>
      <c r="AL136">
        <f t="shared" si="57"/>
        <v>1499.1127974000001</v>
      </c>
      <c r="AM136">
        <f t="shared" si="58"/>
        <v>0.83284044300000004</v>
      </c>
      <c r="AN136">
        <f t="shared" si="59"/>
        <v>0.15339716163</v>
      </c>
      <c r="AO136">
        <v>32.700000000000003</v>
      </c>
      <c r="AP136">
        <v>0.5</v>
      </c>
      <c r="AQ136" t="s">
        <v>331</v>
      </c>
      <c r="AR136">
        <v>2</v>
      </c>
      <c r="AS136">
        <v>1690302229.5999999</v>
      </c>
      <c r="AT136">
        <v>479.62599999999998</v>
      </c>
      <c r="AU136">
        <v>800.08500000000004</v>
      </c>
      <c r="AV136">
        <v>24.5549</v>
      </c>
      <c r="AW136">
        <v>3.5264000000000002</v>
      </c>
      <c r="AX136">
        <v>479.71499999999997</v>
      </c>
      <c r="AY136">
        <v>24.273399999999999</v>
      </c>
      <c r="AZ136">
        <v>300.245</v>
      </c>
      <c r="BA136">
        <v>99.314300000000003</v>
      </c>
      <c r="BB136">
        <v>9.9941799999999997E-2</v>
      </c>
      <c r="BC136">
        <v>26.797599999999999</v>
      </c>
      <c r="BD136">
        <v>27.019300000000001</v>
      </c>
      <c r="BE136">
        <v>28.217700000000001</v>
      </c>
      <c r="BF136">
        <v>0</v>
      </c>
      <c r="BG136">
        <v>0</v>
      </c>
      <c r="BH136">
        <v>10048.799999999999</v>
      </c>
      <c r="BI136">
        <v>1079.17</v>
      </c>
      <c r="BJ136">
        <v>1.90625</v>
      </c>
      <c r="BK136">
        <v>-320.45999999999998</v>
      </c>
      <c r="BL136">
        <v>491.69900000000001</v>
      </c>
      <c r="BM136">
        <v>802.91700000000003</v>
      </c>
      <c r="BN136">
        <v>21.028600000000001</v>
      </c>
      <c r="BO136">
        <v>800.08500000000004</v>
      </c>
      <c r="BP136">
        <v>3.5264000000000002</v>
      </c>
      <c r="BQ136">
        <v>2.43866</v>
      </c>
      <c r="BR136">
        <v>0.35022199999999998</v>
      </c>
      <c r="BS136">
        <v>20.622800000000002</v>
      </c>
      <c r="BT136">
        <v>-7.4822100000000002</v>
      </c>
      <c r="BU136">
        <v>1800</v>
      </c>
      <c r="BV136">
        <v>0.91000899999999996</v>
      </c>
      <c r="BW136">
        <v>3.39975E-2</v>
      </c>
      <c r="BX136">
        <v>2.1998400000000001E-2</v>
      </c>
      <c r="BY136">
        <v>3.3994700000000003E-2</v>
      </c>
      <c r="BZ136">
        <v>25.583300000000001</v>
      </c>
      <c r="CA136">
        <v>33528.400000000001</v>
      </c>
      <c r="CB136">
        <v>1690300477.5</v>
      </c>
      <c r="CC136" t="s">
        <v>332</v>
      </c>
      <c r="CD136">
        <v>1690300477.5</v>
      </c>
      <c r="CE136">
        <v>1690300465.5</v>
      </c>
      <c r="CF136">
        <v>7</v>
      </c>
      <c r="CG136">
        <v>5.0999999999999997E-2</v>
      </c>
      <c r="CH136">
        <v>-8.0000000000000002E-3</v>
      </c>
      <c r="CI136">
        <v>-0.316</v>
      </c>
      <c r="CJ136">
        <v>0.28199999999999997</v>
      </c>
      <c r="CK136">
        <v>800</v>
      </c>
      <c r="CL136">
        <v>24</v>
      </c>
      <c r="CM136">
        <v>0.25</v>
      </c>
      <c r="CN136">
        <v>0.13</v>
      </c>
      <c r="CO136">
        <v>-317.51257500000003</v>
      </c>
      <c r="CP136">
        <v>-15.47012757973692</v>
      </c>
      <c r="CQ136">
        <v>1.489595446547481</v>
      </c>
      <c r="CR136">
        <v>-1</v>
      </c>
      <c r="CS136">
        <v>20.736712499999999</v>
      </c>
      <c r="CT136">
        <v>1.546386866791716</v>
      </c>
      <c r="CU136">
        <v>0.14879773887310921</v>
      </c>
      <c r="CV136">
        <v>-1</v>
      </c>
      <c r="CW136">
        <v>0</v>
      </c>
      <c r="CX136">
        <v>0</v>
      </c>
      <c r="CY136" t="s">
        <v>333</v>
      </c>
      <c r="CZ136">
        <v>2.3648699999999998</v>
      </c>
      <c r="DA136">
        <v>2.7137799999999999</v>
      </c>
      <c r="DB136">
        <v>0.102823</v>
      </c>
      <c r="DC136">
        <v>0.14643600000000001</v>
      </c>
      <c r="DD136">
        <v>0.11575000000000001</v>
      </c>
      <c r="DE136">
        <v>2.5305000000000001E-2</v>
      </c>
      <c r="DF136">
        <v>32777.199999999997</v>
      </c>
      <c r="DG136">
        <v>27532</v>
      </c>
      <c r="DH136">
        <v>31188.3</v>
      </c>
      <c r="DI136">
        <v>28105.9</v>
      </c>
      <c r="DJ136">
        <v>37438.5</v>
      </c>
      <c r="DK136">
        <v>38963.199999999997</v>
      </c>
      <c r="DL136">
        <v>44387.199999999997</v>
      </c>
      <c r="DM136">
        <v>42602.8</v>
      </c>
      <c r="DN136">
        <v>1.4828699999999999</v>
      </c>
      <c r="DO136">
        <v>2.0392999999999999</v>
      </c>
      <c r="DP136">
        <v>9.4920400000000002E-2</v>
      </c>
      <c r="DQ136">
        <v>0.17899599999999999</v>
      </c>
      <c r="DR136">
        <v>25.4651</v>
      </c>
      <c r="DS136">
        <v>25.289200000000001</v>
      </c>
      <c r="DT136">
        <v>47.4</v>
      </c>
      <c r="DU136">
        <v>28.9</v>
      </c>
      <c r="DV136">
        <v>19.0854</v>
      </c>
      <c r="DW136">
        <v>61.081099999999999</v>
      </c>
      <c r="DX136">
        <v>36.041699999999999</v>
      </c>
      <c r="DY136">
        <v>1</v>
      </c>
      <c r="DZ136">
        <v>-0.105874</v>
      </c>
      <c r="EA136">
        <v>-0.35171599999999997</v>
      </c>
      <c r="EB136">
        <v>20.1892</v>
      </c>
      <c r="EC136">
        <v>5.24125</v>
      </c>
      <c r="ED136">
        <v>12.039899999999999</v>
      </c>
      <c r="EE136">
        <v>5.01715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1.8689100000000001</v>
      </c>
      <c r="EL136">
        <v>1.8646199999999999</v>
      </c>
      <c r="EM136">
        <v>1.8691899999999999</v>
      </c>
      <c r="EN136">
        <v>1.8672299999999999</v>
      </c>
      <c r="EO136">
        <v>1.86338</v>
      </c>
      <c r="EP136">
        <v>1.8644700000000001</v>
      </c>
      <c r="EQ136">
        <v>1.87015</v>
      </c>
      <c r="ER136">
        <v>1.8694200000000001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-8.8999999999999996E-2</v>
      </c>
      <c r="FG136">
        <v>0.28149999999999997</v>
      </c>
      <c r="FH136">
        <v>0.23539598422606861</v>
      </c>
      <c r="FI136">
        <v>-6.1462078757559423E-4</v>
      </c>
      <c r="FJ136">
        <v>-1.8861989874597051E-7</v>
      </c>
      <c r="FK136">
        <v>1.1980462299894961E-10</v>
      </c>
      <c r="FL136">
        <v>0.28151999999999688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29.2</v>
      </c>
      <c r="FU136">
        <v>29.4</v>
      </c>
      <c r="FV136">
        <v>1.7712399999999999</v>
      </c>
      <c r="FW136">
        <v>2.5878899999999998</v>
      </c>
      <c r="FX136">
        <v>1.5490699999999999</v>
      </c>
      <c r="FY136">
        <v>2.3290999999999999</v>
      </c>
      <c r="FZ136">
        <v>1.50146</v>
      </c>
      <c r="GA136">
        <v>2.3925800000000002</v>
      </c>
      <c r="GB136">
        <v>33.602899999999998</v>
      </c>
      <c r="GC136">
        <v>23.982399999999998</v>
      </c>
      <c r="GD136">
        <v>19</v>
      </c>
      <c r="GE136">
        <v>285.12099999999998</v>
      </c>
      <c r="GF136">
        <v>583.91899999999998</v>
      </c>
      <c r="GG136">
        <v>25.4223</v>
      </c>
      <c r="GH136">
        <v>26.081</v>
      </c>
      <c r="GI136">
        <v>30.0001</v>
      </c>
      <c r="GJ136">
        <v>26.2134</v>
      </c>
      <c r="GK136">
        <v>26.192</v>
      </c>
      <c r="GL136">
        <v>35.403199999999998</v>
      </c>
      <c r="GM136">
        <v>77.896900000000002</v>
      </c>
      <c r="GN136">
        <v>61.55</v>
      </c>
      <c r="GO136">
        <v>25.420400000000001</v>
      </c>
      <c r="GP136">
        <v>800</v>
      </c>
      <c r="GQ136">
        <v>3.3369200000000001</v>
      </c>
      <c r="GR136">
        <v>99.793599999999998</v>
      </c>
      <c r="GS136">
        <v>99.659099999999995</v>
      </c>
    </row>
    <row r="137" spans="1:201" x14ac:dyDescent="0.25">
      <c r="A137">
        <v>121</v>
      </c>
      <c r="B137">
        <v>1690302239.5999999</v>
      </c>
      <c r="C137">
        <v>1335.599999904633</v>
      </c>
      <c r="D137" t="s">
        <v>573</v>
      </c>
      <c r="E137" t="s">
        <v>574</v>
      </c>
      <c r="F137" t="s">
        <v>330</v>
      </c>
      <c r="H137">
        <v>1690302239.5999999</v>
      </c>
      <c r="I137">
        <f t="shared" si="30"/>
        <v>2.0009611467936509E-3</v>
      </c>
      <c r="J137">
        <f t="shared" si="31"/>
        <v>2.0009611467936508</v>
      </c>
      <c r="K137">
        <f t="shared" si="32"/>
        <v>28.691687459623868</v>
      </c>
      <c r="L137">
        <f t="shared" si="33"/>
        <v>477.16699999999997</v>
      </c>
      <c r="M137">
        <f t="shared" si="34"/>
        <v>133.44867896542056</v>
      </c>
      <c r="N137">
        <f t="shared" si="35"/>
        <v>13.266963627081656</v>
      </c>
      <c r="O137">
        <f t="shared" si="36"/>
        <v>47.438140880240994</v>
      </c>
      <c r="P137">
        <f t="shared" si="37"/>
        <v>0.14070767947232349</v>
      </c>
      <c r="Q137">
        <f t="shared" si="38"/>
        <v>2.1156252558923927</v>
      </c>
      <c r="R137">
        <f t="shared" si="39"/>
        <v>0.13570776512920951</v>
      </c>
      <c r="S137">
        <f t="shared" si="40"/>
        <v>8.5251773882871751E-2</v>
      </c>
      <c r="T137">
        <f t="shared" si="41"/>
        <v>276.11339443817553</v>
      </c>
      <c r="U137">
        <f t="shared" si="42"/>
        <v>28.290371280415673</v>
      </c>
      <c r="V137">
        <f t="shared" si="43"/>
        <v>28.290371280415673</v>
      </c>
      <c r="W137">
        <f t="shared" si="44"/>
        <v>3.8595537129293875</v>
      </c>
      <c r="X137">
        <f t="shared" si="45"/>
        <v>69.00120428282429</v>
      </c>
      <c r="Y137">
        <f t="shared" si="46"/>
        <v>2.4401413686680993</v>
      </c>
      <c r="Z137">
        <f t="shared" si="47"/>
        <v>3.5363750445084579</v>
      </c>
      <c r="AA137">
        <f t="shared" si="48"/>
        <v>1.4194123442612883</v>
      </c>
      <c r="AB137">
        <f t="shared" si="49"/>
        <v>-88.242386573600001</v>
      </c>
      <c r="AC137">
        <f t="shared" si="50"/>
        <v>-170.51281956298806</v>
      </c>
      <c r="AD137">
        <f t="shared" si="51"/>
        <v>-17.488458993006407</v>
      </c>
      <c r="AE137">
        <f t="shared" si="52"/>
        <v>-0.13027069141895709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52478.941915282645</v>
      </c>
      <c r="AK137">
        <f t="shared" si="56"/>
        <v>1799.99</v>
      </c>
      <c r="AL137">
        <f t="shared" si="57"/>
        <v>1499.10530059095</v>
      </c>
      <c r="AM137">
        <f t="shared" si="58"/>
        <v>0.83284090499999996</v>
      </c>
      <c r="AN137">
        <f t="shared" si="59"/>
        <v>0.15339718245</v>
      </c>
      <c r="AO137">
        <v>32.700000000000003</v>
      </c>
      <c r="AP137">
        <v>0.5</v>
      </c>
      <c r="AQ137" t="s">
        <v>331</v>
      </c>
      <c r="AR137">
        <v>2</v>
      </c>
      <c r="AS137">
        <v>1690302239.5999999</v>
      </c>
      <c r="AT137">
        <v>477.16699999999997</v>
      </c>
      <c r="AU137">
        <v>800.13599999999997</v>
      </c>
      <c r="AV137">
        <v>24.544699999999999</v>
      </c>
      <c r="AW137">
        <v>3.28125</v>
      </c>
      <c r="AX137">
        <v>477.255</v>
      </c>
      <c r="AY137">
        <v>24.263100000000001</v>
      </c>
      <c r="AZ137">
        <v>300.16500000000002</v>
      </c>
      <c r="BA137">
        <v>99.316199999999995</v>
      </c>
      <c r="BB137">
        <v>0.100023</v>
      </c>
      <c r="BC137">
        <v>26.795400000000001</v>
      </c>
      <c r="BD137">
        <v>26.994800000000001</v>
      </c>
      <c r="BE137">
        <v>28.224399999999999</v>
      </c>
      <c r="BF137">
        <v>0</v>
      </c>
      <c r="BG137">
        <v>0</v>
      </c>
      <c r="BH137">
        <v>9985.6200000000008</v>
      </c>
      <c r="BI137">
        <v>1079.3</v>
      </c>
      <c r="BJ137">
        <v>1.90625</v>
      </c>
      <c r="BK137">
        <v>-322.96899999999999</v>
      </c>
      <c r="BL137">
        <v>489.17399999999998</v>
      </c>
      <c r="BM137">
        <v>802.77</v>
      </c>
      <c r="BN137">
        <v>21.263400000000001</v>
      </c>
      <c r="BO137">
        <v>800.13599999999997</v>
      </c>
      <c r="BP137">
        <v>3.28125</v>
      </c>
      <c r="BQ137">
        <v>2.4376799999999998</v>
      </c>
      <c r="BR137">
        <v>0.32588099999999998</v>
      </c>
      <c r="BS137">
        <v>20.616299999999999</v>
      </c>
      <c r="BT137">
        <v>-8.4096499999999992</v>
      </c>
      <c r="BU137">
        <v>1799.99</v>
      </c>
      <c r="BV137">
        <v>0.91001100000000001</v>
      </c>
      <c r="BW137">
        <v>3.3996899999999997E-2</v>
      </c>
      <c r="BX137">
        <v>2.1998E-2</v>
      </c>
      <c r="BY137">
        <v>3.3994099999999999E-2</v>
      </c>
      <c r="BZ137">
        <v>25.541699999999999</v>
      </c>
      <c r="CA137">
        <v>33528.300000000003</v>
      </c>
      <c r="CB137">
        <v>1690300477.5</v>
      </c>
      <c r="CC137" t="s">
        <v>332</v>
      </c>
      <c r="CD137">
        <v>1690300477.5</v>
      </c>
      <c r="CE137">
        <v>1690300465.5</v>
      </c>
      <c r="CF137">
        <v>7</v>
      </c>
      <c r="CG137">
        <v>5.0999999999999997E-2</v>
      </c>
      <c r="CH137">
        <v>-8.0000000000000002E-3</v>
      </c>
      <c r="CI137">
        <v>-0.316</v>
      </c>
      <c r="CJ137">
        <v>0.28199999999999997</v>
      </c>
      <c r="CK137">
        <v>800</v>
      </c>
      <c r="CL137">
        <v>24</v>
      </c>
      <c r="CM137">
        <v>0.25</v>
      </c>
      <c r="CN137">
        <v>0.13</v>
      </c>
      <c r="CO137">
        <v>-320.14273170731713</v>
      </c>
      <c r="CP137">
        <v>-15.36723344947767</v>
      </c>
      <c r="CQ137">
        <v>1.516054089137254</v>
      </c>
      <c r="CR137">
        <v>-1</v>
      </c>
      <c r="CS137">
        <v>21.00077560975609</v>
      </c>
      <c r="CT137">
        <v>1.5268766550522941</v>
      </c>
      <c r="CU137">
        <v>0.15059610784412381</v>
      </c>
      <c r="CV137">
        <v>-1</v>
      </c>
      <c r="CW137">
        <v>0</v>
      </c>
      <c r="CX137">
        <v>0</v>
      </c>
      <c r="CY137" t="s">
        <v>333</v>
      </c>
      <c r="CZ137">
        <v>2.3646500000000001</v>
      </c>
      <c r="DA137">
        <v>2.7138</v>
      </c>
      <c r="DB137">
        <v>0.102436</v>
      </c>
      <c r="DC137">
        <v>0.14644099999999999</v>
      </c>
      <c r="DD137">
        <v>0.115719</v>
      </c>
      <c r="DE137">
        <v>2.3773200000000001E-2</v>
      </c>
      <c r="DF137">
        <v>32791.4</v>
      </c>
      <c r="DG137">
        <v>27532.7</v>
      </c>
      <c r="DH137">
        <v>31188.400000000001</v>
      </c>
      <c r="DI137">
        <v>28106.799999999999</v>
      </c>
      <c r="DJ137">
        <v>37439.800000000003</v>
      </c>
      <c r="DK137">
        <v>39025.699999999997</v>
      </c>
      <c r="DL137">
        <v>44387.3</v>
      </c>
      <c r="DM137">
        <v>42604.1</v>
      </c>
      <c r="DN137">
        <v>1.48305</v>
      </c>
      <c r="DO137">
        <v>2.0389499999999998</v>
      </c>
      <c r="DP137">
        <v>9.3501100000000004E-2</v>
      </c>
      <c r="DQ137">
        <v>0.17932799999999999</v>
      </c>
      <c r="DR137">
        <v>25.463799999999999</v>
      </c>
      <c r="DS137">
        <v>25.290500000000002</v>
      </c>
      <c r="DT137">
        <v>47</v>
      </c>
      <c r="DU137">
        <v>28.9</v>
      </c>
      <c r="DV137">
        <v>18.920100000000001</v>
      </c>
      <c r="DW137">
        <v>61.851100000000002</v>
      </c>
      <c r="DX137">
        <v>36.722799999999999</v>
      </c>
      <c r="DY137">
        <v>1</v>
      </c>
      <c r="DZ137">
        <v>-0.10592699999999999</v>
      </c>
      <c r="EA137">
        <v>-0.16924</v>
      </c>
      <c r="EB137">
        <v>20.189399999999999</v>
      </c>
      <c r="EC137">
        <v>5.2415500000000002</v>
      </c>
      <c r="ED137">
        <v>12.039899999999999</v>
      </c>
      <c r="EE137">
        <v>5.0172999999999996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1.8689100000000001</v>
      </c>
      <c r="EL137">
        <v>1.8646199999999999</v>
      </c>
      <c r="EM137">
        <v>1.8692</v>
      </c>
      <c r="EN137">
        <v>1.86724</v>
      </c>
      <c r="EO137">
        <v>1.8633900000000001</v>
      </c>
      <c r="EP137">
        <v>1.8644700000000001</v>
      </c>
      <c r="EQ137">
        <v>1.8701399999999999</v>
      </c>
      <c r="ER137">
        <v>1.86941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-8.7999999999999995E-2</v>
      </c>
      <c r="FG137">
        <v>0.28160000000000002</v>
      </c>
      <c r="FH137">
        <v>0.23539598422606861</v>
      </c>
      <c r="FI137">
        <v>-6.1462078757559423E-4</v>
      </c>
      <c r="FJ137">
        <v>-1.8861989874597051E-7</v>
      </c>
      <c r="FK137">
        <v>1.1980462299894961E-10</v>
      </c>
      <c r="FL137">
        <v>0.28151999999999688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29.4</v>
      </c>
      <c r="FU137">
        <v>29.6</v>
      </c>
      <c r="FV137">
        <v>1.7700199999999999</v>
      </c>
      <c r="FW137">
        <v>2.5878899999999998</v>
      </c>
      <c r="FX137">
        <v>1.5490699999999999</v>
      </c>
      <c r="FY137">
        <v>2.3290999999999999</v>
      </c>
      <c r="FZ137">
        <v>1.50146</v>
      </c>
      <c r="GA137">
        <v>2.3730500000000001</v>
      </c>
      <c r="GB137">
        <v>33.602899999999998</v>
      </c>
      <c r="GC137">
        <v>23.991199999999999</v>
      </c>
      <c r="GD137">
        <v>19</v>
      </c>
      <c r="GE137">
        <v>285.18299999999999</v>
      </c>
      <c r="GF137">
        <v>583.60500000000002</v>
      </c>
      <c r="GG137">
        <v>25.3233</v>
      </c>
      <c r="GH137">
        <v>26.079000000000001</v>
      </c>
      <c r="GI137">
        <v>30</v>
      </c>
      <c r="GJ137">
        <v>26.210599999999999</v>
      </c>
      <c r="GK137">
        <v>26.189800000000002</v>
      </c>
      <c r="GL137">
        <v>35.395899999999997</v>
      </c>
      <c r="GM137">
        <v>79.322800000000001</v>
      </c>
      <c r="GN137">
        <v>60.759500000000003</v>
      </c>
      <c r="GO137">
        <v>25.3383</v>
      </c>
      <c r="GP137">
        <v>800</v>
      </c>
      <c r="GQ137">
        <v>3.0778599999999998</v>
      </c>
      <c r="GR137">
        <v>99.793800000000005</v>
      </c>
      <c r="GS137">
        <v>99.662099999999995</v>
      </c>
    </row>
    <row r="138" spans="1:201" x14ac:dyDescent="0.25">
      <c r="A138">
        <v>122</v>
      </c>
      <c r="B138">
        <v>1690302249.5999999</v>
      </c>
      <c r="C138">
        <v>1345.599999904633</v>
      </c>
      <c r="D138" t="s">
        <v>575</v>
      </c>
      <c r="E138" t="s">
        <v>576</v>
      </c>
      <c r="F138" t="s">
        <v>330</v>
      </c>
      <c r="H138">
        <v>1690302249.5999999</v>
      </c>
      <c r="I138">
        <f t="shared" si="30"/>
        <v>2.0235759906043062E-3</v>
      </c>
      <c r="J138">
        <f t="shared" si="31"/>
        <v>2.0235759906043063</v>
      </c>
      <c r="K138">
        <f t="shared" si="32"/>
        <v>28.910431892982057</v>
      </c>
      <c r="L138">
        <f t="shared" si="33"/>
        <v>474.71699999999998</v>
      </c>
      <c r="M138">
        <f t="shared" si="34"/>
        <v>132.78716829675099</v>
      </c>
      <c r="N138">
        <f t="shared" si="35"/>
        <v>13.200943637499313</v>
      </c>
      <c r="O138">
        <f t="shared" si="36"/>
        <v>47.193659155062306</v>
      </c>
      <c r="P138">
        <f t="shared" si="37"/>
        <v>0.14256773829599226</v>
      </c>
      <c r="Q138">
        <f t="shared" si="38"/>
        <v>2.1191993986527926</v>
      </c>
      <c r="R138">
        <f t="shared" si="39"/>
        <v>0.13744567036939073</v>
      </c>
      <c r="S138">
        <f t="shared" si="40"/>
        <v>8.6348410053863622E-2</v>
      </c>
      <c r="T138">
        <f t="shared" si="41"/>
        <v>276.11646126581832</v>
      </c>
      <c r="U138">
        <f t="shared" si="42"/>
        <v>28.274690522278423</v>
      </c>
      <c r="V138">
        <f t="shared" si="43"/>
        <v>28.274690522278423</v>
      </c>
      <c r="W138">
        <f t="shared" si="44"/>
        <v>3.8560345680690675</v>
      </c>
      <c r="X138">
        <f t="shared" si="45"/>
        <v>68.983390988088743</v>
      </c>
      <c r="Y138">
        <f t="shared" si="46"/>
        <v>2.4387222984787105</v>
      </c>
      <c r="Z138">
        <f t="shared" si="47"/>
        <v>3.5352311093257227</v>
      </c>
      <c r="AA138">
        <f t="shared" si="48"/>
        <v>1.4173122695903571</v>
      </c>
      <c r="AB138">
        <f t="shared" si="49"/>
        <v>-89.239701185649906</v>
      </c>
      <c r="AC138">
        <f t="shared" si="50"/>
        <v>-169.63772991263073</v>
      </c>
      <c r="AD138">
        <f t="shared" si="51"/>
        <v>-17.367524999132243</v>
      </c>
      <c r="AE138">
        <f t="shared" si="52"/>
        <v>-0.12849483159453712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52636.610007737683</v>
      </c>
      <c r="AK138">
        <f t="shared" si="56"/>
        <v>1800.01</v>
      </c>
      <c r="AL138">
        <f t="shared" si="57"/>
        <v>1499.1229438145299</v>
      </c>
      <c r="AM138">
        <f t="shared" si="58"/>
        <v>0.8328414529999999</v>
      </c>
      <c r="AN138">
        <f t="shared" si="59"/>
        <v>0.15339718183000001</v>
      </c>
      <c r="AO138">
        <v>32.700000000000003</v>
      </c>
      <c r="AP138">
        <v>0.5</v>
      </c>
      <c r="AQ138" t="s">
        <v>331</v>
      </c>
      <c r="AR138">
        <v>2</v>
      </c>
      <c r="AS138">
        <v>1690302249.5999999</v>
      </c>
      <c r="AT138">
        <v>474.71699999999998</v>
      </c>
      <c r="AU138">
        <v>800.24099999999999</v>
      </c>
      <c r="AV138">
        <v>24.530899999999999</v>
      </c>
      <c r="AW138">
        <v>3.01966</v>
      </c>
      <c r="AX138">
        <v>474.80399999999997</v>
      </c>
      <c r="AY138">
        <v>24.249400000000001</v>
      </c>
      <c r="AZ138">
        <v>300.065</v>
      </c>
      <c r="BA138">
        <v>99.314400000000006</v>
      </c>
      <c r="BB138">
        <v>9.9901900000000002E-2</v>
      </c>
      <c r="BC138">
        <v>26.789899999999999</v>
      </c>
      <c r="BD138">
        <v>26.988499999999998</v>
      </c>
      <c r="BE138">
        <v>28.226299999999998</v>
      </c>
      <c r="BF138">
        <v>0</v>
      </c>
      <c r="BG138">
        <v>0</v>
      </c>
      <c r="BH138">
        <v>10016.9</v>
      </c>
      <c r="BI138">
        <v>1079.29</v>
      </c>
      <c r="BJ138">
        <v>1.90625</v>
      </c>
      <c r="BK138">
        <v>-325.52300000000002</v>
      </c>
      <c r="BL138">
        <v>486.65499999999997</v>
      </c>
      <c r="BM138">
        <v>802.66399999999999</v>
      </c>
      <c r="BN138">
        <v>21.511199999999999</v>
      </c>
      <c r="BO138">
        <v>800.24099999999999</v>
      </c>
      <c r="BP138">
        <v>3.01966</v>
      </c>
      <c r="BQ138">
        <v>2.4362699999999999</v>
      </c>
      <c r="BR138">
        <v>0.299896</v>
      </c>
      <c r="BS138">
        <v>20.6069</v>
      </c>
      <c r="BT138">
        <v>-9.4704099999999993</v>
      </c>
      <c r="BU138">
        <v>1800.01</v>
      </c>
      <c r="BV138">
        <v>0.91001399999999999</v>
      </c>
      <c r="BW138">
        <v>3.3995900000000003E-2</v>
      </c>
      <c r="BX138">
        <v>2.19974E-2</v>
      </c>
      <c r="BY138">
        <v>3.3993099999999998E-2</v>
      </c>
      <c r="BZ138">
        <v>25.458300000000001</v>
      </c>
      <c r="CA138">
        <v>33528.6</v>
      </c>
      <c r="CB138">
        <v>1690300477.5</v>
      </c>
      <c r="CC138" t="s">
        <v>332</v>
      </c>
      <c r="CD138">
        <v>1690300477.5</v>
      </c>
      <c r="CE138">
        <v>1690300465.5</v>
      </c>
      <c r="CF138">
        <v>7</v>
      </c>
      <c r="CG138">
        <v>5.0999999999999997E-2</v>
      </c>
      <c r="CH138">
        <v>-8.0000000000000002E-3</v>
      </c>
      <c r="CI138">
        <v>-0.316</v>
      </c>
      <c r="CJ138">
        <v>0.28199999999999997</v>
      </c>
      <c r="CK138">
        <v>800</v>
      </c>
      <c r="CL138">
        <v>24</v>
      </c>
      <c r="CM138">
        <v>0.25</v>
      </c>
      <c r="CN138">
        <v>0.13</v>
      </c>
      <c r="CO138">
        <v>-322.70443902439018</v>
      </c>
      <c r="CP138">
        <v>-15.1195400696863</v>
      </c>
      <c r="CQ138">
        <v>1.4914670474398839</v>
      </c>
      <c r="CR138">
        <v>-1</v>
      </c>
      <c r="CS138">
        <v>21.250434146341458</v>
      </c>
      <c r="CT138">
        <v>1.4744362369337971</v>
      </c>
      <c r="CU138">
        <v>0.14550744446592029</v>
      </c>
      <c r="CV138">
        <v>-1</v>
      </c>
      <c r="CW138">
        <v>0</v>
      </c>
      <c r="CX138">
        <v>0</v>
      </c>
      <c r="CY138" t="s">
        <v>333</v>
      </c>
      <c r="CZ138">
        <v>2.3643299999999998</v>
      </c>
      <c r="DA138">
        <v>2.7137099999999998</v>
      </c>
      <c r="DB138">
        <v>0.102046</v>
      </c>
      <c r="DC138">
        <v>0.14644699999999999</v>
      </c>
      <c r="DD138">
        <v>0.115672</v>
      </c>
      <c r="DE138">
        <v>2.2109E-2</v>
      </c>
      <c r="DF138">
        <v>32805.5</v>
      </c>
      <c r="DG138">
        <v>27532.400000000001</v>
      </c>
      <c r="DH138">
        <v>31188.2</v>
      </c>
      <c r="DI138">
        <v>28106.7</v>
      </c>
      <c r="DJ138">
        <v>37441.699999999997</v>
      </c>
      <c r="DK138">
        <v>39092.199999999997</v>
      </c>
      <c r="DL138">
        <v>44387.199999999997</v>
      </c>
      <c r="DM138">
        <v>42603.9</v>
      </c>
      <c r="DN138">
        <v>1.4829300000000001</v>
      </c>
      <c r="DO138">
        <v>2.0385499999999999</v>
      </c>
      <c r="DP138">
        <v>9.3113600000000005E-2</v>
      </c>
      <c r="DQ138">
        <v>0.17943999999999999</v>
      </c>
      <c r="DR138">
        <v>25.463799999999999</v>
      </c>
      <c r="DS138">
        <v>25.290500000000002</v>
      </c>
      <c r="DT138">
        <v>46.5</v>
      </c>
      <c r="DU138">
        <v>28.9</v>
      </c>
      <c r="DV138">
        <v>18.721599999999999</v>
      </c>
      <c r="DW138">
        <v>61.601100000000002</v>
      </c>
      <c r="DX138">
        <v>37.339700000000001</v>
      </c>
      <c r="DY138">
        <v>1</v>
      </c>
      <c r="DZ138">
        <v>-0.10610799999999999</v>
      </c>
      <c r="EA138">
        <v>-0.33030199999999998</v>
      </c>
      <c r="EB138">
        <v>20.1891</v>
      </c>
      <c r="EC138">
        <v>5.24275</v>
      </c>
      <c r="ED138">
        <v>12.039899999999999</v>
      </c>
      <c r="EE138">
        <v>5.0172499999999998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1.8689100000000001</v>
      </c>
      <c r="EL138">
        <v>1.8646199999999999</v>
      </c>
      <c r="EM138">
        <v>1.8692</v>
      </c>
      <c r="EN138">
        <v>1.8672299999999999</v>
      </c>
      <c r="EO138">
        <v>1.8633999999999999</v>
      </c>
      <c r="EP138">
        <v>1.8644700000000001</v>
      </c>
      <c r="EQ138">
        <v>1.8701399999999999</v>
      </c>
      <c r="ER138">
        <v>1.86941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-8.6999999999999994E-2</v>
      </c>
      <c r="FG138">
        <v>0.28149999999999997</v>
      </c>
      <c r="FH138">
        <v>0.23539598422606861</v>
      </c>
      <c r="FI138">
        <v>-6.1462078757559423E-4</v>
      </c>
      <c r="FJ138">
        <v>-1.8861989874597051E-7</v>
      </c>
      <c r="FK138">
        <v>1.1980462299894961E-10</v>
      </c>
      <c r="FL138">
        <v>0.28151999999999688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29.5</v>
      </c>
      <c r="FU138">
        <v>29.7</v>
      </c>
      <c r="FV138">
        <v>1.7700199999999999</v>
      </c>
      <c r="FW138">
        <v>2.5891099999999998</v>
      </c>
      <c r="FX138">
        <v>1.5490699999999999</v>
      </c>
      <c r="FY138">
        <v>2.3290999999999999</v>
      </c>
      <c r="FZ138">
        <v>1.50146</v>
      </c>
      <c r="GA138">
        <v>2.3144499999999999</v>
      </c>
      <c r="GB138">
        <v>33.602899999999998</v>
      </c>
      <c r="GC138">
        <v>23.982399999999998</v>
      </c>
      <c r="GD138">
        <v>19</v>
      </c>
      <c r="GE138">
        <v>285.11700000000002</v>
      </c>
      <c r="GF138">
        <v>583.25</v>
      </c>
      <c r="GG138">
        <v>25.336500000000001</v>
      </c>
      <c r="GH138">
        <v>26.076799999999999</v>
      </c>
      <c r="GI138">
        <v>29.9999</v>
      </c>
      <c r="GJ138">
        <v>26.207899999999999</v>
      </c>
      <c r="GK138">
        <v>26.1876</v>
      </c>
      <c r="GL138">
        <v>35.387799999999999</v>
      </c>
      <c r="GM138">
        <v>80.182199999999995</v>
      </c>
      <c r="GN138">
        <v>59.580199999999998</v>
      </c>
      <c r="GO138">
        <v>25.354199999999999</v>
      </c>
      <c r="GP138">
        <v>800</v>
      </c>
      <c r="GQ138">
        <v>2.8269899999999999</v>
      </c>
      <c r="GR138">
        <v>99.793400000000005</v>
      </c>
      <c r="GS138">
        <v>99.661699999999996</v>
      </c>
    </row>
    <row r="139" spans="1:201" x14ac:dyDescent="0.25">
      <c r="A139">
        <v>123</v>
      </c>
      <c r="B139">
        <v>1690302259.5999999</v>
      </c>
      <c r="C139">
        <v>1355.599999904633</v>
      </c>
      <c r="D139" t="s">
        <v>577</v>
      </c>
      <c r="E139" t="s">
        <v>578</v>
      </c>
      <c r="F139" t="s">
        <v>330</v>
      </c>
      <c r="H139">
        <v>1690302259.5999999</v>
      </c>
      <c r="I139">
        <f t="shared" si="30"/>
        <v>2.0453862177106986E-3</v>
      </c>
      <c r="J139">
        <f t="shared" si="31"/>
        <v>2.0453862177106985</v>
      </c>
      <c r="K139">
        <f t="shared" si="32"/>
        <v>29.135032556591057</v>
      </c>
      <c r="L139">
        <f t="shared" si="33"/>
        <v>472.22300000000001</v>
      </c>
      <c r="M139">
        <f t="shared" si="34"/>
        <v>131.72055253981907</v>
      </c>
      <c r="N139">
        <f t="shared" si="35"/>
        <v>13.095682492134348</v>
      </c>
      <c r="O139">
        <f t="shared" si="36"/>
        <v>46.948500854593</v>
      </c>
      <c r="P139">
        <f t="shared" si="37"/>
        <v>0.14432565445867551</v>
      </c>
      <c r="Q139">
        <f t="shared" si="38"/>
        <v>2.1183354564805215</v>
      </c>
      <c r="R139">
        <f t="shared" si="39"/>
        <v>0.13907693800634746</v>
      </c>
      <c r="S139">
        <f t="shared" si="40"/>
        <v>8.7378759500371828E-2</v>
      </c>
      <c r="T139">
        <f t="shared" si="41"/>
        <v>276.11482924800004</v>
      </c>
      <c r="U139">
        <f t="shared" si="42"/>
        <v>28.267682231235213</v>
      </c>
      <c r="V139">
        <f t="shared" si="43"/>
        <v>28.267682231235213</v>
      </c>
      <c r="W139">
        <f t="shared" si="44"/>
        <v>3.8544626417774905</v>
      </c>
      <c r="X139">
        <f t="shared" si="45"/>
        <v>68.978916077163504</v>
      </c>
      <c r="Y139">
        <f t="shared" si="46"/>
        <v>2.4385784448479999</v>
      </c>
      <c r="Z139">
        <f t="shared" si="47"/>
        <v>3.535251905263451</v>
      </c>
      <c r="AA139">
        <f t="shared" si="48"/>
        <v>1.4158841969294906</v>
      </c>
      <c r="AB139">
        <f t="shared" si="49"/>
        <v>-90.201532201041815</v>
      </c>
      <c r="AC139">
        <f t="shared" si="50"/>
        <v>-168.75677990076969</v>
      </c>
      <c r="AD139">
        <f t="shared" si="51"/>
        <v>-17.283782684311582</v>
      </c>
      <c r="AE139">
        <f t="shared" si="52"/>
        <v>-0.12726553812302654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52598.799570880401</v>
      </c>
      <c r="AK139">
        <f t="shared" si="56"/>
        <v>1800</v>
      </c>
      <c r="AL139">
        <f t="shared" si="57"/>
        <v>1499.1141978000001</v>
      </c>
      <c r="AM139">
        <f t="shared" si="58"/>
        <v>0.83284122100000002</v>
      </c>
      <c r="AN139">
        <f t="shared" si="59"/>
        <v>0.15339712736000002</v>
      </c>
      <c r="AO139">
        <v>32.700000000000003</v>
      </c>
      <c r="AP139">
        <v>0.5</v>
      </c>
      <c r="AQ139" t="s">
        <v>331</v>
      </c>
      <c r="AR139">
        <v>2</v>
      </c>
      <c r="AS139">
        <v>1690302259.5999999</v>
      </c>
      <c r="AT139">
        <v>472.22300000000001</v>
      </c>
      <c r="AU139">
        <v>800.18299999999999</v>
      </c>
      <c r="AV139">
        <v>24.527999999999999</v>
      </c>
      <c r="AW139">
        <v>2.7894100000000002</v>
      </c>
      <c r="AX139">
        <v>472.30799999999999</v>
      </c>
      <c r="AY139">
        <v>24.246500000000001</v>
      </c>
      <c r="AZ139">
        <v>300.12799999999999</v>
      </c>
      <c r="BA139">
        <v>99.320099999999996</v>
      </c>
      <c r="BB139">
        <v>0.100091</v>
      </c>
      <c r="BC139">
        <v>26.79</v>
      </c>
      <c r="BD139">
        <v>26.985800000000001</v>
      </c>
      <c r="BE139">
        <v>28.193899999999999</v>
      </c>
      <c r="BF139">
        <v>0</v>
      </c>
      <c r="BG139">
        <v>0</v>
      </c>
      <c r="BH139">
        <v>10008.799999999999</v>
      </c>
      <c r="BI139">
        <v>1079.3499999999999</v>
      </c>
      <c r="BJ139">
        <v>1.90625</v>
      </c>
      <c r="BK139">
        <v>-327.96</v>
      </c>
      <c r="BL139">
        <v>484.09699999999998</v>
      </c>
      <c r="BM139">
        <v>802.42200000000003</v>
      </c>
      <c r="BN139">
        <v>21.738600000000002</v>
      </c>
      <c r="BO139">
        <v>800.18299999999999</v>
      </c>
      <c r="BP139">
        <v>2.7894100000000002</v>
      </c>
      <c r="BQ139">
        <v>2.4361299999999999</v>
      </c>
      <c r="BR139">
        <v>0.27704499999999999</v>
      </c>
      <c r="BS139">
        <v>20.605899999999998</v>
      </c>
      <c r="BT139">
        <v>-10.4732</v>
      </c>
      <c r="BU139">
        <v>1800</v>
      </c>
      <c r="BV139">
        <v>0.91001399999999999</v>
      </c>
      <c r="BW139">
        <v>3.39958E-2</v>
      </c>
      <c r="BX139">
        <v>2.1997300000000001E-2</v>
      </c>
      <c r="BY139">
        <v>3.3993000000000002E-2</v>
      </c>
      <c r="BZ139">
        <v>25.458300000000001</v>
      </c>
      <c r="CA139">
        <v>33528.5</v>
      </c>
      <c r="CB139">
        <v>1690300477.5</v>
      </c>
      <c r="CC139" t="s">
        <v>332</v>
      </c>
      <c r="CD139">
        <v>1690300477.5</v>
      </c>
      <c r="CE139">
        <v>1690300465.5</v>
      </c>
      <c r="CF139">
        <v>7</v>
      </c>
      <c r="CG139">
        <v>5.0999999999999997E-2</v>
      </c>
      <c r="CH139">
        <v>-8.0000000000000002E-3</v>
      </c>
      <c r="CI139">
        <v>-0.316</v>
      </c>
      <c r="CJ139">
        <v>0.28199999999999997</v>
      </c>
      <c r="CK139">
        <v>800</v>
      </c>
      <c r="CL139">
        <v>24</v>
      </c>
      <c r="CM139">
        <v>0.25</v>
      </c>
      <c r="CN139">
        <v>0.13</v>
      </c>
      <c r="CO139">
        <v>-325.11475000000002</v>
      </c>
      <c r="CP139">
        <v>-14.38358724202565</v>
      </c>
      <c r="CQ139">
        <v>1.3850450669563079</v>
      </c>
      <c r="CR139">
        <v>-1</v>
      </c>
      <c r="CS139">
        <v>21.481104999999999</v>
      </c>
      <c r="CT139">
        <v>1.404542589118158</v>
      </c>
      <c r="CU139">
        <v>0.13533428048724419</v>
      </c>
      <c r="CV139">
        <v>-1</v>
      </c>
      <c r="CW139">
        <v>0</v>
      </c>
      <c r="CX139">
        <v>0</v>
      </c>
      <c r="CY139" t="s">
        <v>333</v>
      </c>
      <c r="CZ139">
        <v>2.3645200000000002</v>
      </c>
      <c r="DA139">
        <v>2.7138900000000001</v>
      </c>
      <c r="DB139">
        <v>0.101656</v>
      </c>
      <c r="DC139">
        <v>0.14644399999999999</v>
      </c>
      <c r="DD139">
        <v>0.11566899999999999</v>
      </c>
      <c r="DE139">
        <v>2.0619800000000001E-2</v>
      </c>
      <c r="DF139">
        <v>32819.599999999999</v>
      </c>
      <c r="DG139">
        <v>27533</v>
      </c>
      <c r="DH139">
        <v>31188</v>
      </c>
      <c r="DI139">
        <v>28107.200000000001</v>
      </c>
      <c r="DJ139">
        <v>37441.599999999999</v>
      </c>
      <c r="DK139">
        <v>39152.5</v>
      </c>
      <c r="DL139">
        <v>44387</v>
      </c>
      <c r="DM139">
        <v>42604.5</v>
      </c>
      <c r="DN139">
        <v>1.48298</v>
      </c>
      <c r="DO139">
        <v>2.03775</v>
      </c>
      <c r="DP139">
        <v>9.2871499999999996E-2</v>
      </c>
      <c r="DQ139">
        <v>0.177458</v>
      </c>
      <c r="DR139">
        <v>25.4651</v>
      </c>
      <c r="DS139">
        <v>25.290500000000002</v>
      </c>
      <c r="DT139">
        <v>46</v>
      </c>
      <c r="DU139">
        <v>28.9</v>
      </c>
      <c r="DV139">
        <v>18.517900000000001</v>
      </c>
      <c r="DW139">
        <v>61.381100000000004</v>
      </c>
      <c r="DX139">
        <v>36.722799999999999</v>
      </c>
      <c r="DY139">
        <v>1</v>
      </c>
      <c r="DZ139">
        <v>-0.106529</v>
      </c>
      <c r="EA139">
        <v>-0.36443599999999998</v>
      </c>
      <c r="EB139">
        <v>20.189</v>
      </c>
      <c r="EC139">
        <v>5.2433500000000004</v>
      </c>
      <c r="ED139">
        <v>12.039899999999999</v>
      </c>
      <c r="EE139">
        <v>5.0174000000000003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1.8689100000000001</v>
      </c>
      <c r="EL139">
        <v>1.8646199999999999</v>
      </c>
      <c r="EM139">
        <v>1.8692</v>
      </c>
      <c r="EN139">
        <v>1.8672200000000001</v>
      </c>
      <c r="EO139">
        <v>1.8633999999999999</v>
      </c>
      <c r="EP139">
        <v>1.8644700000000001</v>
      </c>
      <c r="EQ139">
        <v>1.87015</v>
      </c>
      <c r="ER139">
        <v>1.8694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-8.5000000000000006E-2</v>
      </c>
      <c r="FG139">
        <v>0.28149999999999997</v>
      </c>
      <c r="FH139">
        <v>0.23539598422606861</v>
      </c>
      <c r="FI139">
        <v>-6.1462078757559423E-4</v>
      </c>
      <c r="FJ139">
        <v>-1.8861989874597051E-7</v>
      </c>
      <c r="FK139">
        <v>1.1980462299894961E-10</v>
      </c>
      <c r="FL139">
        <v>0.28151999999999688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29.7</v>
      </c>
      <c r="FU139">
        <v>29.9</v>
      </c>
      <c r="FV139">
        <v>1.7700199999999999</v>
      </c>
      <c r="FW139">
        <v>2.5952099999999998</v>
      </c>
      <c r="FX139">
        <v>1.5490699999999999</v>
      </c>
      <c r="FY139">
        <v>2.3278799999999999</v>
      </c>
      <c r="FZ139">
        <v>1.50146</v>
      </c>
      <c r="GA139">
        <v>2.2851599999999999</v>
      </c>
      <c r="GB139">
        <v>33.602899999999998</v>
      </c>
      <c r="GC139">
        <v>23.973700000000001</v>
      </c>
      <c r="GD139">
        <v>19</v>
      </c>
      <c r="GE139">
        <v>285.12900000000002</v>
      </c>
      <c r="GF139">
        <v>582.56500000000005</v>
      </c>
      <c r="GG139">
        <v>25.365600000000001</v>
      </c>
      <c r="GH139">
        <v>26.075099999999999</v>
      </c>
      <c r="GI139">
        <v>30</v>
      </c>
      <c r="GJ139">
        <v>26.2057</v>
      </c>
      <c r="GK139">
        <v>26.185300000000002</v>
      </c>
      <c r="GL139">
        <v>35.375500000000002</v>
      </c>
      <c r="GM139">
        <v>81.742199999999997</v>
      </c>
      <c r="GN139">
        <v>58.341200000000001</v>
      </c>
      <c r="GO139">
        <v>25.374600000000001</v>
      </c>
      <c r="GP139">
        <v>800</v>
      </c>
      <c r="GQ139">
        <v>2.5618599999999998</v>
      </c>
      <c r="GR139">
        <v>99.793000000000006</v>
      </c>
      <c r="GS139">
        <v>99.663200000000003</v>
      </c>
    </row>
    <row r="140" spans="1:201" x14ac:dyDescent="0.25">
      <c r="A140">
        <v>124</v>
      </c>
      <c r="B140">
        <v>1690302269.5999999</v>
      </c>
      <c r="C140">
        <v>1365.599999904633</v>
      </c>
      <c r="D140" t="s">
        <v>579</v>
      </c>
      <c r="E140" t="s">
        <v>580</v>
      </c>
      <c r="F140" t="s">
        <v>330</v>
      </c>
      <c r="H140">
        <v>1690302269.5999999</v>
      </c>
      <c r="I140">
        <f t="shared" si="30"/>
        <v>2.0699489852276649E-3</v>
      </c>
      <c r="J140">
        <f t="shared" si="31"/>
        <v>2.0699489852276649</v>
      </c>
      <c r="K140">
        <f t="shared" si="32"/>
        <v>29.349930046603969</v>
      </c>
      <c r="L140">
        <f t="shared" si="33"/>
        <v>469.94299999999998</v>
      </c>
      <c r="M140">
        <f t="shared" si="34"/>
        <v>131.06537592898124</v>
      </c>
      <c r="N140">
        <f t="shared" si="35"/>
        <v>13.029861071345271</v>
      </c>
      <c r="O140">
        <f t="shared" si="36"/>
        <v>46.719371596424999</v>
      </c>
      <c r="P140">
        <f t="shared" si="37"/>
        <v>0.14615821837677598</v>
      </c>
      <c r="Q140">
        <f t="shared" si="38"/>
        <v>2.1120093300445291</v>
      </c>
      <c r="R140">
        <f t="shared" si="39"/>
        <v>0.14076256271195439</v>
      </c>
      <c r="S140">
        <f t="shared" si="40"/>
        <v>8.8444784360434764E-2</v>
      </c>
      <c r="T140">
        <f t="shared" si="41"/>
        <v>276.11469260999996</v>
      </c>
      <c r="U140">
        <f t="shared" si="42"/>
        <v>28.264562580341789</v>
      </c>
      <c r="V140">
        <f t="shared" si="43"/>
        <v>28.264562580341789</v>
      </c>
      <c r="W140">
        <f t="shared" si="44"/>
        <v>3.8537630987575278</v>
      </c>
      <c r="X140">
        <f t="shared" si="45"/>
        <v>68.959369789349338</v>
      </c>
      <c r="Y140">
        <f t="shared" si="46"/>
        <v>2.4381025543874997</v>
      </c>
      <c r="Z140">
        <f t="shared" si="47"/>
        <v>3.53556385714543</v>
      </c>
      <c r="AA140">
        <f t="shared" si="48"/>
        <v>1.4156605443700281</v>
      </c>
      <c r="AB140">
        <f t="shared" si="49"/>
        <v>-91.284750248540021</v>
      </c>
      <c r="AC140">
        <f t="shared" si="50"/>
        <v>-167.72680459637064</v>
      </c>
      <c r="AD140">
        <f t="shared" si="51"/>
        <v>-17.22960877656104</v>
      </c>
      <c r="AE140">
        <f t="shared" si="52"/>
        <v>-0.12647101147177864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52321.339115551476</v>
      </c>
      <c r="AK140">
        <f t="shared" si="56"/>
        <v>1800</v>
      </c>
      <c r="AL140">
        <f t="shared" si="57"/>
        <v>1499.1139350000001</v>
      </c>
      <c r="AM140">
        <f t="shared" si="58"/>
        <v>0.83284107500000004</v>
      </c>
      <c r="AN140">
        <f t="shared" si="59"/>
        <v>0.15339705144999999</v>
      </c>
      <c r="AO140">
        <v>32.700000000000003</v>
      </c>
      <c r="AP140">
        <v>0.5</v>
      </c>
      <c r="AQ140" t="s">
        <v>331</v>
      </c>
      <c r="AR140">
        <v>2</v>
      </c>
      <c r="AS140">
        <v>1690302269.5999999</v>
      </c>
      <c r="AT140">
        <v>469.94299999999998</v>
      </c>
      <c r="AU140">
        <v>800.173</v>
      </c>
      <c r="AV140">
        <v>24.5245</v>
      </c>
      <c r="AW140">
        <v>2.5345200000000001</v>
      </c>
      <c r="AX140">
        <v>470.02600000000001</v>
      </c>
      <c r="AY140">
        <v>24.242999999999999</v>
      </c>
      <c r="AZ140">
        <v>300.26100000000002</v>
      </c>
      <c r="BA140">
        <v>99.314899999999994</v>
      </c>
      <c r="BB140">
        <v>0.100075</v>
      </c>
      <c r="BC140">
        <v>26.791499999999999</v>
      </c>
      <c r="BD140">
        <v>26.977799999999998</v>
      </c>
      <c r="BE140">
        <v>28.2057</v>
      </c>
      <c r="BF140">
        <v>0</v>
      </c>
      <c r="BG140">
        <v>0</v>
      </c>
      <c r="BH140">
        <v>9954.3799999999992</v>
      </c>
      <c r="BI140">
        <v>1079.4100000000001</v>
      </c>
      <c r="BJ140">
        <v>1.90625</v>
      </c>
      <c r="BK140">
        <v>-330.23</v>
      </c>
      <c r="BL140">
        <v>481.75799999999998</v>
      </c>
      <c r="BM140">
        <v>802.20600000000002</v>
      </c>
      <c r="BN140">
        <v>21.99</v>
      </c>
      <c r="BO140">
        <v>800.173</v>
      </c>
      <c r="BP140">
        <v>2.5345200000000001</v>
      </c>
      <c r="BQ140">
        <v>2.4356499999999999</v>
      </c>
      <c r="BR140">
        <v>0.251716</v>
      </c>
      <c r="BS140">
        <v>20.602699999999999</v>
      </c>
      <c r="BT140">
        <v>-11.6747</v>
      </c>
      <c r="BU140">
        <v>1800</v>
      </c>
      <c r="BV140">
        <v>0.91001500000000002</v>
      </c>
      <c r="BW140">
        <v>3.3995299999999999E-2</v>
      </c>
      <c r="BX140">
        <v>2.1996999999999999E-2</v>
      </c>
      <c r="BY140">
        <v>3.3992500000000002E-2</v>
      </c>
      <c r="BZ140">
        <v>25.666699999999999</v>
      </c>
      <c r="CA140">
        <v>33528.400000000001</v>
      </c>
      <c r="CB140">
        <v>1690300477.5</v>
      </c>
      <c r="CC140" t="s">
        <v>332</v>
      </c>
      <c r="CD140">
        <v>1690300477.5</v>
      </c>
      <c r="CE140">
        <v>1690300465.5</v>
      </c>
      <c r="CF140">
        <v>7</v>
      </c>
      <c r="CG140">
        <v>5.0999999999999997E-2</v>
      </c>
      <c r="CH140">
        <v>-8.0000000000000002E-3</v>
      </c>
      <c r="CI140">
        <v>-0.316</v>
      </c>
      <c r="CJ140">
        <v>0.28199999999999997</v>
      </c>
      <c r="CK140">
        <v>800</v>
      </c>
      <c r="CL140">
        <v>24</v>
      </c>
      <c r="CM140">
        <v>0.25</v>
      </c>
      <c r="CN140">
        <v>0.13</v>
      </c>
      <c r="CO140">
        <v>-327.5588292682927</v>
      </c>
      <c r="CP140">
        <v>-13.819609756097879</v>
      </c>
      <c r="CQ140">
        <v>1.364784319642985</v>
      </c>
      <c r="CR140">
        <v>-1</v>
      </c>
      <c r="CS140">
        <v>21.721858536585369</v>
      </c>
      <c r="CT140">
        <v>1.435323344947846</v>
      </c>
      <c r="CU140">
        <v>0.14162040292517081</v>
      </c>
      <c r="CV140">
        <v>-1</v>
      </c>
      <c r="CW140">
        <v>0</v>
      </c>
      <c r="CX140">
        <v>0</v>
      </c>
      <c r="CY140" t="s">
        <v>333</v>
      </c>
      <c r="CZ140">
        <v>2.36497</v>
      </c>
      <c r="DA140">
        <v>2.7138300000000002</v>
      </c>
      <c r="DB140">
        <v>0.101287</v>
      </c>
      <c r="DC140">
        <v>0.14643100000000001</v>
      </c>
      <c r="DD140">
        <v>0.115652</v>
      </c>
      <c r="DE140">
        <v>1.8939299999999999E-2</v>
      </c>
      <c r="DF140">
        <v>32833.599999999999</v>
      </c>
      <c r="DG140">
        <v>27533.200000000001</v>
      </c>
      <c r="DH140">
        <v>31188.6</v>
      </c>
      <c r="DI140">
        <v>28107</v>
      </c>
      <c r="DJ140">
        <v>37442.9</v>
      </c>
      <c r="DK140">
        <v>39219.599999999999</v>
      </c>
      <c r="DL140">
        <v>44387.7</v>
      </c>
      <c r="DM140">
        <v>42604.2</v>
      </c>
      <c r="DN140">
        <v>1.48353</v>
      </c>
      <c r="DO140">
        <v>2.0374300000000001</v>
      </c>
      <c r="DP140">
        <v>9.2200900000000002E-2</v>
      </c>
      <c r="DQ140">
        <v>0.17830699999999999</v>
      </c>
      <c r="DR140">
        <v>25.468</v>
      </c>
      <c r="DS140">
        <v>25.288399999999999</v>
      </c>
      <c r="DT140">
        <v>45.6</v>
      </c>
      <c r="DU140">
        <v>28.9</v>
      </c>
      <c r="DV140">
        <v>18.3597</v>
      </c>
      <c r="DW140">
        <v>61.881100000000004</v>
      </c>
      <c r="DX140">
        <v>36.045699999999997</v>
      </c>
      <c r="DY140">
        <v>1</v>
      </c>
      <c r="DZ140">
        <v>-0.10659</v>
      </c>
      <c r="EA140">
        <v>-0.37275900000000001</v>
      </c>
      <c r="EB140">
        <v>20.1891</v>
      </c>
      <c r="EC140">
        <v>5.2428999999999997</v>
      </c>
      <c r="ED140">
        <v>12.039899999999999</v>
      </c>
      <c r="EE140">
        <v>5.0172499999999998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1.8646199999999999</v>
      </c>
      <c r="EM140">
        <v>1.8691899999999999</v>
      </c>
      <c r="EN140">
        <v>1.8672299999999999</v>
      </c>
      <c r="EO140">
        <v>1.8633599999999999</v>
      </c>
      <c r="EP140">
        <v>1.86446</v>
      </c>
      <c r="EQ140">
        <v>1.87015</v>
      </c>
      <c r="ER140">
        <v>1.8694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-8.3000000000000004E-2</v>
      </c>
      <c r="FG140">
        <v>0.28149999999999997</v>
      </c>
      <c r="FH140">
        <v>0.23539598422606861</v>
      </c>
      <c r="FI140">
        <v>-6.1462078757559423E-4</v>
      </c>
      <c r="FJ140">
        <v>-1.8861989874597051E-7</v>
      </c>
      <c r="FK140">
        <v>1.1980462299894961E-10</v>
      </c>
      <c r="FL140">
        <v>0.28151999999999688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29.9</v>
      </c>
      <c r="FU140">
        <v>30.1</v>
      </c>
      <c r="FV140">
        <v>1.7687999999999999</v>
      </c>
      <c r="FW140">
        <v>2.5915499999999998</v>
      </c>
      <c r="FX140">
        <v>1.5490699999999999</v>
      </c>
      <c r="FY140">
        <v>2.3290999999999999</v>
      </c>
      <c r="FZ140">
        <v>1.50146</v>
      </c>
      <c r="GA140">
        <v>2.34985</v>
      </c>
      <c r="GB140">
        <v>33.602899999999998</v>
      </c>
      <c r="GC140">
        <v>23.982399999999998</v>
      </c>
      <c r="GD140">
        <v>19</v>
      </c>
      <c r="GE140">
        <v>285.35500000000002</v>
      </c>
      <c r="GF140">
        <v>582.25900000000001</v>
      </c>
      <c r="GG140">
        <v>25.3873</v>
      </c>
      <c r="GH140">
        <v>26.073499999999999</v>
      </c>
      <c r="GI140">
        <v>30</v>
      </c>
      <c r="GJ140">
        <v>26.203499999999998</v>
      </c>
      <c r="GK140">
        <v>26.181999999999999</v>
      </c>
      <c r="GL140">
        <v>35.371299999999998</v>
      </c>
      <c r="GM140">
        <v>83.3352</v>
      </c>
      <c r="GN140">
        <v>57.508499999999998</v>
      </c>
      <c r="GO140">
        <v>25.395700000000001</v>
      </c>
      <c r="GP140">
        <v>800</v>
      </c>
      <c r="GQ140">
        <v>2.3018100000000001</v>
      </c>
      <c r="GR140">
        <v>99.794600000000003</v>
      </c>
      <c r="GS140">
        <v>99.662599999999998</v>
      </c>
    </row>
    <row r="141" spans="1:201" x14ac:dyDescent="0.25">
      <c r="A141">
        <v>125</v>
      </c>
      <c r="B141">
        <v>1690302279.5999999</v>
      </c>
      <c r="C141">
        <v>1375.599999904633</v>
      </c>
      <c r="D141" t="s">
        <v>581</v>
      </c>
      <c r="E141" t="s">
        <v>582</v>
      </c>
      <c r="F141" t="s">
        <v>330</v>
      </c>
      <c r="H141">
        <v>1690302279.5999999</v>
      </c>
      <c r="I141">
        <f t="shared" si="30"/>
        <v>2.092820132707019E-3</v>
      </c>
      <c r="J141">
        <f t="shared" si="31"/>
        <v>2.0928201327070188</v>
      </c>
      <c r="K141">
        <f t="shared" si="32"/>
        <v>29.530841605834688</v>
      </c>
      <c r="L141">
        <f t="shared" si="33"/>
        <v>467.77699999999999</v>
      </c>
      <c r="M141">
        <f t="shared" si="34"/>
        <v>130.92883910562182</v>
      </c>
      <c r="N141">
        <f t="shared" si="35"/>
        <v>13.015996120004896</v>
      </c>
      <c r="O141">
        <f t="shared" si="36"/>
        <v>46.5029985648601</v>
      </c>
      <c r="P141">
        <f t="shared" si="37"/>
        <v>0.14799148660863781</v>
      </c>
      <c r="Q141">
        <f t="shared" si="38"/>
        <v>2.1189628145316419</v>
      </c>
      <c r="R141">
        <f t="shared" si="39"/>
        <v>0.14247979745796058</v>
      </c>
      <c r="S141">
        <f t="shared" si="40"/>
        <v>8.9527974095472473E-2</v>
      </c>
      <c r="T141">
        <f t="shared" si="41"/>
        <v>276.11459344799999</v>
      </c>
      <c r="U141">
        <f t="shared" si="42"/>
        <v>28.254955496937491</v>
      </c>
      <c r="V141">
        <f t="shared" si="43"/>
        <v>28.254955496937491</v>
      </c>
      <c r="W141">
        <f t="shared" si="44"/>
        <v>3.8516095250916722</v>
      </c>
      <c r="X141">
        <f t="shared" si="45"/>
        <v>68.932976138029844</v>
      </c>
      <c r="Y141">
        <f t="shared" si="46"/>
        <v>2.4375708380506098</v>
      </c>
      <c r="Z141">
        <f t="shared" si="47"/>
        <v>3.5361462316231242</v>
      </c>
      <c r="AA141">
        <f t="shared" si="48"/>
        <v>1.4140386870410624</v>
      </c>
      <c r="AB141">
        <f t="shared" si="49"/>
        <v>-92.293367852379532</v>
      </c>
      <c r="AC141">
        <f t="shared" si="50"/>
        <v>-166.86166630190519</v>
      </c>
      <c r="AD141">
        <f t="shared" si="51"/>
        <v>-17.083907727226531</v>
      </c>
      <c r="AE141">
        <f t="shared" si="52"/>
        <v>-0.12434843351124414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52625.417568854311</v>
      </c>
      <c r="AK141">
        <f t="shared" si="56"/>
        <v>1800</v>
      </c>
      <c r="AL141">
        <f t="shared" si="57"/>
        <v>1499.1145038</v>
      </c>
      <c r="AM141">
        <f t="shared" si="58"/>
        <v>0.83284139099999999</v>
      </c>
      <c r="AN141">
        <f t="shared" si="59"/>
        <v>0.15339699635999998</v>
      </c>
      <c r="AO141">
        <v>32.700000000000003</v>
      </c>
      <c r="AP141">
        <v>0.5</v>
      </c>
      <c r="AQ141" t="s">
        <v>331</v>
      </c>
      <c r="AR141">
        <v>2</v>
      </c>
      <c r="AS141">
        <v>1690302279.5999999</v>
      </c>
      <c r="AT141">
        <v>467.77699999999999</v>
      </c>
      <c r="AU141">
        <v>800.17</v>
      </c>
      <c r="AV141">
        <v>24.5197</v>
      </c>
      <c r="AW141">
        <v>2.27827</v>
      </c>
      <c r="AX141">
        <v>467.858</v>
      </c>
      <c r="AY141">
        <v>24.238199999999999</v>
      </c>
      <c r="AZ141">
        <v>300.14800000000002</v>
      </c>
      <c r="BA141">
        <v>99.312799999999996</v>
      </c>
      <c r="BB141">
        <v>9.9951300000000007E-2</v>
      </c>
      <c r="BC141">
        <v>26.7943</v>
      </c>
      <c r="BD141">
        <v>26.992100000000001</v>
      </c>
      <c r="BE141">
        <v>28.198</v>
      </c>
      <c r="BF141">
        <v>0</v>
      </c>
      <c r="BG141">
        <v>0</v>
      </c>
      <c r="BH141">
        <v>10015</v>
      </c>
      <c r="BI141">
        <v>1079.45</v>
      </c>
      <c r="BJ141">
        <v>1.90625</v>
      </c>
      <c r="BK141">
        <v>-332.39299999999997</v>
      </c>
      <c r="BL141">
        <v>479.53500000000003</v>
      </c>
      <c r="BM141">
        <v>801.99699999999996</v>
      </c>
      <c r="BN141">
        <v>22.241399999999999</v>
      </c>
      <c r="BO141">
        <v>800.17</v>
      </c>
      <c r="BP141">
        <v>2.27827</v>
      </c>
      <c r="BQ141">
        <v>2.43512</v>
      </c>
      <c r="BR141">
        <v>0.22626099999999999</v>
      </c>
      <c r="BS141">
        <v>20.5992</v>
      </c>
      <c r="BT141">
        <v>-12.9961</v>
      </c>
      <c r="BU141">
        <v>1800</v>
      </c>
      <c r="BV141">
        <v>0.91001799999999999</v>
      </c>
      <c r="BW141">
        <v>3.3994200000000002E-2</v>
      </c>
      <c r="BX141">
        <v>2.19963E-2</v>
      </c>
      <c r="BY141">
        <v>3.3991399999999998E-2</v>
      </c>
      <c r="BZ141">
        <v>25.666699999999999</v>
      </c>
      <c r="CA141">
        <v>33528.5</v>
      </c>
      <c r="CB141">
        <v>1690300477.5</v>
      </c>
      <c r="CC141" t="s">
        <v>332</v>
      </c>
      <c r="CD141">
        <v>1690300477.5</v>
      </c>
      <c r="CE141">
        <v>1690300465.5</v>
      </c>
      <c r="CF141">
        <v>7</v>
      </c>
      <c r="CG141">
        <v>5.0999999999999997E-2</v>
      </c>
      <c r="CH141">
        <v>-8.0000000000000002E-3</v>
      </c>
      <c r="CI141">
        <v>-0.316</v>
      </c>
      <c r="CJ141">
        <v>0.28199999999999997</v>
      </c>
      <c r="CK141">
        <v>800</v>
      </c>
      <c r="CL141">
        <v>24</v>
      </c>
      <c r="CM141">
        <v>0.25</v>
      </c>
      <c r="CN141">
        <v>0.13</v>
      </c>
      <c r="CO141">
        <v>-329.89502439024392</v>
      </c>
      <c r="CP141">
        <v>-13.63547038327548</v>
      </c>
      <c r="CQ141">
        <v>1.3465409069312611</v>
      </c>
      <c r="CR141">
        <v>-1</v>
      </c>
      <c r="CS141">
        <v>21.968129268292682</v>
      </c>
      <c r="CT141">
        <v>1.5247191637631321</v>
      </c>
      <c r="CU141">
        <v>0.15035872267624001</v>
      </c>
      <c r="CV141">
        <v>-1</v>
      </c>
      <c r="CW141">
        <v>0</v>
      </c>
      <c r="CX141">
        <v>0</v>
      </c>
      <c r="CY141" t="s">
        <v>333</v>
      </c>
      <c r="CZ141">
        <v>2.3646400000000001</v>
      </c>
      <c r="DA141">
        <v>2.7137600000000002</v>
      </c>
      <c r="DB141">
        <v>0.10094</v>
      </c>
      <c r="DC141">
        <v>0.146423</v>
      </c>
      <c r="DD141">
        <v>0.115634</v>
      </c>
      <c r="DE141">
        <v>1.72169E-2</v>
      </c>
      <c r="DF141">
        <v>32846.400000000001</v>
      </c>
      <c r="DG141">
        <v>27533.5</v>
      </c>
      <c r="DH141">
        <v>31188.7</v>
      </c>
      <c r="DI141">
        <v>28107.1</v>
      </c>
      <c r="DJ141">
        <v>37443.9</v>
      </c>
      <c r="DK141">
        <v>39288.800000000003</v>
      </c>
      <c r="DL141">
        <v>44388</v>
      </c>
      <c r="DM141">
        <v>42604.3</v>
      </c>
      <c r="DN141">
        <v>1.48342</v>
      </c>
      <c r="DO141">
        <v>2.0373000000000001</v>
      </c>
      <c r="DP141">
        <v>9.3076400000000004E-2</v>
      </c>
      <c r="DQ141">
        <v>0.177838</v>
      </c>
      <c r="DR141">
        <v>25.468</v>
      </c>
      <c r="DS141">
        <v>25.288399999999999</v>
      </c>
      <c r="DT141">
        <v>45.2</v>
      </c>
      <c r="DU141">
        <v>28.9</v>
      </c>
      <c r="DV141">
        <v>18.198799999999999</v>
      </c>
      <c r="DW141">
        <v>61.3611</v>
      </c>
      <c r="DX141">
        <v>36.546500000000002</v>
      </c>
      <c r="DY141">
        <v>1</v>
      </c>
      <c r="DZ141">
        <v>-0.10660600000000001</v>
      </c>
      <c r="EA141">
        <v>-0.41175699999999998</v>
      </c>
      <c r="EB141">
        <v>20.1891</v>
      </c>
      <c r="EC141">
        <v>5.242</v>
      </c>
      <c r="ED141">
        <v>12.039899999999999</v>
      </c>
      <c r="EE141">
        <v>5.0174500000000002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1.8689100000000001</v>
      </c>
      <c r="EL141">
        <v>1.8646199999999999</v>
      </c>
      <c r="EM141">
        <v>1.8691899999999999</v>
      </c>
      <c r="EN141">
        <v>1.8672299999999999</v>
      </c>
      <c r="EO141">
        <v>1.8633900000000001</v>
      </c>
      <c r="EP141">
        <v>1.8644700000000001</v>
      </c>
      <c r="EQ141">
        <v>1.87016</v>
      </c>
      <c r="ER141">
        <v>1.86941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-8.1000000000000003E-2</v>
      </c>
      <c r="FG141">
        <v>0.28149999999999997</v>
      </c>
      <c r="FH141">
        <v>0.23539598422606861</v>
      </c>
      <c r="FI141">
        <v>-6.1462078757559423E-4</v>
      </c>
      <c r="FJ141">
        <v>-1.8861989874597051E-7</v>
      </c>
      <c r="FK141">
        <v>1.1980462299894961E-10</v>
      </c>
      <c r="FL141">
        <v>0.28151999999999688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</v>
      </c>
      <c r="FU141">
        <v>30.2</v>
      </c>
      <c r="FV141">
        <v>1.7687999999999999</v>
      </c>
      <c r="FW141">
        <v>2.5891099999999998</v>
      </c>
      <c r="FX141">
        <v>1.5490699999999999</v>
      </c>
      <c r="FY141">
        <v>2.3278799999999999</v>
      </c>
      <c r="FZ141">
        <v>1.50146</v>
      </c>
      <c r="GA141">
        <v>2.36084</v>
      </c>
      <c r="GB141">
        <v>33.602899999999998</v>
      </c>
      <c r="GC141">
        <v>23.991199999999999</v>
      </c>
      <c r="GD141">
        <v>19</v>
      </c>
      <c r="GE141">
        <v>285.3</v>
      </c>
      <c r="GF141">
        <v>582.12099999999998</v>
      </c>
      <c r="GG141">
        <v>25.417999999999999</v>
      </c>
      <c r="GH141">
        <v>26.072199999999999</v>
      </c>
      <c r="GI141">
        <v>30</v>
      </c>
      <c r="GJ141">
        <v>26.200700000000001</v>
      </c>
      <c r="GK141">
        <v>26.178899999999999</v>
      </c>
      <c r="GL141">
        <v>35.358600000000003</v>
      </c>
      <c r="GM141">
        <v>84.881699999999995</v>
      </c>
      <c r="GN141">
        <v>56.347200000000001</v>
      </c>
      <c r="GO141">
        <v>25.427700000000002</v>
      </c>
      <c r="GP141">
        <v>800</v>
      </c>
      <c r="GQ141">
        <v>2.0440299999999998</v>
      </c>
      <c r="GR141">
        <v>99.795199999999994</v>
      </c>
      <c r="GS141">
        <v>99.662899999999993</v>
      </c>
    </row>
    <row r="142" spans="1:201" x14ac:dyDescent="0.25">
      <c r="A142">
        <v>126</v>
      </c>
      <c r="B142">
        <v>1690302289.5999999</v>
      </c>
      <c r="C142">
        <v>1385.599999904633</v>
      </c>
      <c r="D142" t="s">
        <v>583</v>
      </c>
      <c r="E142" t="s">
        <v>584</v>
      </c>
      <c r="F142" t="s">
        <v>330</v>
      </c>
      <c r="H142">
        <v>1690302289.5999999</v>
      </c>
      <c r="I142">
        <f t="shared" si="30"/>
        <v>2.1171470747747955E-3</v>
      </c>
      <c r="J142">
        <f t="shared" si="31"/>
        <v>2.1171470747747954</v>
      </c>
      <c r="K142">
        <f t="shared" si="32"/>
        <v>29.732948900572321</v>
      </c>
      <c r="L142">
        <f t="shared" si="33"/>
        <v>465.41699999999997</v>
      </c>
      <c r="M142">
        <f t="shared" si="34"/>
        <v>130.51045382549285</v>
      </c>
      <c r="N142">
        <f t="shared" si="35"/>
        <v>12.974642918448124</v>
      </c>
      <c r="O142">
        <f t="shared" si="36"/>
        <v>46.269239023945794</v>
      </c>
      <c r="P142">
        <f t="shared" si="37"/>
        <v>0.14993191918572746</v>
      </c>
      <c r="Q142">
        <f t="shared" si="38"/>
        <v>2.1186978203551057</v>
      </c>
      <c r="R142">
        <f t="shared" si="39"/>
        <v>0.14427703786394799</v>
      </c>
      <c r="S142">
        <f t="shared" si="40"/>
        <v>9.0663447102563396E-2</v>
      </c>
      <c r="T142">
        <f t="shared" si="41"/>
        <v>276.11463092400004</v>
      </c>
      <c r="U142">
        <f t="shared" si="42"/>
        <v>28.249891551446481</v>
      </c>
      <c r="V142">
        <f t="shared" si="43"/>
        <v>28.249891551446481</v>
      </c>
      <c r="W142">
        <f t="shared" si="44"/>
        <v>3.8504747873752749</v>
      </c>
      <c r="X142">
        <f t="shared" si="45"/>
        <v>68.925648002180765</v>
      </c>
      <c r="Y142">
        <f t="shared" si="46"/>
        <v>2.4377848634703598</v>
      </c>
      <c r="Z142">
        <f t="shared" si="47"/>
        <v>3.5368327090566196</v>
      </c>
      <c r="AA142">
        <f t="shared" si="48"/>
        <v>1.4126899239049151</v>
      </c>
      <c r="AB142">
        <f t="shared" si="49"/>
        <v>-93.366185997568479</v>
      </c>
      <c r="AC142">
        <f t="shared" si="50"/>
        <v>-165.88544191564688</v>
      </c>
      <c r="AD142">
        <f t="shared" si="51"/>
        <v>-16.985931861134926</v>
      </c>
      <c r="AE142">
        <f t="shared" si="52"/>
        <v>-0.12292885035026302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52613.249548593943</v>
      </c>
      <c r="AK142">
        <f t="shared" si="56"/>
        <v>1800</v>
      </c>
      <c r="AL142">
        <f t="shared" si="57"/>
        <v>1499.1153354</v>
      </c>
      <c r="AM142">
        <f t="shared" si="58"/>
        <v>0.83284185300000002</v>
      </c>
      <c r="AN142">
        <f t="shared" si="59"/>
        <v>0.15339701718000001</v>
      </c>
      <c r="AO142">
        <v>32.700000000000003</v>
      </c>
      <c r="AP142">
        <v>0.5</v>
      </c>
      <c r="AQ142" t="s">
        <v>331</v>
      </c>
      <c r="AR142">
        <v>2</v>
      </c>
      <c r="AS142">
        <v>1690302289.5999999</v>
      </c>
      <c r="AT142">
        <v>465.41699999999997</v>
      </c>
      <c r="AU142">
        <v>800.08699999999999</v>
      </c>
      <c r="AV142">
        <v>24.5214</v>
      </c>
      <c r="AW142">
        <v>2.0211000000000001</v>
      </c>
      <c r="AX142">
        <v>465.49599999999998</v>
      </c>
      <c r="AY142">
        <v>24.239899999999999</v>
      </c>
      <c r="AZ142">
        <v>300.14299999999997</v>
      </c>
      <c r="BA142">
        <v>99.314700000000002</v>
      </c>
      <c r="BB142">
        <v>9.9887400000000001E-2</v>
      </c>
      <c r="BC142">
        <v>26.797599999999999</v>
      </c>
      <c r="BD142">
        <v>27.002800000000001</v>
      </c>
      <c r="BE142">
        <v>28.190899999999999</v>
      </c>
      <c r="BF142">
        <v>0</v>
      </c>
      <c r="BG142">
        <v>0</v>
      </c>
      <c r="BH142">
        <v>10012.5</v>
      </c>
      <c r="BI142">
        <v>1079.4000000000001</v>
      </c>
      <c r="BJ142">
        <v>1.90625</v>
      </c>
      <c r="BK142">
        <v>-334.67</v>
      </c>
      <c r="BL142">
        <v>477.11599999999999</v>
      </c>
      <c r="BM142">
        <v>801.70699999999999</v>
      </c>
      <c r="BN142">
        <v>22.500299999999999</v>
      </c>
      <c r="BO142">
        <v>800.08699999999999</v>
      </c>
      <c r="BP142">
        <v>2.0211000000000001</v>
      </c>
      <c r="BQ142">
        <v>2.43533</v>
      </c>
      <c r="BR142">
        <v>0.20072499999999999</v>
      </c>
      <c r="BS142">
        <v>20.6007</v>
      </c>
      <c r="BT142">
        <v>-14.462400000000001</v>
      </c>
      <c r="BU142">
        <v>1800</v>
      </c>
      <c r="BV142">
        <v>0.91002000000000005</v>
      </c>
      <c r="BW142">
        <v>3.3993599999999999E-2</v>
      </c>
      <c r="BX142">
        <v>2.1995899999999999E-2</v>
      </c>
      <c r="BY142">
        <v>3.3990800000000002E-2</v>
      </c>
      <c r="BZ142">
        <v>25.666699999999999</v>
      </c>
      <c r="CA142">
        <v>33528.5</v>
      </c>
      <c r="CB142">
        <v>1690300477.5</v>
      </c>
      <c r="CC142" t="s">
        <v>332</v>
      </c>
      <c r="CD142">
        <v>1690300477.5</v>
      </c>
      <c r="CE142">
        <v>1690300465.5</v>
      </c>
      <c r="CF142">
        <v>7</v>
      </c>
      <c r="CG142">
        <v>5.0999999999999997E-2</v>
      </c>
      <c r="CH142">
        <v>-8.0000000000000002E-3</v>
      </c>
      <c r="CI142">
        <v>-0.316</v>
      </c>
      <c r="CJ142">
        <v>0.28199999999999997</v>
      </c>
      <c r="CK142">
        <v>800</v>
      </c>
      <c r="CL142">
        <v>24</v>
      </c>
      <c r="CM142">
        <v>0.25</v>
      </c>
      <c r="CN142">
        <v>0.13</v>
      </c>
      <c r="CO142">
        <v>-332.11094999999989</v>
      </c>
      <c r="CP142">
        <v>-13.30453283301939</v>
      </c>
      <c r="CQ142">
        <v>1.2809399663918619</v>
      </c>
      <c r="CR142">
        <v>-1</v>
      </c>
      <c r="CS142">
        <v>22.215722499999998</v>
      </c>
      <c r="CT142">
        <v>1.529929080675432</v>
      </c>
      <c r="CU142">
        <v>0.1471974991083411</v>
      </c>
      <c r="CV142">
        <v>-1</v>
      </c>
      <c r="CW142">
        <v>0</v>
      </c>
      <c r="CX142">
        <v>0</v>
      </c>
      <c r="CY142" t="s">
        <v>333</v>
      </c>
      <c r="CZ142">
        <v>2.3646400000000001</v>
      </c>
      <c r="DA142">
        <v>2.7136900000000002</v>
      </c>
      <c r="DB142">
        <v>0.100564</v>
      </c>
      <c r="DC142">
        <v>0.14641199999999999</v>
      </c>
      <c r="DD142">
        <v>0.115643</v>
      </c>
      <c r="DE142">
        <v>1.5453100000000001E-2</v>
      </c>
      <c r="DF142">
        <v>32860.199999999997</v>
      </c>
      <c r="DG142">
        <v>27533.9</v>
      </c>
      <c r="DH142">
        <v>31188.799999999999</v>
      </c>
      <c r="DI142">
        <v>28107.1</v>
      </c>
      <c r="DJ142">
        <v>37443.699999999997</v>
      </c>
      <c r="DK142">
        <v>39359.4</v>
      </c>
      <c r="DL142">
        <v>44388.3</v>
      </c>
      <c r="DM142">
        <v>42604.2</v>
      </c>
      <c r="DN142">
        <v>1.4835700000000001</v>
      </c>
      <c r="DO142">
        <v>2.0369799999999998</v>
      </c>
      <c r="DP142">
        <v>9.3601599999999993E-2</v>
      </c>
      <c r="DQ142">
        <v>0.17729</v>
      </c>
      <c r="DR142">
        <v>25.470199999999998</v>
      </c>
      <c r="DS142">
        <v>25.290299999999998</v>
      </c>
      <c r="DT142">
        <v>44.8</v>
      </c>
      <c r="DU142">
        <v>28.9</v>
      </c>
      <c r="DV142">
        <v>18.035299999999999</v>
      </c>
      <c r="DW142">
        <v>61.771099999999997</v>
      </c>
      <c r="DX142">
        <v>37.007199999999997</v>
      </c>
      <c r="DY142">
        <v>1</v>
      </c>
      <c r="DZ142">
        <v>-0.106738</v>
      </c>
      <c r="EA142">
        <v>-0.371114</v>
      </c>
      <c r="EB142">
        <v>20.1892</v>
      </c>
      <c r="EC142">
        <v>5.2418500000000003</v>
      </c>
      <c r="ED142">
        <v>12.039899999999999</v>
      </c>
      <c r="EE142">
        <v>5.0173500000000004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1.8689100000000001</v>
      </c>
      <c r="EL142">
        <v>1.8646199999999999</v>
      </c>
      <c r="EM142">
        <v>1.8692</v>
      </c>
      <c r="EN142">
        <v>1.8672299999999999</v>
      </c>
      <c r="EO142">
        <v>1.86338</v>
      </c>
      <c r="EP142">
        <v>1.8644700000000001</v>
      </c>
      <c r="EQ142">
        <v>1.87016</v>
      </c>
      <c r="ER142">
        <v>1.86941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-7.9000000000000001E-2</v>
      </c>
      <c r="FG142">
        <v>0.28149999999999997</v>
      </c>
      <c r="FH142">
        <v>0.23539598422606861</v>
      </c>
      <c r="FI142">
        <v>-6.1462078757559423E-4</v>
      </c>
      <c r="FJ142">
        <v>-1.8861989874597051E-7</v>
      </c>
      <c r="FK142">
        <v>1.1980462299894961E-10</v>
      </c>
      <c r="FL142">
        <v>0.28151999999999688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30.2</v>
      </c>
      <c r="FU142">
        <v>30.4</v>
      </c>
      <c r="FV142">
        <v>1.7675799999999999</v>
      </c>
      <c r="FW142">
        <v>2.5878899999999998</v>
      </c>
      <c r="FX142">
        <v>1.5490699999999999</v>
      </c>
      <c r="FY142">
        <v>2.3290999999999999</v>
      </c>
      <c r="FZ142">
        <v>1.50146</v>
      </c>
      <c r="GA142">
        <v>2.3999000000000001</v>
      </c>
      <c r="GB142">
        <v>33.602899999999998</v>
      </c>
      <c r="GC142">
        <v>23.991199999999999</v>
      </c>
      <c r="GD142">
        <v>19</v>
      </c>
      <c r="GE142">
        <v>285.35599999999999</v>
      </c>
      <c r="GF142">
        <v>581.82799999999997</v>
      </c>
      <c r="GG142">
        <v>25.438800000000001</v>
      </c>
      <c r="GH142">
        <v>26.07</v>
      </c>
      <c r="GI142">
        <v>29.9999</v>
      </c>
      <c r="GJ142">
        <v>26.199000000000002</v>
      </c>
      <c r="GK142">
        <v>26.1767</v>
      </c>
      <c r="GL142">
        <v>35.354999999999997</v>
      </c>
      <c r="GM142">
        <v>86.510400000000004</v>
      </c>
      <c r="GN142">
        <v>55.179099999999998</v>
      </c>
      <c r="GO142">
        <v>25.4373</v>
      </c>
      <c r="GP142">
        <v>800</v>
      </c>
      <c r="GQ142">
        <v>1.78329</v>
      </c>
      <c r="GR142">
        <v>99.795699999999997</v>
      </c>
      <c r="GS142">
        <v>99.662700000000001</v>
      </c>
    </row>
    <row r="143" spans="1:201" x14ac:dyDescent="0.25">
      <c r="A143">
        <v>127</v>
      </c>
      <c r="B143">
        <v>1690302299.5999999</v>
      </c>
      <c r="C143">
        <v>1395.599999904633</v>
      </c>
      <c r="D143" t="s">
        <v>585</v>
      </c>
      <c r="E143" t="s">
        <v>586</v>
      </c>
      <c r="F143" t="s">
        <v>330</v>
      </c>
      <c r="H143">
        <v>1690302299.5999999</v>
      </c>
      <c r="I143">
        <f t="shared" si="30"/>
        <v>2.1391267654213369E-3</v>
      </c>
      <c r="J143">
        <f t="shared" si="31"/>
        <v>2.1391267654213371</v>
      </c>
      <c r="K143">
        <f t="shared" si="32"/>
        <v>29.917396401810869</v>
      </c>
      <c r="L143">
        <f t="shared" si="33"/>
        <v>463.23500000000001</v>
      </c>
      <c r="M143">
        <f t="shared" si="34"/>
        <v>129.38695076161571</v>
      </c>
      <c r="N143">
        <f t="shared" si="35"/>
        <v>12.863056370454986</v>
      </c>
      <c r="O143">
        <f t="shared" si="36"/>
        <v>46.052696061645001</v>
      </c>
      <c r="P143">
        <f t="shared" si="37"/>
        <v>0.15139150357767761</v>
      </c>
      <c r="Q143">
        <f t="shared" si="38"/>
        <v>2.1153282216064597</v>
      </c>
      <c r="R143">
        <f t="shared" si="39"/>
        <v>0.14561945811544172</v>
      </c>
      <c r="S143">
        <f t="shared" si="40"/>
        <v>9.1512420725037485E-2</v>
      </c>
      <c r="T143">
        <f t="shared" si="41"/>
        <v>276.11446530599994</v>
      </c>
      <c r="U143">
        <f t="shared" si="42"/>
        <v>28.2500679716373</v>
      </c>
      <c r="V143">
        <f t="shared" si="43"/>
        <v>28.2500679716373</v>
      </c>
      <c r="W143">
        <f t="shared" si="44"/>
        <v>3.8505143150150669</v>
      </c>
      <c r="X143">
        <f t="shared" si="45"/>
        <v>68.859995157353765</v>
      </c>
      <c r="Y143">
        <f t="shared" si="46"/>
        <v>2.4362938470233999</v>
      </c>
      <c r="Z143">
        <f t="shared" si="47"/>
        <v>3.5380395270957559</v>
      </c>
      <c r="AA143">
        <f t="shared" si="48"/>
        <v>1.414220467991667</v>
      </c>
      <c r="AB143">
        <f t="shared" si="49"/>
        <v>-94.33549035508095</v>
      </c>
      <c r="AC143">
        <f t="shared" si="50"/>
        <v>-164.98029410800447</v>
      </c>
      <c r="AD143">
        <f t="shared" si="51"/>
        <v>-16.920662711443541</v>
      </c>
      <c r="AE143">
        <f t="shared" si="52"/>
        <v>-0.12198186852899084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52464.512655691047</v>
      </c>
      <c r="AK143">
        <f t="shared" si="56"/>
        <v>1800</v>
      </c>
      <c r="AL143">
        <f t="shared" si="57"/>
        <v>1499.1149465999997</v>
      </c>
      <c r="AM143">
        <f t="shared" si="58"/>
        <v>0.8328416369999998</v>
      </c>
      <c r="AN143">
        <f t="shared" si="59"/>
        <v>0.15339692516999998</v>
      </c>
      <c r="AO143">
        <v>32.700000000000003</v>
      </c>
      <c r="AP143">
        <v>0.5</v>
      </c>
      <c r="AQ143" t="s">
        <v>331</v>
      </c>
      <c r="AR143">
        <v>2</v>
      </c>
      <c r="AS143">
        <v>1690302299.5999999</v>
      </c>
      <c r="AT143">
        <v>463.23500000000001</v>
      </c>
      <c r="AU143">
        <v>800.07500000000005</v>
      </c>
      <c r="AV143">
        <v>24.5062</v>
      </c>
      <c r="AW143">
        <v>1.7652099999999999</v>
      </c>
      <c r="AX143">
        <v>463.31299999999999</v>
      </c>
      <c r="AY143">
        <v>24.224699999999999</v>
      </c>
      <c r="AZ143">
        <v>300.05399999999997</v>
      </c>
      <c r="BA143">
        <v>99.315399999999997</v>
      </c>
      <c r="BB143">
        <v>0.100007</v>
      </c>
      <c r="BC143">
        <v>26.8034</v>
      </c>
      <c r="BD143">
        <v>26.987500000000001</v>
      </c>
      <c r="BE143">
        <v>28.189499999999999</v>
      </c>
      <c r="BF143">
        <v>0</v>
      </c>
      <c r="BG143">
        <v>0</v>
      </c>
      <c r="BH143">
        <v>9983.1200000000008</v>
      </c>
      <c r="BI143">
        <v>1079.43</v>
      </c>
      <c r="BJ143">
        <v>1.71702</v>
      </c>
      <c r="BK143">
        <v>-336.84100000000001</v>
      </c>
      <c r="BL143">
        <v>474.87200000000001</v>
      </c>
      <c r="BM143">
        <v>801.49</v>
      </c>
      <c r="BN143">
        <v>22.741</v>
      </c>
      <c r="BO143">
        <v>800.07500000000005</v>
      </c>
      <c r="BP143">
        <v>1.7652099999999999</v>
      </c>
      <c r="BQ143">
        <v>2.43384</v>
      </c>
      <c r="BR143">
        <v>0.175312</v>
      </c>
      <c r="BS143">
        <v>20.590699999999998</v>
      </c>
      <c r="BT143">
        <v>-16.097200000000001</v>
      </c>
      <c r="BU143">
        <v>1800</v>
      </c>
      <c r="BV143">
        <v>0.91002099999999997</v>
      </c>
      <c r="BW143">
        <v>3.3993000000000002E-2</v>
      </c>
      <c r="BX143">
        <v>2.1995600000000001E-2</v>
      </c>
      <c r="BY143">
        <v>3.3990300000000001E-2</v>
      </c>
      <c r="BZ143">
        <v>25.666699999999999</v>
      </c>
      <c r="CA143">
        <v>33528.5</v>
      </c>
      <c r="CB143">
        <v>1690300477.5</v>
      </c>
      <c r="CC143" t="s">
        <v>332</v>
      </c>
      <c r="CD143">
        <v>1690300477.5</v>
      </c>
      <c r="CE143">
        <v>1690300465.5</v>
      </c>
      <c r="CF143">
        <v>7</v>
      </c>
      <c r="CG143">
        <v>5.0999999999999997E-2</v>
      </c>
      <c r="CH143">
        <v>-8.0000000000000002E-3</v>
      </c>
      <c r="CI143">
        <v>-0.316</v>
      </c>
      <c r="CJ143">
        <v>0.28199999999999997</v>
      </c>
      <c r="CK143">
        <v>800</v>
      </c>
      <c r="CL143">
        <v>24</v>
      </c>
      <c r="CM143">
        <v>0.25</v>
      </c>
      <c r="CN143">
        <v>0.13</v>
      </c>
      <c r="CO143">
        <v>-334.33642500000002</v>
      </c>
      <c r="CP143">
        <v>-13.396761726077809</v>
      </c>
      <c r="CQ143">
        <v>1.289767283030165</v>
      </c>
      <c r="CR143">
        <v>-1</v>
      </c>
      <c r="CS143">
        <v>22.468129999999999</v>
      </c>
      <c r="CT143">
        <v>1.510484803001884</v>
      </c>
      <c r="CU143">
        <v>0.14533438030968451</v>
      </c>
      <c r="CV143">
        <v>-1</v>
      </c>
      <c r="CW143">
        <v>0</v>
      </c>
      <c r="CX143">
        <v>0</v>
      </c>
      <c r="CY143" t="s">
        <v>333</v>
      </c>
      <c r="CZ143">
        <v>2.36435</v>
      </c>
      <c r="DA143">
        <v>2.7137799999999999</v>
      </c>
      <c r="DB143">
        <v>0.100216</v>
      </c>
      <c r="DC143">
        <v>0.14640700000000001</v>
      </c>
      <c r="DD143">
        <v>0.115594</v>
      </c>
      <c r="DE143">
        <v>1.36601E-2</v>
      </c>
      <c r="DF143">
        <v>32872.800000000003</v>
      </c>
      <c r="DG143">
        <v>27534.2</v>
      </c>
      <c r="DH143">
        <v>31188.6</v>
      </c>
      <c r="DI143">
        <v>28107.200000000001</v>
      </c>
      <c r="DJ143">
        <v>37445.4</v>
      </c>
      <c r="DK143">
        <v>39431.4</v>
      </c>
      <c r="DL143">
        <v>44387.9</v>
      </c>
      <c r="DM143">
        <v>42604.3</v>
      </c>
      <c r="DN143">
        <v>1.48377</v>
      </c>
      <c r="DO143">
        <v>2.0367999999999999</v>
      </c>
      <c r="DP143">
        <v>9.2666600000000002E-2</v>
      </c>
      <c r="DQ143">
        <v>0.17705899999999999</v>
      </c>
      <c r="DR143">
        <v>25.470199999999998</v>
      </c>
      <c r="DS143">
        <v>25.2927</v>
      </c>
      <c r="DT143">
        <v>44.5</v>
      </c>
      <c r="DU143">
        <v>28.9</v>
      </c>
      <c r="DV143">
        <v>17.915800000000001</v>
      </c>
      <c r="DW143">
        <v>61.521099999999997</v>
      </c>
      <c r="DX143">
        <v>37.307699999999997</v>
      </c>
      <c r="DY143">
        <v>1</v>
      </c>
      <c r="DZ143">
        <v>-0.10663599999999999</v>
      </c>
      <c r="EA143">
        <v>-0.22603999999999999</v>
      </c>
      <c r="EB143">
        <v>20.189599999999999</v>
      </c>
      <c r="EC143">
        <v>5.2418500000000003</v>
      </c>
      <c r="ED143">
        <v>12.039899999999999</v>
      </c>
      <c r="EE143">
        <v>5.0175000000000001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1.8689100000000001</v>
      </c>
      <c r="EL143">
        <v>1.8646199999999999</v>
      </c>
      <c r="EM143">
        <v>1.8692</v>
      </c>
      <c r="EN143">
        <v>1.8672200000000001</v>
      </c>
      <c r="EO143">
        <v>1.8633999999999999</v>
      </c>
      <c r="EP143">
        <v>1.8644700000000001</v>
      </c>
      <c r="EQ143">
        <v>1.87016</v>
      </c>
      <c r="ER143">
        <v>1.86941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-7.8E-2</v>
      </c>
      <c r="FG143">
        <v>0.28149999999999997</v>
      </c>
      <c r="FH143">
        <v>0.23539598422606861</v>
      </c>
      <c r="FI143">
        <v>-6.1462078757559423E-4</v>
      </c>
      <c r="FJ143">
        <v>-1.8861989874597051E-7</v>
      </c>
      <c r="FK143">
        <v>1.1980462299894961E-10</v>
      </c>
      <c r="FL143">
        <v>0.28151999999999688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30.4</v>
      </c>
      <c r="FU143">
        <v>30.6</v>
      </c>
      <c r="FV143">
        <v>1.7675799999999999</v>
      </c>
      <c r="FW143">
        <v>2.5854499999999998</v>
      </c>
      <c r="FX143">
        <v>1.5490699999999999</v>
      </c>
      <c r="FY143">
        <v>2.3290999999999999</v>
      </c>
      <c r="FZ143">
        <v>1.50146</v>
      </c>
      <c r="GA143">
        <v>2.33521</v>
      </c>
      <c r="GB143">
        <v>33.602899999999998</v>
      </c>
      <c r="GC143">
        <v>23.982399999999998</v>
      </c>
      <c r="GD143">
        <v>19</v>
      </c>
      <c r="GE143">
        <v>285.43</v>
      </c>
      <c r="GF143">
        <v>581.66</v>
      </c>
      <c r="GG143">
        <v>25.3932</v>
      </c>
      <c r="GH143">
        <v>26.067799999999998</v>
      </c>
      <c r="GI143">
        <v>30</v>
      </c>
      <c r="GJ143">
        <v>26.196300000000001</v>
      </c>
      <c r="GK143">
        <v>26.174499999999998</v>
      </c>
      <c r="GL143">
        <v>35.348300000000002</v>
      </c>
      <c r="GM143">
        <v>88.120400000000004</v>
      </c>
      <c r="GN143">
        <v>54.431100000000001</v>
      </c>
      <c r="GO143">
        <v>25.388500000000001</v>
      </c>
      <c r="GP143">
        <v>800</v>
      </c>
      <c r="GQ143">
        <v>1.5333000000000001</v>
      </c>
      <c r="GR143">
        <v>99.794899999999998</v>
      </c>
      <c r="GS143">
        <v>99.6631</v>
      </c>
    </row>
    <row r="144" spans="1:201" x14ac:dyDescent="0.25">
      <c r="A144">
        <v>128</v>
      </c>
      <c r="B144">
        <v>1690302309.5999999</v>
      </c>
      <c r="C144">
        <v>1405.599999904633</v>
      </c>
      <c r="D144" t="s">
        <v>587</v>
      </c>
      <c r="E144" t="s">
        <v>588</v>
      </c>
      <c r="F144" t="s">
        <v>330</v>
      </c>
      <c r="H144">
        <v>1690302309.5999999</v>
      </c>
      <c r="I144">
        <f t="shared" si="30"/>
        <v>2.1582405048631622E-3</v>
      </c>
      <c r="J144">
        <f t="shared" si="31"/>
        <v>2.1582405048631621</v>
      </c>
      <c r="K144">
        <f t="shared" si="32"/>
        <v>30.11333166760771</v>
      </c>
      <c r="L144">
        <f t="shared" si="33"/>
        <v>461.13900000000001</v>
      </c>
      <c r="M144">
        <f t="shared" si="34"/>
        <v>128.23614359015079</v>
      </c>
      <c r="N144">
        <f t="shared" si="35"/>
        <v>12.748234306970401</v>
      </c>
      <c r="O144">
        <f t="shared" si="36"/>
        <v>45.842832258514207</v>
      </c>
      <c r="P144">
        <f t="shared" si="37"/>
        <v>0.1528513588378981</v>
      </c>
      <c r="Q144">
        <f t="shared" si="38"/>
        <v>2.1164418898435153</v>
      </c>
      <c r="R144">
        <f t="shared" si="39"/>
        <v>0.14697275065482784</v>
      </c>
      <c r="S144">
        <f t="shared" si="40"/>
        <v>9.2367300938622596E-2</v>
      </c>
      <c r="T144">
        <f t="shared" si="41"/>
        <v>276.11441497800001</v>
      </c>
      <c r="U144">
        <f t="shared" si="42"/>
        <v>28.238976523482183</v>
      </c>
      <c r="V144">
        <f t="shared" si="43"/>
        <v>28.238976523482183</v>
      </c>
      <c r="W144">
        <f t="shared" si="44"/>
        <v>3.8480299206073432</v>
      </c>
      <c r="X144">
        <f t="shared" si="45"/>
        <v>68.819347759445321</v>
      </c>
      <c r="Y144">
        <f t="shared" si="46"/>
        <v>2.4343258802241605</v>
      </c>
      <c r="Z144">
        <f t="shared" si="47"/>
        <v>3.5372696189060497</v>
      </c>
      <c r="AA144">
        <f t="shared" si="48"/>
        <v>1.4137040403831826</v>
      </c>
      <c r="AB144">
        <f t="shared" si="49"/>
        <v>-95.178406264465451</v>
      </c>
      <c r="AC144">
        <f t="shared" si="50"/>
        <v>-164.2237759987336</v>
      </c>
      <c r="AD144">
        <f t="shared" si="51"/>
        <v>-16.832966327624629</v>
      </c>
      <c r="AE144">
        <f t="shared" si="52"/>
        <v>-0.12073361282364203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52513.887940058077</v>
      </c>
      <c r="AK144">
        <f t="shared" si="56"/>
        <v>1800</v>
      </c>
      <c r="AL144">
        <f t="shared" si="57"/>
        <v>1499.1150708000002</v>
      </c>
      <c r="AM144">
        <f t="shared" si="58"/>
        <v>0.83284170600000007</v>
      </c>
      <c r="AN144">
        <f t="shared" si="59"/>
        <v>0.15339689720999999</v>
      </c>
      <c r="AO144">
        <v>32.700000000000003</v>
      </c>
      <c r="AP144">
        <v>0.5</v>
      </c>
      <c r="AQ144" t="s">
        <v>331</v>
      </c>
      <c r="AR144">
        <v>2</v>
      </c>
      <c r="AS144">
        <v>1690302309.5999999</v>
      </c>
      <c r="AT144">
        <v>461.13900000000001</v>
      </c>
      <c r="AU144">
        <v>800.13099999999997</v>
      </c>
      <c r="AV144">
        <v>24.487200000000001</v>
      </c>
      <c r="AW144">
        <v>1.5446299999999999</v>
      </c>
      <c r="AX144">
        <v>461.21499999999997</v>
      </c>
      <c r="AY144">
        <v>24.2057</v>
      </c>
      <c r="AZ144">
        <v>300.08100000000002</v>
      </c>
      <c r="BA144">
        <v>99.312200000000004</v>
      </c>
      <c r="BB144">
        <v>9.9977800000000006E-2</v>
      </c>
      <c r="BC144">
        <v>26.799700000000001</v>
      </c>
      <c r="BD144">
        <v>26.970700000000001</v>
      </c>
      <c r="BE144">
        <v>28.1919</v>
      </c>
      <c r="BF144">
        <v>0</v>
      </c>
      <c r="BG144">
        <v>0</v>
      </c>
      <c r="BH144">
        <v>9993.1200000000008</v>
      </c>
      <c r="BI144">
        <v>1079.45</v>
      </c>
      <c r="BJ144">
        <v>1.89924</v>
      </c>
      <c r="BK144">
        <v>-338.99200000000002</v>
      </c>
      <c r="BL144">
        <v>472.714</v>
      </c>
      <c r="BM144">
        <v>801.36900000000003</v>
      </c>
      <c r="BN144">
        <v>22.942599999999999</v>
      </c>
      <c r="BO144">
        <v>800.13099999999997</v>
      </c>
      <c r="BP144">
        <v>1.5446299999999999</v>
      </c>
      <c r="BQ144">
        <v>2.43188</v>
      </c>
      <c r="BR144">
        <v>0.15340100000000001</v>
      </c>
      <c r="BS144">
        <v>20.5776</v>
      </c>
      <c r="BT144">
        <v>-17.686699999999998</v>
      </c>
      <c r="BU144">
        <v>1800</v>
      </c>
      <c r="BV144">
        <v>0.910022</v>
      </c>
      <c r="BW144">
        <v>3.3992700000000001E-2</v>
      </c>
      <c r="BX144">
        <v>2.1995299999999999E-2</v>
      </c>
      <c r="BY144">
        <v>3.3989900000000003E-2</v>
      </c>
      <c r="BZ144">
        <v>25.666699999999999</v>
      </c>
      <c r="CA144">
        <v>33528.5</v>
      </c>
      <c r="CB144">
        <v>1690300477.5</v>
      </c>
      <c r="CC144" t="s">
        <v>332</v>
      </c>
      <c r="CD144">
        <v>1690300477.5</v>
      </c>
      <c r="CE144">
        <v>1690300465.5</v>
      </c>
      <c r="CF144">
        <v>7</v>
      </c>
      <c r="CG144">
        <v>5.0999999999999997E-2</v>
      </c>
      <c r="CH144">
        <v>-8.0000000000000002E-3</v>
      </c>
      <c r="CI144">
        <v>-0.316</v>
      </c>
      <c r="CJ144">
        <v>0.28199999999999997</v>
      </c>
      <c r="CK144">
        <v>800</v>
      </c>
      <c r="CL144">
        <v>24</v>
      </c>
      <c r="CM144">
        <v>0.25</v>
      </c>
      <c r="CN144">
        <v>0.13</v>
      </c>
      <c r="CO144">
        <v>-336.6096097560976</v>
      </c>
      <c r="CP144">
        <v>-13.15768641114987</v>
      </c>
      <c r="CQ144">
        <v>1.297952118287973</v>
      </c>
      <c r="CR144">
        <v>-1</v>
      </c>
      <c r="CS144">
        <v>22.710329268292679</v>
      </c>
      <c r="CT144">
        <v>1.332004181184663</v>
      </c>
      <c r="CU144">
        <v>0.13149507315986511</v>
      </c>
      <c r="CV144">
        <v>-1</v>
      </c>
      <c r="CW144">
        <v>0</v>
      </c>
      <c r="CX144">
        <v>0</v>
      </c>
      <c r="CY144" t="s">
        <v>333</v>
      </c>
      <c r="CZ144">
        <v>2.36442</v>
      </c>
      <c r="DA144">
        <v>2.7137600000000002</v>
      </c>
      <c r="DB144">
        <v>9.9875099999999994E-2</v>
      </c>
      <c r="DC144">
        <v>0.14640500000000001</v>
      </c>
      <c r="DD144">
        <v>0.115527</v>
      </c>
      <c r="DE144">
        <v>1.2081400000000001E-2</v>
      </c>
      <c r="DF144">
        <v>32885.199999999997</v>
      </c>
      <c r="DG144">
        <v>27534.5</v>
      </c>
      <c r="DH144">
        <v>31188.5</v>
      </c>
      <c r="DI144">
        <v>28107.599999999999</v>
      </c>
      <c r="DJ144">
        <v>37448.199999999997</v>
      </c>
      <c r="DK144">
        <v>39495.300000000003</v>
      </c>
      <c r="DL144">
        <v>44387.8</v>
      </c>
      <c r="DM144">
        <v>42605</v>
      </c>
      <c r="DN144">
        <v>1.4838800000000001</v>
      </c>
      <c r="DO144">
        <v>2.0365000000000002</v>
      </c>
      <c r="DP144">
        <v>9.1768799999999998E-2</v>
      </c>
      <c r="DQ144">
        <v>0.177171</v>
      </c>
      <c r="DR144">
        <v>25.468</v>
      </c>
      <c r="DS144">
        <v>25.293199999999999</v>
      </c>
      <c r="DT144">
        <v>44</v>
      </c>
      <c r="DU144">
        <v>28.9</v>
      </c>
      <c r="DV144">
        <v>17.712399999999999</v>
      </c>
      <c r="DW144">
        <v>61.181100000000001</v>
      </c>
      <c r="DX144">
        <v>37.127400000000002</v>
      </c>
      <c r="DY144">
        <v>1</v>
      </c>
      <c r="DZ144">
        <v>-0.10699699999999999</v>
      </c>
      <c r="EA144">
        <v>-0.36181099999999999</v>
      </c>
      <c r="EB144">
        <v>20.1892</v>
      </c>
      <c r="EC144">
        <v>5.2416999999999998</v>
      </c>
      <c r="ED144">
        <v>12.039899999999999</v>
      </c>
      <c r="EE144">
        <v>5.0174500000000002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1.8646199999999999</v>
      </c>
      <c r="EM144">
        <v>1.8692</v>
      </c>
      <c r="EN144">
        <v>1.8672200000000001</v>
      </c>
      <c r="EO144">
        <v>1.8633999999999999</v>
      </c>
      <c r="EP144">
        <v>1.8644700000000001</v>
      </c>
      <c r="EQ144">
        <v>1.87015</v>
      </c>
      <c r="ER144">
        <v>1.8694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-7.5999999999999998E-2</v>
      </c>
      <c r="FG144">
        <v>0.28149999999999997</v>
      </c>
      <c r="FH144">
        <v>0.23539598422606861</v>
      </c>
      <c r="FI144">
        <v>-6.1462078757559423E-4</v>
      </c>
      <c r="FJ144">
        <v>-1.8861989874597051E-7</v>
      </c>
      <c r="FK144">
        <v>1.1980462299894961E-10</v>
      </c>
      <c r="FL144">
        <v>0.28151999999999688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30.5</v>
      </c>
      <c r="FU144">
        <v>30.7</v>
      </c>
      <c r="FV144">
        <v>1.7675799999999999</v>
      </c>
      <c r="FW144">
        <v>2.5878899999999998</v>
      </c>
      <c r="FX144">
        <v>1.5490699999999999</v>
      </c>
      <c r="FY144">
        <v>2.3303199999999999</v>
      </c>
      <c r="FZ144">
        <v>1.50146</v>
      </c>
      <c r="GA144">
        <v>2.2888199999999999</v>
      </c>
      <c r="GB144">
        <v>33.602899999999998</v>
      </c>
      <c r="GC144">
        <v>23.982399999999998</v>
      </c>
      <c r="GD144">
        <v>19</v>
      </c>
      <c r="GE144">
        <v>285.46499999999997</v>
      </c>
      <c r="GF144">
        <v>581.38800000000003</v>
      </c>
      <c r="GG144">
        <v>25.385899999999999</v>
      </c>
      <c r="GH144">
        <v>26.0669</v>
      </c>
      <c r="GI144">
        <v>30</v>
      </c>
      <c r="GJ144">
        <v>26.194600000000001</v>
      </c>
      <c r="GK144">
        <v>26.1723</v>
      </c>
      <c r="GL144">
        <v>35.341099999999997</v>
      </c>
      <c r="GM144">
        <v>89.973299999999995</v>
      </c>
      <c r="GN144">
        <v>53.311900000000001</v>
      </c>
      <c r="GO144">
        <v>25.409600000000001</v>
      </c>
      <c r="GP144">
        <v>800</v>
      </c>
      <c r="GQ144">
        <v>1.2902899999999999</v>
      </c>
      <c r="GR144">
        <v>99.794799999999995</v>
      </c>
      <c r="GS144">
        <v>99.664500000000004</v>
      </c>
    </row>
    <row r="145" spans="1:201" x14ac:dyDescent="0.25">
      <c r="A145">
        <v>129</v>
      </c>
      <c r="B145">
        <v>1690302319.5999999</v>
      </c>
      <c r="C145">
        <v>1415.599999904633</v>
      </c>
      <c r="D145" t="s">
        <v>589</v>
      </c>
      <c r="E145" t="s">
        <v>590</v>
      </c>
      <c r="F145" t="s">
        <v>330</v>
      </c>
      <c r="H145">
        <v>1690302319.5999999</v>
      </c>
      <c r="I145">
        <f t="shared" ref="I145:I208" si="60">(J145)/1000</f>
        <v>2.1790015297554516E-3</v>
      </c>
      <c r="J145">
        <f t="shared" ref="J145:J208" si="61">1000*AZ145*AH145*(AV145-AW145)/(100*AO145*(1000-AH145*AV145))</f>
        <v>2.1790015297554515</v>
      </c>
      <c r="K145">
        <f t="shared" ref="K145:K208" si="62">AZ145*AH145*(AU145-AT145*(1000-AH145*AW145)/(1000-AH145*AV145))/(100*AO145)</f>
        <v>30.312701061541002</v>
      </c>
      <c r="L145">
        <f t="shared" ref="L145:L208" si="63">AT145 - IF(AH145&gt;1, K145*AO145*100/(AJ145*BH145), 0)</f>
        <v>459.02300000000002</v>
      </c>
      <c r="M145">
        <f t="shared" ref="M145:M208" si="64">((S145-I145/2)*L145-K145)/(S145+I145/2)</f>
        <v>127.52213788918355</v>
      </c>
      <c r="N145">
        <f t="shared" ref="N145:N208" si="65">M145*(BA145+BB145)/1000</f>
        <v>12.677028394206685</v>
      </c>
      <c r="O145">
        <f t="shared" ref="O145:O208" si="66">(AT145 - IF(AH145&gt;1, K145*AO145*100/(AJ145*BH145), 0))*(BA145+BB145)/1000</f>
        <v>45.631666006499003</v>
      </c>
      <c r="P145">
        <f t="shared" ref="P145:P208" si="67">2/((1/R145-1/Q145)+SIGN(R145)*SQRT((1/R145-1/Q145)*(1/R145-1/Q145) + 4*AP145/((AP145+1)*(AP145+1))*(2*1/R145*1/Q145-1/Q145*1/Q145)))</f>
        <v>0.15456094226848932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2.1182231873537933</v>
      </c>
      <c r="R145">
        <f t="shared" ref="R145:R208" si="69">I145*(1000-(1000*0.61365*EXP(17.502*V145/(240.97+V145))/(BA145+BB145)+AV145)/2)/(1000*0.61365*EXP(17.502*V145/(240.97+V145))/(BA145+BB145)-AV145)</f>
        <v>0.14855771978094273</v>
      </c>
      <c r="S145">
        <f t="shared" ref="S145:S208" si="70">1/((AP145+1)/(P145/1.6)+1/(Q145/1.37)) + AP145/((AP145+1)/(P145/1.6) + AP145/(Q145/1.37))</f>
        <v>9.3368512651287788E-2</v>
      </c>
      <c r="T145">
        <f t="shared" ref="T145:T208" si="71">(AK145*AN145)</f>
        <v>276.11425848600004</v>
      </c>
      <c r="U145">
        <f t="shared" ref="U145:U208" si="72">(BC145+(T145+2*0.95*0.0000000567*(((BC145+$B$7)+273)^4-(BC145+273)^4)-44100*I145)/(1.84*29.3*Q145+8*0.95*0.0000000567*(BC145+273)^3))</f>
        <v>28.231098604257618</v>
      </c>
      <c r="V145">
        <f t="shared" ref="V145:V208" si="73">($C$7*BD145+$D$7*BE145+$E$7*U145)</f>
        <v>28.231098604257618</v>
      </c>
      <c r="W145">
        <f t="shared" ref="W145:W208" si="74">0.61365*EXP(17.502*V145/(240.97+V145))</f>
        <v>3.8462661800248261</v>
      </c>
      <c r="X145">
        <f t="shared" ref="X145:X208" si="75">(Y145/Z145*100)</f>
        <v>68.813853902690113</v>
      </c>
      <c r="Y145">
        <f t="shared" ref="Y145:Y208" si="76">AV145*(BA145+BB145)/1000</f>
        <v>2.4342031368832</v>
      </c>
      <c r="Z145">
        <f t="shared" ref="Z145:Z208" si="77">0.61365*EXP(17.502*BC145/(240.97+BC145))</f>
        <v>3.5373736520053276</v>
      </c>
      <c r="AA145">
        <f t="shared" ref="AA145:AA208" si="78">(W145-AV145*(BA145+BB145)/1000)</f>
        <v>1.4120630431416261</v>
      </c>
      <c r="AB145">
        <f t="shared" ref="AB145:AB208" si="79">(-I145*44100)</f>
        <v>-96.093967462215417</v>
      </c>
      <c r="AC145">
        <f t="shared" ref="AC145:AC208" si="80">2*29.3*Q145*0.92*(BC145-V145)</f>
        <v>-163.4052558146943</v>
      </c>
      <c r="AD145">
        <f t="shared" ref="AD145:AD208" si="81">2*0.95*0.0000000567*(((BC145+$B$7)+273)^4-(V145+273)^4)</f>
        <v>-16.734365526421797</v>
      </c>
      <c r="AE145">
        <f t="shared" ref="AE145:AE208" si="82">T145+AD145+AB145+AC145</f>
        <v>-0.11933031733147459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52591.873184538781</v>
      </c>
      <c r="AK145">
        <f t="shared" ref="AK145:AK208" si="86">$B$11*BI145+$C$11*BJ145+$D$11*BU145</f>
        <v>1800</v>
      </c>
      <c r="AL145">
        <f t="shared" ref="AL145:AL208" si="87">AK145*AM145</f>
        <v>1499.1153785999998</v>
      </c>
      <c r="AM145">
        <f t="shared" ref="AM145:AM208" si="88">($B$11*$D$9+$C$11*$D$9+$D$11*(BV145*$E$9+BW145*$F$9+BX145*$G$9+BY145*$H$9))/($B$11+$C$11+$D$11)</f>
        <v>0.8328418769999999</v>
      </c>
      <c r="AN145">
        <f t="shared" ref="AN145:AN208" si="89">($B$11*$K$9+$C$11*$K$9+$D$11*(BV145*$L$9+BW145*$M$9+BX145*$N$9+BY145*$O$9))/($B$11+$C$11+$D$11)</f>
        <v>0.15339681027000002</v>
      </c>
      <c r="AO145">
        <v>32.700000000000003</v>
      </c>
      <c r="AP145">
        <v>0.5</v>
      </c>
      <c r="AQ145" t="s">
        <v>331</v>
      </c>
      <c r="AR145">
        <v>2</v>
      </c>
      <c r="AS145">
        <v>1690302319.5999999</v>
      </c>
      <c r="AT145">
        <v>459.02300000000002</v>
      </c>
      <c r="AU145">
        <v>800.09500000000003</v>
      </c>
      <c r="AV145">
        <v>24.4864</v>
      </c>
      <c r="AW145">
        <v>1.33307</v>
      </c>
      <c r="AX145">
        <v>459.09800000000001</v>
      </c>
      <c r="AY145">
        <v>24.204799999999999</v>
      </c>
      <c r="AZ145">
        <v>300.20999999999998</v>
      </c>
      <c r="BA145">
        <v>99.310400000000001</v>
      </c>
      <c r="BB145">
        <v>0.100013</v>
      </c>
      <c r="BC145">
        <v>26.8002</v>
      </c>
      <c r="BD145">
        <v>26.981999999999999</v>
      </c>
      <c r="BE145">
        <v>28.165500000000002</v>
      </c>
      <c r="BF145">
        <v>0</v>
      </c>
      <c r="BG145">
        <v>0</v>
      </c>
      <c r="BH145">
        <v>10008.799999999999</v>
      </c>
      <c r="BI145">
        <v>1079.43</v>
      </c>
      <c r="BJ145">
        <v>1.90625</v>
      </c>
      <c r="BK145">
        <v>-341.072</v>
      </c>
      <c r="BL145">
        <v>470.54500000000002</v>
      </c>
      <c r="BM145">
        <v>801.16300000000001</v>
      </c>
      <c r="BN145">
        <v>23.153300000000002</v>
      </c>
      <c r="BO145">
        <v>800.09500000000003</v>
      </c>
      <c r="BP145">
        <v>1.33307</v>
      </c>
      <c r="BQ145">
        <v>2.4317500000000001</v>
      </c>
      <c r="BR145">
        <v>0.13238800000000001</v>
      </c>
      <c r="BS145">
        <v>20.576799999999999</v>
      </c>
      <c r="BT145">
        <v>-19.4148</v>
      </c>
      <c r="BU145">
        <v>1800</v>
      </c>
      <c r="BV145">
        <v>0.91002499999999997</v>
      </c>
      <c r="BW145">
        <v>3.3991500000000001E-2</v>
      </c>
      <c r="BX145">
        <v>2.19946E-2</v>
      </c>
      <c r="BY145">
        <v>3.3988699999999997E-2</v>
      </c>
      <c r="BZ145">
        <v>25.666699999999999</v>
      </c>
      <c r="CA145">
        <v>33528.5</v>
      </c>
      <c r="CB145">
        <v>1690300477.5</v>
      </c>
      <c r="CC145" t="s">
        <v>332</v>
      </c>
      <c r="CD145">
        <v>1690300477.5</v>
      </c>
      <c r="CE145">
        <v>1690300465.5</v>
      </c>
      <c r="CF145">
        <v>7</v>
      </c>
      <c r="CG145">
        <v>5.0999999999999997E-2</v>
      </c>
      <c r="CH145">
        <v>-8.0000000000000002E-3</v>
      </c>
      <c r="CI145">
        <v>-0.316</v>
      </c>
      <c r="CJ145">
        <v>0.28199999999999997</v>
      </c>
      <c r="CK145">
        <v>800</v>
      </c>
      <c r="CL145">
        <v>24</v>
      </c>
      <c r="CM145">
        <v>0.25</v>
      </c>
      <c r="CN145">
        <v>0.13</v>
      </c>
      <c r="CO145">
        <v>-338.67127499999998</v>
      </c>
      <c r="CP145">
        <v>-12.22533208255093</v>
      </c>
      <c r="CQ145">
        <v>1.1773088164857151</v>
      </c>
      <c r="CR145">
        <v>-1</v>
      </c>
      <c r="CS145">
        <v>22.919137500000001</v>
      </c>
      <c r="CT145">
        <v>1.2350465290806869</v>
      </c>
      <c r="CU145">
        <v>0.1188178304958897</v>
      </c>
      <c r="CV145">
        <v>-1</v>
      </c>
      <c r="CW145">
        <v>0</v>
      </c>
      <c r="CX145">
        <v>0</v>
      </c>
      <c r="CY145" t="s">
        <v>333</v>
      </c>
      <c r="CZ145">
        <v>2.3648899999999999</v>
      </c>
      <c r="DA145">
        <v>2.7138100000000001</v>
      </c>
      <c r="DB145">
        <v>9.9532700000000002E-2</v>
      </c>
      <c r="DC145">
        <v>0.146395</v>
      </c>
      <c r="DD145">
        <v>0.115523</v>
      </c>
      <c r="DE145">
        <v>1.0537599999999999E-2</v>
      </c>
      <c r="DF145">
        <v>32897.599999999999</v>
      </c>
      <c r="DG145">
        <v>27534.799999999999</v>
      </c>
      <c r="DH145">
        <v>31188.400000000001</v>
      </c>
      <c r="DI145">
        <v>28107.599999999999</v>
      </c>
      <c r="DJ145">
        <v>37448.199999999997</v>
      </c>
      <c r="DK145">
        <v>39556.800000000003</v>
      </c>
      <c r="DL145">
        <v>44387.6</v>
      </c>
      <c r="DM145">
        <v>42604.6</v>
      </c>
      <c r="DN145">
        <v>1.48427</v>
      </c>
      <c r="DO145">
        <v>2.0363199999999999</v>
      </c>
      <c r="DP145">
        <v>9.2588400000000001E-2</v>
      </c>
      <c r="DQ145">
        <v>0.175457</v>
      </c>
      <c r="DR145">
        <v>25.465900000000001</v>
      </c>
      <c r="DS145">
        <v>25.294799999999999</v>
      </c>
      <c r="DT145">
        <v>43.4</v>
      </c>
      <c r="DU145">
        <v>28.9</v>
      </c>
      <c r="DV145">
        <v>17.477399999999999</v>
      </c>
      <c r="DW145">
        <v>61.321100000000001</v>
      </c>
      <c r="DX145">
        <v>36.650599999999997</v>
      </c>
      <c r="DY145">
        <v>1</v>
      </c>
      <c r="DZ145">
        <v>-0.107083</v>
      </c>
      <c r="EA145">
        <v>-0.429867</v>
      </c>
      <c r="EB145">
        <v>20.1889</v>
      </c>
      <c r="EC145">
        <v>5.2409499999999998</v>
      </c>
      <c r="ED145">
        <v>12.039899999999999</v>
      </c>
      <c r="EE145">
        <v>5.0170500000000002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1.8646199999999999</v>
      </c>
      <c r="EM145">
        <v>1.8691899999999999</v>
      </c>
      <c r="EN145">
        <v>1.8672200000000001</v>
      </c>
      <c r="EO145">
        <v>1.8633900000000001</v>
      </c>
      <c r="EP145">
        <v>1.8644700000000001</v>
      </c>
      <c r="EQ145">
        <v>1.87016</v>
      </c>
      <c r="ER145">
        <v>1.8693900000000001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-7.4999999999999997E-2</v>
      </c>
      <c r="FG145">
        <v>0.28160000000000002</v>
      </c>
      <c r="FH145">
        <v>0.23539598422606861</v>
      </c>
      <c r="FI145">
        <v>-6.1462078757559423E-4</v>
      </c>
      <c r="FJ145">
        <v>-1.8861989874597051E-7</v>
      </c>
      <c r="FK145">
        <v>1.1980462299894961E-10</v>
      </c>
      <c r="FL145">
        <v>0.28151999999999688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30.7</v>
      </c>
      <c r="FU145">
        <v>30.9</v>
      </c>
      <c r="FV145">
        <v>1.7675799999999999</v>
      </c>
      <c r="FW145">
        <v>2.5854499999999998</v>
      </c>
      <c r="FX145">
        <v>1.5490699999999999</v>
      </c>
      <c r="FY145">
        <v>2.3303199999999999</v>
      </c>
      <c r="FZ145">
        <v>1.50146</v>
      </c>
      <c r="GA145">
        <v>2.3083499999999999</v>
      </c>
      <c r="GB145">
        <v>33.602899999999998</v>
      </c>
      <c r="GC145">
        <v>23.982399999999998</v>
      </c>
      <c r="GD145">
        <v>19</v>
      </c>
      <c r="GE145">
        <v>285.63</v>
      </c>
      <c r="GF145">
        <v>581.21900000000005</v>
      </c>
      <c r="GG145">
        <v>25.432200000000002</v>
      </c>
      <c r="GH145">
        <v>26.0656</v>
      </c>
      <c r="GI145">
        <v>30.0001</v>
      </c>
      <c r="GJ145">
        <v>26.193000000000001</v>
      </c>
      <c r="GK145">
        <v>26.170200000000001</v>
      </c>
      <c r="GL145">
        <v>35.338099999999997</v>
      </c>
      <c r="GM145">
        <v>92.034899999999993</v>
      </c>
      <c r="GN145">
        <v>52.134999999999998</v>
      </c>
      <c r="GO145">
        <v>25.445699999999999</v>
      </c>
      <c r="GP145">
        <v>800</v>
      </c>
      <c r="GQ145">
        <v>1.03329</v>
      </c>
      <c r="GR145">
        <v>99.794300000000007</v>
      </c>
      <c r="GS145">
        <v>99.663899999999998</v>
      </c>
    </row>
    <row r="146" spans="1:201" x14ac:dyDescent="0.25">
      <c r="A146">
        <v>130</v>
      </c>
      <c r="B146">
        <v>1690302329.5999999</v>
      </c>
      <c r="C146">
        <v>1425.599999904633</v>
      </c>
      <c r="D146" t="s">
        <v>591</v>
      </c>
      <c r="E146" t="s">
        <v>592</v>
      </c>
      <c r="F146" t="s">
        <v>330</v>
      </c>
      <c r="H146">
        <v>1690302329.5999999</v>
      </c>
      <c r="I146">
        <f t="shared" si="60"/>
        <v>2.1992279717249047E-3</v>
      </c>
      <c r="J146">
        <f t="shared" si="61"/>
        <v>2.1992279717249046</v>
      </c>
      <c r="K146">
        <f t="shared" si="62"/>
        <v>30.498328770440686</v>
      </c>
      <c r="L146">
        <f t="shared" si="63"/>
        <v>456.87799999999999</v>
      </c>
      <c r="M146">
        <f t="shared" si="64"/>
        <v>126.98985424777888</v>
      </c>
      <c r="N146">
        <f t="shared" si="65"/>
        <v>12.624543007094948</v>
      </c>
      <c r="O146">
        <f t="shared" si="66"/>
        <v>45.419974644127201</v>
      </c>
      <c r="P146">
        <f t="shared" si="67"/>
        <v>0.15632531728987867</v>
      </c>
      <c r="Q146">
        <f t="shared" si="68"/>
        <v>2.1171089357631065</v>
      </c>
      <c r="R146">
        <f t="shared" si="69"/>
        <v>0.15018408708601944</v>
      </c>
      <c r="S146">
        <f t="shared" si="70"/>
        <v>9.4396717280822065E-2</v>
      </c>
      <c r="T146">
        <f t="shared" si="71"/>
        <v>276.11426737800002</v>
      </c>
      <c r="U146">
        <f t="shared" si="72"/>
        <v>28.223290696330732</v>
      </c>
      <c r="V146">
        <f t="shared" si="73"/>
        <v>28.223290696330732</v>
      </c>
      <c r="W146">
        <f t="shared" si="74"/>
        <v>3.8445188097316496</v>
      </c>
      <c r="X146">
        <f t="shared" si="75"/>
        <v>68.834227053159211</v>
      </c>
      <c r="Y146">
        <f t="shared" si="76"/>
        <v>2.4347233069099201</v>
      </c>
      <c r="Z146">
        <f t="shared" si="77"/>
        <v>3.5370823660584363</v>
      </c>
      <c r="AA146">
        <f t="shared" si="78"/>
        <v>1.4097955028217295</v>
      </c>
      <c r="AB146">
        <f t="shared" si="79"/>
        <v>-96.985953553068299</v>
      </c>
      <c r="AC146">
        <f t="shared" si="80"/>
        <v>-162.58791645968699</v>
      </c>
      <c r="AD146">
        <f t="shared" si="81"/>
        <v>-16.658658509416291</v>
      </c>
      <c r="AE146">
        <f t="shared" si="82"/>
        <v>-0.11826114417155509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52543.324077783371</v>
      </c>
      <c r="AK146">
        <f t="shared" si="86"/>
        <v>1800</v>
      </c>
      <c r="AL146">
        <f t="shared" si="87"/>
        <v>1499.1141167999997</v>
      </c>
      <c r="AM146">
        <f t="shared" si="88"/>
        <v>0.83284117599999985</v>
      </c>
      <c r="AN146">
        <f t="shared" si="89"/>
        <v>0.15339681521000001</v>
      </c>
      <c r="AO146">
        <v>32.700000000000003</v>
      </c>
      <c r="AP146">
        <v>0.5</v>
      </c>
      <c r="AQ146" t="s">
        <v>331</v>
      </c>
      <c r="AR146">
        <v>2</v>
      </c>
      <c r="AS146">
        <v>1690302329.5999999</v>
      </c>
      <c r="AT146">
        <v>456.87799999999999</v>
      </c>
      <c r="AU146">
        <v>800.12</v>
      </c>
      <c r="AV146">
        <v>24.4908</v>
      </c>
      <c r="AW146">
        <v>1.1159600000000001</v>
      </c>
      <c r="AX146">
        <v>456.952</v>
      </c>
      <c r="AY146">
        <v>24.209299999999999</v>
      </c>
      <c r="AZ146">
        <v>300.12400000000002</v>
      </c>
      <c r="BA146">
        <v>99.313900000000004</v>
      </c>
      <c r="BB146">
        <v>9.9892400000000006E-2</v>
      </c>
      <c r="BC146">
        <v>26.7988</v>
      </c>
      <c r="BD146">
        <v>26.985600000000002</v>
      </c>
      <c r="BE146">
        <v>28.1675</v>
      </c>
      <c r="BF146">
        <v>0</v>
      </c>
      <c r="BG146">
        <v>0</v>
      </c>
      <c r="BH146">
        <v>9998.75</v>
      </c>
      <c r="BI146">
        <v>1079.5</v>
      </c>
      <c r="BJ146">
        <v>1.90625</v>
      </c>
      <c r="BK146">
        <v>-343.24200000000002</v>
      </c>
      <c r="BL146">
        <v>468.34800000000001</v>
      </c>
      <c r="BM146">
        <v>801.01400000000001</v>
      </c>
      <c r="BN146">
        <v>23.3749</v>
      </c>
      <c r="BO146">
        <v>800.12</v>
      </c>
      <c r="BP146">
        <v>1.1159600000000001</v>
      </c>
      <c r="BQ146">
        <v>2.43228</v>
      </c>
      <c r="BR146">
        <v>0.11083</v>
      </c>
      <c r="BS146">
        <v>20.580300000000001</v>
      </c>
      <c r="BT146">
        <v>-21.464300000000001</v>
      </c>
      <c r="BU146">
        <v>1800</v>
      </c>
      <c r="BV146">
        <v>0.91002099999999997</v>
      </c>
      <c r="BW146">
        <v>3.3996100000000001E-2</v>
      </c>
      <c r="BX146">
        <v>2.1994300000000001E-2</v>
      </c>
      <c r="BY146">
        <v>3.3988299999999999E-2</v>
      </c>
      <c r="BZ146">
        <v>25.666699999999999</v>
      </c>
      <c r="CA146">
        <v>33528.6</v>
      </c>
      <c r="CB146">
        <v>1690300477.5</v>
      </c>
      <c r="CC146" t="s">
        <v>332</v>
      </c>
      <c r="CD146">
        <v>1690300477.5</v>
      </c>
      <c r="CE146">
        <v>1690300465.5</v>
      </c>
      <c r="CF146">
        <v>7</v>
      </c>
      <c r="CG146">
        <v>5.0999999999999997E-2</v>
      </c>
      <c r="CH146">
        <v>-8.0000000000000002E-3</v>
      </c>
      <c r="CI146">
        <v>-0.316</v>
      </c>
      <c r="CJ146">
        <v>0.28199999999999997</v>
      </c>
      <c r="CK146">
        <v>800</v>
      </c>
      <c r="CL146">
        <v>24</v>
      </c>
      <c r="CM146">
        <v>0.25</v>
      </c>
      <c r="CN146">
        <v>0.13</v>
      </c>
      <c r="CO146">
        <v>-340.81570731707319</v>
      </c>
      <c r="CP146">
        <v>-12.82275261324099</v>
      </c>
      <c r="CQ146">
        <v>1.265573758706674</v>
      </c>
      <c r="CR146">
        <v>-1</v>
      </c>
      <c r="CS146">
        <v>23.132807317073169</v>
      </c>
      <c r="CT146">
        <v>1.273879442508687</v>
      </c>
      <c r="CU146">
        <v>0.12562516524002079</v>
      </c>
      <c r="CV146">
        <v>-1</v>
      </c>
      <c r="CW146">
        <v>0</v>
      </c>
      <c r="CX146">
        <v>0</v>
      </c>
      <c r="CY146" t="s">
        <v>333</v>
      </c>
      <c r="CZ146">
        <v>2.3646099999999999</v>
      </c>
      <c r="DA146">
        <v>2.7136800000000001</v>
      </c>
      <c r="DB146">
        <v>9.919E-2</v>
      </c>
      <c r="DC146">
        <v>0.146399</v>
      </c>
      <c r="DD146">
        <v>0.11554200000000001</v>
      </c>
      <c r="DE146">
        <v>8.9212300000000005E-3</v>
      </c>
      <c r="DF146">
        <v>32910.300000000003</v>
      </c>
      <c r="DG146">
        <v>27535.1</v>
      </c>
      <c r="DH146">
        <v>31188.6</v>
      </c>
      <c r="DI146">
        <v>28108</v>
      </c>
      <c r="DJ146">
        <v>37447.599999999999</v>
      </c>
      <c r="DK146">
        <v>39622.300000000003</v>
      </c>
      <c r="DL146">
        <v>44388</v>
      </c>
      <c r="DM146">
        <v>42605.3</v>
      </c>
      <c r="DN146">
        <v>1.4843</v>
      </c>
      <c r="DO146">
        <v>2.0359500000000001</v>
      </c>
      <c r="DP146">
        <v>9.2808199999999993E-2</v>
      </c>
      <c r="DQ146">
        <v>0.17558000000000001</v>
      </c>
      <c r="DR146">
        <v>25.465900000000001</v>
      </c>
      <c r="DS146">
        <v>25.294799999999999</v>
      </c>
      <c r="DT146">
        <v>43</v>
      </c>
      <c r="DU146">
        <v>28.9</v>
      </c>
      <c r="DV146">
        <v>17.311599999999999</v>
      </c>
      <c r="DW146">
        <v>61.551099999999998</v>
      </c>
      <c r="DX146">
        <v>36.462299999999999</v>
      </c>
      <c r="DY146">
        <v>1</v>
      </c>
      <c r="DZ146">
        <v>-0.107101</v>
      </c>
      <c r="EA146">
        <v>-0.42231200000000002</v>
      </c>
      <c r="EB146">
        <v>20.1889</v>
      </c>
      <c r="EC146">
        <v>5.2409499999999998</v>
      </c>
      <c r="ED146">
        <v>12.039899999999999</v>
      </c>
      <c r="EE146">
        <v>5.0171999999999999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1.86893</v>
      </c>
      <c r="EL146">
        <v>1.8646199999999999</v>
      </c>
      <c r="EM146">
        <v>1.8692</v>
      </c>
      <c r="EN146">
        <v>1.8672500000000001</v>
      </c>
      <c r="EO146">
        <v>1.8633900000000001</v>
      </c>
      <c r="EP146">
        <v>1.8644700000000001</v>
      </c>
      <c r="EQ146">
        <v>1.87018</v>
      </c>
      <c r="ER146">
        <v>1.8694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-7.3999999999999996E-2</v>
      </c>
      <c r="FG146">
        <v>0.28149999999999997</v>
      </c>
      <c r="FH146">
        <v>0.23539598422606861</v>
      </c>
      <c r="FI146">
        <v>-6.1462078757559423E-4</v>
      </c>
      <c r="FJ146">
        <v>-1.8861989874597051E-7</v>
      </c>
      <c r="FK146">
        <v>1.1980462299894961E-10</v>
      </c>
      <c r="FL146">
        <v>0.28151999999999688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30.9</v>
      </c>
      <c r="FU146">
        <v>31.1</v>
      </c>
      <c r="FV146">
        <v>1.7675799999999999</v>
      </c>
      <c r="FW146">
        <v>2.5927699999999998</v>
      </c>
      <c r="FX146">
        <v>1.5490699999999999</v>
      </c>
      <c r="FY146">
        <v>2.3303199999999999</v>
      </c>
      <c r="FZ146">
        <v>1.50146</v>
      </c>
      <c r="GA146">
        <v>2.32544</v>
      </c>
      <c r="GB146">
        <v>33.602899999999998</v>
      </c>
      <c r="GC146">
        <v>23.973700000000001</v>
      </c>
      <c r="GD146">
        <v>19</v>
      </c>
      <c r="GE146">
        <v>285.63400000000001</v>
      </c>
      <c r="GF146">
        <v>580.88599999999997</v>
      </c>
      <c r="GG146">
        <v>25.468299999999999</v>
      </c>
      <c r="GH146">
        <v>26.063400000000001</v>
      </c>
      <c r="GI146">
        <v>30.0001</v>
      </c>
      <c r="GJ146">
        <v>26.191700000000001</v>
      </c>
      <c r="GK146">
        <v>26.167999999999999</v>
      </c>
      <c r="GL146">
        <v>35.329799999999999</v>
      </c>
      <c r="GM146">
        <v>95.152100000000004</v>
      </c>
      <c r="GN146">
        <v>51.008800000000001</v>
      </c>
      <c r="GO146">
        <v>25.472999999999999</v>
      </c>
      <c r="GP146">
        <v>800</v>
      </c>
      <c r="GQ146">
        <v>0.77290000000000003</v>
      </c>
      <c r="GR146">
        <v>99.795000000000002</v>
      </c>
      <c r="GS146">
        <v>99.665499999999994</v>
      </c>
    </row>
    <row r="147" spans="1:201" x14ac:dyDescent="0.25">
      <c r="A147">
        <v>131</v>
      </c>
      <c r="B147">
        <v>1690302339.5999999</v>
      </c>
      <c r="C147">
        <v>1435.599999904633</v>
      </c>
      <c r="D147" t="s">
        <v>593</v>
      </c>
      <c r="E147" t="s">
        <v>594</v>
      </c>
      <c r="F147" t="s">
        <v>330</v>
      </c>
      <c r="H147">
        <v>1690302339.5999999</v>
      </c>
      <c r="I147">
        <f t="shared" si="60"/>
        <v>2.2155166859328568E-3</v>
      </c>
      <c r="J147">
        <f t="shared" si="61"/>
        <v>2.2155166859328568</v>
      </c>
      <c r="K147">
        <f t="shared" si="62"/>
        <v>30.673301249646407</v>
      </c>
      <c r="L147">
        <f t="shared" si="63"/>
        <v>454.92899999999997</v>
      </c>
      <c r="M147">
        <f t="shared" si="64"/>
        <v>125.54893698628329</v>
      </c>
      <c r="N147">
        <f t="shared" si="65"/>
        <v>12.48125702486969</v>
      </c>
      <c r="O147">
        <f t="shared" si="66"/>
        <v>45.226076089256701</v>
      </c>
      <c r="P147">
        <f t="shared" si="67"/>
        <v>0.15748409813445299</v>
      </c>
      <c r="Q147">
        <f t="shared" si="68"/>
        <v>2.1196823520231054</v>
      </c>
      <c r="R147">
        <f t="shared" si="69"/>
        <v>0.15126067943542698</v>
      </c>
      <c r="S147">
        <f t="shared" si="70"/>
        <v>9.5076581869336679E-2</v>
      </c>
      <c r="T147">
        <f t="shared" si="71"/>
        <v>276.11426737800002</v>
      </c>
      <c r="U147">
        <f t="shared" si="72"/>
        <v>28.224803153645318</v>
      </c>
      <c r="V147">
        <f t="shared" si="73"/>
        <v>28.224803153645318</v>
      </c>
      <c r="W147">
        <f t="shared" si="74"/>
        <v>3.8448572359376874</v>
      </c>
      <c r="X147">
        <f t="shared" si="75"/>
        <v>68.798954507102707</v>
      </c>
      <c r="Y147">
        <f t="shared" si="76"/>
        <v>2.4347355950092999</v>
      </c>
      <c r="Z147">
        <f t="shared" si="77"/>
        <v>3.5389136542154014</v>
      </c>
      <c r="AA147">
        <f t="shared" si="78"/>
        <v>1.4101216409283874</v>
      </c>
      <c r="AB147">
        <f t="shared" si="79"/>
        <v>-97.704285849638978</v>
      </c>
      <c r="AC147">
        <f t="shared" si="80"/>
        <v>-161.95275395149417</v>
      </c>
      <c r="AD147">
        <f t="shared" si="81"/>
        <v>-16.574286758941952</v>
      </c>
      <c r="AE147">
        <f t="shared" si="82"/>
        <v>-0.1170591820751099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52654.685477795378</v>
      </c>
      <c r="AK147">
        <f t="shared" si="86"/>
        <v>1800</v>
      </c>
      <c r="AL147">
        <f t="shared" si="87"/>
        <v>1499.1141167999997</v>
      </c>
      <c r="AM147">
        <f t="shared" si="88"/>
        <v>0.83284117599999985</v>
      </c>
      <c r="AN147">
        <f t="shared" si="89"/>
        <v>0.15339681521000001</v>
      </c>
      <c r="AO147">
        <v>32.700000000000003</v>
      </c>
      <c r="AP147">
        <v>0.5</v>
      </c>
      <c r="AQ147" t="s">
        <v>331</v>
      </c>
      <c r="AR147">
        <v>2</v>
      </c>
      <c r="AS147">
        <v>1690302339.5999999</v>
      </c>
      <c r="AT147">
        <v>454.92899999999997</v>
      </c>
      <c r="AU147">
        <v>800.06200000000001</v>
      </c>
      <c r="AV147">
        <v>24.491</v>
      </c>
      <c r="AW147">
        <v>0.946411</v>
      </c>
      <c r="AX147">
        <v>455.00099999999998</v>
      </c>
      <c r="AY147">
        <v>24.209499999999998</v>
      </c>
      <c r="AZ147">
        <v>300.16699999999997</v>
      </c>
      <c r="BA147">
        <v>99.313500000000005</v>
      </c>
      <c r="BB147">
        <v>9.9982299999999996E-2</v>
      </c>
      <c r="BC147">
        <v>26.807600000000001</v>
      </c>
      <c r="BD147">
        <v>26.987300000000001</v>
      </c>
      <c r="BE147">
        <v>28.177600000000002</v>
      </c>
      <c r="BF147">
        <v>0</v>
      </c>
      <c r="BG147">
        <v>0</v>
      </c>
      <c r="BH147">
        <v>10021.200000000001</v>
      </c>
      <c r="BI147">
        <v>1079.52</v>
      </c>
      <c r="BJ147">
        <v>1.90625</v>
      </c>
      <c r="BK147">
        <v>-345.13400000000001</v>
      </c>
      <c r="BL147">
        <v>466.35</v>
      </c>
      <c r="BM147">
        <v>800.82</v>
      </c>
      <c r="BN147">
        <v>23.544599999999999</v>
      </c>
      <c r="BO147">
        <v>800.06200000000001</v>
      </c>
      <c r="BP147">
        <v>0.946411</v>
      </c>
      <c r="BQ147">
        <v>2.4322900000000001</v>
      </c>
      <c r="BR147">
        <v>9.39913E-2</v>
      </c>
      <c r="BS147">
        <v>20.580400000000001</v>
      </c>
      <c r="BT147">
        <v>-23.331</v>
      </c>
      <c r="BU147">
        <v>1800</v>
      </c>
      <c r="BV147">
        <v>0.91002099999999997</v>
      </c>
      <c r="BW147">
        <v>3.3996100000000001E-2</v>
      </c>
      <c r="BX147">
        <v>2.1994300000000001E-2</v>
      </c>
      <c r="BY147">
        <v>3.3988299999999999E-2</v>
      </c>
      <c r="BZ147">
        <v>25.666699999999999</v>
      </c>
      <c r="CA147">
        <v>33528.5</v>
      </c>
      <c r="CB147">
        <v>1690300477.5</v>
      </c>
      <c r="CC147" t="s">
        <v>332</v>
      </c>
      <c r="CD147">
        <v>1690300477.5</v>
      </c>
      <c r="CE147">
        <v>1690300465.5</v>
      </c>
      <c r="CF147">
        <v>7</v>
      </c>
      <c r="CG147">
        <v>5.0999999999999997E-2</v>
      </c>
      <c r="CH147">
        <v>-8.0000000000000002E-3</v>
      </c>
      <c r="CI147">
        <v>-0.316</v>
      </c>
      <c r="CJ147">
        <v>0.28199999999999997</v>
      </c>
      <c r="CK147">
        <v>800</v>
      </c>
      <c r="CL147">
        <v>24</v>
      </c>
      <c r="CM147">
        <v>0.25</v>
      </c>
      <c r="CN147">
        <v>0.13</v>
      </c>
      <c r="CO147">
        <v>-343.07870000000003</v>
      </c>
      <c r="CP147">
        <v>-12.148457786115371</v>
      </c>
      <c r="CQ147">
        <v>1.1715950281560621</v>
      </c>
      <c r="CR147">
        <v>-1</v>
      </c>
      <c r="CS147">
        <v>23.360257499999999</v>
      </c>
      <c r="CT147">
        <v>1.2456033771106449</v>
      </c>
      <c r="CU147">
        <v>0.12012653305473329</v>
      </c>
      <c r="CV147">
        <v>-1</v>
      </c>
      <c r="CW147">
        <v>0</v>
      </c>
      <c r="CX147">
        <v>0</v>
      </c>
      <c r="CY147" t="s">
        <v>333</v>
      </c>
      <c r="CZ147">
        <v>2.3647499999999999</v>
      </c>
      <c r="DA147">
        <v>2.7137899999999999</v>
      </c>
      <c r="DB147">
        <v>9.8874799999999999E-2</v>
      </c>
      <c r="DC147">
        <v>0.14638899999999999</v>
      </c>
      <c r="DD147">
        <v>0.11554300000000001</v>
      </c>
      <c r="DE147">
        <v>7.6346299999999999E-3</v>
      </c>
      <c r="DF147">
        <v>32922</v>
      </c>
      <c r="DG147">
        <v>27535.1</v>
      </c>
      <c r="DH147">
        <v>31188.799999999999</v>
      </c>
      <c r="DI147">
        <v>28107.7</v>
      </c>
      <c r="DJ147">
        <v>37447.800000000003</v>
      </c>
      <c r="DK147">
        <v>39673.4</v>
      </c>
      <c r="DL147">
        <v>44388.3</v>
      </c>
      <c r="DM147">
        <v>42604.800000000003</v>
      </c>
      <c r="DN147">
        <v>1.4845200000000001</v>
      </c>
      <c r="DO147">
        <v>2.0352199999999998</v>
      </c>
      <c r="DP147">
        <v>9.2994400000000005E-2</v>
      </c>
      <c r="DQ147">
        <v>0.17608699999999999</v>
      </c>
      <c r="DR147">
        <v>25.464600000000001</v>
      </c>
      <c r="DS147">
        <v>25.296600000000002</v>
      </c>
      <c r="DT147">
        <v>42.4</v>
      </c>
      <c r="DU147">
        <v>28.9</v>
      </c>
      <c r="DV147">
        <v>17.0715</v>
      </c>
      <c r="DW147">
        <v>61.091099999999997</v>
      </c>
      <c r="DX147">
        <v>36.398200000000003</v>
      </c>
      <c r="DY147">
        <v>1</v>
      </c>
      <c r="DZ147">
        <v>-0.107261</v>
      </c>
      <c r="EA147">
        <v>-0.41961900000000002</v>
      </c>
      <c r="EB147">
        <v>20.188700000000001</v>
      </c>
      <c r="EC147">
        <v>5.2409499999999998</v>
      </c>
      <c r="ED147">
        <v>12.039899999999999</v>
      </c>
      <c r="EE147">
        <v>5.0172999999999996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1.8689100000000001</v>
      </c>
      <c r="EL147">
        <v>1.8646199999999999</v>
      </c>
      <c r="EM147">
        <v>1.8692</v>
      </c>
      <c r="EN147">
        <v>1.8672299999999999</v>
      </c>
      <c r="EO147">
        <v>1.8633900000000001</v>
      </c>
      <c r="EP147">
        <v>1.8644700000000001</v>
      </c>
      <c r="EQ147">
        <v>1.87019</v>
      </c>
      <c r="ER147">
        <v>1.8694299999999999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-7.1999999999999995E-2</v>
      </c>
      <c r="FG147">
        <v>0.28149999999999997</v>
      </c>
      <c r="FH147">
        <v>0.23539598422606861</v>
      </c>
      <c r="FI147">
        <v>-6.1462078757559423E-4</v>
      </c>
      <c r="FJ147">
        <v>-1.8861989874597051E-7</v>
      </c>
      <c r="FK147">
        <v>1.1980462299894961E-10</v>
      </c>
      <c r="FL147">
        <v>0.28151999999999688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</v>
      </c>
      <c r="FU147">
        <v>31.2</v>
      </c>
      <c r="FV147">
        <v>1.7675799999999999</v>
      </c>
      <c r="FW147">
        <v>2.5927699999999998</v>
      </c>
      <c r="FX147">
        <v>1.5490699999999999</v>
      </c>
      <c r="FY147">
        <v>2.3303199999999999</v>
      </c>
      <c r="FZ147">
        <v>1.50146</v>
      </c>
      <c r="GA147">
        <v>2.34009</v>
      </c>
      <c r="GB147">
        <v>33.580399999999997</v>
      </c>
      <c r="GC147">
        <v>23.982399999999998</v>
      </c>
      <c r="GD147">
        <v>19</v>
      </c>
      <c r="GE147">
        <v>285.72000000000003</v>
      </c>
      <c r="GF147">
        <v>580.26499999999999</v>
      </c>
      <c r="GG147">
        <v>25.489100000000001</v>
      </c>
      <c r="GH147">
        <v>26.063400000000001</v>
      </c>
      <c r="GI147">
        <v>30</v>
      </c>
      <c r="GJ147">
        <v>26.189399999999999</v>
      </c>
      <c r="GK147">
        <v>26.165800000000001</v>
      </c>
      <c r="GL147">
        <v>35.327100000000002</v>
      </c>
      <c r="GM147">
        <v>98.944400000000002</v>
      </c>
      <c r="GN147">
        <v>49.877099999999999</v>
      </c>
      <c r="GO147">
        <v>25.494299999999999</v>
      </c>
      <c r="GP147">
        <v>800</v>
      </c>
      <c r="GQ147">
        <v>0.520069</v>
      </c>
      <c r="GR147">
        <v>99.7958</v>
      </c>
      <c r="GS147">
        <v>99.664299999999997</v>
      </c>
    </row>
    <row r="148" spans="1:201" x14ac:dyDescent="0.25">
      <c r="A148">
        <v>132</v>
      </c>
      <c r="B148">
        <v>1690302349.5999999</v>
      </c>
      <c r="C148">
        <v>1445.599999904633</v>
      </c>
      <c r="D148" t="s">
        <v>595</v>
      </c>
      <c r="E148" t="s">
        <v>596</v>
      </c>
      <c r="F148" t="s">
        <v>330</v>
      </c>
      <c r="H148">
        <v>1690302349.5999999</v>
      </c>
      <c r="I148">
        <f t="shared" si="60"/>
        <v>2.2612873845837683E-3</v>
      </c>
      <c r="J148">
        <f t="shared" si="61"/>
        <v>2.2612873845837682</v>
      </c>
      <c r="K148">
        <f t="shared" si="62"/>
        <v>30.820570871443476</v>
      </c>
      <c r="L148">
        <f t="shared" si="63"/>
        <v>452.99200000000002</v>
      </c>
      <c r="M148">
        <f t="shared" si="64"/>
        <v>129.45476126297413</v>
      </c>
      <c r="N148">
        <f t="shared" si="65"/>
        <v>12.869432742510599</v>
      </c>
      <c r="O148">
        <f t="shared" si="66"/>
        <v>45.033106700902401</v>
      </c>
      <c r="P148">
        <f t="shared" si="67"/>
        <v>0.16129349878313287</v>
      </c>
      <c r="Q148">
        <f t="shared" si="68"/>
        <v>2.1198210536523376</v>
      </c>
      <c r="R148">
        <f t="shared" si="69"/>
        <v>0.15477247271885167</v>
      </c>
      <c r="S148">
        <f t="shared" si="70"/>
        <v>9.7296715367431993E-2</v>
      </c>
      <c r="T148">
        <f t="shared" si="71"/>
        <v>276.11444833199999</v>
      </c>
      <c r="U148">
        <f t="shared" si="72"/>
        <v>28.20948643603532</v>
      </c>
      <c r="V148">
        <f t="shared" si="73"/>
        <v>28.20948643603532</v>
      </c>
      <c r="W148">
        <f t="shared" si="74"/>
        <v>3.8414311805230721</v>
      </c>
      <c r="X148">
        <f t="shared" si="75"/>
        <v>68.798187830746784</v>
      </c>
      <c r="Y148">
        <f t="shared" si="76"/>
        <v>2.4348230269611202</v>
      </c>
      <c r="Z148">
        <f t="shared" si="77"/>
        <v>3.5390801759940644</v>
      </c>
      <c r="AA148">
        <f t="shared" si="78"/>
        <v>1.4066081535619519</v>
      </c>
      <c r="AB148">
        <f t="shared" si="79"/>
        <v>-99.722773660144185</v>
      </c>
      <c r="AC148">
        <f t="shared" si="80"/>
        <v>-160.12147173288892</v>
      </c>
      <c r="AD148">
        <f t="shared" si="81"/>
        <v>-16.384611331724834</v>
      </c>
      <c r="AE148">
        <f t="shared" si="82"/>
        <v>-0.11440839275795156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52660.615567525114</v>
      </c>
      <c r="AK148">
        <f t="shared" si="86"/>
        <v>1800</v>
      </c>
      <c r="AL148">
        <f t="shared" si="87"/>
        <v>1499.1119621999999</v>
      </c>
      <c r="AM148">
        <f t="shared" si="88"/>
        <v>0.83283997899999995</v>
      </c>
      <c r="AN148">
        <f t="shared" si="89"/>
        <v>0.15339691574</v>
      </c>
      <c r="AO148">
        <v>32.700000000000003</v>
      </c>
      <c r="AP148">
        <v>0.5</v>
      </c>
      <c r="AQ148" t="s">
        <v>331</v>
      </c>
      <c r="AR148">
        <v>2</v>
      </c>
      <c r="AS148">
        <v>1690302349.5999999</v>
      </c>
      <c r="AT148">
        <v>452.99200000000002</v>
      </c>
      <c r="AU148">
        <v>799.90499999999997</v>
      </c>
      <c r="AV148">
        <v>24.492100000000001</v>
      </c>
      <c r="AW148">
        <v>0.46136700000000003</v>
      </c>
      <c r="AX148">
        <v>453.06299999999999</v>
      </c>
      <c r="AY148">
        <v>24.2105</v>
      </c>
      <c r="AZ148">
        <v>300.17</v>
      </c>
      <c r="BA148">
        <v>99.312600000000003</v>
      </c>
      <c r="BB148">
        <v>9.9987199999999998E-2</v>
      </c>
      <c r="BC148">
        <v>26.808399999999999</v>
      </c>
      <c r="BD148">
        <v>26.985600000000002</v>
      </c>
      <c r="BE148">
        <v>28.189599999999999</v>
      </c>
      <c r="BF148">
        <v>0</v>
      </c>
      <c r="BG148">
        <v>0</v>
      </c>
      <c r="BH148">
        <v>10022.5</v>
      </c>
      <c r="BI148">
        <v>1079.58</v>
      </c>
      <c r="BJ148">
        <v>1.90625</v>
      </c>
      <c r="BK148">
        <v>-346.91300000000001</v>
      </c>
      <c r="BL148">
        <v>464.36500000000001</v>
      </c>
      <c r="BM148">
        <v>800.274</v>
      </c>
      <c r="BN148">
        <v>24.0307</v>
      </c>
      <c r="BO148">
        <v>799.90499999999997</v>
      </c>
      <c r="BP148">
        <v>0.46136700000000003</v>
      </c>
      <c r="BQ148">
        <v>2.4323700000000001</v>
      </c>
      <c r="BR148">
        <v>4.5819600000000002E-2</v>
      </c>
      <c r="BS148">
        <v>20.5809</v>
      </c>
      <c r="BT148">
        <v>-31.111999999999998</v>
      </c>
      <c r="BU148">
        <v>1800</v>
      </c>
      <c r="BV148">
        <v>0.91001200000000004</v>
      </c>
      <c r="BW148">
        <v>3.40069E-2</v>
      </c>
      <c r="BX148">
        <v>2.1993700000000001E-2</v>
      </c>
      <c r="BY148">
        <v>3.3987400000000001E-2</v>
      </c>
      <c r="BZ148">
        <v>25.666699999999999</v>
      </c>
      <c r="CA148">
        <v>33528.5</v>
      </c>
      <c r="CB148">
        <v>1690300477.5</v>
      </c>
      <c r="CC148" t="s">
        <v>332</v>
      </c>
      <c r="CD148">
        <v>1690300477.5</v>
      </c>
      <c r="CE148">
        <v>1690300465.5</v>
      </c>
      <c r="CF148">
        <v>7</v>
      </c>
      <c r="CG148">
        <v>5.0999999999999997E-2</v>
      </c>
      <c r="CH148">
        <v>-8.0000000000000002E-3</v>
      </c>
      <c r="CI148">
        <v>-0.316</v>
      </c>
      <c r="CJ148">
        <v>0.28199999999999997</v>
      </c>
      <c r="CK148">
        <v>800</v>
      </c>
      <c r="CL148">
        <v>24</v>
      </c>
      <c r="CM148">
        <v>0.25</v>
      </c>
      <c r="CN148">
        <v>0.13</v>
      </c>
      <c r="CO148">
        <v>-344.92262499999998</v>
      </c>
      <c r="CP148">
        <v>-11.80362101313254</v>
      </c>
      <c r="CQ148">
        <v>1.1464955230505709</v>
      </c>
      <c r="CR148">
        <v>-1</v>
      </c>
      <c r="CS148">
        <v>23.57217</v>
      </c>
      <c r="CT148">
        <v>1.647374859287019</v>
      </c>
      <c r="CU148">
        <v>0.1710505673770186</v>
      </c>
      <c r="CV148">
        <v>-1</v>
      </c>
      <c r="CW148">
        <v>0</v>
      </c>
      <c r="CX148">
        <v>0</v>
      </c>
      <c r="CY148" t="s">
        <v>333</v>
      </c>
      <c r="CZ148">
        <v>2.3647999999999998</v>
      </c>
      <c r="DA148">
        <v>2.7138</v>
      </c>
      <c r="DB148">
        <v>9.8560099999999998E-2</v>
      </c>
      <c r="DC148">
        <v>0.14635999999999999</v>
      </c>
      <c r="DD148">
        <v>0.115546</v>
      </c>
      <c r="DE148">
        <v>3.8243499999999998E-3</v>
      </c>
      <c r="DF148">
        <v>32934.1</v>
      </c>
      <c r="DG148">
        <v>27536.2</v>
      </c>
      <c r="DH148">
        <v>31189.3</v>
      </c>
      <c r="DI148">
        <v>28107.9</v>
      </c>
      <c r="DJ148">
        <v>37448.300000000003</v>
      </c>
      <c r="DK148">
        <v>39826.1</v>
      </c>
      <c r="DL148">
        <v>44389</v>
      </c>
      <c r="DM148">
        <v>42604.7</v>
      </c>
      <c r="DN148">
        <v>1.48458</v>
      </c>
      <c r="DO148">
        <v>2.0356000000000001</v>
      </c>
      <c r="DP148">
        <v>9.29199E-2</v>
      </c>
      <c r="DQ148">
        <v>0.176676</v>
      </c>
      <c r="DR148">
        <v>25.464099999999998</v>
      </c>
      <c r="DS148">
        <v>25.298999999999999</v>
      </c>
      <c r="DT148">
        <v>41.9</v>
      </c>
      <c r="DU148">
        <v>28.9</v>
      </c>
      <c r="DV148">
        <v>16.869800000000001</v>
      </c>
      <c r="DW148">
        <v>61.591099999999997</v>
      </c>
      <c r="DX148">
        <v>36.646599999999999</v>
      </c>
      <c r="DY148">
        <v>1</v>
      </c>
      <c r="DZ148">
        <v>-0.10736999999999999</v>
      </c>
      <c r="EA148">
        <v>-0.22045799999999999</v>
      </c>
      <c r="EB148">
        <v>20.1891</v>
      </c>
      <c r="EC148">
        <v>5.2411000000000003</v>
      </c>
      <c r="ED148">
        <v>12.039899999999999</v>
      </c>
      <c r="EE148">
        <v>5.0171000000000001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1.8646199999999999</v>
      </c>
      <c r="EM148">
        <v>1.8691899999999999</v>
      </c>
      <c r="EN148">
        <v>1.8672500000000001</v>
      </c>
      <c r="EO148">
        <v>1.8633900000000001</v>
      </c>
      <c r="EP148">
        <v>1.8644799999999999</v>
      </c>
      <c r="EQ148">
        <v>1.87019</v>
      </c>
      <c r="ER148">
        <v>1.86937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-7.0999999999999994E-2</v>
      </c>
      <c r="FG148">
        <v>0.28160000000000002</v>
      </c>
      <c r="FH148">
        <v>0.23539598422606861</v>
      </c>
      <c r="FI148">
        <v>-6.1462078757559423E-4</v>
      </c>
      <c r="FJ148">
        <v>-1.8861989874597051E-7</v>
      </c>
      <c r="FK148">
        <v>1.1980462299894961E-10</v>
      </c>
      <c r="FL148">
        <v>0.28151999999999688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31.2</v>
      </c>
      <c r="FU148">
        <v>31.4</v>
      </c>
      <c r="FV148">
        <v>1.7663599999999999</v>
      </c>
      <c r="FW148">
        <v>2.5915499999999998</v>
      </c>
      <c r="FX148">
        <v>1.5490699999999999</v>
      </c>
      <c r="FY148">
        <v>2.3303199999999999</v>
      </c>
      <c r="FZ148">
        <v>1.50146</v>
      </c>
      <c r="GA148">
        <v>2.2863799999999999</v>
      </c>
      <c r="GB148">
        <v>33.602899999999998</v>
      </c>
      <c r="GC148">
        <v>23.982399999999998</v>
      </c>
      <c r="GD148">
        <v>19</v>
      </c>
      <c r="GE148">
        <v>285.73399999999998</v>
      </c>
      <c r="GF148">
        <v>580.524</v>
      </c>
      <c r="GG148">
        <v>25.496700000000001</v>
      </c>
      <c r="GH148">
        <v>26.061199999999999</v>
      </c>
      <c r="GI148">
        <v>30</v>
      </c>
      <c r="GJ148">
        <v>26.1875</v>
      </c>
      <c r="GK148">
        <v>26.1614</v>
      </c>
      <c r="GL148">
        <v>35.318100000000001</v>
      </c>
      <c r="GM148">
        <v>100</v>
      </c>
      <c r="GN148">
        <v>48.7453</v>
      </c>
      <c r="GO148">
        <v>25.4453</v>
      </c>
      <c r="GP148">
        <v>800</v>
      </c>
      <c r="GQ148">
        <v>0.26304699999999998</v>
      </c>
      <c r="GR148">
        <v>99.797399999999996</v>
      </c>
      <c r="GS148">
        <v>99.664500000000004</v>
      </c>
    </row>
    <row r="149" spans="1:201" x14ac:dyDescent="0.25">
      <c r="A149">
        <v>133</v>
      </c>
      <c r="B149">
        <v>1690302359.5999999</v>
      </c>
      <c r="C149">
        <v>1455.599999904633</v>
      </c>
      <c r="D149" t="s">
        <v>597</v>
      </c>
      <c r="E149" t="s">
        <v>598</v>
      </c>
      <c r="F149" t="s">
        <v>330</v>
      </c>
      <c r="H149">
        <v>1690302359.5999999</v>
      </c>
      <c r="I149">
        <f t="shared" si="60"/>
        <v>2.2662030434801987E-3</v>
      </c>
      <c r="J149">
        <f t="shared" si="61"/>
        <v>2.2662030434801985</v>
      </c>
      <c r="K149">
        <f t="shared" si="62"/>
        <v>31.010142899531459</v>
      </c>
      <c r="L149">
        <f t="shared" si="63"/>
        <v>451.02499999999998</v>
      </c>
      <c r="M149">
        <f t="shared" si="64"/>
        <v>125.45960507690238</v>
      </c>
      <c r="N149">
        <f t="shared" si="65"/>
        <v>12.472283275656224</v>
      </c>
      <c r="O149">
        <f t="shared" si="66"/>
        <v>44.837631689935002</v>
      </c>
      <c r="P149">
        <f t="shared" si="67"/>
        <v>0.1612280179128989</v>
      </c>
      <c r="Q149">
        <f t="shared" si="68"/>
        <v>2.1185265694658</v>
      </c>
      <c r="R149">
        <f t="shared" si="69"/>
        <v>0.15470836224174458</v>
      </c>
      <c r="S149">
        <f t="shared" si="70"/>
        <v>9.7256523502085024E-2</v>
      </c>
      <c r="T149">
        <f t="shared" si="71"/>
        <v>276.11435350800002</v>
      </c>
      <c r="U149">
        <f t="shared" si="72"/>
        <v>28.206842124684979</v>
      </c>
      <c r="V149">
        <f t="shared" si="73"/>
        <v>28.206842124684979</v>
      </c>
      <c r="W149">
        <f t="shared" si="74"/>
        <v>3.8408399685408061</v>
      </c>
      <c r="X149">
        <f t="shared" si="75"/>
        <v>68.684374892833475</v>
      </c>
      <c r="Y149">
        <f t="shared" si="76"/>
        <v>2.4305520557627402</v>
      </c>
      <c r="Z149">
        <f t="shared" si="77"/>
        <v>3.5387263253907024</v>
      </c>
      <c r="AA149">
        <f t="shared" si="78"/>
        <v>1.4102879127780659</v>
      </c>
      <c r="AB149">
        <f t="shared" si="79"/>
        <v>-99.939554217476754</v>
      </c>
      <c r="AC149">
        <f t="shared" si="80"/>
        <v>-159.91583880765376</v>
      </c>
      <c r="AD149">
        <f t="shared" si="81"/>
        <v>-16.373213175087571</v>
      </c>
      <c r="AE149">
        <f t="shared" si="82"/>
        <v>-0.11425269221808776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52604.09634518536</v>
      </c>
      <c r="AK149">
        <f t="shared" si="86"/>
        <v>1800</v>
      </c>
      <c r="AL149">
        <f t="shared" si="87"/>
        <v>1499.1109038</v>
      </c>
      <c r="AM149">
        <f t="shared" si="88"/>
        <v>0.83283939099999993</v>
      </c>
      <c r="AN149">
        <f t="shared" si="89"/>
        <v>0.15339686306</v>
      </c>
      <c r="AO149">
        <v>32.700000000000003</v>
      </c>
      <c r="AP149">
        <v>0.5</v>
      </c>
      <c r="AQ149" t="s">
        <v>331</v>
      </c>
      <c r="AR149">
        <v>2</v>
      </c>
      <c r="AS149">
        <v>1690302359.5999999</v>
      </c>
      <c r="AT149">
        <v>451.02499999999998</v>
      </c>
      <c r="AU149">
        <v>799.98699999999997</v>
      </c>
      <c r="AV149">
        <v>24.449100000000001</v>
      </c>
      <c r="AW149">
        <v>0.36450500000000002</v>
      </c>
      <c r="AX149">
        <v>451.09500000000003</v>
      </c>
      <c r="AY149">
        <v>24.1676</v>
      </c>
      <c r="AZ149">
        <v>300.16300000000001</v>
      </c>
      <c r="BA149">
        <v>99.312799999999996</v>
      </c>
      <c r="BB149">
        <v>9.99414E-2</v>
      </c>
      <c r="BC149">
        <v>26.806699999999999</v>
      </c>
      <c r="BD149">
        <v>26.993200000000002</v>
      </c>
      <c r="BE149">
        <v>28.177499999999998</v>
      </c>
      <c r="BF149">
        <v>0</v>
      </c>
      <c r="BG149">
        <v>0</v>
      </c>
      <c r="BH149">
        <v>10011.200000000001</v>
      </c>
      <c r="BI149">
        <v>1079.6500000000001</v>
      </c>
      <c r="BJ149">
        <v>1.90625</v>
      </c>
      <c r="BK149">
        <v>-348.96199999999999</v>
      </c>
      <c r="BL149">
        <v>462.32900000000001</v>
      </c>
      <c r="BM149">
        <v>800.279</v>
      </c>
      <c r="BN149">
        <v>24.084599999999998</v>
      </c>
      <c r="BO149">
        <v>799.98699999999997</v>
      </c>
      <c r="BP149">
        <v>0.36450500000000002</v>
      </c>
      <c r="BQ149">
        <v>2.4281100000000002</v>
      </c>
      <c r="BR149">
        <v>3.6200000000000003E-2</v>
      </c>
      <c r="BS149">
        <v>20.552399999999999</v>
      </c>
      <c r="BT149">
        <v>-33.544199999999996</v>
      </c>
      <c r="BU149">
        <v>1800</v>
      </c>
      <c r="BV149">
        <v>0.91000999999999999</v>
      </c>
      <c r="BW149">
        <v>3.4009600000000001E-2</v>
      </c>
      <c r="BX149">
        <v>2.19933E-2</v>
      </c>
      <c r="BY149">
        <v>3.3986799999999998E-2</v>
      </c>
      <c r="BZ149">
        <v>25.666699999999999</v>
      </c>
      <c r="CA149">
        <v>33528.400000000001</v>
      </c>
      <c r="CB149">
        <v>1690300477.5</v>
      </c>
      <c r="CC149" t="s">
        <v>332</v>
      </c>
      <c r="CD149">
        <v>1690300477.5</v>
      </c>
      <c r="CE149">
        <v>1690300465.5</v>
      </c>
      <c r="CF149">
        <v>7</v>
      </c>
      <c r="CG149">
        <v>5.0999999999999997E-2</v>
      </c>
      <c r="CH149">
        <v>-8.0000000000000002E-3</v>
      </c>
      <c r="CI149">
        <v>-0.316</v>
      </c>
      <c r="CJ149">
        <v>0.28199999999999997</v>
      </c>
      <c r="CK149">
        <v>800</v>
      </c>
      <c r="CL149">
        <v>24</v>
      </c>
      <c r="CM149">
        <v>0.25</v>
      </c>
      <c r="CN149">
        <v>0.13</v>
      </c>
      <c r="CO149">
        <v>-346.83749999999998</v>
      </c>
      <c r="CP149">
        <v>-11.0478574108814</v>
      </c>
      <c r="CQ149">
        <v>1.073787409127154</v>
      </c>
      <c r="CR149">
        <v>-1</v>
      </c>
      <c r="CS149">
        <v>23.880232500000002</v>
      </c>
      <c r="CT149">
        <v>2.0975043151969501</v>
      </c>
      <c r="CU149">
        <v>0.21539420998195369</v>
      </c>
      <c r="CV149">
        <v>-1</v>
      </c>
      <c r="CW149">
        <v>0</v>
      </c>
      <c r="CX149">
        <v>0</v>
      </c>
      <c r="CY149" t="s">
        <v>333</v>
      </c>
      <c r="CZ149">
        <v>2.36477</v>
      </c>
      <c r="DA149">
        <v>2.71374</v>
      </c>
      <c r="DB149">
        <v>9.8240800000000003E-2</v>
      </c>
      <c r="DC149">
        <v>0.146368</v>
      </c>
      <c r="DD149">
        <v>0.11540300000000001</v>
      </c>
      <c r="DE149">
        <v>3.0390199999999999E-3</v>
      </c>
      <c r="DF149">
        <v>32945.800000000003</v>
      </c>
      <c r="DG149">
        <v>27535.9</v>
      </c>
      <c r="DH149">
        <v>31189.4</v>
      </c>
      <c r="DI149">
        <v>28107.8</v>
      </c>
      <c r="DJ149">
        <v>37454.199999999997</v>
      </c>
      <c r="DK149">
        <v>39857.5</v>
      </c>
      <c r="DL149">
        <v>44388.9</v>
      </c>
      <c r="DM149">
        <v>42604.6</v>
      </c>
      <c r="DN149">
        <v>1.48468</v>
      </c>
      <c r="DO149">
        <v>2.0352000000000001</v>
      </c>
      <c r="DP149">
        <v>9.3221700000000005E-2</v>
      </c>
      <c r="DQ149">
        <v>0.17575199999999999</v>
      </c>
      <c r="DR149">
        <v>25.466699999999999</v>
      </c>
      <c r="DS149">
        <v>25.302</v>
      </c>
      <c r="DT149">
        <v>41.4</v>
      </c>
      <c r="DU149">
        <v>28.9</v>
      </c>
      <c r="DV149">
        <v>16.669699999999999</v>
      </c>
      <c r="DW149">
        <v>61.251100000000001</v>
      </c>
      <c r="DX149">
        <v>36.774799999999999</v>
      </c>
      <c r="DY149">
        <v>1</v>
      </c>
      <c r="DZ149">
        <v>-0.10765</v>
      </c>
      <c r="EA149">
        <v>-0.34288099999999999</v>
      </c>
      <c r="EB149">
        <v>20.189299999999999</v>
      </c>
      <c r="EC149">
        <v>5.2411000000000003</v>
      </c>
      <c r="ED149">
        <v>12.039899999999999</v>
      </c>
      <c r="EE149">
        <v>5.0172499999999998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</v>
      </c>
      <c r="EL149">
        <v>1.8646199999999999</v>
      </c>
      <c r="EM149">
        <v>1.8691899999999999</v>
      </c>
      <c r="EN149">
        <v>1.8672200000000001</v>
      </c>
      <c r="EO149">
        <v>1.86337</v>
      </c>
      <c r="EP149">
        <v>1.8644700000000001</v>
      </c>
      <c r="EQ149">
        <v>1.8701700000000001</v>
      </c>
      <c r="ER149">
        <v>1.86937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-7.0000000000000007E-2</v>
      </c>
      <c r="FG149">
        <v>0.28149999999999997</v>
      </c>
      <c r="FH149">
        <v>0.23539598422606861</v>
      </c>
      <c r="FI149">
        <v>-6.1462078757559423E-4</v>
      </c>
      <c r="FJ149">
        <v>-1.8861989874597051E-7</v>
      </c>
      <c r="FK149">
        <v>1.1980462299894961E-10</v>
      </c>
      <c r="FL149">
        <v>0.28151999999999688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31.4</v>
      </c>
      <c r="FU149">
        <v>31.6</v>
      </c>
      <c r="FV149">
        <v>1.7663599999999999</v>
      </c>
      <c r="FW149">
        <v>2.5952099999999998</v>
      </c>
      <c r="FX149">
        <v>1.5490699999999999</v>
      </c>
      <c r="FY149">
        <v>2.3303199999999999</v>
      </c>
      <c r="FZ149">
        <v>1.50146</v>
      </c>
      <c r="GA149">
        <v>2.2851599999999999</v>
      </c>
      <c r="GB149">
        <v>33.602899999999998</v>
      </c>
      <c r="GC149">
        <v>23.982399999999998</v>
      </c>
      <c r="GD149">
        <v>19</v>
      </c>
      <c r="GE149">
        <v>285.76499999999999</v>
      </c>
      <c r="GF149">
        <v>580.19500000000005</v>
      </c>
      <c r="GG149">
        <v>25.452300000000001</v>
      </c>
      <c r="GH149">
        <v>26.059799999999999</v>
      </c>
      <c r="GI149">
        <v>30</v>
      </c>
      <c r="GJ149">
        <v>26.185099999999998</v>
      </c>
      <c r="GK149">
        <v>26.1614</v>
      </c>
      <c r="GL149">
        <v>35.317999999999998</v>
      </c>
      <c r="GM149">
        <v>100</v>
      </c>
      <c r="GN149">
        <v>47.987499999999997</v>
      </c>
      <c r="GO149">
        <v>25.4635</v>
      </c>
      <c r="GP149">
        <v>800</v>
      </c>
      <c r="GQ149">
        <v>4.2981999999999999E-2</v>
      </c>
      <c r="GR149">
        <v>99.797200000000004</v>
      </c>
      <c r="GS149">
        <v>99.664299999999997</v>
      </c>
    </row>
    <row r="150" spans="1:201" x14ac:dyDescent="0.25">
      <c r="A150">
        <v>134</v>
      </c>
      <c r="B150">
        <v>1690302369.5999999</v>
      </c>
      <c r="C150">
        <v>1465.599999904633</v>
      </c>
      <c r="D150" t="s">
        <v>599</v>
      </c>
      <c r="E150" t="s">
        <v>600</v>
      </c>
      <c r="F150" t="s">
        <v>330</v>
      </c>
      <c r="H150">
        <v>1690302369.5999999</v>
      </c>
      <c r="I150">
        <f t="shared" si="60"/>
        <v>2.2689161487755615E-3</v>
      </c>
      <c r="J150">
        <f t="shared" si="61"/>
        <v>2.2689161487755616</v>
      </c>
      <c r="K150">
        <f t="shared" si="62"/>
        <v>31.195191945782</v>
      </c>
      <c r="L150">
        <f t="shared" si="63"/>
        <v>449.08199999999999</v>
      </c>
      <c r="M150">
        <f t="shared" si="64"/>
        <v>122.25542060051808</v>
      </c>
      <c r="N150">
        <f t="shared" si="65"/>
        <v>12.153922377330069</v>
      </c>
      <c r="O150">
        <f t="shared" si="66"/>
        <v>44.645118737851796</v>
      </c>
      <c r="P150">
        <f t="shared" si="67"/>
        <v>0.16154692228800102</v>
      </c>
      <c r="Q150">
        <f t="shared" si="68"/>
        <v>2.1121443598054164</v>
      </c>
      <c r="R150">
        <f t="shared" si="69"/>
        <v>0.15498310015071312</v>
      </c>
      <c r="S150">
        <f t="shared" si="70"/>
        <v>9.7431948020542863E-2</v>
      </c>
      <c r="T150">
        <f t="shared" si="71"/>
        <v>276.114409722</v>
      </c>
      <c r="U150">
        <f t="shared" si="72"/>
        <v>28.203736111526489</v>
      </c>
      <c r="V150">
        <f t="shared" si="73"/>
        <v>28.203736111526489</v>
      </c>
      <c r="W150">
        <f t="shared" si="74"/>
        <v>3.840145631193173</v>
      </c>
      <c r="X150">
        <f t="shared" si="75"/>
        <v>68.711299090322882</v>
      </c>
      <c r="Y150">
        <f t="shared" si="76"/>
        <v>2.4306468743010301</v>
      </c>
      <c r="Z150">
        <f t="shared" si="77"/>
        <v>3.5374776877757443</v>
      </c>
      <c r="AA150">
        <f t="shared" si="78"/>
        <v>1.4094987568921429</v>
      </c>
      <c r="AB150">
        <f t="shared" si="79"/>
        <v>-100.05920216100226</v>
      </c>
      <c r="AC150">
        <f t="shared" si="80"/>
        <v>-159.76361921321427</v>
      </c>
      <c r="AD150">
        <f t="shared" si="81"/>
        <v>-16.406309984194152</v>
      </c>
      <c r="AE150">
        <f t="shared" si="82"/>
        <v>-0.11472163641064981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52325.622780955498</v>
      </c>
      <c r="AK150">
        <f t="shared" si="86"/>
        <v>1800</v>
      </c>
      <c r="AL150">
        <f t="shared" si="87"/>
        <v>1499.1121512</v>
      </c>
      <c r="AM150">
        <f t="shared" si="88"/>
        <v>0.83284008399999998</v>
      </c>
      <c r="AN150">
        <f t="shared" si="89"/>
        <v>0.15339689429</v>
      </c>
      <c r="AO150">
        <v>32.700000000000003</v>
      </c>
      <c r="AP150">
        <v>0.5</v>
      </c>
      <c r="AQ150" t="s">
        <v>331</v>
      </c>
      <c r="AR150">
        <v>2</v>
      </c>
      <c r="AS150">
        <v>1690302369.5999999</v>
      </c>
      <c r="AT150">
        <v>449.08199999999999</v>
      </c>
      <c r="AU150">
        <v>800.06500000000005</v>
      </c>
      <c r="AV150">
        <v>24.4497</v>
      </c>
      <c r="AW150">
        <v>0.33355400000000002</v>
      </c>
      <c r="AX150">
        <v>449.15</v>
      </c>
      <c r="AY150">
        <v>24.168199999999999</v>
      </c>
      <c r="AZ150">
        <v>300.12900000000002</v>
      </c>
      <c r="BA150">
        <v>99.3142</v>
      </c>
      <c r="BB150">
        <v>9.9979899999999997E-2</v>
      </c>
      <c r="BC150">
        <v>26.800699999999999</v>
      </c>
      <c r="BD150">
        <v>26.988399999999999</v>
      </c>
      <c r="BE150">
        <v>28.152000000000001</v>
      </c>
      <c r="BF150">
        <v>0</v>
      </c>
      <c r="BG150">
        <v>0</v>
      </c>
      <c r="BH150">
        <v>9955.6200000000008</v>
      </c>
      <c r="BI150">
        <v>1079.69</v>
      </c>
      <c r="BJ150">
        <v>1.90625</v>
      </c>
      <c r="BK150">
        <v>-350.983</v>
      </c>
      <c r="BL150">
        <v>460.33699999999999</v>
      </c>
      <c r="BM150">
        <v>800.33199999999999</v>
      </c>
      <c r="BN150">
        <v>24.116199999999999</v>
      </c>
      <c r="BO150">
        <v>800.06500000000005</v>
      </c>
      <c r="BP150">
        <v>0.33355400000000002</v>
      </c>
      <c r="BQ150">
        <v>2.4281999999999999</v>
      </c>
      <c r="BR150">
        <v>3.3126599999999999E-2</v>
      </c>
      <c r="BS150">
        <v>20.553100000000001</v>
      </c>
      <c r="BT150">
        <v>-34.445399999999999</v>
      </c>
      <c r="BU150">
        <v>1800</v>
      </c>
      <c r="BV150">
        <v>0.91001299999999996</v>
      </c>
      <c r="BW150">
        <v>3.4008700000000003E-2</v>
      </c>
      <c r="BX150">
        <v>2.19927E-2</v>
      </c>
      <c r="BY150">
        <v>3.3985899999999999E-2</v>
      </c>
      <c r="BZ150">
        <v>25.666699999999999</v>
      </c>
      <c r="CA150">
        <v>33528.400000000001</v>
      </c>
      <c r="CB150">
        <v>1690300477.5</v>
      </c>
      <c r="CC150" t="s">
        <v>332</v>
      </c>
      <c r="CD150">
        <v>1690300477.5</v>
      </c>
      <c r="CE150">
        <v>1690300465.5</v>
      </c>
      <c r="CF150">
        <v>7</v>
      </c>
      <c r="CG150">
        <v>5.0999999999999997E-2</v>
      </c>
      <c r="CH150">
        <v>-8.0000000000000002E-3</v>
      </c>
      <c r="CI150">
        <v>-0.316</v>
      </c>
      <c r="CJ150">
        <v>0.28199999999999997</v>
      </c>
      <c r="CK150">
        <v>800</v>
      </c>
      <c r="CL150">
        <v>24</v>
      </c>
      <c r="CM150">
        <v>0.25</v>
      </c>
      <c r="CN150">
        <v>0.13</v>
      </c>
      <c r="CO150">
        <v>-348.78609756097558</v>
      </c>
      <c r="CP150">
        <v>-12.06564459930291</v>
      </c>
      <c r="CQ150">
        <v>1.1906489889434679</v>
      </c>
      <c r="CR150">
        <v>-1</v>
      </c>
      <c r="CS150">
        <v>24.08061463414634</v>
      </c>
      <c r="CT150">
        <v>0.2167296167247971</v>
      </c>
      <c r="CU150">
        <v>2.3830688975799281E-2</v>
      </c>
      <c r="CV150">
        <v>-1</v>
      </c>
      <c r="CW150">
        <v>0</v>
      </c>
      <c r="CX150">
        <v>0</v>
      </c>
      <c r="CY150" t="s">
        <v>333</v>
      </c>
      <c r="CZ150">
        <v>2.3646699999999998</v>
      </c>
      <c r="DA150">
        <v>2.71373</v>
      </c>
      <c r="DB150">
        <v>9.7925899999999996E-2</v>
      </c>
      <c r="DC150">
        <v>0.14637900000000001</v>
      </c>
      <c r="DD150">
        <v>0.115407</v>
      </c>
      <c r="DE150">
        <v>2.7861600000000002E-3</v>
      </c>
      <c r="DF150">
        <v>32957.5</v>
      </c>
      <c r="DG150">
        <v>27535.9</v>
      </c>
      <c r="DH150">
        <v>31189.5</v>
      </c>
      <c r="DI150">
        <v>28108.2</v>
      </c>
      <c r="DJ150">
        <v>37454.400000000001</v>
      </c>
      <c r="DK150">
        <v>39868.1</v>
      </c>
      <c r="DL150">
        <v>44389.3</v>
      </c>
      <c r="DM150">
        <v>42605.1</v>
      </c>
      <c r="DN150">
        <v>1.4847699999999999</v>
      </c>
      <c r="DO150">
        <v>2.0348199999999999</v>
      </c>
      <c r="DP150">
        <v>9.2700099999999994E-2</v>
      </c>
      <c r="DQ150">
        <v>0.173982</v>
      </c>
      <c r="DR150">
        <v>25.470500000000001</v>
      </c>
      <c r="DS150">
        <v>25.305399999999999</v>
      </c>
      <c r="DT150">
        <v>40.9</v>
      </c>
      <c r="DU150">
        <v>28.9</v>
      </c>
      <c r="DV150">
        <v>16.4682</v>
      </c>
      <c r="DW150">
        <v>61.751100000000001</v>
      </c>
      <c r="DX150">
        <v>36.983199999999997</v>
      </c>
      <c r="DY150">
        <v>1</v>
      </c>
      <c r="DZ150">
        <v>-0.107525</v>
      </c>
      <c r="EA150">
        <v>-0.338619</v>
      </c>
      <c r="EB150">
        <v>20.189299999999999</v>
      </c>
      <c r="EC150">
        <v>5.2411000000000003</v>
      </c>
      <c r="ED150">
        <v>12.039899999999999</v>
      </c>
      <c r="EE150">
        <v>5.0172499999999998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</v>
      </c>
      <c r="EL150">
        <v>1.8646199999999999</v>
      </c>
      <c r="EM150">
        <v>1.8692</v>
      </c>
      <c r="EN150">
        <v>1.8672299999999999</v>
      </c>
      <c r="EO150">
        <v>1.8633999999999999</v>
      </c>
      <c r="EP150">
        <v>1.8644700000000001</v>
      </c>
      <c r="EQ150">
        <v>1.8702000000000001</v>
      </c>
      <c r="ER150">
        <v>1.8693900000000001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-6.8000000000000005E-2</v>
      </c>
      <c r="FG150">
        <v>0.28149999999999997</v>
      </c>
      <c r="FH150">
        <v>0.23539598422606861</v>
      </c>
      <c r="FI150">
        <v>-6.1462078757559423E-4</v>
      </c>
      <c r="FJ150">
        <v>-1.8861989874597051E-7</v>
      </c>
      <c r="FK150">
        <v>1.1980462299894961E-10</v>
      </c>
      <c r="FL150">
        <v>0.28151999999999688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31.5</v>
      </c>
      <c r="FU150">
        <v>31.7</v>
      </c>
      <c r="FV150">
        <v>1.7663599999999999</v>
      </c>
      <c r="FW150">
        <v>2.5939899999999998</v>
      </c>
      <c r="FX150">
        <v>1.5490699999999999</v>
      </c>
      <c r="FY150">
        <v>2.3303199999999999</v>
      </c>
      <c r="FZ150">
        <v>1.50146</v>
      </c>
      <c r="GA150">
        <v>2.2692899999999998</v>
      </c>
      <c r="GB150">
        <v>33.602899999999998</v>
      </c>
      <c r="GC150">
        <v>23.982399999999998</v>
      </c>
      <c r="GD150">
        <v>19</v>
      </c>
      <c r="GE150">
        <v>285.80500000000001</v>
      </c>
      <c r="GF150">
        <v>579.88699999999994</v>
      </c>
      <c r="GG150">
        <v>25.4635</v>
      </c>
      <c r="GH150">
        <v>26.059100000000001</v>
      </c>
      <c r="GI150">
        <v>30.0001</v>
      </c>
      <c r="GJ150">
        <v>26.184200000000001</v>
      </c>
      <c r="GK150">
        <v>26.1614</v>
      </c>
      <c r="GL150">
        <v>35.313800000000001</v>
      </c>
      <c r="GM150">
        <v>100</v>
      </c>
      <c r="GN150">
        <v>46.780799999999999</v>
      </c>
      <c r="GO150">
        <v>25.459700000000002</v>
      </c>
      <c r="GP150">
        <v>800</v>
      </c>
      <c r="GQ150">
        <v>0</v>
      </c>
      <c r="GR150">
        <v>99.798100000000005</v>
      </c>
      <c r="GS150">
        <v>99.665599999999998</v>
      </c>
    </row>
    <row r="151" spans="1:201" x14ac:dyDescent="0.25">
      <c r="A151">
        <v>135</v>
      </c>
      <c r="B151">
        <v>1690302379.5999999</v>
      </c>
      <c r="C151">
        <v>1475.599999904633</v>
      </c>
      <c r="D151" t="s">
        <v>601</v>
      </c>
      <c r="E151" t="s">
        <v>602</v>
      </c>
      <c r="F151" t="s">
        <v>330</v>
      </c>
      <c r="H151">
        <v>1690302379.5999999</v>
      </c>
      <c r="I151">
        <f t="shared" si="60"/>
        <v>2.2727019961630611E-3</v>
      </c>
      <c r="J151">
        <f t="shared" si="61"/>
        <v>2.272701996163061</v>
      </c>
      <c r="K151">
        <f t="shared" si="62"/>
        <v>31.349199594305638</v>
      </c>
      <c r="L151">
        <f t="shared" si="63"/>
        <v>447.23500000000001</v>
      </c>
      <c r="M151">
        <f t="shared" si="64"/>
        <v>119.88046099647256</v>
      </c>
      <c r="N151">
        <f t="shared" si="65"/>
        <v>11.917863162681019</v>
      </c>
      <c r="O151">
        <f t="shared" si="66"/>
        <v>44.461670294365</v>
      </c>
      <c r="P151">
        <f t="shared" si="67"/>
        <v>0.16205515328848349</v>
      </c>
      <c r="Q151">
        <f t="shared" si="68"/>
        <v>2.115965783900525</v>
      </c>
      <c r="R151">
        <f t="shared" si="69"/>
        <v>0.15546227955820155</v>
      </c>
      <c r="S151">
        <f t="shared" si="70"/>
        <v>9.7733918435423603E-2</v>
      </c>
      <c r="T151">
        <f t="shared" si="71"/>
        <v>276.11440687800001</v>
      </c>
      <c r="U151">
        <f t="shared" si="72"/>
        <v>28.207498391452564</v>
      </c>
      <c r="V151">
        <f t="shared" si="73"/>
        <v>28.207498391452564</v>
      </c>
      <c r="W151">
        <f t="shared" si="74"/>
        <v>3.8409866884773902</v>
      </c>
      <c r="X151">
        <f t="shared" si="75"/>
        <v>68.762281712330108</v>
      </c>
      <c r="Y151">
        <f t="shared" si="76"/>
        <v>2.4335093410256001</v>
      </c>
      <c r="Z151">
        <f t="shared" si="77"/>
        <v>3.5390177295254519</v>
      </c>
      <c r="AA151">
        <f t="shared" si="78"/>
        <v>1.4074773474517901</v>
      </c>
      <c r="AB151">
        <f t="shared" si="79"/>
        <v>-100.226158030791</v>
      </c>
      <c r="AC151">
        <f t="shared" si="80"/>
        <v>-159.63769721332559</v>
      </c>
      <c r="AD151">
        <f t="shared" si="81"/>
        <v>-16.364683855564191</v>
      </c>
      <c r="AE151">
        <f t="shared" si="82"/>
        <v>-0.11413222168076231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52491.601903896219</v>
      </c>
      <c r="AK151">
        <f t="shared" si="86"/>
        <v>1800</v>
      </c>
      <c r="AL151">
        <f t="shared" si="87"/>
        <v>1499.1119388</v>
      </c>
      <c r="AM151">
        <f t="shared" si="88"/>
        <v>0.83283996599999999</v>
      </c>
      <c r="AN151">
        <f t="shared" si="89"/>
        <v>0.15339689271000001</v>
      </c>
      <c r="AO151">
        <v>32.700000000000003</v>
      </c>
      <c r="AP151">
        <v>0.5</v>
      </c>
      <c r="AQ151" t="s">
        <v>331</v>
      </c>
      <c r="AR151">
        <v>2</v>
      </c>
      <c r="AS151">
        <v>1690302379.5999999</v>
      </c>
      <c r="AT151">
        <v>447.23500000000001</v>
      </c>
      <c r="AU151">
        <v>799.971</v>
      </c>
      <c r="AV151">
        <v>24.478400000000001</v>
      </c>
      <c r="AW151">
        <v>0.31572099999999997</v>
      </c>
      <c r="AX151">
        <v>447.30200000000002</v>
      </c>
      <c r="AY151">
        <v>24.196899999999999</v>
      </c>
      <c r="AZ151">
        <v>300.04199999999997</v>
      </c>
      <c r="BA151">
        <v>99.314499999999995</v>
      </c>
      <c r="BB151">
        <v>0.100059</v>
      </c>
      <c r="BC151">
        <v>26.8081</v>
      </c>
      <c r="BD151">
        <v>26.9849</v>
      </c>
      <c r="BE151">
        <v>28.163699999999999</v>
      </c>
      <c r="BF151">
        <v>0</v>
      </c>
      <c r="BG151">
        <v>0</v>
      </c>
      <c r="BH151">
        <v>9988.75</v>
      </c>
      <c r="BI151">
        <v>1079.71</v>
      </c>
      <c r="BJ151">
        <v>1.90625</v>
      </c>
      <c r="BK151">
        <v>-352.73599999999999</v>
      </c>
      <c r="BL151">
        <v>458.45699999999999</v>
      </c>
      <c r="BM151">
        <v>800.22400000000005</v>
      </c>
      <c r="BN151">
        <v>24.162700000000001</v>
      </c>
      <c r="BO151">
        <v>799.971</v>
      </c>
      <c r="BP151">
        <v>0.31572099999999997</v>
      </c>
      <c r="BQ151">
        <v>2.43106</v>
      </c>
      <c r="BR151">
        <v>3.13557E-2</v>
      </c>
      <c r="BS151">
        <v>20.572199999999999</v>
      </c>
      <c r="BT151">
        <v>-34.999600000000001</v>
      </c>
      <c r="BU151">
        <v>1800</v>
      </c>
      <c r="BV151">
        <v>0.91001100000000001</v>
      </c>
      <c r="BW151">
        <v>3.4007999999999997E-2</v>
      </c>
      <c r="BX151">
        <v>2.1992299999999999E-2</v>
      </c>
      <c r="BY151">
        <v>3.3989100000000001E-2</v>
      </c>
      <c r="BZ151">
        <v>25.666699999999999</v>
      </c>
      <c r="CA151">
        <v>33528.400000000001</v>
      </c>
      <c r="CB151">
        <v>1690300477.5</v>
      </c>
      <c r="CC151" t="s">
        <v>332</v>
      </c>
      <c r="CD151">
        <v>1690300477.5</v>
      </c>
      <c r="CE151">
        <v>1690300465.5</v>
      </c>
      <c r="CF151">
        <v>7</v>
      </c>
      <c r="CG151">
        <v>5.0999999999999997E-2</v>
      </c>
      <c r="CH151">
        <v>-8.0000000000000002E-3</v>
      </c>
      <c r="CI151">
        <v>-0.316</v>
      </c>
      <c r="CJ151">
        <v>0.28199999999999997</v>
      </c>
      <c r="CK151">
        <v>800</v>
      </c>
      <c r="CL151">
        <v>24</v>
      </c>
      <c r="CM151">
        <v>0.25</v>
      </c>
      <c r="CN151">
        <v>0.13</v>
      </c>
      <c r="CO151">
        <v>-350.71368292682928</v>
      </c>
      <c r="CP151">
        <v>-11.20825087108078</v>
      </c>
      <c r="CQ151">
        <v>1.1064789559464809</v>
      </c>
      <c r="CR151">
        <v>-1</v>
      </c>
      <c r="CS151">
        <v>24.114599999999999</v>
      </c>
      <c r="CT151">
        <v>0.21706202090597659</v>
      </c>
      <c r="CU151">
        <v>2.1500482127322779E-2</v>
      </c>
      <c r="CV151">
        <v>-1</v>
      </c>
      <c r="CW151">
        <v>0</v>
      </c>
      <c r="CX151">
        <v>0</v>
      </c>
      <c r="CY151" t="s">
        <v>333</v>
      </c>
      <c r="CZ151">
        <v>2.3643800000000001</v>
      </c>
      <c r="DA151">
        <v>2.7138399999999998</v>
      </c>
      <c r="DB151">
        <v>9.7625600000000007E-2</v>
      </c>
      <c r="DC151">
        <v>0.146368</v>
      </c>
      <c r="DD151">
        <v>0.11550299999999999</v>
      </c>
      <c r="DE151">
        <v>2.6400400000000002E-3</v>
      </c>
      <c r="DF151">
        <v>32968</v>
      </c>
      <c r="DG151">
        <v>27535.7</v>
      </c>
      <c r="DH151">
        <v>31189.1</v>
      </c>
      <c r="DI151">
        <v>28107.7</v>
      </c>
      <c r="DJ151">
        <v>37449.699999999997</v>
      </c>
      <c r="DK151">
        <v>39873.4</v>
      </c>
      <c r="DL151">
        <v>44388.7</v>
      </c>
      <c r="DM151">
        <v>42604.5</v>
      </c>
      <c r="DN151">
        <v>1.48485</v>
      </c>
      <c r="DO151">
        <v>2.0350999999999999</v>
      </c>
      <c r="DP151">
        <v>9.2260499999999995E-2</v>
      </c>
      <c r="DQ151">
        <v>0.17448900000000001</v>
      </c>
      <c r="DR151">
        <v>25.4742</v>
      </c>
      <c r="DS151">
        <v>25.308900000000001</v>
      </c>
      <c r="DT151">
        <v>40.5</v>
      </c>
      <c r="DU151">
        <v>28.9</v>
      </c>
      <c r="DV151">
        <v>16.304400000000001</v>
      </c>
      <c r="DW151">
        <v>61.561100000000003</v>
      </c>
      <c r="DX151">
        <v>37.139400000000002</v>
      </c>
      <c r="DY151">
        <v>1</v>
      </c>
      <c r="DZ151">
        <v>-0.10775899999999999</v>
      </c>
      <c r="EA151">
        <v>-0.369695</v>
      </c>
      <c r="EB151">
        <v>20.1891</v>
      </c>
      <c r="EC151">
        <v>5.2411000000000003</v>
      </c>
      <c r="ED151">
        <v>12.039899999999999</v>
      </c>
      <c r="EE151">
        <v>5.0171000000000001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1.8689100000000001</v>
      </c>
      <c r="EL151">
        <v>1.8646199999999999</v>
      </c>
      <c r="EM151">
        <v>1.8692</v>
      </c>
      <c r="EN151">
        <v>1.8672200000000001</v>
      </c>
      <c r="EO151">
        <v>1.8633999999999999</v>
      </c>
      <c r="EP151">
        <v>1.8644700000000001</v>
      </c>
      <c r="EQ151">
        <v>1.8701700000000001</v>
      </c>
      <c r="ER151">
        <v>1.8693900000000001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-6.7000000000000004E-2</v>
      </c>
      <c r="FG151">
        <v>0.28149999999999997</v>
      </c>
      <c r="FH151">
        <v>0.23539598422606861</v>
      </c>
      <c r="FI151">
        <v>-6.1462078757559423E-4</v>
      </c>
      <c r="FJ151">
        <v>-1.8861989874597051E-7</v>
      </c>
      <c r="FK151">
        <v>1.1980462299894961E-10</v>
      </c>
      <c r="FL151">
        <v>0.28151999999999688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31.7</v>
      </c>
      <c r="FU151">
        <v>31.9</v>
      </c>
      <c r="FV151">
        <v>1.7663599999999999</v>
      </c>
      <c r="FW151">
        <v>2.5891099999999998</v>
      </c>
      <c r="FX151">
        <v>1.5490699999999999</v>
      </c>
      <c r="FY151">
        <v>2.3303199999999999</v>
      </c>
      <c r="FZ151">
        <v>1.50146</v>
      </c>
      <c r="GA151">
        <v>2.2949199999999998</v>
      </c>
      <c r="GB151">
        <v>33.580399999999997</v>
      </c>
      <c r="GC151">
        <v>23.991199999999999</v>
      </c>
      <c r="GD151">
        <v>19</v>
      </c>
      <c r="GE151">
        <v>285.83100000000002</v>
      </c>
      <c r="GF151">
        <v>580.11300000000006</v>
      </c>
      <c r="GG151">
        <v>25.4619</v>
      </c>
      <c r="GH151">
        <v>26.056899999999999</v>
      </c>
      <c r="GI151">
        <v>30</v>
      </c>
      <c r="GJ151">
        <v>26.1829</v>
      </c>
      <c r="GK151">
        <v>26.1614</v>
      </c>
      <c r="GL151">
        <v>35.314999999999998</v>
      </c>
      <c r="GM151">
        <v>100</v>
      </c>
      <c r="GN151">
        <v>45.958399999999997</v>
      </c>
      <c r="GO151">
        <v>25.470600000000001</v>
      </c>
      <c r="GP151">
        <v>800</v>
      </c>
      <c r="GQ151">
        <v>0</v>
      </c>
      <c r="GR151">
        <v>99.796599999999998</v>
      </c>
      <c r="GS151">
        <v>99.663899999999998</v>
      </c>
    </row>
    <row r="152" spans="1:201" x14ac:dyDescent="0.25">
      <c r="A152">
        <v>136</v>
      </c>
      <c r="B152">
        <v>1690302389.5999999</v>
      </c>
      <c r="C152">
        <v>1485.599999904633</v>
      </c>
      <c r="D152" t="s">
        <v>603</v>
      </c>
      <c r="E152" t="s">
        <v>604</v>
      </c>
      <c r="F152" t="s">
        <v>330</v>
      </c>
      <c r="H152">
        <v>1690302389.5999999</v>
      </c>
      <c r="I152">
        <f t="shared" si="60"/>
        <v>2.2782783310674138E-3</v>
      </c>
      <c r="J152">
        <f t="shared" si="61"/>
        <v>2.2782783310674137</v>
      </c>
      <c r="K152">
        <f t="shared" si="62"/>
        <v>31.510753755748258</v>
      </c>
      <c r="L152">
        <f t="shared" si="63"/>
        <v>445.49400000000003</v>
      </c>
      <c r="M152">
        <f t="shared" si="64"/>
        <v>118.4452837875412</v>
      </c>
      <c r="N152">
        <f t="shared" si="65"/>
        <v>11.774441402427579</v>
      </c>
      <c r="O152">
        <f t="shared" si="66"/>
        <v>44.285790285597002</v>
      </c>
      <c r="P152">
        <f t="shared" si="67"/>
        <v>0.16304662047769194</v>
      </c>
      <c r="Q152">
        <f t="shared" si="68"/>
        <v>2.1173257305260318</v>
      </c>
      <c r="R152">
        <f t="shared" si="69"/>
        <v>0.15637871111346627</v>
      </c>
      <c r="S152">
        <f t="shared" si="70"/>
        <v>9.831305700648646E-2</v>
      </c>
      <c r="T152">
        <f t="shared" si="71"/>
        <v>276.11428055399995</v>
      </c>
      <c r="U152">
        <f t="shared" si="72"/>
        <v>28.206723561548358</v>
      </c>
      <c r="V152">
        <f t="shared" si="73"/>
        <v>28.206723561548358</v>
      </c>
      <c r="W152">
        <f t="shared" si="74"/>
        <v>3.8408134621952974</v>
      </c>
      <c r="X152">
        <f t="shared" si="75"/>
        <v>68.888873221946241</v>
      </c>
      <c r="Y152">
        <f t="shared" si="76"/>
        <v>2.43827624063645</v>
      </c>
      <c r="Z152">
        <f t="shared" si="77"/>
        <v>3.5394340574867718</v>
      </c>
      <c r="AA152">
        <f t="shared" si="78"/>
        <v>1.4025372215588474</v>
      </c>
      <c r="AB152">
        <f t="shared" si="79"/>
        <v>-100.47207440007296</v>
      </c>
      <c r="AC152">
        <f t="shared" si="80"/>
        <v>-159.42355273092366</v>
      </c>
      <c r="AD152">
        <f t="shared" si="81"/>
        <v>-16.332334287388232</v>
      </c>
      <c r="AE152">
        <f t="shared" si="82"/>
        <v>-0.11368086438488945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52550.728333434236</v>
      </c>
      <c r="AK152">
        <f t="shared" si="86"/>
        <v>1800</v>
      </c>
      <c r="AL152">
        <f t="shared" si="87"/>
        <v>1499.1091704</v>
      </c>
      <c r="AM152">
        <f t="shared" si="88"/>
        <v>0.83283842799999996</v>
      </c>
      <c r="AN152">
        <f t="shared" si="89"/>
        <v>0.15339682252999998</v>
      </c>
      <c r="AO152">
        <v>32.700000000000003</v>
      </c>
      <c r="AP152">
        <v>0.5</v>
      </c>
      <c r="AQ152" t="s">
        <v>331</v>
      </c>
      <c r="AR152">
        <v>2</v>
      </c>
      <c r="AS152">
        <v>1690302389.5999999</v>
      </c>
      <c r="AT152">
        <v>445.49400000000003</v>
      </c>
      <c r="AU152">
        <v>800.04200000000003</v>
      </c>
      <c r="AV152">
        <v>24.527899999999999</v>
      </c>
      <c r="AW152">
        <v>0.302562</v>
      </c>
      <c r="AX152">
        <v>445.56</v>
      </c>
      <c r="AY152">
        <v>24.246400000000001</v>
      </c>
      <c r="AZ152">
        <v>299.98500000000001</v>
      </c>
      <c r="BA152">
        <v>99.308300000000003</v>
      </c>
      <c r="BB152">
        <v>9.9975499999999995E-2</v>
      </c>
      <c r="BC152">
        <v>26.810099999999998</v>
      </c>
      <c r="BD152">
        <v>27.008099999999999</v>
      </c>
      <c r="BE152">
        <v>28.151</v>
      </c>
      <c r="BF152">
        <v>0</v>
      </c>
      <c r="BG152">
        <v>0</v>
      </c>
      <c r="BH152">
        <v>10001.200000000001</v>
      </c>
      <c r="BI152">
        <v>1079.83</v>
      </c>
      <c r="BJ152">
        <v>1.90625</v>
      </c>
      <c r="BK152">
        <v>-354.54700000000003</v>
      </c>
      <c r="BL152">
        <v>456.69600000000003</v>
      </c>
      <c r="BM152">
        <v>800.28399999999999</v>
      </c>
      <c r="BN152">
        <v>24.2254</v>
      </c>
      <c r="BO152">
        <v>800.04200000000003</v>
      </c>
      <c r="BP152">
        <v>0.302562</v>
      </c>
      <c r="BQ152">
        <v>2.4358300000000002</v>
      </c>
      <c r="BR152">
        <v>3.0047000000000001E-2</v>
      </c>
      <c r="BS152">
        <v>20.603899999999999</v>
      </c>
      <c r="BT152">
        <v>-35.427500000000002</v>
      </c>
      <c r="BU152">
        <v>1800</v>
      </c>
      <c r="BV152">
        <v>0.91</v>
      </c>
      <c r="BW152">
        <v>3.4007500000000003E-2</v>
      </c>
      <c r="BX152">
        <v>2.1991900000000002E-2</v>
      </c>
      <c r="BY152">
        <v>3.4000299999999997E-2</v>
      </c>
      <c r="BZ152">
        <v>25.666699999999999</v>
      </c>
      <c r="CA152">
        <v>33528.5</v>
      </c>
      <c r="CB152">
        <v>1690300477.5</v>
      </c>
      <c r="CC152" t="s">
        <v>332</v>
      </c>
      <c r="CD152">
        <v>1690300477.5</v>
      </c>
      <c r="CE152">
        <v>1690300465.5</v>
      </c>
      <c r="CF152">
        <v>7</v>
      </c>
      <c r="CG152">
        <v>5.0999999999999997E-2</v>
      </c>
      <c r="CH152">
        <v>-8.0000000000000002E-3</v>
      </c>
      <c r="CI152">
        <v>-0.316</v>
      </c>
      <c r="CJ152">
        <v>0.28199999999999997</v>
      </c>
      <c r="CK152">
        <v>800</v>
      </c>
      <c r="CL152">
        <v>24</v>
      </c>
      <c r="CM152">
        <v>0.25</v>
      </c>
      <c r="CN152">
        <v>0.13</v>
      </c>
      <c r="CO152">
        <v>-352.54307499999999</v>
      </c>
      <c r="CP152">
        <v>-11.248761726078341</v>
      </c>
      <c r="CQ152">
        <v>1.08355704481813</v>
      </c>
      <c r="CR152">
        <v>-1</v>
      </c>
      <c r="CS152">
        <v>24.158574999999999</v>
      </c>
      <c r="CT152">
        <v>0.32283602251403432</v>
      </c>
      <c r="CU152">
        <v>3.1230463893448631E-2</v>
      </c>
      <c r="CV152">
        <v>-1</v>
      </c>
      <c r="CW152">
        <v>0</v>
      </c>
      <c r="CX152">
        <v>0</v>
      </c>
      <c r="CY152" t="s">
        <v>333</v>
      </c>
      <c r="CZ152">
        <v>2.3641899999999998</v>
      </c>
      <c r="DA152">
        <v>2.7137600000000002</v>
      </c>
      <c r="DB152">
        <v>9.7335500000000005E-2</v>
      </c>
      <c r="DC152">
        <v>0.146368</v>
      </c>
      <c r="DD152">
        <v>0.115662</v>
      </c>
      <c r="DE152">
        <v>2.5318799999999998E-3</v>
      </c>
      <c r="DF152">
        <v>32978.400000000001</v>
      </c>
      <c r="DG152">
        <v>27535.7</v>
      </c>
      <c r="DH152">
        <v>31188.9</v>
      </c>
      <c r="DI152">
        <v>28107.7</v>
      </c>
      <c r="DJ152">
        <v>37442.699999999997</v>
      </c>
      <c r="DK152">
        <v>39877.599999999999</v>
      </c>
      <c r="DL152">
        <v>44388.5</v>
      </c>
      <c r="DM152">
        <v>42604.3</v>
      </c>
      <c r="DN152">
        <v>1.48505</v>
      </c>
      <c r="DO152">
        <v>2.03478</v>
      </c>
      <c r="DP152">
        <v>9.3445200000000006E-2</v>
      </c>
      <c r="DQ152">
        <v>0.17338600000000001</v>
      </c>
      <c r="DR152">
        <v>25.478000000000002</v>
      </c>
      <c r="DS152">
        <v>25.3142</v>
      </c>
      <c r="DT152">
        <v>40</v>
      </c>
      <c r="DU152">
        <v>28.9</v>
      </c>
      <c r="DV152">
        <v>16.1069</v>
      </c>
      <c r="DW152">
        <v>61.581099999999999</v>
      </c>
      <c r="DX152">
        <v>37.335700000000003</v>
      </c>
      <c r="DY152">
        <v>1</v>
      </c>
      <c r="DZ152">
        <v>-0.107581</v>
      </c>
      <c r="EA152">
        <v>-0.405972</v>
      </c>
      <c r="EB152">
        <v>20.189</v>
      </c>
      <c r="EC152">
        <v>5.2411000000000003</v>
      </c>
      <c r="ED152">
        <v>12.039899999999999</v>
      </c>
      <c r="EE152">
        <v>5.0169499999999996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1.8689100000000001</v>
      </c>
      <c r="EL152">
        <v>1.8646199999999999</v>
      </c>
      <c r="EM152">
        <v>1.8692</v>
      </c>
      <c r="EN152">
        <v>1.86724</v>
      </c>
      <c r="EO152">
        <v>1.8633900000000001</v>
      </c>
      <c r="EP152">
        <v>1.8644700000000001</v>
      </c>
      <c r="EQ152">
        <v>1.87018</v>
      </c>
      <c r="ER152">
        <v>1.8693900000000001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-6.6000000000000003E-2</v>
      </c>
      <c r="FG152">
        <v>0.28149999999999997</v>
      </c>
      <c r="FH152">
        <v>0.23539598422606861</v>
      </c>
      <c r="FI152">
        <v>-6.1462078757559423E-4</v>
      </c>
      <c r="FJ152">
        <v>-1.8861989874597051E-7</v>
      </c>
      <c r="FK152">
        <v>1.1980462299894961E-10</v>
      </c>
      <c r="FL152">
        <v>0.28151999999999688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31.9</v>
      </c>
      <c r="FU152">
        <v>32.1</v>
      </c>
      <c r="FV152">
        <v>1.7651399999999999</v>
      </c>
      <c r="FW152">
        <v>2.5878899999999998</v>
      </c>
      <c r="FX152">
        <v>1.5490699999999999</v>
      </c>
      <c r="FY152">
        <v>2.3303199999999999</v>
      </c>
      <c r="FZ152">
        <v>1.50146</v>
      </c>
      <c r="GA152">
        <v>2.3596200000000001</v>
      </c>
      <c r="GB152">
        <v>33.580399999999997</v>
      </c>
      <c r="GC152">
        <v>23.991199999999999</v>
      </c>
      <c r="GD152">
        <v>19</v>
      </c>
      <c r="GE152">
        <v>285.916</v>
      </c>
      <c r="GF152">
        <v>579.82100000000003</v>
      </c>
      <c r="GG152">
        <v>25.484300000000001</v>
      </c>
      <c r="GH152">
        <v>26.056899999999999</v>
      </c>
      <c r="GI152">
        <v>30</v>
      </c>
      <c r="GJ152">
        <v>26.1829</v>
      </c>
      <c r="GK152">
        <v>26.159199999999998</v>
      </c>
      <c r="GL152">
        <v>35.3078</v>
      </c>
      <c r="GM152">
        <v>100</v>
      </c>
      <c r="GN152">
        <v>44.753900000000002</v>
      </c>
      <c r="GO152">
        <v>25.491199999999999</v>
      </c>
      <c r="GP152">
        <v>800</v>
      </c>
      <c r="GQ152">
        <v>0</v>
      </c>
      <c r="GR152">
        <v>99.796099999999996</v>
      </c>
      <c r="GS152">
        <v>99.663600000000002</v>
      </c>
    </row>
    <row r="153" spans="1:201" x14ac:dyDescent="0.25">
      <c r="A153">
        <v>137</v>
      </c>
      <c r="B153">
        <v>1690302399.5999999</v>
      </c>
      <c r="C153">
        <v>1495.599999904633</v>
      </c>
      <c r="D153" t="s">
        <v>605</v>
      </c>
      <c r="E153" t="s">
        <v>606</v>
      </c>
      <c r="F153" t="s">
        <v>330</v>
      </c>
      <c r="H153">
        <v>1690302399.5999999</v>
      </c>
      <c r="I153">
        <f t="shared" si="60"/>
        <v>2.2846008065139866E-3</v>
      </c>
      <c r="J153">
        <f t="shared" si="61"/>
        <v>2.2846008065139864</v>
      </c>
      <c r="K153">
        <f t="shared" si="62"/>
        <v>31.668837573341008</v>
      </c>
      <c r="L153">
        <f t="shared" si="63"/>
        <v>443.839</v>
      </c>
      <c r="M153">
        <f t="shared" si="64"/>
        <v>117.15900008840988</v>
      </c>
      <c r="N153">
        <f t="shared" si="65"/>
        <v>11.646827045794863</v>
      </c>
      <c r="O153">
        <f t="shared" si="66"/>
        <v>44.122227616125997</v>
      </c>
      <c r="P153">
        <f t="shared" si="67"/>
        <v>0.16406892873922285</v>
      </c>
      <c r="Q153">
        <f t="shared" si="68"/>
        <v>2.1145517784907026</v>
      </c>
      <c r="R153">
        <f t="shared" si="69"/>
        <v>0.15731053963879893</v>
      </c>
      <c r="S153">
        <f t="shared" si="70"/>
        <v>9.8903103415612759E-2</v>
      </c>
      <c r="T153">
        <f t="shared" si="71"/>
        <v>276.11449324199998</v>
      </c>
      <c r="U153">
        <f t="shared" si="72"/>
        <v>28.210962127757139</v>
      </c>
      <c r="V153">
        <f t="shared" si="73"/>
        <v>28.210962127757139</v>
      </c>
      <c r="W153">
        <f t="shared" si="74"/>
        <v>3.8417611484328908</v>
      </c>
      <c r="X153">
        <f t="shared" si="75"/>
        <v>69.021986187075868</v>
      </c>
      <c r="Y153">
        <f t="shared" si="76"/>
        <v>2.4436774654578</v>
      </c>
      <c r="Z153">
        <f t="shared" si="77"/>
        <v>3.5404334190478139</v>
      </c>
      <c r="AA153">
        <f t="shared" si="78"/>
        <v>1.3980836829750909</v>
      </c>
      <c r="AB153">
        <f t="shared" si="79"/>
        <v>-100.75089556726681</v>
      </c>
      <c r="AC153">
        <f t="shared" si="80"/>
        <v>-159.15068535949626</v>
      </c>
      <c r="AD153">
        <f t="shared" si="81"/>
        <v>-16.326505289874522</v>
      </c>
      <c r="AE153">
        <f t="shared" si="82"/>
        <v>-0.11359297463764051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52428.392787010554</v>
      </c>
      <c r="AK153">
        <f t="shared" si="86"/>
        <v>1800</v>
      </c>
      <c r="AL153">
        <f t="shared" si="87"/>
        <v>1499.1079841999999</v>
      </c>
      <c r="AM153">
        <f t="shared" si="88"/>
        <v>0.83283776899999995</v>
      </c>
      <c r="AN153">
        <f t="shared" si="89"/>
        <v>0.15339694068999998</v>
      </c>
      <c r="AO153">
        <v>32.700000000000003</v>
      </c>
      <c r="AP153">
        <v>0.5</v>
      </c>
      <c r="AQ153" t="s">
        <v>331</v>
      </c>
      <c r="AR153">
        <v>2</v>
      </c>
      <c r="AS153">
        <v>1690302399.5999999</v>
      </c>
      <c r="AT153">
        <v>443.839</v>
      </c>
      <c r="AU153">
        <v>800.07</v>
      </c>
      <c r="AV153">
        <v>24.581700000000001</v>
      </c>
      <c r="AW153">
        <v>0.29249799999999998</v>
      </c>
      <c r="AX153">
        <v>443.90300000000002</v>
      </c>
      <c r="AY153">
        <v>24.3002</v>
      </c>
      <c r="AZ153">
        <v>300.01</v>
      </c>
      <c r="BA153">
        <v>99.310400000000001</v>
      </c>
      <c r="BB153">
        <v>0.100034</v>
      </c>
      <c r="BC153">
        <v>26.814900000000002</v>
      </c>
      <c r="BD153">
        <v>27.0062</v>
      </c>
      <c r="BE153">
        <v>28.1709</v>
      </c>
      <c r="BF153">
        <v>0</v>
      </c>
      <c r="BG153">
        <v>0</v>
      </c>
      <c r="BH153">
        <v>9976.8799999999992</v>
      </c>
      <c r="BI153">
        <v>1079.75</v>
      </c>
      <c r="BJ153">
        <v>1.90625</v>
      </c>
      <c r="BK153">
        <v>-356.23200000000003</v>
      </c>
      <c r="BL153">
        <v>455.024</v>
      </c>
      <c r="BM153">
        <v>800.30399999999997</v>
      </c>
      <c r="BN153">
        <v>24.289200000000001</v>
      </c>
      <c r="BO153">
        <v>800.07</v>
      </c>
      <c r="BP153">
        <v>0.29249799999999998</v>
      </c>
      <c r="BQ153">
        <v>2.4412199999999999</v>
      </c>
      <c r="BR153">
        <v>2.90481E-2</v>
      </c>
      <c r="BS153">
        <v>20.639800000000001</v>
      </c>
      <c r="BT153">
        <v>-35.765599999999999</v>
      </c>
      <c r="BU153">
        <v>1800</v>
      </c>
      <c r="BV153">
        <v>0.90998800000000002</v>
      </c>
      <c r="BW153">
        <v>3.4006399999999999E-2</v>
      </c>
      <c r="BX153">
        <v>2.1991199999999999E-2</v>
      </c>
      <c r="BY153">
        <v>3.4014700000000002E-2</v>
      </c>
      <c r="BZ153">
        <v>25.666699999999999</v>
      </c>
      <c r="CA153">
        <v>33528.400000000001</v>
      </c>
      <c r="CB153">
        <v>1690300477.5</v>
      </c>
      <c r="CC153" t="s">
        <v>332</v>
      </c>
      <c r="CD153">
        <v>1690300477.5</v>
      </c>
      <c r="CE153">
        <v>1690300465.5</v>
      </c>
      <c r="CF153">
        <v>7</v>
      </c>
      <c r="CG153">
        <v>5.0999999999999997E-2</v>
      </c>
      <c r="CH153">
        <v>-8.0000000000000002E-3</v>
      </c>
      <c r="CI153">
        <v>-0.316</v>
      </c>
      <c r="CJ153">
        <v>0.28199999999999997</v>
      </c>
      <c r="CK153">
        <v>800</v>
      </c>
      <c r="CL153">
        <v>24</v>
      </c>
      <c r="CM153">
        <v>0.25</v>
      </c>
      <c r="CN153">
        <v>0.13</v>
      </c>
      <c r="CO153">
        <v>-354.38521951219508</v>
      </c>
      <c r="CP153">
        <v>-10.576181184669149</v>
      </c>
      <c r="CQ153">
        <v>1.0449356967540999</v>
      </c>
      <c r="CR153">
        <v>-1</v>
      </c>
      <c r="CS153">
        <v>24.21851707317073</v>
      </c>
      <c r="CT153">
        <v>0.37639233449475018</v>
      </c>
      <c r="CU153">
        <v>3.7131170932901018E-2</v>
      </c>
      <c r="CV153">
        <v>-1</v>
      </c>
      <c r="CW153">
        <v>0</v>
      </c>
      <c r="CX153">
        <v>0</v>
      </c>
      <c r="CY153" t="s">
        <v>333</v>
      </c>
      <c r="CZ153">
        <v>2.3642799999999999</v>
      </c>
      <c r="DA153">
        <v>2.7138</v>
      </c>
      <c r="DB153">
        <v>9.7066700000000006E-2</v>
      </c>
      <c r="DC153">
        <v>0.146374</v>
      </c>
      <c r="DD153">
        <v>0.115843</v>
      </c>
      <c r="DE153">
        <v>2.44919E-3</v>
      </c>
      <c r="DF153">
        <v>32988.400000000001</v>
      </c>
      <c r="DG153">
        <v>27536</v>
      </c>
      <c r="DH153">
        <v>31189.1</v>
      </c>
      <c r="DI153">
        <v>28108.2</v>
      </c>
      <c r="DJ153">
        <v>37435</v>
      </c>
      <c r="DK153">
        <v>39881.599999999999</v>
      </c>
      <c r="DL153">
        <v>44388.6</v>
      </c>
      <c r="DM153">
        <v>42605</v>
      </c>
      <c r="DN153">
        <v>1.48475</v>
      </c>
      <c r="DO153">
        <v>2.0347</v>
      </c>
      <c r="DP153">
        <v>9.3020500000000006E-2</v>
      </c>
      <c r="DQ153">
        <v>0.17435800000000001</v>
      </c>
      <c r="DR153">
        <v>25.4831</v>
      </c>
      <c r="DS153">
        <v>25.318200000000001</v>
      </c>
      <c r="DT153">
        <v>39.5</v>
      </c>
      <c r="DU153">
        <v>28.9</v>
      </c>
      <c r="DV153">
        <v>15.905099999999999</v>
      </c>
      <c r="DW153">
        <v>61.481099999999998</v>
      </c>
      <c r="DX153">
        <v>37.279600000000002</v>
      </c>
      <c r="DY153">
        <v>1</v>
      </c>
      <c r="DZ153">
        <v>-0.10763</v>
      </c>
      <c r="EA153">
        <v>-0.29852400000000001</v>
      </c>
      <c r="EB153">
        <v>20.1892</v>
      </c>
      <c r="EC153">
        <v>5.2411000000000003</v>
      </c>
      <c r="ED153">
        <v>12.039899999999999</v>
      </c>
      <c r="EE153">
        <v>5.0173500000000004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</v>
      </c>
      <c r="EL153">
        <v>1.8646199999999999</v>
      </c>
      <c r="EM153">
        <v>1.8692</v>
      </c>
      <c r="EN153">
        <v>1.8672200000000001</v>
      </c>
      <c r="EO153">
        <v>1.86338</v>
      </c>
      <c r="EP153">
        <v>1.8644700000000001</v>
      </c>
      <c r="EQ153">
        <v>1.87015</v>
      </c>
      <c r="ER153">
        <v>1.8693900000000001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-6.4000000000000001E-2</v>
      </c>
      <c r="FG153">
        <v>0.28149999999999997</v>
      </c>
      <c r="FH153">
        <v>0.23539598422606861</v>
      </c>
      <c r="FI153">
        <v>-6.1462078757559423E-4</v>
      </c>
      <c r="FJ153">
        <v>-1.8861989874597051E-7</v>
      </c>
      <c r="FK153">
        <v>1.1980462299894961E-10</v>
      </c>
      <c r="FL153">
        <v>0.28151999999999688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</v>
      </c>
      <c r="FU153">
        <v>32.200000000000003</v>
      </c>
      <c r="FV153">
        <v>1.7663599999999999</v>
      </c>
      <c r="FW153">
        <v>2.5891099999999998</v>
      </c>
      <c r="FX153">
        <v>1.5490699999999999</v>
      </c>
      <c r="FY153">
        <v>2.3303199999999999</v>
      </c>
      <c r="FZ153">
        <v>1.50146</v>
      </c>
      <c r="GA153">
        <v>2.36694</v>
      </c>
      <c r="GB153">
        <v>33.580399999999997</v>
      </c>
      <c r="GC153">
        <v>23.982399999999998</v>
      </c>
      <c r="GD153">
        <v>19</v>
      </c>
      <c r="GE153">
        <v>285.78800000000001</v>
      </c>
      <c r="GF153">
        <v>579.76</v>
      </c>
      <c r="GG153">
        <v>25.478100000000001</v>
      </c>
      <c r="GH153">
        <v>26.056899999999999</v>
      </c>
      <c r="GI153">
        <v>29.9999</v>
      </c>
      <c r="GJ153">
        <v>26.1829</v>
      </c>
      <c r="GK153">
        <v>26.159199999999998</v>
      </c>
      <c r="GL153">
        <v>35.306399999999996</v>
      </c>
      <c r="GM153">
        <v>100</v>
      </c>
      <c r="GN153">
        <v>43.967399999999998</v>
      </c>
      <c r="GO153">
        <v>25.466899999999999</v>
      </c>
      <c r="GP153">
        <v>800</v>
      </c>
      <c r="GQ153">
        <v>0</v>
      </c>
      <c r="GR153">
        <v>99.796499999999995</v>
      </c>
      <c r="GS153">
        <v>99.665400000000005</v>
      </c>
    </row>
    <row r="154" spans="1:201" x14ac:dyDescent="0.25">
      <c r="A154">
        <v>138</v>
      </c>
      <c r="B154">
        <v>1690302409.5999999</v>
      </c>
      <c r="C154">
        <v>1505.599999904633</v>
      </c>
      <c r="D154" t="s">
        <v>607</v>
      </c>
      <c r="E154" t="s">
        <v>608</v>
      </c>
      <c r="F154" t="s">
        <v>330</v>
      </c>
      <c r="H154">
        <v>1690302409.5999999</v>
      </c>
      <c r="I154">
        <f t="shared" si="60"/>
        <v>2.2905037586822162E-3</v>
      </c>
      <c r="J154">
        <f t="shared" si="61"/>
        <v>2.2905037586822163</v>
      </c>
      <c r="K154">
        <f t="shared" si="62"/>
        <v>31.815685915073459</v>
      </c>
      <c r="L154">
        <f t="shared" si="63"/>
        <v>442.28199999999998</v>
      </c>
      <c r="M154">
        <f t="shared" si="64"/>
        <v>116.52195222156188</v>
      </c>
      <c r="N154">
        <f t="shared" si="65"/>
        <v>11.583705413078416</v>
      </c>
      <c r="O154">
        <f t="shared" si="66"/>
        <v>43.968233451542794</v>
      </c>
      <c r="P154">
        <f t="shared" si="67"/>
        <v>0.165309467602551</v>
      </c>
      <c r="Q154">
        <f t="shared" si="68"/>
        <v>2.1183140856166141</v>
      </c>
      <c r="R154">
        <f t="shared" si="69"/>
        <v>0.1584624266509162</v>
      </c>
      <c r="S154">
        <f t="shared" si="70"/>
        <v>9.9630563701331415E-2</v>
      </c>
      <c r="T154">
        <f t="shared" si="71"/>
        <v>276.11448300000001</v>
      </c>
      <c r="U154">
        <f t="shared" si="72"/>
        <v>28.203845933099306</v>
      </c>
      <c r="V154">
        <f t="shared" si="73"/>
        <v>28.203845933099306</v>
      </c>
      <c r="W154">
        <f t="shared" si="74"/>
        <v>3.8401701795177465</v>
      </c>
      <c r="X154">
        <f t="shared" si="75"/>
        <v>69.174166877030089</v>
      </c>
      <c r="Y154">
        <f t="shared" si="76"/>
        <v>2.4486620424035594</v>
      </c>
      <c r="Z154">
        <f t="shared" si="77"/>
        <v>3.5398504282046659</v>
      </c>
      <c r="AA154">
        <f t="shared" si="78"/>
        <v>1.3915081371141871</v>
      </c>
      <c r="AB154">
        <f t="shared" si="79"/>
        <v>-101.01121575788574</v>
      </c>
      <c r="AC154">
        <f t="shared" si="80"/>
        <v>-158.94093309772614</v>
      </c>
      <c r="AD154">
        <f t="shared" si="81"/>
        <v>-16.275222627791489</v>
      </c>
      <c r="AE154">
        <f t="shared" si="82"/>
        <v>-0.11288848340336699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52593.814997813555</v>
      </c>
      <c r="AK154">
        <f t="shared" si="86"/>
        <v>1800</v>
      </c>
      <c r="AL154">
        <f t="shared" si="87"/>
        <v>1499.1082740000004</v>
      </c>
      <c r="AM154">
        <f t="shared" si="88"/>
        <v>0.83283793000000017</v>
      </c>
      <c r="AN154">
        <f t="shared" si="89"/>
        <v>0.15339693500000001</v>
      </c>
      <c r="AO154">
        <v>32.700000000000003</v>
      </c>
      <c r="AP154">
        <v>0.5</v>
      </c>
      <c r="AQ154" t="s">
        <v>331</v>
      </c>
      <c r="AR154">
        <v>2</v>
      </c>
      <c r="AS154">
        <v>1690302409.5999999</v>
      </c>
      <c r="AT154">
        <v>442.28199999999998</v>
      </c>
      <c r="AU154">
        <v>800.05200000000002</v>
      </c>
      <c r="AV154">
        <v>24.631399999999999</v>
      </c>
      <c r="AW154">
        <v>0.28416999999999998</v>
      </c>
      <c r="AX154">
        <v>442.34500000000003</v>
      </c>
      <c r="AY154">
        <v>24.349900000000002</v>
      </c>
      <c r="AZ154">
        <v>300.053</v>
      </c>
      <c r="BA154">
        <v>99.312299999999993</v>
      </c>
      <c r="BB154">
        <v>9.9915400000000001E-2</v>
      </c>
      <c r="BC154">
        <v>26.812100000000001</v>
      </c>
      <c r="BD154">
        <v>27.0107</v>
      </c>
      <c r="BE154">
        <v>28.151199999999999</v>
      </c>
      <c r="BF154">
        <v>0</v>
      </c>
      <c r="BG154">
        <v>0</v>
      </c>
      <c r="BH154">
        <v>10009.4</v>
      </c>
      <c r="BI154">
        <v>1079.82</v>
      </c>
      <c r="BJ154">
        <v>1.90625</v>
      </c>
      <c r="BK154">
        <v>-357.77</v>
      </c>
      <c r="BL154">
        <v>453.45100000000002</v>
      </c>
      <c r="BM154">
        <v>800.279</v>
      </c>
      <c r="BN154">
        <v>24.347200000000001</v>
      </c>
      <c r="BO154">
        <v>800.05200000000002</v>
      </c>
      <c r="BP154">
        <v>0.28416999999999998</v>
      </c>
      <c r="BQ154">
        <v>2.4462000000000002</v>
      </c>
      <c r="BR154">
        <v>2.8221599999999999E-2</v>
      </c>
      <c r="BS154">
        <v>20.672899999999998</v>
      </c>
      <c r="BT154">
        <v>-36.053400000000003</v>
      </c>
      <c r="BU154">
        <v>1800</v>
      </c>
      <c r="BV154">
        <v>0.90998900000000005</v>
      </c>
      <c r="BW154">
        <v>3.4006000000000002E-2</v>
      </c>
      <c r="BX154">
        <v>2.1991E-2</v>
      </c>
      <c r="BY154">
        <v>3.40144E-2</v>
      </c>
      <c r="BZ154">
        <v>25.916699999999999</v>
      </c>
      <c r="CA154">
        <v>33528.5</v>
      </c>
      <c r="CB154">
        <v>1690300477.5</v>
      </c>
      <c r="CC154" t="s">
        <v>332</v>
      </c>
      <c r="CD154">
        <v>1690300477.5</v>
      </c>
      <c r="CE154">
        <v>1690300465.5</v>
      </c>
      <c r="CF154">
        <v>7</v>
      </c>
      <c r="CG154">
        <v>5.0999999999999997E-2</v>
      </c>
      <c r="CH154">
        <v>-8.0000000000000002E-3</v>
      </c>
      <c r="CI154">
        <v>-0.316</v>
      </c>
      <c r="CJ154">
        <v>0.28199999999999997</v>
      </c>
      <c r="CK154">
        <v>800</v>
      </c>
      <c r="CL154">
        <v>24</v>
      </c>
      <c r="CM154">
        <v>0.25</v>
      </c>
      <c r="CN154">
        <v>0.13</v>
      </c>
      <c r="CO154">
        <v>-355.98910000000001</v>
      </c>
      <c r="CP154">
        <v>-9.4198198874291421</v>
      </c>
      <c r="CQ154">
        <v>0.90893126252759304</v>
      </c>
      <c r="CR154">
        <v>-1</v>
      </c>
      <c r="CS154">
        <v>24.279777500000002</v>
      </c>
      <c r="CT154">
        <v>0.3756461538460501</v>
      </c>
      <c r="CU154">
        <v>3.6170737395718043E-2</v>
      </c>
      <c r="CV154">
        <v>-1</v>
      </c>
      <c r="CW154">
        <v>0</v>
      </c>
      <c r="CX154">
        <v>0</v>
      </c>
      <c r="CY154" t="s">
        <v>333</v>
      </c>
      <c r="CZ154">
        <v>2.36442</v>
      </c>
      <c r="DA154">
        <v>2.7137099999999998</v>
      </c>
      <c r="DB154">
        <v>9.68141E-2</v>
      </c>
      <c r="DC154">
        <v>0.146374</v>
      </c>
      <c r="DD154">
        <v>0.116011</v>
      </c>
      <c r="DE154">
        <v>2.38069E-3</v>
      </c>
      <c r="DF154">
        <v>32998</v>
      </c>
      <c r="DG154">
        <v>27536.1</v>
      </c>
      <c r="DH154">
        <v>31189.4</v>
      </c>
      <c r="DI154">
        <v>28108.3</v>
      </c>
      <c r="DJ154">
        <v>37428.199999999997</v>
      </c>
      <c r="DK154">
        <v>39884.6</v>
      </c>
      <c r="DL154">
        <v>44389.2</v>
      </c>
      <c r="DM154">
        <v>42605.3</v>
      </c>
      <c r="DN154">
        <v>1.4852000000000001</v>
      </c>
      <c r="DO154">
        <v>2.0351300000000001</v>
      </c>
      <c r="DP154">
        <v>9.3080099999999999E-2</v>
      </c>
      <c r="DQ154">
        <v>0.172906</v>
      </c>
      <c r="DR154">
        <v>25.486599999999999</v>
      </c>
      <c r="DS154">
        <v>25.322199999999999</v>
      </c>
      <c r="DT154">
        <v>39</v>
      </c>
      <c r="DU154">
        <v>28.9</v>
      </c>
      <c r="DV154">
        <v>15.7029</v>
      </c>
      <c r="DW154">
        <v>61.591099999999997</v>
      </c>
      <c r="DX154">
        <v>37.255600000000001</v>
      </c>
      <c r="DY154">
        <v>1</v>
      </c>
      <c r="DZ154">
        <v>-0.107586</v>
      </c>
      <c r="EA154">
        <v>-0.27709400000000001</v>
      </c>
      <c r="EB154">
        <v>20.189299999999999</v>
      </c>
      <c r="EC154">
        <v>5.2411000000000003</v>
      </c>
      <c r="ED154">
        <v>12.039899999999999</v>
      </c>
      <c r="EE154">
        <v>5.0172999999999996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1.8646199999999999</v>
      </c>
      <c r="EM154">
        <v>1.8691899999999999</v>
      </c>
      <c r="EN154">
        <v>1.8672299999999999</v>
      </c>
      <c r="EO154">
        <v>1.8633599999999999</v>
      </c>
      <c r="EP154">
        <v>1.8644700000000001</v>
      </c>
      <c r="EQ154">
        <v>1.8701399999999999</v>
      </c>
      <c r="ER154">
        <v>1.86938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-6.3E-2</v>
      </c>
      <c r="FG154">
        <v>0.28149999999999997</v>
      </c>
      <c r="FH154">
        <v>0.23539598422606861</v>
      </c>
      <c r="FI154">
        <v>-6.1462078757559423E-4</v>
      </c>
      <c r="FJ154">
        <v>-1.8861989874597051E-7</v>
      </c>
      <c r="FK154">
        <v>1.1980462299894961E-10</v>
      </c>
      <c r="FL154">
        <v>0.28151999999999688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32.200000000000003</v>
      </c>
      <c r="FU154">
        <v>32.4</v>
      </c>
      <c r="FV154">
        <v>1.7651399999999999</v>
      </c>
      <c r="FW154">
        <v>2.5842299999999998</v>
      </c>
      <c r="FX154">
        <v>1.5490699999999999</v>
      </c>
      <c r="FY154">
        <v>2.3303199999999999</v>
      </c>
      <c r="FZ154">
        <v>1.50146</v>
      </c>
      <c r="GA154">
        <v>2.3815900000000001</v>
      </c>
      <c r="GB154">
        <v>33.602899999999998</v>
      </c>
      <c r="GC154">
        <v>23.991199999999999</v>
      </c>
      <c r="GD154">
        <v>19</v>
      </c>
      <c r="GE154">
        <v>285.971</v>
      </c>
      <c r="GF154">
        <v>580.10900000000004</v>
      </c>
      <c r="GG154">
        <v>25.453299999999999</v>
      </c>
      <c r="GH154">
        <v>26.054600000000001</v>
      </c>
      <c r="GI154">
        <v>30.0002</v>
      </c>
      <c r="GJ154">
        <v>26.180700000000002</v>
      </c>
      <c r="GK154">
        <v>26.159199999999998</v>
      </c>
      <c r="GL154">
        <v>35.301600000000001</v>
      </c>
      <c r="GM154">
        <v>100</v>
      </c>
      <c r="GN154">
        <v>42.801600000000001</v>
      </c>
      <c r="GO154">
        <v>25.446300000000001</v>
      </c>
      <c r="GP154">
        <v>800</v>
      </c>
      <c r="GQ154">
        <v>0</v>
      </c>
      <c r="GR154">
        <v>99.797700000000006</v>
      </c>
      <c r="GS154">
        <v>99.665899999999993</v>
      </c>
    </row>
    <row r="155" spans="1:201" x14ac:dyDescent="0.25">
      <c r="A155">
        <v>139</v>
      </c>
      <c r="B155">
        <v>1690302419.5999999</v>
      </c>
      <c r="C155">
        <v>1515.599999904633</v>
      </c>
      <c r="D155" t="s">
        <v>609</v>
      </c>
      <c r="E155" t="s">
        <v>610</v>
      </c>
      <c r="F155" t="s">
        <v>330</v>
      </c>
      <c r="H155">
        <v>1690302419.5999999</v>
      </c>
      <c r="I155">
        <f t="shared" si="60"/>
        <v>2.29615066639168E-3</v>
      </c>
      <c r="J155">
        <f t="shared" si="61"/>
        <v>2.29615066639168</v>
      </c>
      <c r="K155">
        <f t="shared" si="62"/>
        <v>31.944005095502384</v>
      </c>
      <c r="L155">
        <f t="shared" si="63"/>
        <v>440.923</v>
      </c>
      <c r="M155">
        <f t="shared" si="64"/>
        <v>115.63646531473347</v>
      </c>
      <c r="N155">
        <f t="shared" si="65"/>
        <v>11.495525089756436</v>
      </c>
      <c r="O155">
        <f t="shared" si="66"/>
        <v>43.832552260700005</v>
      </c>
      <c r="P155">
        <f t="shared" si="67"/>
        <v>0.16623369186325007</v>
      </c>
      <c r="Q155">
        <f t="shared" si="68"/>
        <v>2.117930334954012</v>
      </c>
      <c r="R155">
        <f t="shared" si="69"/>
        <v>0.15931040048266806</v>
      </c>
      <c r="S155">
        <f t="shared" si="70"/>
        <v>0.10016700297973541</v>
      </c>
      <c r="T155">
        <f t="shared" si="71"/>
        <v>276.11421996600001</v>
      </c>
      <c r="U155">
        <f t="shared" si="72"/>
        <v>28.206787058933077</v>
      </c>
      <c r="V155">
        <f t="shared" si="73"/>
        <v>28.206787058933077</v>
      </c>
      <c r="W155">
        <f t="shared" si="74"/>
        <v>3.8408276578493026</v>
      </c>
      <c r="X155">
        <f t="shared" si="75"/>
        <v>69.288053596281713</v>
      </c>
      <c r="Y155">
        <f t="shared" si="76"/>
        <v>2.4533715421899998</v>
      </c>
      <c r="Z155">
        <f t="shared" si="77"/>
        <v>3.5408290677134251</v>
      </c>
      <c r="AA155">
        <f t="shared" si="78"/>
        <v>1.3874561156593028</v>
      </c>
      <c r="AB155">
        <f t="shared" si="79"/>
        <v>-101.26024438787309</v>
      </c>
      <c r="AC155">
        <f t="shared" si="80"/>
        <v>-158.71130806798209</v>
      </c>
      <c r="AD155">
        <f t="shared" si="81"/>
        <v>-16.255273924199734</v>
      </c>
      <c r="AE155">
        <f t="shared" si="82"/>
        <v>-0.11260641405490901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52576.125681846126</v>
      </c>
      <c r="AK155">
        <f t="shared" si="86"/>
        <v>1800</v>
      </c>
      <c r="AL155">
        <f t="shared" si="87"/>
        <v>1499.1074585999997</v>
      </c>
      <c r="AM155">
        <f t="shared" si="88"/>
        <v>0.83283747699999988</v>
      </c>
      <c r="AN155">
        <f t="shared" si="89"/>
        <v>0.15339678886999999</v>
      </c>
      <c r="AO155">
        <v>32.700000000000003</v>
      </c>
      <c r="AP155">
        <v>0.5</v>
      </c>
      <c r="AQ155" t="s">
        <v>331</v>
      </c>
      <c r="AR155">
        <v>2</v>
      </c>
      <c r="AS155">
        <v>1690302419.5999999</v>
      </c>
      <c r="AT155">
        <v>440.923</v>
      </c>
      <c r="AU155">
        <v>800.02599999999995</v>
      </c>
      <c r="AV155">
        <v>24.679099999999998</v>
      </c>
      <c r="AW155">
        <v>0.27702399999999999</v>
      </c>
      <c r="AX155">
        <v>440.98500000000001</v>
      </c>
      <c r="AY155">
        <v>24.397500000000001</v>
      </c>
      <c r="AZ155">
        <v>300.10199999999998</v>
      </c>
      <c r="BA155">
        <v>99.310900000000004</v>
      </c>
      <c r="BB155">
        <v>0.1</v>
      </c>
      <c r="BC155">
        <v>26.816800000000001</v>
      </c>
      <c r="BD155">
        <v>27.000800000000002</v>
      </c>
      <c r="BE155">
        <v>28.140699999999999</v>
      </c>
      <c r="BF155">
        <v>0</v>
      </c>
      <c r="BG155">
        <v>0</v>
      </c>
      <c r="BH155">
        <v>10006.200000000001</v>
      </c>
      <c r="BI155">
        <v>1079.77</v>
      </c>
      <c r="BJ155">
        <v>1.90625</v>
      </c>
      <c r="BK155">
        <v>-359.10300000000001</v>
      </c>
      <c r="BL155">
        <v>452.08</v>
      </c>
      <c r="BM155">
        <v>800.24699999999996</v>
      </c>
      <c r="BN155">
        <v>24.402000000000001</v>
      </c>
      <c r="BO155">
        <v>800.02599999999995</v>
      </c>
      <c r="BP155">
        <v>0.27702399999999999</v>
      </c>
      <c r="BQ155">
        <v>2.4508999999999999</v>
      </c>
      <c r="BR155">
        <v>2.7511500000000001E-2</v>
      </c>
      <c r="BS155">
        <v>20.7041</v>
      </c>
      <c r="BT155">
        <v>-36.306800000000003</v>
      </c>
      <c r="BU155">
        <v>1800</v>
      </c>
      <c r="BV155">
        <v>0.90998999999999997</v>
      </c>
      <c r="BW155">
        <v>3.4005399999999998E-2</v>
      </c>
      <c r="BX155">
        <v>2.1990599999999999E-2</v>
      </c>
      <c r="BY155">
        <v>3.4013700000000001E-2</v>
      </c>
      <c r="BZ155">
        <v>25.916699999999999</v>
      </c>
      <c r="CA155">
        <v>33528.400000000001</v>
      </c>
      <c r="CB155">
        <v>1690300477.5</v>
      </c>
      <c r="CC155" t="s">
        <v>332</v>
      </c>
      <c r="CD155">
        <v>1690300477.5</v>
      </c>
      <c r="CE155">
        <v>1690300465.5</v>
      </c>
      <c r="CF155">
        <v>7</v>
      </c>
      <c r="CG155">
        <v>5.0999999999999997E-2</v>
      </c>
      <c r="CH155">
        <v>-8.0000000000000002E-3</v>
      </c>
      <c r="CI155">
        <v>-0.316</v>
      </c>
      <c r="CJ155">
        <v>0.28199999999999997</v>
      </c>
      <c r="CK155">
        <v>800</v>
      </c>
      <c r="CL155">
        <v>24</v>
      </c>
      <c r="CM155">
        <v>0.25</v>
      </c>
      <c r="CN155">
        <v>0.13</v>
      </c>
      <c r="CO155">
        <v>-357.66392500000001</v>
      </c>
      <c r="CP155">
        <v>-8.7905628517816101</v>
      </c>
      <c r="CQ155">
        <v>0.84698386606534271</v>
      </c>
      <c r="CR155">
        <v>-1</v>
      </c>
      <c r="CS155">
        <v>24.346762500000001</v>
      </c>
      <c r="CT155">
        <v>0.35108330206377197</v>
      </c>
      <c r="CU155">
        <v>3.3798570143572668E-2</v>
      </c>
      <c r="CV155">
        <v>-1</v>
      </c>
      <c r="CW155">
        <v>0</v>
      </c>
      <c r="CX155">
        <v>0</v>
      </c>
      <c r="CY155" t="s">
        <v>333</v>
      </c>
      <c r="CZ155">
        <v>2.3645800000000001</v>
      </c>
      <c r="DA155">
        <v>2.7138</v>
      </c>
      <c r="DB155">
        <v>9.6590400000000007E-2</v>
      </c>
      <c r="DC155">
        <v>0.14637</v>
      </c>
      <c r="DD155">
        <v>0.11616899999999999</v>
      </c>
      <c r="DE155">
        <v>2.32183E-3</v>
      </c>
      <c r="DF155">
        <v>33005.800000000003</v>
      </c>
      <c r="DG155">
        <v>27536.5</v>
      </c>
      <c r="DH155">
        <v>31189.1</v>
      </c>
      <c r="DI155">
        <v>28108.5</v>
      </c>
      <c r="DJ155">
        <v>37421.199999999997</v>
      </c>
      <c r="DK155">
        <v>39887</v>
      </c>
      <c r="DL155">
        <v>44388.800000000003</v>
      </c>
      <c r="DM155">
        <v>42605.4</v>
      </c>
      <c r="DN155">
        <v>1.48522</v>
      </c>
      <c r="DO155">
        <v>2.0346500000000001</v>
      </c>
      <c r="DP155">
        <v>9.2182299999999995E-2</v>
      </c>
      <c r="DQ155">
        <v>0.17200399999999999</v>
      </c>
      <c r="DR155">
        <v>25.491399999999999</v>
      </c>
      <c r="DS155">
        <v>25.326499999999999</v>
      </c>
      <c r="DT155">
        <v>38.5</v>
      </c>
      <c r="DU155">
        <v>28.9</v>
      </c>
      <c r="DV155">
        <v>15.5021</v>
      </c>
      <c r="DW155">
        <v>61.4011</v>
      </c>
      <c r="DX155">
        <v>36.971200000000003</v>
      </c>
      <c r="DY155">
        <v>1</v>
      </c>
      <c r="DZ155">
        <v>-0.107769</v>
      </c>
      <c r="EA155">
        <v>-0.35223300000000002</v>
      </c>
      <c r="EB155">
        <v>20.1892</v>
      </c>
      <c r="EC155">
        <v>5.24125</v>
      </c>
      <c r="ED155">
        <v>12.039899999999999</v>
      </c>
      <c r="EE155">
        <v>5.01715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1.8689100000000001</v>
      </c>
      <c r="EL155">
        <v>1.8646199999999999</v>
      </c>
      <c r="EM155">
        <v>1.8691899999999999</v>
      </c>
      <c r="EN155">
        <v>1.8672200000000001</v>
      </c>
      <c r="EO155">
        <v>1.86337</v>
      </c>
      <c r="EP155">
        <v>1.8644700000000001</v>
      </c>
      <c r="EQ155">
        <v>1.87015</v>
      </c>
      <c r="ER155">
        <v>1.8694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-6.2E-2</v>
      </c>
      <c r="FG155">
        <v>0.28160000000000002</v>
      </c>
      <c r="FH155">
        <v>0.23539598422606861</v>
      </c>
      <c r="FI155">
        <v>-6.1462078757559423E-4</v>
      </c>
      <c r="FJ155">
        <v>-1.8861989874597051E-7</v>
      </c>
      <c r="FK155">
        <v>1.1980462299894961E-10</v>
      </c>
      <c r="FL155">
        <v>0.28151999999999688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32.4</v>
      </c>
      <c r="FU155">
        <v>32.6</v>
      </c>
      <c r="FV155">
        <v>1.7651399999999999</v>
      </c>
      <c r="FW155">
        <v>2.5854499999999998</v>
      </c>
      <c r="FX155">
        <v>1.5490699999999999</v>
      </c>
      <c r="FY155">
        <v>2.3303199999999999</v>
      </c>
      <c r="FZ155">
        <v>1.50146</v>
      </c>
      <c r="GA155">
        <v>2.4072300000000002</v>
      </c>
      <c r="GB155">
        <v>33.580399999999997</v>
      </c>
      <c r="GC155">
        <v>23.991199999999999</v>
      </c>
      <c r="GD155">
        <v>19</v>
      </c>
      <c r="GE155">
        <v>285.98200000000003</v>
      </c>
      <c r="GF155">
        <v>579.69399999999996</v>
      </c>
      <c r="GG155">
        <v>25.440300000000001</v>
      </c>
      <c r="GH155">
        <v>26.054600000000001</v>
      </c>
      <c r="GI155">
        <v>30</v>
      </c>
      <c r="GJ155">
        <v>26.180700000000002</v>
      </c>
      <c r="GK155">
        <v>26.157</v>
      </c>
      <c r="GL155">
        <v>35.304600000000001</v>
      </c>
      <c r="GM155">
        <v>100</v>
      </c>
      <c r="GN155">
        <v>42.042200000000001</v>
      </c>
      <c r="GO155">
        <v>25.457599999999999</v>
      </c>
      <c r="GP155">
        <v>800</v>
      </c>
      <c r="GQ155">
        <v>0</v>
      </c>
      <c r="GR155">
        <v>99.796800000000005</v>
      </c>
      <c r="GS155">
        <v>99.666399999999996</v>
      </c>
    </row>
    <row r="156" spans="1:201" x14ac:dyDescent="0.25">
      <c r="A156">
        <v>140</v>
      </c>
      <c r="B156">
        <v>1690302429.5999999</v>
      </c>
      <c r="C156">
        <v>1525.599999904633</v>
      </c>
      <c r="D156" t="s">
        <v>611</v>
      </c>
      <c r="E156" t="s">
        <v>612</v>
      </c>
      <c r="F156" t="s">
        <v>330</v>
      </c>
      <c r="H156">
        <v>1690302429.5999999</v>
      </c>
      <c r="I156">
        <f t="shared" si="60"/>
        <v>2.3020601695454613E-3</v>
      </c>
      <c r="J156">
        <f t="shared" si="61"/>
        <v>2.3020601695454612</v>
      </c>
      <c r="K156">
        <f t="shared" si="62"/>
        <v>32.083735938953268</v>
      </c>
      <c r="L156">
        <f t="shared" si="63"/>
        <v>439.43900000000002</v>
      </c>
      <c r="M156">
        <f t="shared" si="64"/>
        <v>115.31270472048531</v>
      </c>
      <c r="N156">
        <f t="shared" si="65"/>
        <v>11.46314545579024</v>
      </c>
      <c r="O156">
        <f t="shared" si="66"/>
        <v>43.684286030385003</v>
      </c>
      <c r="P156">
        <f t="shared" si="67"/>
        <v>0.16759072215279769</v>
      </c>
      <c r="Q156">
        <f t="shared" si="68"/>
        <v>2.1179910683445002</v>
      </c>
      <c r="R156">
        <f t="shared" si="69"/>
        <v>0.16055669832108879</v>
      </c>
      <c r="S156">
        <f t="shared" si="70"/>
        <v>0.10095531376881042</v>
      </c>
      <c r="T156">
        <f t="shared" si="71"/>
        <v>276.11430452999997</v>
      </c>
      <c r="U156">
        <f t="shared" si="72"/>
        <v>28.200085814022657</v>
      </c>
      <c r="V156">
        <f t="shared" si="73"/>
        <v>28.200085814022657</v>
      </c>
      <c r="W156">
        <f t="shared" si="74"/>
        <v>3.8393297611278965</v>
      </c>
      <c r="X156">
        <f t="shared" si="75"/>
        <v>69.470191589315192</v>
      </c>
      <c r="Y156">
        <f t="shared" si="76"/>
        <v>2.4591553379055</v>
      </c>
      <c r="Z156">
        <f t="shared" si="77"/>
        <v>3.5398712478629877</v>
      </c>
      <c r="AA156">
        <f t="shared" si="78"/>
        <v>1.3801744232223965</v>
      </c>
      <c r="AB156">
        <f t="shared" si="79"/>
        <v>-101.52085347695484</v>
      </c>
      <c r="AC156">
        <f t="shared" si="80"/>
        <v>-158.4759283123268</v>
      </c>
      <c r="AD156">
        <f t="shared" si="81"/>
        <v>-16.229784993921665</v>
      </c>
      <c r="AE156">
        <f t="shared" si="82"/>
        <v>-0.11226225320334038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52579.559469678519</v>
      </c>
      <c r="AK156">
        <f t="shared" si="86"/>
        <v>1800</v>
      </c>
      <c r="AL156">
        <f t="shared" si="87"/>
        <v>1499.108841</v>
      </c>
      <c r="AM156">
        <f t="shared" si="88"/>
        <v>0.83283824500000003</v>
      </c>
      <c r="AN156">
        <f t="shared" si="89"/>
        <v>0.15339683585</v>
      </c>
      <c r="AO156">
        <v>32.700000000000003</v>
      </c>
      <c r="AP156">
        <v>0.5</v>
      </c>
      <c r="AQ156" t="s">
        <v>331</v>
      </c>
      <c r="AR156">
        <v>2</v>
      </c>
      <c r="AS156">
        <v>1690302429.5999999</v>
      </c>
      <c r="AT156">
        <v>439.43900000000002</v>
      </c>
      <c r="AU156">
        <v>800.11099999999999</v>
      </c>
      <c r="AV156">
        <v>24.7377</v>
      </c>
      <c r="AW156">
        <v>0.27054099999999998</v>
      </c>
      <c r="AX156">
        <v>439.5</v>
      </c>
      <c r="AY156">
        <v>24.456199999999999</v>
      </c>
      <c r="AZ156">
        <v>300.05599999999998</v>
      </c>
      <c r="BA156">
        <v>99.309200000000004</v>
      </c>
      <c r="BB156">
        <v>0.10001500000000001</v>
      </c>
      <c r="BC156">
        <v>26.812200000000001</v>
      </c>
      <c r="BD156">
        <v>27.016100000000002</v>
      </c>
      <c r="BE156">
        <v>28.148299999999999</v>
      </c>
      <c r="BF156">
        <v>0</v>
      </c>
      <c r="BG156">
        <v>0</v>
      </c>
      <c r="BH156">
        <v>10006.9</v>
      </c>
      <c r="BI156">
        <v>1079.78</v>
      </c>
      <c r="BJ156">
        <v>1.87121</v>
      </c>
      <c r="BK156">
        <v>-360.67200000000003</v>
      </c>
      <c r="BL156">
        <v>450.58600000000001</v>
      </c>
      <c r="BM156">
        <v>800.32799999999997</v>
      </c>
      <c r="BN156">
        <v>24.467199999999998</v>
      </c>
      <c r="BO156">
        <v>800.11099999999999</v>
      </c>
      <c r="BP156">
        <v>0.27054099999999998</v>
      </c>
      <c r="BQ156">
        <v>2.45669</v>
      </c>
      <c r="BR156">
        <v>2.6867200000000001E-2</v>
      </c>
      <c r="BS156">
        <v>20.7423</v>
      </c>
      <c r="BT156">
        <v>-36.541899999999998</v>
      </c>
      <c r="BU156">
        <v>1800</v>
      </c>
      <c r="BV156">
        <v>0.90999300000000005</v>
      </c>
      <c r="BW156">
        <v>3.40045E-2</v>
      </c>
      <c r="BX156">
        <v>2.1989999999999999E-2</v>
      </c>
      <c r="BY156">
        <v>3.4012899999999999E-2</v>
      </c>
      <c r="BZ156">
        <v>26</v>
      </c>
      <c r="CA156">
        <v>33528.5</v>
      </c>
      <c r="CB156">
        <v>1690300477.5</v>
      </c>
      <c r="CC156" t="s">
        <v>332</v>
      </c>
      <c r="CD156">
        <v>1690300477.5</v>
      </c>
      <c r="CE156">
        <v>1690300465.5</v>
      </c>
      <c r="CF156">
        <v>7</v>
      </c>
      <c r="CG156">
        <v>5.0999999999999997E-2</v>
      </c>
      <c r="CH156">
        <v>-8.0000000000000002E-3</v>
      </c>
      <c r="CI156">
        <v>-0.316</v>
      </c>
      <c r="CJ156">
        <v>0.28199999999999997</v>
      </c>
      <c r="CK156">
        <v>800</v>
      </c>
      <c r="CL156">
        <v>24</v>
      </c>
      <c r="CM156">
        <v>0.25</v>
      </c>
      <c r="CN156">
        <v>0.13</v>
      </c>
      <c r="CO156">
        <v>-359.03019512195118</v>
      </c>
      <c r="CP156">
        <v>-8.8073937282227313</v>
      </c>
      <c r="CQ156">
        <v>0.86907374913733126</v>
      </c>
      <c r="CR156">
        <v>-1</v>
      </c>
      <c r="CS156">
        <v>24.400087804878051</v>
      </c>
      <c r="CT156">
        <v>0.34617491289200242</v>
      </c>
      <c r="CU156">
        <v>3.4184736253807843E-2</v>
      </c>
      <c r="CV156">
        <v>-1</v>
      </c>
      <c r="CW156">
        <v>0</v>
      </c>
      <c r="CX156">
        <v>0</v>
      </c>
      <c r="CY156" t="s">
        <v>333</v>
      </c>
      <c r="CZ156">
        <v>2.3644599999999998</v>
      </c>
      <c r="DA156">
        <v>2.7138100000000001</v>
      </c>
      <c r="DB156">
        <v>9.6345399999999998E-2</v>
      </c>
      <c r="DC156">
        <v>0.14637800000000001</v>
      </c>
      <c r="DD156">
        <v>0.11636199999999999</v>
      </c>
      <c r="DE156">
        <v>2.2683400000000002E-3</v>
      </c>
      <c r="DF156">
        <v>33014.400000000001</v>
      </c>
      <c r="DG156">
        <v>27536.3</v>
      </c>
      <c r="DH156">
        <v>31188.799999999999</v>
      </c>
      <c r="DI156">
        <v>28108.6</v>
      </c>
      <c r="DJ156">
        <v>37412.5</v>
      </c>
      <c r="DK156">
        <v>39889.1</v>
      </c>
      <c r="DL156">
        <v>44388.4</v>
      </c>
      <c r="DM156">
        <v>42605.3</v>
      </c>
      <c r="DN156">
        <v>1.4851000000000001</v>
      </c>
      <c r="DO156">
        <v>2.03437</v>
      </c>
      <c r="DP156">
        <v>9.2890100000000003E-2</v>
      </c>
      <c r="DQ156">
        <v>0.17224300000000001</v>
      </c>
      <c r="DR156">
        <v>25.495200000000001</v>
      </c>
      <c r="DS156">
        <v>25.330300000000001</v>
      </c>
      <c r="DT156">
        <v>38</v>
      </c>
      <c r="DU156">
        <v>28.9</v>
      </c>
      <c r="DV156">
        <v>15.2988</v>
      </c>
      <c r="DW156">
        <v>61.3611</v>
      </c>
      <c r="DX156">
        <v>36.979199999999999</v>
      </c>
      <c r="DY156">
        <v>1</v>
      </c>
      <c r="DZ156">
        <v>-0.10753799999999999</v>
      </c>
      <c r="EA156">
        <v>-0.34141300000000002</v>
      </c>
      <c r="EB156">
        <v>20.1891</v>
      </c>
      <c r="EC156">
        <v>5.2409499999999998</v>
      </c>
      <c r="ED156">
        <v>12.039899999999999</v>
      </c>
      <c r="EE156">
        <v>5.0172499999999998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1.8689100000000001</v>
      </c>
      <c r="EL156">
        <v>1.8646199999999999</v>
      </c>
      <c r="EM156">
        <v>1.8691899999999999</v>
      </c>
      <c r="EN156">
        <v>1.8672299999999999</v>
      </c>
      <c r="EO156">
        <v>1.8633599999999999</v>
      </c>
      <c r="EP156">
        <v>1.8644700000000001</v>
      </c>
      <c r="EQ156">
        <v>1.87018</v>
      </c>
      <c r="ER156">
        <v>1.8694299999999999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-6.0999999999999999E-2</v>
      </c>
      <c r="FG156">
        <v>0.28149999999999997</v>
      </c>
      <c r="FH156">
        <v>0.23539598422606861</v>
      </c>
      <c r="FI156">
        <v>-6.1462078757559423E-4</v>
      </c>
      <c r="FJ156">
        <v>-1.8861989874597051E-7</v>
      </c>
      <c r="FK156">
        <v>1.1980462299894961E-10</v>
      </c>
      <c r="FL156">
        <v>0.28151999999999688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32.5</v>
      </c>
      <c r="FU156">
        <v>32.700000000000003</v>
      </c>
      <c r="FV156">
        <v>1.7651399999999999</v>
      </c>
      <c r="FW156">
        <v>2.5842299999999998</v>
      </c>
      <c r="FX156">
        <v>1.5490699999999999</v>
      </c>
      <c r="FY156">
        <v>2.3303199999999999</v>
      </c>
      <c r="FZ156">
        <v>1.50146</v>
      </c>
      <c r="GA156">
        <v>2.3877000000000002</v>
      </c>
      <c r="GB156">
        <v>33.580399999999997</v>
      </c>
      <c r="GC156">
        <v>23.991199999999999</v>
      </c>
      <c r="GD156">
        <v>19</v>
      </c>
      <c r="GE156">
        <v>285.928</v>
      </c>
      <c r="GF156">
        <v>579.46900000000005</v>
      </c>
      <c r="GG156">
        <v>25.458400000000001</v>
      </c>
      <c r="GH156">
        <v>26.054600000000001</v>
      </c>
      <c r="GI156">
        <v>30.0001</v>
      </c>
      <c r="GJ156">
        <v>26.180700000000002</v>
      </c>
      <c r="GK156">
        <v>26.157</v>
      </c>
      <c r="GL156">
        <v>35.296300000000002</v>
      </c>
      <c r="GM156">
        <v>100</v>
      </c>
      <c r="GN156">
        <v>40.907899999999998</v>
      </c>
      <c r="GO156">
        <v>25.4574</v>
      </c>
      <c r="GP156">
        <v>800</v>
      </c>
      <c r="GQ156">
        <v>0</v>
      </c>
      <c r="GR156">
        <v>99.795900000000003</v>
      </c>
      <c r="GS156">
        <v>99.666300000000007</v>
      </c>
    </row>
    <row r="157" spans="1:201" x14ac:dyDescent="0.25">
      <c r="A157">
        <v>141</v>
      </c>
      <c r="B157">
        <v>1690302439.5999999</v>
      </c>
      <c r="C157">
        <v>1535.599999904633</v>
      </c>
      <c r="D157" t="s">
        <v>613</v>
      </c>
      <c r="E157" t="s">
        <v>614</v>
      </c>
      <c r="F157" t="s">
        <v>330</v>
      </c>
      <c r="H157">
        <v>1690302439.5999999</v>
      </c>
      <c r="I157">
        <f t="shared" si="60"/>
        <v>2.3079044822937426E-3</v>
      </c>
      <c r="J157">
        <f t="shared" si="61"/>
        <v>2.3079044822937425</v>
      </c>
      <c r="K157">
        <f t="shared" si="62"/>
        <v>32.198172167634986</v>
      </c>
      <c r="L157">
        <f t="shared" si="63"/>
        <v>438.11799999999999</v>
      </c>
      <c r="M157">
        <f t="shared" si="64"/>
        <v>114.56499989006895</v>
      </c>
      <c r="N157">
        <f t="shared" si="65"/>
        <v>11.388966728414196</v>
      </c>
      <c r="O157">
        <f t="shared" si="66"/>
        <v>43.553540172890997</v>
      </c>
      <c r="P157">
        <f t="shared" si="67"/>
        <v>0.16851127521325121</v>
      </c>
      <c r="Q157">
        <f t="shared" si="68"/>
        <v>2.1155604493158555</v>
      </c>
      <c r="R157">
        <f t="shared" si="69"/>
        <v>0.16139372995476181</v>
      </c>
      <c r="S157">
        <f t="shared" si="70"/>
        <v>0.10148551224326616</v>
      </c>
      <c r="T157">
        <f t="shared" si="71"/>
        <v>276.11467466400001</v>
      </c>
      <c r="U157">
        <f t="shared" si="72"/>
        <v>28.207674531765242</v>
      </c>
      <c r="V157">
        <f t="shared" si="73"/>
        <v>28.207674531765242</v>
      </c>
      <c r="W157">
        <f t="shared" si="74"/>
        <v>3.8410260685632718</v>
      </c>
      <c r="X157">
        <f t="shared" si="75"/>
        <v>69.589186714499434</v>
      </c>
      <c r="Y157">
        <f t="shared" si="76"/>
        <v>2.4645559002466499</v>
      </c>
      <c r="Z157">
        <f t="shared" si="77"/>
        <v>3.5415788236725301</v>
      </c>
      <c r="AA157">
        <f t="shared" si="78"/>
        <v>1.3764701683166218</v>
      </c>
      <c r="AB157">
        <f t="shared" si="79"/>
        <v>-101.77858766915405</v>
      </c>
      <c r="AC157">
        <f t="shared" si="80"/>
        <v>-158.22434115867532</v>
      </c>
      <c r="AD157">
        <f t="shared" si="81"/>
        <v>-16.223915194999694</v>
      </c>
      <c r="AE157">
        <f t="shared" si="82"/>
        <v>-0.11216935882902135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52471.607242410486</v>
      </c>
      <c r="AK157">
        <f t="shared" si="86"/>
        <v>1800</v>
      </c>
      <c r="AL157">
        <f t="shared" si="87"/>
        <v>1499.1085853999998</v>
      </c>
      <c r="AM157">
        <f t="shared" si="88"/>
        <v>0.83283810299999994</v>
      </c>
      <c r="AN157">
        <f t="shared" si="89"/>
        <v>0.15339704148</v>
      </c>
      <c r="AO157">
        <v>32.700000000000003</v>
      </c>
      <c r="AP157">
        <v>0.5</v>
      </c>
      <c r="AQ157" t="s">
        <v>331</v>
      </c>
      <c r="AR157">
        <v>2</v>
      </c>
      <c r="AS157">
        <v>1690302439.5999999</v>
      </c>
      <c r="AT157">
        <v>438.11799999999999</v>
      </c>
      <c r="AU157">
        <v>800.01499999999999</v>
      </c>
      <c r="AV157">
        <v>24.791699999999999</v>
      </c>
      <c r="AW157">
        <v>0.264928</v>
      </c>
      <c r="AX157">
        <v>438.178</v>
      </c>
      <c r="AY157">
        <v>24.510200000000001</v>
      </c>
      <c r="AZ157">
        <v>300.07</v>
      </c>
      <c r="BA157">
        <v>99.310599999999994</v>
      </c>
      <c r="BB157">
        <v>9.9924499999999999E-2</v>
      </c>
      <c r="BC157">
        <v>26.820399999999999</v>
      </c>
      <c r="BD157">
        <v>27.002400000000002</v>
      </c>
      <c r="BE157">
        <v>28.155000000000001</v>
      </c>
      <c r="BF157">
        <v>0</v>
      </c>
      <c r="BG157">
        <v>0</v>
      </c>
      <c r="BH157">
        <v>9985.6200000000008</v>
      </c>
      <c r="BI157">
        <v>1079.72</v>
      </c>
      <c r="BJ157">
        <v>1.7660800000000001</v>
      </c>
      <c r="BK157">
        <v>-361.89699999999999</v>
      </c>
      <c r="BL157">
        <v>449.25599999999997</v>
      </c>
      <c r="BM157">
        <v>800.22699999999998</v>
      </c>
      <c r="BN157">
        <v>24.526700000000002</v>
      </c>
      <c r="BO157">
        <v>800.01499999999999</v>
      </c>
      <c r="BP157">
        <v>0.264928</v>
      </c>
      <c r="BQ157">
        <v>2.4620799999999998</v>
      </c>
      <c r="BR157">
        <v>2.6310099999999999E-2</v>
      </c>
      <c r="BS157">
        <v>20.777899999999999</v>
      </c>
      <c r="BT157">
        <v>-36.749299999999998</v>
      </c>
      <c r="BU157">
        <v>1800</v>
      </c>
      <c r="BV157">
        <v>0.90998999999999997</v>
      </c>
      <c r="BW157">
        <v>3.4003800000000001E-2</v>
      </c>
      <c r="BX157">
        <v>2.19939E-2</v>
      </c>
      <c r="BY157">
        <v>3.4012199999999999E-2</v>
      </c>
      <c r="BZ157">
        <v>26</v>
      </c>
      <c r="CA157">
        <v>33528.5</v>
      </c>
      <c r="CB157">
        <v>1690300477.5</v>
      </c>
      <c r="CC157" t="s">
        <v>332</v>
      </c>
      <c r="CD157">
        <v>1690300477.5</v>
      </c>
      <c r="CE157">
        <v>1690300465.5</v>
      </c>
      <c r="CF157">
        <v>7</v>
      </c>
      <c r="CG157">
        <v>5.0999999999999997E-2</v>
      </c>
      <c r="CH157">
        <v>-8.0000000000000002E-3</v>
      </c>
      <c r="CI157">
        <v>-0.316</v>
      </c>
      <c r="CJ157">
        <v>0.28199999999999997</v>
      </c>
      <c r="CK157">
        <v>800</v>
      </c>
      <c r="CL157">
        <v>24</v>
      </c>
      <c r="CM157">
        <v>0.25</v>
      </c>
      <c r="CN157">
        <v>0.13</v>
      </c>
      <c r="CO157">
        <v>-360.44375609756088</v>
      </c>
      <c r="CP157">
        <v>-8.2891777003483664</v>
      </c>
      <c r="CQ157">
        <v>0.81909464536925214</v>
      </c>
      <c r="CR157">
        <v>-1</v>
      </c>
      <c r="CS157">
        <v>24.459958536585361</v>
      </c>
      <c r="CT157">
        <v>0.37909337979094732</v>
      </c>
      <c r="CU157">
        <v>3.7393106026996838E-2</v>
      </c>
      <c r="CV157">
        <v>-1</v>
      </c>
      <c r="CW157">
        <v>0</v>
      </c>
      <c r="CX157">
        <v>0</v>
      </c>
      <c r="CY157" t="s">
        <v>333</v>
      </c>
      <c r="CZ157">
        <v>2.3644799999999999</v>
      </c>
      <c r="DA157">
        <v>2.7136999999999998</v>
      </c>
      <c r="DB157">
        <v>9.6129599999999996E-2</v>
      </c>
      <c r="DC157">
        <v>0.146368</v>
      </c>
      <c r="DD157">
        <v>0.11654299999999999</v>
      </c>
      <c r="DE157">
        <v>2.2220600000000001E-3</v>
      </c>
      <c r="DF157">
        <v>33022.400000000001</v>
      </c>
      <c r="DG157">
        <v>27536.1</v>
      </c>
      <c r="DH157">
        <v>31188.9</v>
      </c>
      <c r="DI157">
        <v>28108.1</v>
      </c>
      <c r="DJ157">
        <v>37404.800000000003</v>
      </c>
      <c r="DK157">
        <v>39890.5</v>
      </c>
      <c r="DL157">
        <v>44388.4</v>
      </c>
      <c r="DM157">
        <v>42604.9</v>
      </c>
      <c r="DN157">
        <v>1.4850000000000001</v>
      </c>
      <c r="DO157">
        <v>2.0343</v>
      </c>
      <c r="DP157">
        <v>9.1821E-2</v>
      </c>
      <c r="DQ157">
        <v>0.17242499999999999</v>
      </c>
      <c r="DR157">
        <v>25.498999999999999</v>
      </c>
      <c r="DS157">
        <v>25.334</v>
      </c>
      <c r="DT157">
        <v>37.5</v>
      </c>
      <c r="DU157">
        <v>28.9</v>
      </c>
      <c r="DV157">
        <v>15.099399999999999</v>
      </c>
      <c r="DW157">
        <v>61.681100000000001</v>
      </c>
      <c r="DX157">
        <v>36.9191</v>
      </c>
      <c r="DY157">
        <v>1</v>
      </c>
      <c r="DZ157">
        <v>-0.107414</v>
      </c>
      <c r="EA157">
        <v>-0.25475799999999998</v>
      </c>
      <c r="EB157">
        <v>20.1891</v>
      </c>
      <c r="EC157">
        <v>5.2413999999999996</v>
      </c>
      <c r="ED157">
        <v>12.039899999999999</v>
      </c>
      <c r="EE157">
        <v>5.0173500000000004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1.8689100000000001</v>
      </c>
      <c r="EL157">
        <v>1.8646199999999999</v>
      </c>
      <c r="EM157">
        <v>1.86917</v>
      </c>
      <c r="EN157">
        <v>1.8672200000000001</v>
      </c>
      <c r="EO157">
        <v>1.8633599999999999</v>
      </c>
      <c r="EP157">
        <v>1.8644700000000001</v>
      </c>
      <c r="EQ157">
        <v>1.87015</v>
      </c>
      <c r="ER157">
        <v>1.8693900000000001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-0.06</v>
      </c>
      <c r="FG157">
        <v>0.28149999999999997</v>
      </c>
      <c r="FH157">
        <v>0.23539598422606861</v>
      </c>
      <c r="FI157">
        <v>-6.1462078757559423E-4</v>
      </c>
      <c r="FJ157">
        <v>-1.8861989874597051E-7</v>
      </c>
      <c r="FK157">
        <v>1.1980462299894961E-10</v>
      </c>
      <c r="FL157">
        <v>0.28151999999999688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32.700000000000003</v>
      </c>
      <c r="FU157">
        <v>32.9</v>
      </c>
      <c r="FV157">
        <v>1.7651399999999999</v>
      </c>
      <c r="FW157">
        <v>2.5842299999999998</v>
      </c>
      <c r="FX157">
        <v>1.5490699999999999</v>
      </c>
      <c r="FY157">
        <v>2.3303199999999999</v>
      </c>
      <c r="FZ157">
        <v>1.50146</v>
      </c>
      <c r="GA157">
        <v>2.4072300000000002</v>
      </c>
      <c r="GB157">
        <v>33.580399999999997</v>
      </c>
      <c r="GC157">
        <v>23.991199999999999</v>
      </c>
      <c r="GD157">
        <v>19</v>
      </c>
      <c r="GE157">
        <v>285.88099999999997</v>
      </c>
      <c r="GF157">
        <v>579.40700000000004</v>
      </c>
      <c r="GG157">
        <v>25.440300000000001</v>
      </c>
      <c r="GH157">
        <v>26.054600000000001</v>
      </c>
      <c r="GI157">
        <v>30.0001</v>
      </c>
      <c r="GJ157">
        <v>26.1798</v>
      </c>
      <c r="GK157">
        <v>26.157</v>
      </c>
      <c r="GL157">
        <v>35.295299999999997</v>
      </c>
      <c r="GM157">
        <v>100</v>
      </c>
      <c r="GN157">
        <v>40.124200000000002</v>
      </c>
      <c r="GO157">
        <v>25.429200000000002</v>
      </c>
      <c r="GP157">
        <v>800</v>
      </c>
      <c r="GQ157">
        <v>0</v>
      </c>
      <c r="GR157">
        <v>99.796000000000006</v>
      </c>
      <c r="GS157">
        <v>99.665000000000006</v>
      </c>
    </row>
    <row r="158" spans="1:201" x14ac:dyDescent="0.25">
      <c r="A158">
        <v>142</v>
      </c>
      <c r="B158">
        <v>1690302449.5999999</v>
      </c>
      <c r="C158">
        <v>1545.599999904633</v>
      </c>
      <c r="D158" t="s">
        <v>615</v>
      </c>
      <c r="E158" t="s">
        <v>616</v>
      </c>
      <c r="F158" t="s">
        <v>330</v>
      </c>
      <c r="H158">
        <v>1690302449.5999999</v>
      </c>
      <c r="I158">
        <f t="shared" si="60"/>
        <v>2.3124137951662568E-3</v>
      </c>
      <c r="J158">
        <f t="shared" si="61"/>
        <v>2.3124137951662567</v>
      </c>
      <c r="K158">
        <f t="shared" si="62"/>
        <v>32.322372303066075</v>
      </c>
      <c r="L158">
        <f t="shared" si="63"/>
        <v>436.79399999999998</v>
      </c>
      <c r="M158">
        <f t="shared" si="64"/>
        <v>113.98742869254822</v>
      </c>
      <c r="N158">
        <f t="shared" si="65"/>
        <v>11.331375341403124</v>
      </c>
      <c r="O158">
        <f t="shared" si="66"/>
        <v>43.421251076930389</v>
      </c>
      <c r="P158">
        <f t="shared" si="67"/>
        <v>0.16957089867796704</v>
      </c>
      <c r="Q158">
        <f t="shared" si="68"/>
        <v>2.116477312618521</v>
      </c>
      <c r="R158">
        <f t="shared" si="69"/>
        <v>0.16236859593960729</v>
      </c>
      <c r="S158">
        <f t="shared" si="70"/>
        <v>0.10210197845876456</v>
      </c>
      <c r="T158">
        <f t="shared" si="71"/>
        <v>276.11544607200005</v>
      </c>
      <c r="U158">
        <f t="shared" si="72"/>
        <v>28.201558530772601</v>
      </c>
      <c r="V158">
        <f t="shared" si="73"/>
        <v>28.201558530772601</v>
      </c>
      <c r="W158">
        <f t="shared" si="74"/>
        <v>3.8396589066507976</v>
      </c>
      <c r="X158">
        <f t="shared" si="75"/>
        <v>69.726053964930117</v>
      </c>
      <c r="Y158">
        <f t="shared" si="76"/>
        <v>2.468822306386</v>
      </c>
      <c r="Z158">
        <f t="shared" si="77"/>
        <v>3.5407457700499378</v>
      </c>
      <c r="AA158">
        <f t="shared" si="78"/>
        <v>1.3708366002647976</v>
      </c>
      <c r="AB158">
        <f t="shared" si="79"/>
        <v>-101.97744836683192</v>
      </c>
      <c r="AC158">
        <f t="shared" si="80"/>
        <v>-158.05147087583251</v>
      </c>
      <c r="AD158">
        <f t="shared" si="81"/>
        <v>-16.19835076174321</v>
      </c>
      <c r="AE158">
        <f t="shared" si="82"/>
        <v>-0.1118239324075887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52512.446466040637</v>
      </c>
      <c r="AK158">
        <f t="shared" si="86"/>
        <v>1800</v>
      </c>
      <c r="AL158">
        <f t="shared" si="87"/>
        <v>1499.1090642000001</v>
      </c>
      <c r="AM158">
        <f t="shared" si="88"/>
        <v>0.83283836900000008</v>
      </c>
      <c r="AN158">
        <f t="shared" si="89"/>
        <v>0.15339747004000004</v>
      </c>
      <c r="AO158">
        <v>32.700000000000003</v>
      </c>
      <c r="AP158">
        <v>0.5</v>
      </c>
      <c r="AQ158" t="s">
        <v>331</v>
      </c>
      <c r="AR158">
        <v>2</v>
      </c>
      <c r="AS158">
        <v>1690302449.5999999</v>
      </c>
      <c r="AT158">
        <v>436.79399999999998</v>
      </c>
      <c r="AU158">
        <v>800.05200000000002</v>
      </c>
      <c r="AV158">
        <v>24.835000000000001</v>
      </c>
      <c r="AW158">
        <v>0.26008700000000001</v>
      </c>
      <c r="AX158">
        <v>436.85300000000001</v>
      </c>
      <c r="AY158">
        <v>24.5535</v>
      </c>
      <c r="AZ158">
        <v>300.05399999999997</v>
      </c>
      <c r="BA158">
        <v>99.308999999999997</v>
      </c>
      <c r="BB158">
        <v>9.99916E-2</v>
      </c>
      <c r="BC158">
        <v>26.816400000000002</v>
      </c>
      <c r="BD158">
        <v>27.002500000000001</v>
      </c>
      <c r="BE158">
        <v>28.148700000000002</v>
      </c>
      <c r="BF158">
        <v>0</v>
      </c>
      <c r="BG158">
        <v>0</v>
      </c>
      <c r="BH158">
        <v>9993.75</v>
      </c>
      <c r="BI158">
        <v>1079.74</v>
      </c>
      <c r="BJ158">
        <v>1.7730900000000001</v>
      </c>
      <c r="BK158">
        <v>-363.25700000000001</v>
      </c>
      <c r="BL158">
        <v>447.91800000000001</v>
      </c>
      <c r="BM158">
        <v>800.26</v>
      </c>
      <c r="BN158">
        <v>24.5749</v>
      </c>
      <c r="BO158">
        <v>800.05200000000002</v>
      </c>
      <c r="BP158">
        <v>0.26008700000000001</v>
      </c>
      <c r="BQ158">
        <v>2.4663400000000002</v>
      </c>
      <c r="BR158">
        <v>2.5829000000000001E-2</v>
      </c>
      <c r="BS158">
        <v>20.806100000000001</v>
      </c>
      <c r="BT158">
        <v>-36.931699999999999</v>
      </c>
      <c r="BU158">
        <v>1800</v>
      </c>
      <c r="BV158">
        <v>0.90998500000000004</v>
      </c>
      <c r="BW158">
        <v>3.4003400000000003E-2</v>
      </c>
      <c r="BX158">
        <v>2.1999700000000001E-2</v>
      </c>
      <c r="BY158">
        <v>3.4011800000000002E-2</v>
      </c>
      <c r="BZ158">
        <v>26</v>
      </c>
      <c r="CA158">
        <v>33528.400000000001</v>
      </c>
      <c r="CB158">
        <v>1690300477.5</v>
      </c>
      <c r="CC158" t="s">
        <v>332</v>
      </c>
      <c r="CD158">
        <v>1690300477.5</v>
      </c>
      <c r="CE158">
        <v>1690300465.5</v>
      </c>
      <c r="CF158">
        <v>7</v>
      </c>
      <c r="CG158">
        <v>5.0999999999999997E-2</v>
      </c>
      <c r="CH158">
        <v>-8.0000000000000002E-3</v>
      </c>
      <c r="CI158">
        <v>-0.316</v>
      </c>
      <c r="CJ158">
        <v>0.28199999999999997</v>
      </c>
      <c r="CK158">
        <v>800</v>
      </c>
      <c r="CL158">
        <v>24</v>
      </c>
      <c r="CM158">
        <v>0.25</v>
      </c>
      <c r="CN158">
        <v>0.13</v>
      </c>
      <c r="CO158">
        <v>-361.73502500000001</v>
      </c>
      <c r="CP158">
        <v>-7.5368217636013126</v>
      </c>
      <c r="CQ158">
        <v>0.72576995279151457</v>
      </c>
      <c r="CR158">
        <v>-1</v>
      </c>
      <c r="CS158">
        <v>24.517052499999998</v>
      </c>
      <c r="CT158">
        <v>0.31765891181984529</v>
      </c>
      <c r="CU158">
        <v>3.0679675580911982E-2</v>
      </c>
      <c r="CV158">
        <v>-1</v>
      </c>
      <c r="CW158">
        <v>0</v>
      </c>
      <c r="CX158">
        <v>0</v>
      </c>
      <c r="CY158" t="s">
        <v>333</v>
      </c>
      <c r="CZ158">
        <v>2.3644400000000001</v>
      </c>
      <c r="DA158">
        <v>2.7137799999999999</v>
      </c>
      <c r="DB158">
        <v>9.5910400000000007E-2</v>
      </c>
      <c r="DC158">
        <v>0.14637</v>
      </c>
      <c r="DD158">
        <v>0.116685</v>
      </c>
      <c r="DE158">
        <v>2.1820699999999999E-3</v>
      </c>
      <c r="DF158">
        <v>33030.800000000003</v>
      </c>
      <c r="DG158">
        <v>27536.3</v>
      </c>
      <c r="DH158">
        <v>31189.200000000001</v>
      </c>
      <c r="DI158">
        <v>28108.3</v>
      </c>
      <c r="DJ158">
        <v>37399.1</v>
      </c>
      <c r="DK158">
        <v>39892.400000000001</v>
      </c>
      <c r="DL158">
        <v>44388.9</v>
      </c>
      <c r="DM158">
        <v>42605.1</v>
      </c>
      <c r="DN158">
        <v>1.4849699999999999</v>
      </c>
      <c r="DO158">
        <v>2.0342199999999999</v>
      </c>
      <c r="DP158">
        <v>9.1634699999999999E-2</v>
      </c>
      <c r="DQ158">
        <v>0.17174300000000001</v>
      </c>
      <c r="DR158">
        <v>25.502099999999999</v>
      </c>
      <c r="DS158">
        <v>25.338799999999999</v>
      </c>
      <c r="DT158">
        <v>37.1</v>
      </c>
      <c r="DU158">
        <v>28.9</v>
      </c>
      <c r="DV158">
        <v>14.939</v>
      </c>
      <c r="DW158">
        <v>61.7911</v>
      </c>
      <c r="DX158">
        <v>36.923099999999998</v>
      </c>
      <c r="DY158">
        <v>1</v>
      </c>
      <c r="DZ158">
        <v>-0.107734</v>
      </c>
      <c r="EA158">
        <v>-0.33373599999999998</v>
      </c>
      <c r="EB158">
        <v>20.1891</v>
      </c>
      <c r="EC158">
        <v>5.24125</v>
      </c>
      <c r="ED158">
        <v>12.039899999999999</v>
      </c>
      <c r="EE158">
        <v>5.01715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1.8689100000000001</v>
      </c>
      <c r="EL158">
        <v>1.8646199999999999</v>
      </c>
      <c r="EM158">
        <v>1.8691899999999999</v>
      </c>
      <c r="EN158">
        <v>1.8672200000000001</v>
      </c>
      <c r="EO158">
        <v>1.86338</v>
      </c>
      <c r="EP158">
        <v>1.8644700000000001</v>
      </c>
      <c r="EQ158">
        <v>1.87016</v>
      </c>
      <c r="ER158">
        <v>1.8693900000000001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-5.8999999999999997E-2</v>
      </c>
      <c r="FG158">
        <v>0.28149999999999997</v>
      </c>
      <c r="FH158">
        <v>0.23539598422606861</v>
      </c>
      <c r="FI158">
        <v>-6.1462078757559423E-4</v>
      </c>
      <c r="FJ158">
        <v>-1.8861989874597051E-7</v>
      </c>
      <c r="FK158">
        <v>1.1980462299894961E-10</v>
      </c>
      <c r="FL158">
        <v>0.28151999999999688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32.9</v>
      </c>
      <c r="FU158">
        <v>33.1</v>
      </c>
      <c r="FV158">
        <v>1.7651399999999999</v>
      </c>
      <c r="FW158">
        <v>2.5866699999999998</v>
      </c>
      <c r="FX158">
        <v>1.5490699999999999</v>
      </c>
      <c r="FY158">
        <v>2.3303199999999999</v>
      </c>
      <c r="FZ158">
        <v>1.50146</v>
      </c>
      <c r="GA158">
        <v>2.3828100000000001</v>
      </c>
      <c r="GB158">
        <v>33.602899999999998</v>
      </c>
      <c r="GC158">
        <v>23.991199999999999</v>
      </c>
      <c r="GD158">
        <v>19</v>
      </c>
      <c r="GE158">
        <v>285.86399999999998</v>
      </c>
      <c r="GF158">
        <v>579.33799999999997</v>
      </c>
      <c r="GG158">
        <v>25.426400000000001</v>
      </c>
      <c r="GH158">
        <v>26.054600000000001</v>
      </c>
      <c r="GI158">
        <v>30</v>
      </c>
      <c r="GJ158">
        <v>26.1785</v>
      </c>
      <c r="GK158">
        <v>26.156300000000002</v>
      </c>
      <c r="GL158">
        <v>35.291499999999999</v>
      </c>
      <c r="GM158">
        <v>100</v>
      </c>
      <c r="GN158">
        <v>39.301699999999997</v>
      </c>
      <c r="GO158">
        <v>25.441400000000002</v>
      </c>
      <c r="GP158">
        <v>800</v>
      </c>
      <c r="GQ158">
        <v>0</v>
      </c>
      <c r="GR158">
        <v>99.7971</v>
      </c>
      <c r="GS158">
        <v>99.665800000000004</v>
      </c>
    </row>
    <row r="159" spans="1:201" x14ac:dyDescent="0.25">
      <c r="A159">
        <v>143</v>
      </c>
      <c r="B159">
        <v>1690302459.5999999</v>
      </c>
      <c r="C159">
        <v>1555.599999904633</v>
      </c>
      <c r="D159" t="s">
        <v>617</v>
      </c>
      <c r="E159" t="s">
        <v>618</v>
      </c>
      <c r="F159" t="s">
        <v>330</v>
      </c>
      <c r="H159">
        <v>1690302459.5999999</v>
      </c>
      <c r="I159">
        <f t="shared" si="60"/>
        <v>2.3185357300077539E-3</v>
      </c>
      <c r="J159">
        <f t="shared" si="61"/>
        <v>2.318535730007754</v>
      </c>
      <c r="K159">
        <f t="shared" si="62"/>
        <v>32.443957676783889</v>
      </c>
      <c r="L159">
        <f t="shared" si="63"/>
        <v>435.52100000000002</v>
      </c>
      <c r="M159">
        <f t="shared" si="64"/>
        <v>113.94536645837043</v>
      </c>
      <c r="N159">
        <f t="shared" si="65"/>
        <v>11.327041928422066</v>
      </c>
      <c r="O159">
        <f t="shared" si="66"/>
        <v>43.294122271401207</v>
      </c>
      <c r="P159">
        <f t="shared" si="67"/>
        <v>0.17087797501863289</v>
      </c>
      <c r="Q159">
        <f t="shared" si="68"/>
        <v>2.1228458680650255</v>
      </c>
      <c r="R159">
        <f t="shared" si="69"/>
        <v>0.1635877126083814</v>
      </c>
      <c r="S159">
        <f t="shared" si="70"/>
        <v>0.10287140233228222</v>
      </c>
      <c r="T159">
        <f t="shared" si="71"/>
        <v>276.11658016200005</v>
      </c>
      <c r="U159">
        <f t="shared" si="72"/>
        <v>28.196851693168949</v>
      </c>
      <c r="V159">
        <f t="shared" si="73"/>
        <v>28.196851693168949</v>
      </c>
      <c r="W159">
        <f t="shared" si="74"/>
        <v>3.838607036140921</v>
      </c>
      <c r="X159">
        <f t="shared" si="75"/>
        <v>69.879654011773155</v>
      </c>
      <c r="Y159">
        <f t="shared" si="76"/>
        <v>2.4744355214909599</v>
      </c>
      <c r="Z159">
        <f t="shared" si="77"/>
        <v>3.5409956681727031</v>
      </c>
      <c r="AA159">
        <f t="shared" si="78"/>
        <v>1.3641715146499611</v>
      </c>
      <c r="AB159">
        <f t="shared" si="79"/>
        <v>-102.24742569334195</v>
      </c>
      <c r="AC159">
        <f t="shared" si="80"/>
        <v>-157.8510343140392</v>
      </c>
      <c r="AD159">
        <f t="shared" si="81"/>
        <v>-16.128991832864077</v>
      </c>
      <c r="AE159">
        <f t="shared" si="82"/>
        <v>-0.11087167824516087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52791.823180763218</v>
      </c>
      <c r="AK159">
        <f t="shared" si="86"/>
        <v>1800</v>
      </c>
      <c r="AL159">
        <f t="shared" si="87"/>
        <v>1499.1104321999999</v>
      </c>
      <c r="AM159">
        <f t="shared" si="88"/>
        <v>0.8328391289999999</v>
      </c>
      <c r="AN159">
        <f t="shared" si="89"/>
        <v>0.15339810009000002</v>
      </c>
      <c r="AO159">
        <v>32.700000000000003</v>
      </c>
      <c r="AP159">
        <v>0.5</v>
      </c>
      <c r="AQ159" t="s">
        <v>331</v>
      </c>
      <c r="AR159">
        <v>2</v>
      </c>
      <c r="AS159">
        <v>1690302459.5999999</v>
      </c>
      <c r="AT159">
        <v>435.52100000000002</v>
      </c>
      <c r="AU159">
        <v>800.06700000000001</v>
      </c>
      <c r="AV159">
        <v>24.8918</v>
      </c>
      <c r="AW159">
        <v>0.25556099999999998</v>
      </c>
      <c r="AX159">
        <v>435.57900000000001</v>
      </c>
      <c r="AY159">
        <v>24.610299999999999</v>
      </c>
      <c r="AZ159">
        <v>300.08199999999999</v>
      </c>
      <c r="BA159">
        <v>99.307699999999997</v>
      </c>
      <c r="BB159">
        <v>9.9957199999999996E-2</v>
      </c>
      <c r="BC159">
        <v>26.817599999999999</v>
      </c>
      <c r="BD159">
        <v>27.0123</v>
      </c>
      <c r="BE159">
        <v>28.130700000000001</v>
      </c>
      <c r="BF159">
        <v>0</v>
      </c>
      <c r="BG159">
        <v>0</v>
      </c>
      <c r="BH159">
        <v>10049.4</v>
      </c>
      <c r="BI159">
        <v>1079.76</v>
      </c>
      <c r="BJ159">
        <v>1.7941199999999999</v>
      </c>
      <c r="BK159">
        <v>-364.54700000000003</v>
      </c>
      <c r="BL159">
        <v>446.63799999999998</v>
      </c>
      <c r="BM159">
        <v>800.27200000000005</v>
      </c>
      <c r="BN159">
        <v>24.636299999999999</v>
      </c>
      <c r="BO159">
        <v>800.06700000000001</v>
      </c>
      <c r="BP159">
        <v>0.25556099999999998</v>
      </c>
      <c r="BQ159">
        <v>2.4719500000000001</v>
      </c>
      <c r="BR159">
        <v>2.5379200000000001E-2</v>
      </c>
      <c r="BS159">
        <v>20.843</v>
      </c>
      <c r="BT159">
        <v>-37.104999999999997</v>
      </c>
      <c r="BU159">
        <v>1800</v>
      </c>
      <c r="BV159">
        <v>0.90997899999999998</v>
      </c>
      <c r="BW159">
        <v>3.4002900000000003E-2</v>
      </c>
      <c r="BX159">
        <v>2.2007200000000001E-2</v>
      </c>
      <c r="BY159">
        <v>3.4011300000000001E-2</v>
      </c>
      <c r="BZ159">
        <v>26</v>
      </c>
      <c r="CA159">
        <v>33528.199999999997</v>
      </c>
      <c r="CB159">
        <v>1690300477.5</v>
      </c>
      <c r="CC159" t="s">
        <v>332</v>
      </c>
      <c r="CD159">
        <v>1690300477.5</v>
      </c>
      <c r="CE159">
        <v>1690300465.5</v>
      </c>
      <c r="CF159">
        <v>7</v>
      </c>
      <c r="CG159">
        <v>5.0999999999999997E-2</v>
      </c>
      <c r="CH159">
        <v>-8.0000000000000002E-3</v>
      </c>
      <c r="CI159">
        <v>-0.316</v>
      </c>
      <c r="CJ159">
        <v>0.28199999999999997</v>
      </c>
      <c r="CK159">
        <v>800</v>
      </c>
      <c r="CL159">
        <v>24</v>
      </c>
      <c r="CM159">
        <v>0.25</v>
      </c>
      <c r="CN159">
        <v>0.13</v>
      </c>
      <c r="CO159">
        <v>-363.08517073170731</v>
      </c>
      <c r="CP159">
        <v>-7.9731428571432854</v>
      </c>
      <c r="CQ159">
        <v>0.78807124546188878</v>
      </c>
      <c r="CR159">
        <v>-1</v>
      </c>
      <c r="CS159">
        <v>24.572958536585361</v>
      </c>
      <c r="CT159">
        <v>0.33043902439027761</v>
      </c>
      <c r="CU159">
        <v>3.2737939321666902E-2</v>
      </c>
      <c r="CV159">
        <v>-1</v>
      </c>
      <c r="CW159">
        <v>0</v>
      </c>
      <c r="CX159">
        <v>0</v>
      </c>
      <c r="CY159" t="s">
        <v>333</v>
      </c>
      <c r="CZ159">
        <v>2.3645399999999999</v>
      </c>
      <c r="DA159">
        <v>2.7137899999999999</v>
      </c>
      <c r="DB159">
        <v>9.5699000000000006E-2</v>
      </c>
      <c r="DC159">
        <v>0.14637</v>
      </c>
      <c r="DD159">
        <v>0.116872</v>
      </c>
      <c r="DE159">
        <v>2.1446600000000001E-3</v>
      </c>
      <c r="DF159">
        <v>33038.5</v>
      </c>
      <c r="DG159">
        <v>27536.3</v>
      </c>
      <c r="DH159">
        <v>31189.200000000001</v>
      </c>
      <c r="DI159">
        <v>28108.3</v>
      </c>
      <c r="DJ159">
        <v>37391.199999999997</v>
      </c>
      <c r="DK159">
        <v>39893.9</v>
      </c>
      <c r="DL159">
        <v>44389.1</v>
      </c>
      <c r="DM159">
        <v>42605.1</v>
      </c>
      <c r="DN159">
        <v>1.48512</v>
      </c>
      <c r="DO159">
        <v>2.0341999999999998</v>
      </c>
      <c r="DP159">
        <v>9.2133900000000005E-2</v>
      </c>
      <c r="DQ159">
        <v>0.17035</v>
      </c>
      <c r="DR159">
        <v>25.503799999999998</v>
      </c>
      <c r="DS159">
        <v>25.343599999999999</v>
      </c>
      <c r="DT159">
        <v>36.6</v>
      </c>
      <c r="DU159">
        <v>28.9</v>
      </c>
      <c r="DV159">
        <v>14.737500000000001</v>
      </c>
      <c r="DW159">
        <v>61.301099999999998</v>
      </c>
      <c r="DX159">
        <v>36.959099999999999</v>
      </c>
      <c r="DY159">
        <v>1</v>
      </c>
      <c r="DZ159">
        <v>-0.10735500000000001</v>
      </c>
      <c r="EA159">
        <v>-0.315861</v>
      </c>
      <c r="EB159">
        <v>20.1892</v>
      </c>
      <c r="EC159">
        <v>5.24125</v>
      </c>
      <c r="ED159">
        <v>12.039899999999999</v>
      </c>
      <c r="EE159">
        <v>5.0172499999999998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1.8689100000000001</v>
      </c>
      <c r="EL159">
        <v>1.8646199999999999</v>
      </c>
      <c r="EM159">
        <v>1.8691800000000001</v>
      </c>
      <c r="EN159">
        <v>1.8672299999999999</v>
      </c>
      <c r="EO159">
        <v>1.8633999999999999</v>
      </c>
      <c r="EP159">
        <v>1.8644700000000001</v>
      </c>
      <c r="EQ159">
        <v>1.87015</v>
      </c>
      <c r="ER159">
        <v>1.86938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-5.8000000000000003E-2</v>
      </c>
      <c r="FG159">
        <v>0.28149999999999997</v>
      </c>
      <c r="FH159">
        <v>0.23539598422606861</v>
      </c>
      <c r="FI159">
        <v>-6.1462078757559423E-4</v>
      </c>
      <c r="FJ159">
        <v>-1.8861989874597051E-7</v>
      </c>
      <c r="FK159">
        <v>1.1980462299894961E-10</v>
      </c>
      <c r="FL159">
        <v>0.28151999999999688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</v>
      </c>
      <c r="FU159">
        <v>33.200000000000003</v>
      </c>
      <c r="FV159">
        <v>1.7651399999999999</v>
      </c>
      <c r="FW159">
        <v>2.5915499999999998</v>
      </c>
      <c r="FX159">
        <v>1.5490699999999999</v>
      </c>
      <c r="FY159">
        <v>2.3303199999999999</v>
      </c>
      <c r="FZ159">
        <v>1.50146</v>
      </c>
      <c r="GA159">
        <v>2.3852500000000001</v>
      </c>
      <c r="GB159">
        <v>33.580399999999997</v>
      </c>
      <c r="GC159">
        <v>23.991199999999999</v>
      </c>
      <c r="GD159">
        <v>19</v>
      </c>
      <c r="GE159">
        <v>285.92899999999997</v>
      </c>
      <c r="GF159">
        <v>579.29999999999995</v>
      </c>
      <c r="GG159">
        <v>25.438199999999998</v>
      </c>
      <c r="GH159">
        <v>26.054600000000001</v>
      </c>
      <c r="GI159">
        <v>30.0001</v>
      </c>
      <c r="GJ159">
        <v>26.1785</v>
      </c>
      <c r="GK159">
        <v>26.154800000000002</v>
      </c>
      <c r="GL159">
        <v>35.288600000000002</v>
      </c>
      <c r="GM159">
        <v>100</v>
      </c>
      <c r="GN159">
        <v>38.0899</v>
      </c>
      <c r="GO159">
        <v>25.437999999999999</v>
      </c>
      <c r="GP159">
        <v>800</v>
      </c>
      <c r="GQ159">
        <v>0</v>
      </c>
      <c r="GR159">
        <v>99.797300000000007</v>
      </c>
      <c r="GS159">
        <v>99.665800000000004</v>
      </c>
    </row>
    <row r="160" spans="1:201" x14ac:dyDescent="0.25">
      <c r="A160">
        <v>144</v>
      </c>
      <c r="B160">
        <v>1690302469.5999999</v>
      </c>
      <c r="C160">
        <v>1565.599999904633</v>
      </c>
      <c r="D160" t="s">
        <v>619</v>
      </c>
      <c r="E160" t="s">
        <v>620</v>
      </c>
      <c r="F160" t="s">
        <v>330</v>
      </c>
      <c r="H160">
        <v>1690302469.5999999</v>
      </c>
      <c r="I160">
        <f t="shared" si="60"/>
        <v>2.3246363622242421E-3</v>
      </c>
      <c r="J160">
        <f t="shared" si="61"/>
        <v>2.3246363622242421</v>
      </c>
      <c r="K160">
        <f t="shared" si="62"/>
        <v>32.561789018278517</v>
      </c>
      <c r="L160">
        <f t="shared" si="63"/>
        <v>434.274</v>
      </c>
      <c r="M160">
        <f t="shared" si="64"/>
        <v>113.34223016199682</v>
      </c>
      <c r="N160">
        <f t="shared" si="65"/>
        <v>11.267060264241509</v>
      </c>
      <c r="O160">
        <f t="shared" si="66"/>
        <v>43.170063992915992</v>
      </c>
      <c r="P160">
        <f t="shared" si="67"/>
        <v>0.17188131156457437</v>
      </c>
      <c r="Q160">
        <f t="shared" si="68"/>
        <v>2.117464712102354</v>
      </c>
      <c r="R160">
        <f t="shared" si="69"/>
        <v>0.16448929832509401</v>
      </c>
      <c r="S160">
        <f t="shared" si="70"/>
        <v>0.10344346194091472</v>
      </c>
      <c r="T160">
        <f t="shared" si="71"/>
        <v>276.11665406999998</v>
      </c>
      <c r="U160">
        <f t="shared" si="72"/>
        <v>28.202388879950018</v>
      </c>
      <c r="V160">
        <f t="shared" si="73"/>
        <v>28.202388879950018</v>
      </c>
      <c r="W160">
        <f t="shared" si="74"/>
        <v>3.8398444967826917</v>
      </c>
      <c r="X160">
        <f t="shared" si="75"/>
        <v>70.007790326770078</v>
      </c>
      <c r="Y160">
        <f t="shared" si="76"/>
        <v>2.4796289744393998</v>
      </c>
      <c r="Z160">
        <f t="shared" si="77"/>
        <v>3.5419329232724284</v>
      </c>
      <c r="AA160">
        <f t="shared" si="78"/>
        <v>1.3602155223432919</v>
      </c>
      <c r="AB160">
        <f t="shared" si="79"/>
        <v>-102.51646357408907</v>
      </c>
      <c r="AC160">
        <f t="shared" si="80"/>
        <v>-157.56930302964761</v>
      </c>
      <c r="AD160">
        <f t="shared" si="81"/>
        <v>-16.141929540513257</v>
      </c>
      <c r="AE160">
        <f t="shared" si="82"/>
        <v>-0.11104207424997981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52554.699764754929</v>
      </c>
      <c r="AK160">
        <f t="shared" si="86"/>
        <v>1800</v>
      </c>
      <c r="AL160">
        <f t="shared" si="87"/>
        <v>1499.1102449999998</v>
      </c>
      <c r="AM160">
        <f t="shared" si="88"/>
        <v>0.83283902499999996</v>
      </c>
      <c r="AN160">
        <f t="shared" si="89"/>
        <v>0.15339814115</v>
      </c>
      <c r="AO160">
        <v>32.700000000000003</v>
      </c>
      <c r="AP160">
        <v>0.5</v>
      </c>
      <c r="AQ160" t="s">
        <v>331</v>
      </c>
      <c r="AR160">
        <v>2</v>
      </c>
      <c r="AS160">
        <v>1690302469.5999999</v>
      </c>
      <c r="AT160">
        <v>434.274</v>
      </c>
      <c r="AU160">
        <v>799.99900000000002</v>
      </c>
      <c r="AV160">
        <v>24.944099999999999</v>
      </c>
      <c r="AW160">
        <v>0.251274</v>
      </c>
      <c r="AX160">
        <v>434.33100000000002</v>
      </c>
      <c r="AY160">
        <v>24.662600000000001</v>
      </c>
      <c r="AZ160">
        <v>300.166</v>
      </c>
      <c r="BA160">
        <v>99.307400000000001</v>
      </c>
      <c r="BB160">
        <v>0.100034</v>
      </c>
      <c r="BC160">
        <v>26.822099999999999</v>
      </c>
      <c r="BD160">
        <v>26.996700000000001</v>
      </c>
      <c r="BE160">
        <v>28.1465</v>
      </c>
      <c r="BF160">
        <v>0</v>
      </c>
      <c r="BG160">
        <v>0</v>
      </c>
      <c r="BH160">
        <v>10002.5</v>
      </c>
      <c r="BI160">
        <v>1079.73</v>
      </c>
      <c r="BJ160">
        <v>1.7941199999999999</v>
      </c>
      <c r="BK160">
        <v>-365.72500000000002</v>
      </c>
      <c r="BL160">
        <v>445.38299999999998</v>
      </c>
      <c r="BM160">
        <v>800.2</v>
      </c>
      <c r="BN160">
        <v>24.692799999999998</v>
      </c>
      <c r="BO160">
        <v>799.99900000000002</v>
      </c>
      <c r="BP160">
        <v>0.251274</v>
      </c>
      <c r="BQ160">
        <v>2.4771399999999999</v>
      </c>
      <c r="BR160">
        <v>2.4953400000000001E-2</v>
      </c>
      <c r="BS160">
        <v>20.876999999999999</v>
      </c>
      <c r="BT160">
        <v>-37.271599999999999</v>
      </c>
      <c r="BU160">
        <v>1800</v>
      </c>
      <c r="BV160">
        <v>0.90997899999999998</v>
      </c>
      <c r="BW160">
        <v>3.4001799999999999E-2</v>
      </c>
      <c r="BX160">
        <v>2.2009000000000001E-2</v>
      </c>
      <c r="BY160">
        <v>3.4010100000000001E-2</v>
      </c>
      <c r="BZ160">
        <v>26</v>
      </c>
      <c r="CA160">
        <v>33528.199999999997</v>
      </c>
      <c r="CB160">
        <v>1690300477.5</v>
      </c>
      <c r="CC160" t="s">
        <v>332</v>
      </c>
      <c r="CD160">
        <v>1690300477.5</v>
      </c>
      <c r="CE160">
        <v>1690300465.5</v>
      </c>
      <c r="CF160">
        <v>7</v>
      </c>
      <c r="CG160">
        <v>5.0999999999999997E-2</v>
      </c>
      <c r="CH160">
        <v>-8.0000000000000002E-3</v>
      </c>
      <c r="CI160">
        <v>-0.316</v>
      </c>
      <c r="CJ160">
        <v>0.28199999999999997</v>
      </c>
      <c r="CK160">
        <v>800</v>
      </c>
      <c r="CL160">
        <v>24</v>
      </c>
      <c r="CM160">
        <v>0.25</v>
      </c>
      <c r="CN160">
        <v>0.13</v>
      </c>
      <c r="CO160">
        <v>-364.38048780487799</v>
      </c>
      <c r="CP160">
        <v>-7.359303135888374</v>
      </c>
      <c r="CQ160">
        <v>0.7267295642860423</v>
      </c>
      <c r="CR160">
        <v>-1</v>
      </c>
      <c r="CS160">
        <v>24.62940731707317</v>
      </c>
      <c r="CT160">
        <v>0.34579024390246033</v>
      </c>
      <c r="CU160">
        <v>3.4133156687960103E-2</v>
      </c>
      <c r="CV160">
        <v>-1</v>
      </c>
      <c r="CW160">
        <v>0</v>
      </c>
      <c r="CX160">
        <v>0</v>
      </c>
      <c r="CY160" t="s">
        <v>333</v>
      </c>
      <c r="CZ160">
        <v>2.3648099999999999</v>
      </c>
      <c r="DA160">
        <v>2.7138300000000002</v>
      </c>
      <c r="DB160">
        <v>9.5492999999999995E-2</v>
      </c>
      <c r="DC160">
        <v>0.14636099999999999</v>
      </c>
      <c r="DD160">
        <v>0.117045</v>
      </c>
      <c r="DE160">
        <v>2.1092400000000001E-3</v>
      </c>
      <c r="DF160">
        <v>33045.9</v>
      </c>
      <c r="DG160">
        <v>27536.1</v>
      </c>
      <c r="DH160">
        <v>31189.1</v>
      </c>
      <c r="DI160">
        <v>28107.8</v>
      </c>
      <c r="DJ160">
        <v>37383.5</v>
      </c>
      <c r="DK160">
        <v>39894.699999999997</v>
      </c>
      <c r="DL160">
        <v>44388.800000000003</v>
      </c>
      <c r="DM160">
        <v>42604.5</v>
      </c>
      <c r="DN160">
        <v>1.4857</v>
      </c>
      <c r="DO160">
        <v>2.03417</v>
      </c>
      <c r="DP160">
        <v>9.0982800000000003E-2</v>
      </c>
      <c r="DQ160">
        <v>0.171043</v>
      </c>
      <c r="DR160">
        <v>25.507000000000001</v>
      </c>
      <c r="DS160">
        <v>25.348099999999999</v>
      </c>
      <c r="DT160">
        <v>36.200000000000003</v>
      </c>
      <c r="DU160">
        <v>28.9</v>
      </c>
      <c r="DV160">
        <v>14.5722</v>
      </c>
      <c r="DW160">
        <v>61.891100000000002</v>
      </c>
      <c r="DX160">
        <v>36.782899999999998</v>
      </c>
      <c r="DY160">
        <v>1</v>
      </c>
      <c r="DZ160">
        <v>-0.10745200000000001</v>
      </c>
      <c r="EA160">
        <v>-0.31124200000000002</v>
      </c>
      <c r="EB160">
        <v>20.189399999999999</v>
      </c>
      <c r="EC160">
        <v>5.2413999999999996</v>
      </c>
      <c r="ED160">
        <v>12.039899999999999</v>
      </c>
      <c r="EE160">
        <v>5.0170500000000002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1.8689100000000001</v>
      </c>
      <c r="EL160">
        <v>1.8646199999999999</v>
      </c>
      <c r="EM160">
        <v>1.8691899999999999</v>
      </c>
      <c r="EN160">
        <v>1.8672299999999999</v>
      </c>
      <c r="EO160">
        <v>1.86338</v>
      </c>
      <c r="EP160">
        <v>1.8644700000000001</v>
      </c>
      <c r="EQ160">
        <v>1.87015</v>
      </c>
      <c r="ER160">
        <v>1.8693900000000001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-5.7000000000000002E-2</v>
      </c>
      <c r="FG160">
        <v>0.28149999999999997</v>
      </c>
      <c r="FH160">
        <v>0.23539598422606861</v>
      </c>
      <c r="FI160">
        <v>-6.1462078757559423E-4</v>
      </c>
      <c r="FJ160">
        <v>-1.8861989874597051E-7</v>
      </c>
      <c r="FK160">
        <v>1.1980462299894961E-10</v>
      </c>
      <c r="FL160">
        <v>0.28151999999999688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33.200000000000003</v>
      </c>
      <c r="FU160">
        <v>33.4</v>
      </c>
      <c r="FV160">
        <v>1.7651399999999999</v>
      </c>
      <c r="FW160">
        <v>2.5878899999999998</v>
      </c>
      <c r="FX160">
        <v>1.5490699999999999</v>
      </c>
      <c r="FY160">
        <v>2.3303199999999999</v>
      </c>
      <c r="FZ160">
        <v>1.50146</v>
      </c>
      <c r="GA160">
        <v>2.4096700000000002</v>
      </c>
      <c r="GB160">
        <v>33.580399999999997</v>
      </c>
      <c r="GC160">
        <v>23.991199999999999</v>
      </c>
      <c r="GD160">
        <v>19</v>
      </c>
      <c r="GE160">
        <v>286.17599999999999</v>
      </c>
      <c r="GF160">
        <v>579.279</v>
      </c>
      <c r="GG160">
        <v>25.438700000000001</v>
      </c>
      <c r="GH160">
        <v>26.054600000000001</v>
      </c>
      <c r="GI160">
        <v>30</v>
      </c>
      <c r="GJ160">
        <v>26.1785</v>
      </c>
      <c r="GK160">
        <v>26.154800000000002</v>
      </c>
      <c r="GL160">
        <v>35.287500000000001</v>
      </c>
      <c r="GM160">
        <v>100</v>
      </c>
      <c r="GN160">
        <v>37.291800000000002</v>
      </c>
      <c r="GO160">
        <v>25.438400000000001</v>
      </c>
      <c r="GP160">
        <v>800</v>
      </c>
      <c r="GQ160">
        <v>0</v>
      </c>
      <c r="GR160">
        <v>99.796700000000001</v>
      </c>
      <c r="GS160">
        <v>99.664199999999994</v>
      </c>
    </row>
    <row r="161" spans="1:201" x14ac:dyDescent="0.25">
      <c r="A161">
        <v>145</v>
      </c>
      <c r="B161">
        <v>1690302479.5999999</v>
      </c>
      <c r="C161">
        <v>1575.599999904633</v>
      </c>
      <c r="D161" t="s">
        <v>621</v>
      </c>
      <c r="E161" t="s">
        <v>622</v>
      </c>
      <c r="F161" t="s">
        <v>330</v>
      </c>
      <c r="H161">
        <v>1690302479.5999999</v>
      </c>
      <c r="I161">
        <f t="shared" si="60"/>
        <v>2.3276720082585729E-3</v>
      </c>
      <c r="J161">
        <f t="shared" si="61"/>
        <v>2.3276720082585727</v>
      </c>
      <c r="K161">
        <f t="shared" si="62"/>
        <v>32.631861827395348</v>
      </c>
      <c r="L161">
        <f t="shared" si="63"/>
        <v>433.26299999999998</v>
      </c>
      <c r="M161">
        <f t="shared" si="64"/>
        <v>113.0023517399992</v>
      </c>
      <c r="N161">
        <f t="shared" si="65"/>
        <v>11.233109596120972</v>
      </c>
      <c r="O161">
        <f t="shared" si="66"/>
        <v>43.068933416024095</v>
      </c>
      <c r="P161">
        <f t="shared" si="67"/>
        <v>0.17263375468297276</v>
      </c>
      <c r="Q161">
        <f t="shared" si="68"/>
        <v>2.1159398991960661</v>
      </c>
      <c r="R161">
        <f t="shared" si="69"/>
        <v>0.16517326586085132</v>
      </c>
      <c r="S161">
        <f t="shared" si="70"/>
        <v>0.10387671820532468</v>
      </c>
      <c r="T161">
        <f t="shared" si="71"/>
        <v>276.11664382800001</v>
      </c>
      <c r="U161">
        <f t="shared" si="72"/>
        <v>28.204223905923932</v>
      </c>
      <c r="V161">
        <f t="shared" si="73"/>
        <v>28.204223905923932</v>
      </c>
      <c r="W161">
        <f t="shared" si="74"/>
        <v>3.8402546685143419</v>
      </c>
      <c r="X161">
        <f t="shared" si="75"/>
        <v>70.121725996960123</v>
      </c>
      <c r="Y161">
        <f t="shared" si="76"/>
        <v>2.4839566457315998</v>
      </c>
      <c r="Z161">
        <f t="shared" si="77"/>
        <v>3.5423495506075859</v>
      </c>
      <c r="AA161">
        <f t="shared" si="78"/>
        <v>1.3562980227827421</v>
      </c>
      <c r="AB161">
        <f t="shared" si="79"/>
        <v>-102.65033556420306</v>
      </c>
      <c r="AC161">
        <f t="shared" si="80"/>
        <v>-157.43701605947589</v>
      </c>
      <c r="AD161">
        <f t="shared" si="81"/>
        <v>-16.140309174480482</v>
      </c>
      <c r="AE161">
        <f t="shared" si="82"/>
        <v>-0.11101697015942591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52487.484171480566</v>
      </c>
      <c r="AK161">
        <f t="shared" si="86"/>
        <v>1800</v>
      </c>
      <c r="AL161">
        <f t="shared" si="87"/>
        <v>1499.1105347999999</v>
      </c>
      <c r="AM161">
        <f t="shared" si="88"/>
        <v>0.83283918599999995</v>
      </c>
      <c r="AN161">
        <f t="shared" si="89"/>
        <v>0.15339813546</v>
      </c>
      <c r="AO161">
        <v>32.700000000000003</v>
      </c>
      <c r="AP161">
        <v>0.5</v>
      </c>
      <c r="AQ161" t="s">
        <v>331</v>
      </c>
      <c r="AR161">
        <v>2</v>
      </c>
      <c r="AS161">
        <v>1690302479.5999999</v>
      </c>
      <c r="AT161">
        <v>433.26299999999998</v>
      </c>
      <c r="AU161">
        <v>799.99300000000005</v>
      </c>
      <c r="AV161">
        <v>24.988</v>
      </c>
      <c r="AW161">
        <v>0.24698000000000001</v>
      </c>
      <c r="AX161">
        <v>433.32</v>
      </c>
      <c r="AY161">
        <v>24.706499999999998</v>
      </c>
      <c r="AZ161">
        <v>299.959</v>
      </c>
      <c r="BA161">
        <v>99.305999999999997</v>
      </c>
      <c r="BB161">
        <v>9.9980700000000006E-2</v>
      </c>
      <c r="BC161">
        <v>26.824100000000001</v>
      </c>
      <c r="BD161">
        <v>27.001899999999999</v>
      </c>
      <c r="BE161">
        <v>28.140799999999999</v>
      </c>
      <c r="BF161">
        <v>0</v>
      </c>
      <c r="BG161">
        <v>0</v>
      </c>
      <c r="BH161">
        <v>9989.3799999999992</v>
      </c>
      <c r="BI161">
        <v>1079.6300000000001</v>
      </c>
      <c r="BJ161">
        <v>1.7941199999999999</v>
      </c>
      <c r="BK161">
        <v>-366.73</v>
      </c>
      <c r="BL161">
        <v>444.36700000000002</v>
      </c>
      <c r="BM161">
        <v>800.19100000000003</v>
      </c>
      <c r="BN161">
        <v>24.741</v>
      </c>
      <c r="BO161">
        <v>799.99300000000005</v>
      </c>
      <c r="BP161">
        <v>0.24698000000000001</v>
      </c>
      <c r="BQ161">
        <v>2.4814600000000002</v>
      </c>
      <c r="BR161">
        <v>2.4526599999999999E-2</v>
      </c>
      <c r="BS161">
        <v>20.9054</v>
      </c>
      <c r="BT161">
        <v>-37.441099999999999</v>
      </c>
      <c r="BU161">
        <v>1800</v>
      </c>
      <c r="BV161">
        <v>0.90998000000000001</v>
      </c>
      <c r="BW161">
        <v>3.4001400000000001E-2</v>
      </c>
      <c r="BX161">
        <v>2.2008799999999999E-2</v>
      </c>
      <c r="BY161">
        <v>3.40098E-2</v>
      </c>
      <c r="BZ161">
        <v>26</v>
      </c>
      <c r="CA161">
        <v>33528.199999999997</v>
      </c>
      <c r="CB161">
        <v>1690300477.5</v>
      </c>
      <c r="CC161" t="s">
        <v>332</v>
      </c>
      <c r="CD161">
        <v>1690300477.5</v>
      </c>
      <c r="CE161">
        <v>1690300465.5</v>
      </c>
      <c r="CF161">
        <v>7</v>
      </c>
      <c r="CG161">
        <v>5.0999999999999997E-2</v>
      </c>
      <c r="CH161">
        <v>-8.0000000000000002E-3</v>
      </c>
      <c r="CI161">
        <v>-0.316</v>
      </c>
      <c r="CJ161">
        <v>0.28199999999999997</v>
      </c>
      <c r="CK161">
        <v>800</v>
      </c>
      <c r="CL161">
        <v>24</v>
      </c>
      <c r="CM161">
        <v>0.25</v>
      </c>
      <c r="CN161">
        <v>0.13</v>
      </c>
      <c r="CO161">
        <v>-365.58857499999999</v>
      </c>
      <c r="CP161">
        <v>-7.5042664165102364</v>
      </c>
      <c r="CQ161">
        <v>0.72378328550402293</v>
      </c>
      <c r="CR161">
        <v>-1</v>
      </c>
      <c r="CS161">
        <v>24.684972500000001</v>
      </c>
      <c r="CT161">
        <v>0.33581425891172878</v>
      </c>
      <c r="CU161">
        <v>3.2317796857923402E-2</v>
      </c>
      <c r="CV161">
        <v>-1</v>
      </c>
      <c r="CW161">
        <v>0</v>
      </c>
      <c r="CX161">
        <v>0</v>
      </c>
      <c r="CY161" t="s">
        <v>333</v>
      </c>
      <c r="CZ161">
        <v>2.3641100000000002</v>
      </c>
      <c r="DA161">
        <v>2.7137600000000002</v>
      </c>
      <c r="DB161">
        <v>9.5325400000000005E-2</v>
      </c>
      <c r="DC161">
        <v>0.14635999999999999</v>
      </c>
      <c r="DD161">
        <v>0.11719</v>
      </c>
      <c r="DE161">
        <v>2.0737199999999998E-3</v>
      </c>
      <c r="DF161">
        <v>33052.1</v>
      </c>
      <c r="DG161">
        <v>27536.3</v>
      </c>
      <c r="DH161">
        <v>31189.200000000001</v>
      </c>
      <c r="DI161">
        <v>28108</v>
      </c>
      <c r="DJ161">
        <v>37377.5</v>
      </c>
      <c r="DK161">
        <v>39896.1</v>
      </c>
      <c r="DL161">
        <v>44389</v>
      </c>
      <c r="DM161">
        <v>42604.5</v>
      </c>
      <c r="DN161">
        <v>1.4847999999999999</v>
      </c>
      <c r="DO161">
        <v>2.0343499999999999</v>
      </c>
      <c r="DP161">
        <v>9.1034900000000002E-2</v>
      </c>
      <c r="DQ161">
        <v>0.170544</v>
      </c>
      <c r="DR161">
        <v>25.511299999999999</v>
      </c>
      <c r="DS161">
        <v>25.3505</v>
      </c>
      <c r="DT161">
        <v>35.799999999999997</v>
      </c>
      <c r="DU161">
        <v>28.9</v>
      </c>
      <c r="DV161">
        <v>14.4152</v>
      </c>
      <c r="DW161">
        <v>61.851100000000002</v>
      </c>
      <c r="DX161">
        <v>37.039299999999997</v>
      </c>
      <c r="DY161">
        <v>1</v>
      </c>
      <c r="DZ161">
        <v>-0.107388</v>
      </c>
      <c r="EA161">
        <v>-0.30934099999999998</v>
      </c>
      <c r="EB161">
        <v>20.189299999999999</v>
      </c>
      <c r="EC161">
        <v>5.24125</v>
      </c>
      <c r="ED161">
        <v>12.039899999999999</v>
      </c>
      <c r="EE161">
        <v>5.0165499999999996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1.8646199999999999</v>
      </c>
      <c r="EM161">
        <v>1.8692</v>
      </c>
      <c r="EN161">
        <v>1.86724</v>
      </c>
      <c r="EO161">
        <v>1.86338</v>
      </c>
      <c r="EP161">
        <v>1.8644700000000001</v>
      </c>
      <c r="EQ161">
        <v>1.8701399999999999</v>
      </c>
      <c r="ER161">
        <v>1.8694299999999999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-5.7000000000000002E-2</v>
      </c>
      <c r="FG161">
        <v>0.28149999999999997</v>
      </c>
      <c r="FH161">
        <v>0.23539598422606861</v>
      </c>
      <c r="FI161">
        <v>-6.1462078757559423E-4</v>
      </c>
      <c r="FJ161">
        <v>-1.8861989874597051E-7</v>
      </c>
      <c r="FK161">
        <v>1.1980462299894961E-10</v>
      </c>
      <c r="FL161">
        <v>0.28151999999999688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33.4</v>
      </c>
      <c r="FU161">
        <v>33.6</v>
      </c>
      <c r="FV161">
        <v>1.7651399999999999</v>
      </c>
      <c r="FW161">
        <v>2.5891099999999998</v>
      </c>
      <c r="FX161">
        <v>1.5490699999999999</v>
      </c>
      <c r="FY161">
        <v>2.3303199999999999</v>
      </c>
      <c r="FZ161">
        <v>1.50146</v>
      </c>
      <c r="GA161">
        <v>2.3718300000000001</v>
      </c>
      <c r="GB161">
        <v>33.602899999999998</v>
      </c>
      <c r="GC161">
        <v>23.982399999999998</v>
      </c>
      <c r="GD161">
        <v>19</v>
      </c>
      <c r="GE161">
        <v>285.79000000000002</v>
      </c>
      <c r="GF161">
        <v>579.423</v>
      </c>
      <c r="GG161">
        <v>25.438800000000001</v>
      </c>
      <c r="GH161">
        <v>26.054600000000001</v>
      </c>
      <c r="GI161">
        <v>30</v>
      </c>
      <c r="GJ161">
        <v>26.1785</v>
      </c>
      <c r="GK161">
        <v>26.154800000000002</v>
      </c>
      <c r="GL161">
        <v>35.285800000000002</v>
      </c>
      <c r="GM161">
        <v>100</v>
      </c>
      <c r="GN161">
        <v>36.508000000000003</v>
      </c>
      <c r="GO161">
        <v>25.438600000000001</v>
      </c>
      <c r="GP161">
        <v>800</v>
      </c>
      <c r="GQ161">
        <v>0</v>
      </c>
      <c r="GR161">
        <v>99.797200000000004</v>
      </c>
      <c r="GS161">
        <v>99.664400000000001</v>
      </c>
    </row>
    <row r="162" spans="1:201" x14ac:dyDescent="0.25">
      <c r="A162">
        <v>146</v>
      </c>
      <c r="B162">
        <v>1690302489.5999999</v>
      </c>
      <c r="C162">
        <v>1585.599999904633</v>
      </c>
      <c r="D162" t="s">
        <v>623</v>
      </c>
      <c r="E162" t="s">
        <v>624</v>
      </c>
      <c r="F162" t="s">
        <v>330</v>
      </c>
      <c r="H162">
        <v>1690302489.5999999</v>
      </c>
      <c r="I162">
        <f t="shared" si="60"/>
        <v>2.3344757670428575E-3</v>
      </c>
      <c r="J162">
        <f t="shared" si="61"/>
        <v>2.3344757670428575</v>
      </c>
      <c r="K162">
        <f t="shared" si="62"/>
        <v>32.770640448370251</v>
      </c>
      <c r="L162">
        <f t="shared" si="63"/>
        <v>431.89299999999997</v>
      </c>
      <c r="M162">
        <f t="shared" si="64"/>
        <v>112.92364353692348</v>
      </c>
      <c r="N162">
        <f t="shared" si="65"/>
        <v>11.225386495034781</v>
      </c>
      <c r="O162">
        <f t="shared" si="66"/>
        <v>42.933133377996398</v>
      </c>
      <c r="P162">
        <f t="shared" si="67"/>
        <v>0.17409426132302883</v>
      </c>
      <c r="Q162">
        <f t="shared" si="68"/>
        <v>2.1214743593615015</v>
      </c>
      <c r="R162">
        <f t="shared" si="69"/>
        <v>0.16652884718336028</v>
      </c>
      <c r="S162">
        <f t="shared" si="70"/>
        <v>0.10473285410458116</v>
      </c>
      <c r="T162">
        <f t="shared" si="71"/>
        <v>276.11503053908604</v>
      </c>
      <c r="U162">
        <f t="shared" si="72"/>
        <v>28.197662160138453</v>
      </c>
      <c r="V162">
        <f t="shared" si="73"/>
        <v>28.197662160138453</v>
      </c>
      <c r="W162">
        <f t="shared" si="74"/>
        <v>3.838788139047066</v>
      </c>
      <c r="X162">
        <f t="shared" si="75"/>
        <v>70.285190598707743</v>
      </c>
      <c r="Y162">
        <f t="shared" si="76"/>
        <v>2.4896153573035598</v>
      </c>
      <c r="Z162">
        <f t="shared" si="77"/>
        <v>3.5421620630126505</v>
      </c>
      <c r="AA162">
        <f t="shared" si="78"/>
        <v>1.3491727817435062</v>
      </c>
      <c r="AB162">
        <f t="shared" si="79"/>
        <v>-102.95038132659002</v>
      </c>
      <c r="AC162">
        <f t="shared" si="80"/>
        <v>-157.20125846660602</v>
      </c>
      <c r="AD162">
        <f t="shared" si="81"/>
        <v>-16.073496679235486</v>
      </c>
      <c r="AE162">
        <f t="shared" si="82"/>
        <v>-0.1101059333454657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52730.518862831341</v>
      </c>
      <c r="AK162">
        <f t="shared" si="86"/>
        <v>1799.99</v>
      </c>
      <c r="AL162">
        <f t="shared" si="87"/>
        <v>1499.10220460815</v>
      </c>
      <c r="AM162">
        <f t="shared" si="88"/>
        <v>0.83283918499999998</v>
      </c>
      <c r="AN162">
        <f t="shared" si="89"/>
        <v>0.15339809140000002</v>
      </c>
      <c r="AO162">
        <v>32.700000000000003</v>
      </c>
      <c r="AP162">
        <v>0.5</v>
      </c>
      <c r="AQ162" t="s">
        <v>331</v>
      </c>
      <c r="AR162">
        <v>2</v>
      </c>
      <c r="AS162">
        <v>1690302489.5999999</v>
      </c>
      <c r="AT162">
        <v>431.89299999999997</v>
      </c>
      <c r="AU162">
        <v>799.98099999999999</v>
      </c>
      <c r="AV162">
        <v>25.044699999999999</v>
      </c>
      <c r="AW162">
        <v>0.243058</v>
      </c>
      <c r="AX162">
        <v>431.94900000000001</v>
      </c>
      <c r="AY162">
        <v>24.763200000000001</v>
      </c>
      <c r="AZ162">
        <v>300.08300000000003</v>
      </c>
      <c r="BA162">
        <v>99.306899999999999</v>
      </c>
      <c r="BB162">
        <v>9.9974800000000003E-2</v>
      </c>
      <c r="BC162">
        <v>26.8232</v>
      </c>
      <c r="BD162">
        <v>27.0063</v>
      </c>
      <c r="BE162">
        <v>28.157499999999999</v>
      </c>
      <c r="BF162">
        <v>0</v>
      </c>
      <c r="BG162">
        <v>0</v>
      </c>
      <c r="BH162">
        <v>10037.5</v>
      </c>
      <c r="BI162">
        <v>1079.7</v>
      </c>
      <c r="BJ162">
        <v>1.59788</v>
      </c>
      <c r="BK162">
        <v>-368.08800000000002</v>
      </c>
      <c r="BL162">
        <v>442.98700000000002</v>
      </c>
      <c r="BM162">
        <v>800.17499999999995</v>
      </c>
      <c r="BN162">
        <v>24.801600000000001</v>
      </c>
      <c r="BO162">
        <v>799.98099999999999</v>
      </c>
      <c r="BP162">
        <v>0.243058</v>
      </c>
      <c r="BQ162">
        <v>2.4871099999999999</v>
      </c>
      <c r="BR162">
        <v>2.41373E-2</v>
      </c>
      <c r="BS162">
        <v>20.942399999999999</v>
      </c>
      <c r="BT162">
        <v>-37.598199999999999</v>
      </c>
      <c r="BU162">
        <v>1799.99</v>
      </c>
      <c r="BV162">
        <v>0.90998100000000004</v>
      </c>
      <c r="BW162">
        <v>3.4001000000000003E-2</v>
      </c>
      <c r="BX162">
        <v>2.20085E-2</v>
      </c>
      <c r="BY162">
        <v>3.4009400000000002E-2</v>
      </c>
      <c r="BZ162">
        <v>26</v>
      </c>
      <c r="CA162">
        <v>33528.1</v>
      </c>
      <c r="CB162">
        <v>1690300477.5</v>
      </c>
      <c r="CC162" t="s">
        <v>332</v>
      </c>
      <c r="CD162">
        <v>1690300477.5</v>
      </c>
      <c r="CE162">
        <v>1690300465.5</v>
      </c>
      <c r="CF162">
        <v>7</v>
      </c>
      <c r="CG162">
        <v>5.0999999999999997E-2</v>
      </c>
      <c r="CH162">
        <v>-8.0000000000000002E-3</v>
      </c>
      <c r="CI162">
        <v>-0.316</v>
      </c>
      <c r="CJ162">
        <v>0.28199999999999997</v>
      </c>
      <c r="CK162">
        <v>800</v>
      </c>
      <c r="CL162">
        <v>24</v>
      </c>
      <c r="CM162">
        <v>0.25</v>
      </c>
      <c r="CN162">
        <v>0.13</v>
      </c>
      <c r="CO162">
        <v>-366.78017073170719</v>
      </c>
      <c r="CP162">
        <v>-6.7345505226483784</v>
      </c>
      <c r="CQ162">
        <v>0.66834757652422272</v>
      </c>
      <c r="CR162">
        <v>-1</v>
      </c>
      <c r="CS162">
        <v>24.739563414634151</v>
      </c>
      <c r="CT162">
        <v>0.30879512195126951</v>
      </c>
      <c r="CU162">
        <v>3.0495603490384091E-2</v>
      </c>
      <c r="CV162">
        <v>-1</v>
      </c>
      <c r="CW162">
        <v>0</v>
      </c>
      <c r="CX162">
        <v>0</v>
      </c>
      <c r="CY162" t="s">
        <v>333</v>
      </c>
      <c r="CZ162">
        <v>2.3645299999999998</v>
      </c>
      <c r="DA162">
        <v>2.7138</v>
      </c>
      <c r="DB162">
        <v>9.5099100000000006E-2</v>
      </c>
      <c r="DC162">
        <v>0.14635899999999999</v>
      </c>
      <c r="DD162">
        <v>0.117378</v>
      </c>
      <c r="DE162">
        <v>2.0412799999999999E-3</v>
      </c>
      <c r="DF162">
        <v>33059.9</v>
      </c>
      <c r="DG162">
        <v>27536.1</v>
      </c>
      <c r="DH162">
        <v>31188.7</v>
      </c>
      <c r="DI162">
        <v>28107.8</v>
      </c>
      <c r="DJ162">
        <v>37368.699999999997</v>
      </c>
      <c r="DK162">
        <v>39897.199999999997</v>
      </c>
      <c r="DL162">
        <v>44388.2</v>
      </c>
      <c r="DM162">
        <v>42604.3</v>
      </c>
      <c r="DN162">
        <v>1.48512</v>
      </c>
      <c r="DO162">
        <v>2.0343300000000002</v>
      </c>
      <c r="DP162">
        <v>9.1046100000000005E-2</v>
      </c>
      <c r="DQ162">
        <v>0.17124</v>
      </c>
      <c r="DR162">
        <v>25.515599999999999</v>
      </c>
      <c r="DS162">
        <v>25.355899999999998</v>
      </c>
      <c r="DT162">
        <v>35.299999999999997</v>
      </c>
      <c r="DU162">
        <v>28.9</v>
      </c>
      <c r="DV162">
        <v>14.2155</v>
      </c>
      <c r="DW162">
        <v>61.391100000000002</v>
      </c>
      <c r="DX162">
        <v>36.698700000000002</v>
      </c>
      <c r="DY162">
        <v>1</v>
      </c>
      <c r="DZ162">
        <v>-0.107154</v>
      </c>
      <c r="EA162">
        <v>-0.30529699999999999</v>
      </c>
      <c r="EB162">
        <v>20.189299999999999</v>
      </c>
      <c r="EC162">
        <v>5.2415500000000002</v>
      </c>
      <c r="ED162">
        <v>12.039899999999999</v>
      </c>
      <c r="EE162">
        <v>5.0174000000000003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1.8646199999999999</v>
      </c>
      <c r="EM162">
        <v>1.86917</v>
      </c>
      <c r="EN162">
        <v>1.86724</v>
      </c>
      <c r="EO162">
        <v>1.8633599999999999</v>
      </c>
      <c r="EP162">
        <v>1.8644700000000001</v>
      </c>
      <c r="EQ162">
        <v>1.87015</v>
      </c>
      <c r="ER162">
        <v>1.86938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-5.6000000000000001E-2</v>
      </c>
      <c r="FG162">
        <v>0.28149999999999997</v>
      </c>
      <c r="FH162">
        <v>0.23539598422606861</v>
      </c>
      <c r="FI162">
        <v>-6.1462078757559423E-4</v>
      </c>
      <c r="FJ162">
        <v>-1.8861989874597051E-7</v>
      </c>
      <c r="FK162">
        <v>1.1980462299894961E-10</v>
      </c>
      <c r="FL162">
        <v>0.28151999999999688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33.5</v>
      </c>
      <c r="FU162">
        <v>33.700000000000003</v>
      </c>
      <c r="FV162">
        <v>1.7651399999999999</v>
      </c>
      <c r="FW162">
        <v>2.5915499999999998</v>
      </c>
      <c r="FX162">
        <v>1.5490699999999999</v>
      </c>
      <c r="FY162">
        <v>2.3303199999999999</v>
      </c>
      <c r="FZ162">
        <v>1.50146</v>
      </c>
      <c r="GA162">
        <v>2.3877000000000002</v>
      </c>
      <c r="GB162">
        <v>33.602899999999998</v>
      </c>
      <c r="GC162">
        <v>23.982399999999998</v>
      </c>
      <c r="GD162">
        <v>19</v>
      </c>
      <c r="GE162">
        <v>285.92899999999997</v>
      </c>
      <c r="GF162">
        <v>579.40300000000002</v>
      </c>
      <c r="GG162">
        <v>25.436599999999999</v>
      </c>
      <c r="GH162">
        <v>26.054600000000001</v>
      </c>
      <c r="GI162">
        <v>30.0002</v>
      </c>
      <c r="GJ162">
        <v>26.1785</v>
      </c>
      <c r="GK162">
        <v>26.154800000000002</v>
      </c>
      <c r="GL162">
        <v>35.286900000000003</v>
      </c>
      <c r="GM162">
        <v>100</v>
      </c>
      <c r="GN162">
        <v>35.723300000000002</v>
      </c>
      <c r="GO162">
        <v>25.437999999999999</v>
      </c>
      <c r="GP162">
        <v>800</v>
      </c>
      <c r="GQ162">
        <v>0</v>
      </c>
      <c r="GR162">
        <v>99.795400000000001</v>
      </c>
      <c r="GS162">
        <v>99.663799999999995</v>
      </c>
    </row>
    <row r="163" spans="1:201" x14ac:dyDescent="0.25">
      <c r="A163">
        <v>147</v>
      </c>
      <c r="B163">
        <v>1690302499.5999999</v>
      </c>
      <c r="C163">
        <v>1595.599999904633</v>
      </c>
      <c r="D163" t="s">
        <v>625</v>
      </c>
      <c r="E163" t="s">
        <v>626</v>
      </c>
      <c r="F163" t="s">
        <v>330</v>
      </c>
      <c r="H163">
        <v>1690302499.5999999</v>
      </c>
      <c r="I163">
        <f t="shared" si="60"/>
        <v>2.339802715186903E-3</v>
      </c>
      <c r="J163">
        <f t="shared" si="61"/>
        <v>2.3398027151869027</v>
      </c>
      <c r="K163">
        <f t="shared" si="62"/>
        <v>32.870214450133382</v>
      </c>
      <c r="L163">
        <f t="shared" si="63"/>
        <v>430.82799999999997</v>
      </c>
      <c r="M163">
        <f t="shared" si="64"/>
        <v>112.11945759866204</v>
      </c>
      <c r="N163">
        <f t="shared" si="65"/>
        <v>11.145443785383421</v>
      </c>
      <c r="O163">
        <f t="shared" si="66"/>
        <v>42.827260834219999</v>
      </c>
      <c r="P163">
        <f t="shared" si="67"/>
        <v>0.17480494781324493</v>
      </c>
      <c r="Q163">
        <f t="shared" si="68"/>
        <v>2.1130693968227274</v>
      </c>
      <c r="R163">
        <f t="shared" si="69"/>
        <v>0.16715019005525661</v>
      </c>
      <c r="S163">
        <f t="shared" si="70"/>
        <v>0.10512868329612529</v>
      </c>
      <c r="T163">
        <f t="shared" si="71"/>
        <v>276.11633896199999</v>
      </c>
      <c r="U163">
        <f t="shared" si="72"/>
        <v>28.210450125391588</v>
      </c>
      <c r="V163">
        <f t="shared" si="73"/>
        <v>28.210450125391588</v>
      </c>
      <c r="W163">
        <f t="shared" si="74"/>
        <v>3.841646660778538</v>
      </c>
      <c r="X163">
        <f t="shared" si="75"/>
        <v>70.382256031761699</v>
      </c>
      <c r="Y163">
        <f t="shared" si="76"/>
        <v>2.4944761075640001</v>
      </c>
      <c r="Z163">
        <f t="shared" si="77"/>
        <v>3.5441832191885227</v>
      </c>
      <c r="AA163">
        <f t="shared" si="78"/>
        <v>1.3471705532145379</v>
      </c>
      <c r="AB163">
        <f t="shared" si="79"/>
        <v>-103.18529973974242</v>
      </c>
      <c r="AC163">
        <f t="shared" si="80"/>
        <v>-156.93023108482632</v>
      </c>
      <c r="AD163">
        <f t="shared" si="81"/>
        <v>-16.111417274784856</v>
      </c>
      <c r="AE163">
        <f t="shared" si="82"/>
        <v>-0.110609137353606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52360.300322028845</v>
      </c>
      <c r="AK163">
        <f t="shared" si="86"/>
        <v>1800</v>
      </c>
      <c r="AL163">
        <f t="shared" si="87"/>
        <v>1499.1105491999999</v>
      </c>
      <c r="AM163">
        <f t="shared" si="88"/>
        <v>0.83283919399999995</v>
      </c>
      <c r="AN163">
        <f t="shared" si="89"/>
        <v>0.15339796609</v>
      </c>
      <c r="AO163">
        <v>32.700000000000003</v>
      </c>
      <c r="AP163">
        <v>0.5</v>
      </c>
      <c r="AQ163" t="s">
        <v>331</v>
      </c>
      <c r="AR163">
        <v>2</v>
      </c>
      <c r="AS163">
        <v>1690302499.5999999</v>
      </c>
      <c r="AT163">
        <v>430.82799999999997</v>
      </c>
      <c r="AU163">
        <v>799.95100000000002</v>
      </c>
      <c r="AV163">
        <v>25.093599999999999</v>
      </c>
      <c r="AW163">
        <v>0.239841</v>
      </c>
      <c r="AX163">
        <v>430.88299999999998</v>
      </c>
      <c r="AY163">
        <v>24.812100000000001</v>
      </c>
      <c r="AZ163">
        <v>300.12200000000001</v>
      </c>
      <c r="BA163">
        <v>99.306799999999996</v>
      </c>
      <c r="BB163">
        <v>0.100065</v>
      </c>
      <c r="BC163">
        <v>26.832899999999999</v>
      </c>
      <c r="BD163">
        <v>27.022200000000002</v>
      </c>
      <c r="BE163">
        <v>28.1753</v>
      </c>
      <c r="BF163">
        <v>0</v>
      </c>
      <c r="BG163">
        <v>0</v>
      </c>
      <c r="BH163">
        <v>9964.3799999999992</v>
      </c>
      <c r="BI163">
        <v>1079.5999999999999</v>
      </c>
      <c r="BJ163">
        <v>1.7380500000000001</v>
      </c>
      <c r="BK163">
        <v>-369.12200000000001</v>
      </c>
      <c r="BL163">
        <v>441.91800000000001</v>
      </c>
      <c r="BM163">
        <v>800.14200000000005</v>
      </c>
      <c r="BN163">
        <v>24.8537</v>
      </c>
      <c r="BO163">
        <v>799.95100000000002</v>
      </c>
      <c r="BP163">
        <v>0.239841</v>
      </c>
      <c r="BQ163">
        <v>2.4919600000000002</v>
      </c>
      <c r="BR163">
        <v>2.38178E-2</v>
      </c>
      <c r="BS163">
        <v>20.9741</v>
      </c>
      <c r="BT163">
        <v>-37.7288</v>
      </c>
      <c r="BU163">
        <v>1800</v>
      </c>
      <c r="BV163">
        <v>0.90998400000000002</v>
      </c>
      <c r="BW163">
        <v>3.3999799999999997E-2</v>
      </c>
      <c r="BX163">
        <v>2.2007700000000002E-2</v>
      </c>
      <c r="BY163">
        <v>3.4008099999999999E-2</v>
      </c>
      <c r="BZ163">
        <v>26</v>
      </c>
      <c r="CA163">
        <v>33528.199999999997</v>
      </c>
      <c r="CB163">
        <v>1690300477.5</v>
      </c>
      <c r="CC163" t="s">
        <v>332</v>
      </c>
      <c r="CD163">
        <v>1690300477.5</v>
      </c>
      <c r="CE163">
        <v>1690300465.5</v>
      </c>
      <c r="CF163">
        <v>7</v>
      </c>
      <c r="CG163">
        <v>5.0999999999999997E-2</v>
      </c>
      <c r="CH163">
        <v>-8.0000000000000002E-3</v>
      </c>
      <c r="CI163">
        <v>-0.316</v>
      </c>
      <c r="CJ163">
        <v>0.28199999999999997</v>
      </c>
      <c r="CK163">
        <v>800</v>
      </c>
      <c r="CL163">
        <v>24</v>
      </c>
      <c r="CM163">
        <v>0.25</v>
      </c>
      <c r="CN163">
        <v>0.13</v>
      </c>
      <c r="CO163">
        <v>-367.89954999999998</v>
      </c>
      <c r="CP163">
        <v>-7.3743264540329259</v>
      </c>
      <c r="CQ163">
        <v>0.71094352623819301</v>
      </c>
      <c r="CR163">
        <v>-1</v>
      </c>
      <c r="CS163">
        <v>24.792042500000001</v>
      </c>
      <c r="CT163">
        <v>0.34104652908064981</v>
      </c>
      <c r="CU163">
        <v>3.2843613439297377E-2</v>
      </c>
      <c r="CV163">
        <v>-1</v>
      </c>
      <c r="CW163">
        <v>0</v>
      </c>
      <c r="CX163">
        <v>0</v>
      </c>
      <c r="CY163" t="s">
        <v>333</v>
      </c>
      <c r="CZ163">
        <v>2.3646600000000002</v>
      </c>
      <c r="DA163">
        <v>2.7138200000000001</v>
      </c>
      <c r="DB163">
        <v>9.4923400000000005E-2</v>
      </c>
      <c r="DC163">
        <v>0.14635600000000001</v>
      </c>
      <c r="DD163">
        <v>0.11754000000000001</v>
      </c>
      <c r="DE163">
        <v>2.0146700000000001E-3</v>
      </c>
      <c r="DF163">
        <v>33066.1</v>
      </c>
      <c r="DG163">
        <v>27535.8</v>
      </c>
      <c r="DH163">
        <v>31188.5</v>
      </c>
      <c r="DI163">
        <v>28107.4</v>
      </c>
      <c r="DJ163">
        <v>37361.4</v>
      </c>
      <c r="DK163">
        <v>39897.699999999997</v>
      </c>
      <c r="DL163">
        <v>44387.7</v>
      </c>
      <c r="DM163">
        <v>42603.6</v>
      </c>
      <c r="DN163">
        <v>1.4852799999999999</v>
      </c>
      <c r="DO163">
        <v>2.0344500000000001</v>
      </c>
      <c r="DP163">
        <v>9.1716599999999995E-2</v>
      </c>
      <c r="DQ163">
        <v>0.171926</v>
      </c>
      <c r="DR163">
        <v>25.520499999999998</v>
      </c>
      <c r="DS163">
        <v>25.3626</v>
      </c>
      <c r="DT163">
        <v>34.9</v>
      </c>
      <c r="DU163">
        <v>29</v>
      </c>
      <c r="DV163">
        <v>14.1348</v>
      </c>
      <c r="DW163">
        <v>61.6511</v>
      </c>
      <c r="DX163">
        <v>36.418300000000002</v>
      </c>
      <c r="DY163">
        <v>1</v>
      </c>
      <c r="DZ163">
        <v>-0.107279</v>
      </c>
      <c r="EA163">
        <v>-0.30290299999999998</v>
      </c>
      <c r="EB163">
        <v>20.189299999999999</v>
      </c>
      <c r="EC163">
        <v>5.2418500000000003</v>
      </c>
      <c r="ED163">
        <v>12.039899999999999</v>
      </c>
      <c r="EE163">
        <v>5.0172999999999996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1.8646199999999999</v>
      </c>
      <c r="EM163">
        <v>1.8692</v>
      </c>
      <c r="EN163">
        <v>1.8672500000000001</v>
      </c>
      <c r="EO163">
        <v>1.86337</v>
      </c>
      <c r="EP163">
        <v>1.8644700000000001</v>
      </c>
      <c r="EQ163">
        <v>1.8701399999999999</v>
      </c>
      <c r="ER163">
        <v>1.8694200000000001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-5.5E-2</v>
      </c>
      <c r="FG163">
        <v>0.28149999999999997</v>
      </c>
      <c r="FH163">
        <v>0.23539598422606861</v>
      </c>
      <c r="FI163">
        <v>-6.1462078757559423E-4</v>
      </c>
      <c r="FJ163">
        <v>-1.8861989874597051E-7</v>
      </c>
      <c r="FK163">
        <v>1.1980462299894961E-10</v>
      </c>
      <c r="FL163">
        <v>0.28151999999999688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33.700000000000003</v>
      </c>
      <c r="FU163">
        <v>33.9</v>
      </c>
      <c r="FV163">
        <v>1.7651399999999999</v>
      </c>
      <c r="FW163">
        <v>2.5878899999999998</v>
      </c>
      <c r="FX163">
        <v>1.5490699999999999</v>
      </c>
      <c r="FY163">
        <v>2.3303199999999999</v>
      </c>
      <c r="FZ163">
        <v>1.50146</v>
      </c>
      <c r="GA163">
        <v>2.36816</v>
      </c>
      <c r="GB163">
        <v>33.602899999999998</v>
      </c>
      <c r="GC163">
        <v>23.982399999999998</v>
      </c>
      <c r="GD163">
        <v>19</v>
      </c>
      <c r="GE163">
        <v>285.99400000000003</v>
      </c>
      <c r="GF163">
        <v>579.50599999999997</v>
      </c>
      <c r="GG163">
        <v>25.437899999999999</v>
      </c>
      <c r="GH163">
        <v>26.056899999999999</v>
      </c>
      <c r="GI163">
        <v>30</v>
      </c>
      <c r="GJ163">
        <v>26.1785</v>
      </c>
      <c r="GK163">
        <v>26.154800000000002</v>
      </c>
      <c r="GL163">
        <v>35.284199999999998</v>
      </c>
      <c r="GM163">
        <v>100</v>
      </c>
      <c r="GN163">
        <v>34.5685</v>
      </c>
      <c r="GO163">
        <v>25.437799999999999</v>
      </c>
      <c r="GP163">
        <v>800</v>
      </c>
      <c r="GQ163">
        <v>0</v>
      </c>
      <c r="GR163">
        <v>99.794600000000003</v>
      </c>
      <c r="GS163">
        <v>99.662300000000002</v>
      </c>
    </row>
    <row r="164" spans="1:201" x14ac:dyDescent="0.25">
      <c r="A164">
        <v>148</v>
      </c>
      <c r="B164">
        <v>1690302509.5999999</v>
      </c>
      <c r="C164">
        <v>1605.599999904633</v>
      </c>
      <c r="D164" t="s">
        <v>627</v>
      </c>
      <c r="E164" t="s">
        <v>628</v>
      </c>
      <c r="F164" t="s">
        <v>330</v>
      </c>
      <c r="H164">
        <v>1690302509.5999999</v>
      </c>
      <c r="I164">
        <f t="shared" si="60"/>
        <v>2.3459063892683324E-3</v>
      </c>
      <c r="J164">
        <f t="shared" si="61"/>
        <v>2.3459063892683325</v>
      </c>
      <c r="K164">
        <f t="shared" si="62"/>
        <v>32.991399445829423</v>
      </c>
      <c r="L164">
        <f t="shared" si="63"/>
        <v>429.66800000000001</v>
      </c>
      <c r="M164">
        <f t="shared" si="64"/>
        <v>112.21965015403562</v>
      </c>
      <c r="N164">
        <f t="shared" si="65"/>
        <v>11.155708121230141</v>
      </c>
      <c r="O164">
        <f t="shared" si="66"/>
        <v>42.713114774938006</v>
      </c>
      <c r="P164">
        <f t="shared" si="67"/>
        <v>0.17618012926567722</v>
      </c>
      <c r="Q164">
        <f t="shared" si="68"/>
        <v>2.1155488763540475</v>
      </c>
      <c r="R164">
        <f t="shared" si="69"/>
        <v>0.16841601532991926</v>
      </c>
      <c r="S164">
        <f t="shared" si="70"/>
        <v>0.10592906944555625</v>
      </c>
      <c r="T164">
        <f t="shared" si="71"/>
        <v>276.11636619600006</v>
      </c>
      <c r="U164">
        <f t="shared" si="72"/>
        <v>28.20524516343243</v>
      </c>
      <c r="V164">
        <f t="shared" si="73"/>
        <v>28.20524516343243</v>
      </c>
      <c r="W164">
        <f t="shared" si="74"/>
        <v>3.8404829602905655</v>
      </c>
      <c r="X164">
        <f t="shared" si="75"/>
        <v>70.543118533510423</v>
      </c>
      <c r="Y164">
        <f t="shared" si="76"/>
        <v>2.4999421391601504</v>
      </c>
      <c r="Z164">
        <f t="shared" si="77"/>
        <v>3.5438497632800159</v>
      </c>
      <c r="AA164">
        <f t="shared" si="78"/>
        <v>1.3405408211304151</v>
      </c>
      <c r="AB164">
        <f t="shared" si="79"/>
        <v>-103.45447176673346</v>
      </c>
      <c r="AC164">
        <f t="shared" si="80"/>
        <v>-156.70321488335705</v>
      </c>
      <c r="AD164">
        <f t="shared" si="81"/>
        <v>-16.068708472668991</v>
      </c>
      <c r="AE164">
        <f t="shared" si="82"/>
        <v>-0.11002892675946896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52469.171361971472</v>
      </c>
      <c r="AK164">
        <f t="shared" si="86"/>
        <v>1800</v>
      </c>
      <c r="AL164">
        <f t="shared" si="87"/>
        <v>1499.1116706</v>
      </c>
      <c r="AM164">
        <f t="shared" si="88"/>
        <v>0.83283981699999998</v>
      </c>
      <c r="AN164">
        <f t="shared" si="89"/>
        <v>0.15339798122000003</v>
      </c>
      <c r="AO164">
        <v>32.700000000000003</v>
      </c>
      <c r="AP164">
        <v>0.5</v>
      </c>
      <c r="AQ164" t="s">
        <v>331</v>
      </c>
      <c r="AR164">
        <v>2</v>
      </c>
      <c r="AS164">
        <v>1690302509.5999999</v>
      </c>
      <c r="AT164">
        <v>429.66800000000001</v>
      </c>
      <c r="AU164">
        <v>800.024</v>
      </c>
      <c r="AV164">
        <v>25.1479</v>
      </c>
      <c r="AW164">
        <v>0.23650499999999999</v>
      </c>
      <c r="AX164">
        <v>429.72199999999998</v>
      </c>
      <c r="AY164">
        <v>24.866399999999999</v>
      </c>
      <c r="AZ164">
        <v>300.19200000000001</v>
      </c>
      <c r="BA164">
        <v>99.309600000000003</v>
      </c>
      <c r="BB164">
        <v>9.9978499999999998E-2</v>
      </c>
      <c r="BC164">
        <v>26.831299999999999</v>
      </c>
      <c r="BD164">
        <v>27.028199999999998</v>
      </c>
      <c r="BE164">
        <v>28.152200000000001</v>
      </c>
      <c r="BF164">
        <v>0</v>
      </c>
      <c r="BG164">
        <v>0</v>
      </c>
      <c r="BH164">
        <v>9985.6200000000008</v>
      </c>
      <c r="BI164">
        <v>1079.6199999999999</v>
      </c>
      <c r="BJ164">
        <v>1.7380500000000001</v>
      </c>
      <c r="BK164">
        <v>-370.35599999999999</v>
      </c>
      <c r="BL164">
        <v>440.75200000000001</v>
      </c>
      <c r="BM164">
        <v>800.21299999999997</v>
      </c>
      <c r="BN164">
        <v>24.9114</v>
      </c>
      <c r="BO164">
        <v>800.024</v>
      </c>
      <c r="BP164">
        <v>0.23650499999999999</v>
      </c>
      <c r="BQ164">
        <v>2.49743</v>
      </c>
      <c r="BR164">
        <v>2.34872E-2</v>
      </c>
      <c r="BS164">
        <v>21.009699999999999</v>
      </c>
      <c r="BT164">
        <v>-37.865600000000001</v>
      </c>
      <c r="BU164">
        <v>1800</v>
      </c>
      <c r="BV164">
        <v>0.90998699999999999</v>
      </c>
      <c r="BW164">
        <v>3.3998800000000003E-2</v>
      </c>
      <c r="BX164">
        <v>2.2007100000000002E-2</v>
      </c>
      <c r="BY164">
        <v>3.4007200000000001E-2</v>
      </c>
      <c r="BZ164">
        <v>26</v>
      </c>
      <c r="CA164">
        <v>33528.199999999997</v>
      </c>
      <c r="CB164">
        <v>1690300477.5</v>
      </c>
      <c r="CC164" t="s">
        <v>332</v>
      </c>
      <c r="CD164">
        <v>1690300477.5</v>
      </c>
      <c r="CE164">
        <v>1690300465.5</v>
      </c>
      <c r="CF164">
        <v>7</v>
      </c>
      <c r="CG164">
        <v>5.0999999999999997E-2</v>
      </c>
      <c r="CH164">
        <v>-8.0000000000000002E-3</v>
      </c>
      <c r="CI164">
        <v>-0.316</v>
      </c>
      <c r="CJ164">
        <v>0.28199999999999997</v>
      </c>
      <c r="CK164">
        <v>800</v>
      </c>
      <c r="CL164">
        <v>24</v>
      </c>
      <c r="CM164">
        <v>0.25</v>
      </c>
      <c r="CN164">
        <v>0.13</v>
      </c>
      <c r="CO164">
        <v>-369.1139756097561</v>
      </c>
      <c r="CP164">
        <v>-6.964724738676062</v>
      </c>
      <c r="CQ164">
        <v>0.68880853255971297</v>
      </c>
      <c r="CR164">
        <v>-1</v>
      </c>
      <c r="CS164">
        <v>24.849334146341459</v>
      </c>
      <c r="CT164">
        <v>0.32515609756099728</v>
      </c>
      <c r="CU164">
        <v>3.2083637724502491E-2</v>
      </c>
      <c r="CV164">
        <v>-1</v>
      </c>
      <c r="CW164">
        <v>0</v>
      </c>
      <c r="CX164">
        <v>0</v>
      </c>
      <c r="CY164" t="s">
        <v>333</v>
      </c>
      <c r="CZ164">
        <v>2.3648799999999999</v>
      </c>
      <c r="DA164">
        <v>2.7137600000000002</v>
      </c>
      <c r="DB164">
        <v>9.4732999999999998E-2</v>
      </c>
      <c r="DC164">
        <v>0.146368</v>
      </c>
      <c r="DD164">
        <v>0.11772199999999999</v>
      </c>
      <c r="DE164">
        <v>1.9870999999999999E-3</v>
      </c>
      <c r="DF164">
        <v>33073.300000000003</v>
      </c>
      <c r="DG164">
        <v>27535.599999999999</v>
      </c>
      <c r="DH164">
        <v>31188.799999999999</v>
      </c>
      <c r="DI164">
        <v>28107.5</v>
      </c>
      <c r="DJ164">
        <v>37353.9</v>
      </c>
      <c r="DK164">
        <v>39899</v>
      </c>
      <c r="DL164">
        <v>44388.1</v>
      </c>
      <c r="DM164">
        <v>42603.8</v>
      </c>
      <c r="DN164">
        <v>1.4854499999999999</v>
      </c>
      <c r="DO164">
        <v>2.0341999999999998</v>
      </c>
      <c r="DP164">
        <v>9.1694300000000006E-2</v>
      </c>
      <c r="DQ164">
        <v>0.170074</v>
      </c>
      <c r="DR164">
        <v>25.526900000000001</v>
      </c>
      <c r="DS164">
        <v>25.369700000000002</v>
      </c>
      <c r="DT164">
        <v>34.5</v>
      </c>
      <c r="DU164">
        <v>29</v>
      </c>
      <c r="DV164">
        <v>13.970599999999999</v>
      </c>
      <c r="DW164">
        <v>61.311100000000003</v>
      </c>
      <c r="DX164">
        <v>36.510399999999997</v>
      </c>
      <c r="DY164">
        <v>1</v>
      </c>
      <c r="DZ164">
        <v>-0.107045</v>
      </c>
      <c r="EA164">
        <v>-0.23833099999999999</v>
      </c>
      <c r="EB164">
        <v>20.189499999999999</v>
      </c>
      <c r="EC164">
        <v>5.2416999999999998</v>
      </c>
      <c r="ED164">
        <v>12.039899999999999</v>
      </c>
      <c r="EE164">
        <v>5.0173500000000004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1.8646199999999999</v>
      </c>
      <c r="EM164">
        <v>1.8691899999999999</v>
      </c>
      <c r="EN164">
        <v>1.8672500000000001</v>
      </c>
      <c r="EO164">
        <v>1.86338</v>
      </c>
      <c r="EP164">
        <v>1.8644700000000001</v>
      </c>
      <c r="EQ164">
        <v>1.8701399999999999</v>
      </c>
      <c r="ER164">
        <v>1.86944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-5.3999999999999999E-2</v>
      </c>
      <c r="FG164">
        <v>0.28149999999999997</v>
      </c>
      <c r="FH164">
        <v>0.23539598422606861</v>
      </c>
      <c r="FI164">
        <v>-6.1462078757559423E-4</v>
      </c>
      <c r="FJ164">
        <v>-1.8861989874597051E-7</v>
      </c>
      <c r="FK164">
        <v>1.1980462299894961E-10</v>
      </c>
      <c r="FL164">
        <v>0.28151999999999688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33.9</v>
      </c>
      <c r="FU164">
        <v>34.1</v>
      </c>
      <c r="FV164">
        <v>1.7651399999999999</v>
      </c>
      <c r="FW164">
        <v>2.5952099999999998</v>
      </c>
      <c r="FX164">
        <v>1.5490699999999999</v>
      </c>
      <c r="FY164">
        <v>2.3303199999999999</v>
      </c>
      <c r="FZ164">
        <v>1.50146</v>
      </c>
      <c r="GA164">
        <v>2.3718300000000001</v>
      </c>
      <c r="GB164">
        <v>33.602899999999998</v>
      </c>
      <c r="GC164">
        <v>23.982399999999998</v>
      </c>
      <c r="GD164">
        <v>19</v>
      </c>
      <c r="GE164">
        <v>286.06799999999998</v>
      </c>
      <c r="GF164">
        <v>579.29999999999995</v>
      </c>
      <c r="GG164">
        <v>25.435300000000002</v>
      </c>
      <c r="GH164">
        <v>26.056899999999999</v>
      </c>
      <c r="GI164">
        <v>30.0002</v>
      </c>
      <c r="GJ164">
        <v>26.1785</v>
      </c>
      <c r="GK164">
        <v>26.154800000000002</v>
      </c>
      <c r="GL164">
        <v>35.28</v>
      </c>
      <c r="GM164">
        <v>100</v>
      </c>
      <c r="GN164">
        <v>33.8245</v>
      </c>
      <c r="GO164">
        <v>25.416699999999999</v>
      </c>
      <c r="GP164">
        <v>800</v>
      </c>
      <c r="GQ164">
        <v>0</v>
      </c>
      <c r="GR164">
        <v>99.795400000000001</v>
      </c>
      <c r="GS164">
        <v>99.662800000000004</v>
      </c>
    </row>
    <row r="165" spans="1:201" x14ac:dyDescent="0.25">
      <c r="A165">
        <v>149</v>
      </c>
      <c r="B165">
        <v>1690302519.5999999</v>
      </c>
      <c r="C165">
        <v>1615.599999904633</v>
      </c>
      <c r="D165" t="s">
        <v>629</v>
      </c>
      <c r="E165" t="s">
        <v>630</v>
      </c>
      <c r="F165" t="s">
        <v>330</v>
      </c>
      <c r="H165">
        <v>1690302519.5999999</v>
      </c>
      <c r="I165">
        <f t="shared" si="60"/>
        <v>2.3504050665160391E-3</v>
      </c>
      <c r="J165">
        <f t="shared" si="61"/>
        <v>2.3504050665160392</v>
      </c>
      <c r="K165">
        <f t="shared" si="62"/>
        <v>33.088322285352589</v>
      </c>
      <c r="L165">
        <f t="shared" si="63"/>
        <v>428.62700000000001</v>
      </c>
      <c r="M165">
        <f t="shared" si="64"/>
        <v>111.62086610354579</v>
      </c>
      <c r="N165">
        <f t="shared" si="65"/>
        <v>11.095686705735563</v>
      </c>
      <c r="O165">
        <f t="shared" si="66"/>
        <v>42.607722656509999</v>
      </c>
      <c r="P165">
        <f t="shared" si="67"/>
        <v>0.17696864918662319</v>
      </c>
      <c r="Q165">
        <f t="shared" si="68"/>
        <v>2.11304972490414</v>
      </c>
      <c r="R165">
        <f t="shared" si="69"/>
        <v>0.16912771934263907</v>
      </c>
      <c r="S165">
        <f t="shared" si="70"/>
        <v>0.10638034832852777</v>
      </c>
      <c r="T165">
        <f t="shared" si="71"/>
        <v>276.11477164652433</v>
      </c>
      <c r="U165">
        <f t="shared" si="72"/>
        <v>28.20982074160532</v>
      </c>
      <c r="V165">
        <f t="shared" si="73"/>
        <v>28.20982074160532</v>
      </c>
      <c r="W165">
        <f t="shared" si="74"/>
        <v>3.8415059298166234</v>
      </c>
      <c r="X165">
        <f t="shared" si="75"/>
        <v>70.642171778493022</v>
      </c>
      <c r="Y165">
        <f t="shared" si="76"/>
        <v>2.5041444513689997</v>
      </c>
      <c r="Z165">
        <f t="shared" si="77"/>
        <v>3.5448293679603227</v>
      </c>
      <c r="AA165">
        <f t="shared" si="78"/>
        <v>1.3373614784476238</v>
      </c>
      <c r="AB165">
        <f t="shared" si="79"/>
        <v>-103.65286343335733</v>
      </c>
      <c r="AC165">
        <f t="shared" si="80"/>
        <v>-156.50392343077294</v>
      </c>
      <c r="AD165">
        <f t="shared" si="81"/>
        <v>-16.067997195279911</v>
      </c>
      <c r="AE165">
        <f t="shared" si="82"/>
        <v>-0.11001241288585106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52358.862640395993</v>
      </c>
      <c r="AK165">
        <f t="shared" si="86"/>
        <v>1799.99</v>
      </c>
      <c r="AL165">
        <f t="shared" si="87"/>
        <v>1499.1037561995302</v>
      </c>
      <c r="AM165">
        <f t="shared" si="88"/>
        <v>0.83284004700000003</v>
      </c>
      <c r="AN165">
        <f t="shared" si="89"/>
        <v>0.15339794757000003</v>
      </c>
      <c r="AO165">
        <v>32.700000000000003</v>
      </c>
      <c r="AP165">
        <v>0.5</v>
      </c>
      <c r="AQ165" t="s">
        <v>331</v>
      </c>
      <c r="AR165">
        <v>2</v>
      </c>
      <c r="AS165">
        <v>1690302519.5999999</v>
      </c>
      <c r="AT165">
        <v>428.62700000000001</v>
      </c>
      <c r="AU165">
        <v>800.02700000000004</v>
      </c>
      <c r="AV165">
        <v>25.191299999999998</v>
      </c>
      <c r="AW165">
        <v>0.23366000000000001</v>
      </c>
      <c r="AX165">
        <v>428.68</v>
      </c>
      <c r="AY165">
        <v>24.909800000000001</v>
      </c>
      <c r="AZ165">
        <v>300.197</v>
      </c>
      <c r="BA165">
        <v>99.305099999999996</v>
      </c>
      <c r="BB165">
        <v>0.10002999999999999</v>
      </c>
      <c r="BC165">
        <v>26.835999999999999</v>
      </c>
      <c r="BD165">
        <v>27.0139</v>
      </c>
      <c r="BE165">
        <v>28.1523</v>
      </c>
      <c r="BF165">
        <v>0</v>
      </c>
      <c r="BG165">
        <v>0</v>
      </c>
      <c r="BH165">
        <v>9964.3799999999992</v>
      </c>
      <c r="BI165">
        <v>1079.53</v>
      </c>
      <c r="BJ165">
        <v>1.7380500000000001</v>
      </c>
      <c r="BK165">
        <v>-371.4</v>
      </c>
      <c r="BL165">
        <v>439.70400000000001</v>
      </c>
      <c r="BM165">
        <v>800.21400000000006</v>
      </c>
      <c r="BN165">
        <v>24.957599999999999</v>
      </c>
      <c r="BO165">
        <v>800.02700000000004</v>
      </c>
      <c r="BP165">
        <v>0.23366000000000001</v>
      </c>
      <c r="BQ165">
        <v>2.50162</v>
      </c>
      <c r="BR165">
        <v>2.3203600000000001E-2</v>
      </c>
      <c r="BS165">
        <v>21.037099999999999</v>
      </c>
      <c r="BT165">
        <v>-37.984299999999998</v>
      </c>
      <c r="BU165">
        <v>1799.99</v>
      </c>
      <c r="BV165">
        <v>0.90998900000000005</v>
      </c>
      <c r="BW165">
        <v>3.3998100000000003E-2</v>
      </c>
      <c r="BX165">
        <v>2.2006600000000001E-2</v>
      </c>
      <c r="BY165">
        <v>3.4006500000000002E-2</v>
      </c>
      <c r="BZ165">
        <v>26</v>
      </c>
      <c r="CA165">
        <v>33528.199999999997</v>
      </c>
      <c r="CB165">
        <v>1690300477.5</v>
      </c>
      <c r="CC165" t="s">
        <v>332</v>
      </c>
      <c r="CD165">
        <v>1690300477.5</v>
      </c>
      <c r="CE165">
        <v>1690300465.5</v>
      </c>
      <c r="CF165">
        <v>7</v>
      </c>
      <c r="CG165">
        <v>5.0999999999999997E-2</v>
      </c>
      <c r="CH165">
        <v>-8.0000000000000002E-3</v>
      </c>
      <c r="CI165">
        <v>-0.316</v>
      </c>
      <c r="CJ165">
        <v>0.28199999999999997</v>
      </c>
      <c r="CK165">
        <v>800</v>
      </c>
      <c r="CL165">
        <v>24</v>
      </c>
      <c r="CM165">
        <v>0.25</v>
      </c>
      <c r="CN165">
        <v>0.13</v>
      </c>
      <c r="CO165">
        <v>-370.33904999999987</v>
      </c>
      <c r="CP165">
        <v>-6.7273170731698793</v>
      </c>
      <c r="CQ165">
        <v>0.64951985920370381</v>
      </c>
      <c r="CR165">
        <v>-1</v>
      </c>
      <c r="CS165">
        <v>24.90718</v>
      </c>
      <c r="CT165">
        <v>0.31840075046899791</v>
      </c>
      <c r="CU165">
        <v>3.0665796907955671E-2</v>
      </c>
      <c r="CV165">
        <v>-1</v>
      </c>
      <c r="CW165">
        <v>0</v>
      </c>
      <c r="CX165">
        <v>0</v>
      </c>
      <c r="CY165" t="s">
        <v>333</v>
      </c>
      <c r="CZ165">
        <v>2.3649</v>
      </c>
      <c r="DA165">
        <v>2.7137899999999999</v>
      </c>
      <c r="DB165">
        <v>9.4555899999999998E-2</v>
      </c>
      <c r="DC165">
        <v>0.14636099999999999</v>
      </c>
      <c r="DD165">
        <v>0.11786000000000001</v>
      </c>
      <c r="DE165">
        <v>1.9634399999999999E-3</v>
      </c>
      <c r="DF165">
        <v>33079.199999999997</v>
      </c>
      <c r="DG165">
        <v>27535.4</v>
      </c>
      <c r="DH165">
        <v>31188.3</v>
      </c>
      <c r="DI165">
        <v>28107.1</v>
      </c>
      <c r="DJ165">
        <v>37347.300000000003</v>
      </c>
      <c r="DK165">
        <v>39899.4</v>
      </c>
      <c r="DL165">
        <v>44387.4</v>
      </c>
      <c r="DM165">
        <v>42603.3</v>
      </c>
      <c r="DN165">
        <v>1.48522</v>
      </c>
      <c r="DO165">
        <v>2.0343300000000002</v>
      </c>
      <c r="DP165">
        <v>9.0591599999999994E-2</v>
      </c>
      <c r="DQ165">
        <v>0.169851</v>
      </c>
      <c r="DR165">
        <v>25.5306</v>
      </c>
      <c r="DS165">
        <v>25.3735</v>
      </c>
      <c r="DT165">
        <v>34</v>
      </c>
      <c r="DU165">
        <v>29</v>
      </c>
      <c r="DV165">
        <v>13.771100000000001</v>
      </c>
      <c r="DW165">
        <v>61.481099999999998</v>
      </c>
      <c r="DX165">
        <v>36.290100000000002</v>
      </c>
      <c r="DY165">
        <v>1</v>
      </c>
      <c r="DZ165">
        <v>-0.106865</v>
      </c>
      <c r="EA165">
        <v>-0.155496</v>
      </c>
      <c r="EB165">
        <v>20.189900000000002</v>
      </c>
      <c r="EC165">
        <v>5.24125</v>
      </c>
      <c r="ED165">
        <v>12.039899999999999</v>
      </c>
      <c r="EE165">
        <v>5.0170000000000003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1.8646199999999999</v>
      </c>
      <c r="EM165">
        <v>1.8691800000000001</v>
      </c>
      <c r="EN165">
        <v>1.8672299999999999</v>
      </c>
      <c r="EO165">
        <v>1.86338</v>
      </c>
      <c r="EP165">
        <v>1.8644700000000001</v>
      </c>
      <c r="EQ165">
        <v>1.8701300000000001</v>
      </c>
      <c r="ER165">
        <v>1.8694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-5.2999999999999999E-2</v>
      </c>
      <c r="FG165">
        <v>0.28149999999999997</v>
      </c>
      <c r="FH165">
        <v>0.23539598422606861</v>
      </c>
      <c r="FI165">
        <v>-6.1462078757559423E-4</v>
      </c>
      <c r="FJ165">
        <v>-1.8861989874597051E-7</v>
      </c>
      <c r="FK165">
        <v>1.1980462299894961E-10</v>
      </c>
      <c r="FL165">
        <v>0.28151999999999688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</v>
      </c>
      <c r="FU165">
        <v>34.200000000000003</v>
      </c>
      <c r="FV165">
        <v>1.7639199999999999</v>
      </c>
      <c r="FW165">
        <v>2.5915499999999998</v>
      </c>
      <c r="FX165">
        <v>1.5490699999999999</v>
      </c>
      <c r="FY165">
        <v>2.3303199999999999</v>
      </c>
      <c r="FZ165">
        <v>1.50146</v>
      </c>
      <c r="GA165">
        <v>2.3571800000000001</v>
      </c>
      <c r="GB165">
        <v>33.602899999999998</v>
      </c>
      <c r="GC165">
        <v>23.982399999999998</v>
      </c>
      <c r="GD165">
        <v>19</v>
      </c>
      <c r="GE165">
        <v>285.97199999999998</v>
      </c>
      <c r="GF165">
        <v>579.40300000000002</v>
      </c>
      <c r="GG165">
        <v>25.386600000000001</v>
      </c>
      <c r="GH165">
        <v>26.057200000000002</v>
      </c>
      <c r="GI165">
        <v>30.000299999999999</v>
      </c>
      <c r="GJ165">
        <v>26.1785</v>
      </c>
      <c r="GK165">
        <v>26.154800000000002</v>
      </c>
      <c r="GL165">
        <v>35.277299999999997</v>
      </c>
      <c r="GM165">
        <v>100</v>
      </c>
      <c r="GN165">
        <v>33.011099999999999</v>
      </c>
      <c r="GO165">
        <v>25.3721</v>
      </c>
      <c r="GP165">
        <v>800</v>
      </c>
      <c r="GQ165">
        <v>0</v>
      </c>
      <c r="GR165">
        <v>99.793800000000005</v>
      </c>
      <c r="GS165">
        <v>99.661500000000004</v>
      </c>
    </row>
    <row r="166" spans="1:201" x14ac:dyDescent="0.25">
      <c r="A166">
        <v>150</v>
      </c>
      <c r="B166">
        <v>1690302529.5999999</v>
      </c>
      <c r="C166">
        <v>1625.599999904633</v>
      </c>
      <c r="D166" t="s">
        <v>631</v>
      </c>
      <c r="E166" t="s">
        <v>632</v>
      </c>
      <c r="F166" t="s">
        <v>330</v>
      </c>
      <c r="H166">
        <v>1690302529.5999999</v>
      </c>
      <c r="I166">
        <f t="shared" si="60"/>
        <v>2.3545955305945871E-3</v>
      </c>
      <c r="J166">
        <f t="shared" si="61"/>
        <v>2.3545955305945871</v>
      </c>
      <c r="K166">
        <f t="shared" si="62"/>
        <v>33.191374445478615</v>
      </c>
      <c r="L166">
        <f t="shared" si="63"/>
        <v>427.47</v>
      </c>
      <c r="M166">
        <f t="shared" si="64"/>
        <v>111.75895086577216</v>
      </c>
      <c r="N166">
        <f t="shared" si="65"/>
        <v>11.109665391186748</v>
      </c>
      <c r="O166">
        <f t="shared" si="66"/>
        <v>42.493676148359995</v>
      </c>
      <c r="P166">
        <f t="shared" si="67"/>
        <v>0.17826966981054196</v>
      </c>
      <c r="Q166">
        <f t="shared" si="68"/>
        <v>2.1184640651533941</v>
      </c>
      <c r="R166">
        <f t="shared" si="69"/>
        <v>0.17033516848789004</v>
      </c>
      <c r="S166">
        <f t="shared" si="70"/>
        <v>0.10714293204839632</v>
      </c>
      <c r="T166">
        <f t="shared" si="71"/>
        <v>276.11617811400004</v>
      </c>
      <c r="U166">
        <f t="shared" si="72"/>
        <v>28.196986550633451</v>
      </c>
      <c r="V166">
        <f t="shared" si="73"/>
        <v>28.196986550633451</v>
      </c>
      <c r="W166">
        <f t="shared" si="74"/>
        <v>3.8386371702003013</v>
      </c>
      <c r="X166">
        <f t="shared" si="75"/>
        <v>70.795406385707508</v>
      </c>
      <c r="Y166">
        <f t="shared" si="76"/>
        <v>2.5083665028816</v>
      </c>
      <c r="Z166">
        <f t="shared" si="77"/>
        <v>3.5431204239658132</v>
      </c>
      <c r="AA166">
        <f t="shared" si="78"/>
        <v>1.3302706673187012</v>
      </c>
      <c r="AB166">
        <f t="shared" si="79"/>
        <v>-103.83766289922129</v>
      </c>
      <c r="AC166">
        <f t="shared" si="80"/>
        <v>-156.37566494391913</v>
      </c>
      <c r="AD166">
        <f t="shared" si="81"/>
        <v>-16.012114652177626</v>
      </c>
      <c r="AE166">
        <f t="shared" si="82"/>
        <v>-0.10926438131801319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52597.534323087195</v>
      </c>
      <c r="AK166">
        <f t="shared" si="86"/>
        <v>1800</v>
      </c>
      <c r="AL166">
        <f t="shared" si="87"/>
        <v>1499.1125184</v>
      </c>
      <c r="AM166">
        <f t="shared" si="88"/>
        <v>0.83284028799999998</v>
      </c>
      <c r="AN166">
        <f t="shared" si="89"/>
        <v>0.15339787673000002</v>
      </c>
      <c r="AO166">
        <v>32.700000000000003</v>
      </c>
      <c r="AP166">
        <v>0.5</v>
      </c>
      <c r="AQ166" t="s">
        <v>331</v>
      </c>
      <c r="AR166">
        <v>2</v>
      </c>
      <c r="AS166">
        <v>1690302529.5999999</v>
      </c>
      <c r="AT166">
        <v>427.47</v>
      </c>
      <c r="AU166">
        <v>800.00599999999997</v>
      </c>
      <c r="AV166">
        <v>25.2332</v>
      </c>
      <c r="AW166">
        <v>0.23055600000000001</v>
      </c>
      <c r="AX166">
        <v>427.52199999999999</v>
      </c>
      <c r="AY166">
        <v>24.951699999999999</v>
      </c>
      <c r="AZ166">
        <v>300.178</v>
      </c>
      <c r="BA166">
        <v>99.307400000000001</v>
      </c>
      <c r="BB166">
        <v>9.9987999999999994E-2</v>
      </c>
      <c r="BC166">
        <v>26.8278</v>
      </c>
      <c r="BD166">
        <v>27.028700000000001</v>
      </c>
      <c r="BE166">
        <v>28.139900000000001</v>
      </c>
      <c r="BF166">
        <v>0</v>
      </c>
      <c r="BG166">
        <v>0</v>
      </c>
      <c r="BH166">
        <v>10011.200000000001</v>
      </c>
      <c r="BI166">
        <v>1079.5</v>
      </c>
      <c r="BJ166">
        <v>1.7380500000000001</v>
      </c>
      <c r="BK166">
        <v>-372.536</v>
      </c>
      <c r="BL166">
        <v>438.536</v>
      </c>
      <c r="BM166">
        <v>800.19100000000003</v>
      </c>
      <c r="BN166">
        <v>25.002700000000001</v>
      </c>
      <c r="BO166">
        <v>800.00599999999997</v>
      </c>
      <c r="BP166">
        <v>0.23055600000000001</v>
      </c>
      <c r="BQ166">
        <v>2.5058500000000001</v>
      </c>
      <c r="BR166">
        <v>2.28959E-2</v>
      </c>
      <c r="BS166">
        <v>21.064499999999999</v>
      </c>
      <c r="BT166">
        <v>-38.114699999999999</v>
      </c>
      <c r="BU166">
        <v>1800</v>
      </c>
      <c r="BV166">
        <v>0.90999200000000002</v>
      </c>
      <c r="BW166">
        <v>3.3996999999999999E-2</v>
      </c>
      <c r="BX166">
        <v>2.2005899999999998E-2</v>
      </c>
      <c r="BY166">
        <v>3.4005300000000002E-2</v>
      </c>
      <c r="BZ166">
        <v>26</v>
      </c>
      <c r="CA166">
        <v>33528.199999999997</v>
      </c>
      <c r="CB166">
        <v>1690300477.5</v>
      </c>
      <c r="CC166" t="s">
        <v>332</v>
      </c>
      <c r="CD166">
        <v>1690300477.5</v>
      </c>
      <c r="CE166">
        <v>1690300465.5</v>
      </c>
      <c r="CF166">
        <v>7</v>
      </c>
      <c r="CG166">
        <v>5.0999999999999997E-2</v>
      </c>
      <c r="CH166">
        <v>-8.0000000000000002E-3</v>
      </c>
      <c r="CI166">
        <v>-0.316</v>
      </c>
      <c r="CJ166">
        <v>0.28199999999999997</v>
      </c>
      <c r="CK166">
        <v>800</v>
      </c>
      <c r="CL166">
        <v>24</v>
      </c>
      <c r="CM166">
        <v>0.25</v>
      </c>
      <c r="CN166">
        <v>0.13</v>
      </c>
      <c r="CO166">
        <v>-371.32107500000001</v>
      </c>
      <c r="CP166">
        <v>-6.4610994371488024</v>
      </c>
      <c r="CQ166">
        <v>0.62312785154814032</v>
      </c>
      <c r="CR166">
        <v>-1</v>
      </c>
      <c r="CS166">
        <v>24.951815</v>
      </c>
      <c r="CT166">
        <v>0.27557448405242468</v>
      </c>
      <c r="CU166">
        <v>2.6518696706286551E-2</v>
      </c>
      <c r="CV166">
        <v>-1</v>
      </c>
      <c r="CW166">
        <v>0</v>
      </c>
      <c r="CX166">
        <v>0</v>
      </c>
      <c r="CY166" t="s">
        <v>333</v>
      </c>
      <c r="CZ166">
        <v>2.3648199999999999</v>
      </c>
      <c r="DA166">
        <v>2.7137899999999999</v>
      </c>
      <c r="DB166">
        <v>9.4366800000000001E-2</v>
      </c>
      <c r="DC166">
        <v>0.14636399999999999</v>
      </c>
      <c r="DD166">
        <v>0.118002</v>
      </c>
      <c r="DE166">
        <v>1.9377999999999999E-3</v>
      </c>
      <c r="DF166">
        <v>33086</v>
      </c>
      <c r="DG166">
        <v>27535.1</v>
      </c>
      <c r="DH166">
        <v>31188.2</v>
      </c>
      <c r="DI166">
        <v>28106.9</v>
      </c>
      <c r="DJ166">
        <v>37341.300000000003</v>
      </c>
      <c r="DK166">
        <v>39900.1</v>
      </c>
      <c r="DL166">
        <v>44387.4</v>
      </c>
      <c r="DM166">
        <v>42603</v>
      </c>
      <c r="DN166">
        <v>1.4850000000000001</v>
      </c>
      <c r="DO166">
        <v>2.0337499999999999</v>
      </c>
      <c r="DP166">
        <v>9.1247300000000003E-2</v>
      </c>
      <c r="DQ166">
        <v>0.16894200000000001</v>
      </c>
      <c r="DR166">
        <v>25.534700000000001</v>
      </c>
      <c r="DS166">
        <v>25.375900000000001</v>
      </c>
      <c r="DT166">
        <v>33.5</v>
      </c>
      <c r="DU166">
        <v>29</v>
      </c>
      <c r="DV166">
        <v>13.5665</v>
      </c>
      <c r="DW166">
        <v>61.531100000000002</v>
      </c>
      <c r="DX166">
        <v>36.358199999999997</v>
      </c>
      <c r="DY166">
        <v>1</v>
      </c>
      <c r="DZ166">
        <v>-0.106893</v>
      </c>
      <c r="EA166">
        <v>-0.13820499999999999</v>
      </c>
      <c r="EB166">
        <v>20.189599999999999</v>
      </c>
      <c r="EC166">
        <v>5.24125</v>
      </c>
      <c r="ED166">
        <v>12.039899999999999</v>
      </c>
      <c r="EE166">
        <v>5.0172499999999998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1.8689100000000001</v>
      </c>
      <c r="EL166">
        <v>1.8646199999999999</v>
      </c>
      <c r="EM166">
        <v>1.8692</v>
      </c>
      <c r="EN166">
        <v>1.86724</v>
      </c>
      <c r="EO166">
        <v>1.86338</v>
      </c>
      <c r="EP166">
        <v>1.8644700000000001</v>
      </c>
      <c r="EQ166">
        <v>1.8701399999999999</v>
      </c>
      <c r="ER166">
        <v>1.8693900000000001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-5.1999999999999998E-2</v>
      </c>
      <c r="FG166">
        <v>0.28149999999999997</v>
      </c>
      <c r="FH166">
        <v>0.23539598422606861</v>
      </c>
      <c r="FI166">
        <v>-6.1462078757559423E-4</v>
      </c>
      <c r="FJ166">
        <v>-1.8861989874597051E-7</v>
      </c>
      <c r="FK166">
        <v>1.1980462299894961E-10</v>
      </c>
      <c r="FL166">
        <v>0.28151999999999688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34.200000000000003</v>
      </c>
      <c r="FU166">
        <v>34.4</v>
      </c>
      <c r="FV166">
        <v>1.7639199999999999</v>
      </c>
      <c r="FW166">
        <v>2.5939899999999998</v>
      </c>
      <c r="FX166">
        <v>1.5490699999999999</v>
      </c>
      <c r="FY166">
        <v>2.3303199999999999</v>
      </c>
      <c r="FZ166">
        <v>1.50146</v>
      </c>
      <c r="GA166">
        <v>2.3584000000000001</v>
      </c>
      <c r="GB166">
        <v>33.602899999999998</v>
      </c>
      <c r="GC166">
        <v>23.982399999999998</v>
      </c>
      <c r="GD166">
        <v>19</v>
      </c>
      <c r="GE166">
        <v>285.875</v>
      </c>
      <c r="GF166">
        <v>578.93100000000004</v>
      </c>
      <c r="GG166">
        <v>25.3462</v>
      </c>
      <c r="GH166">
        <v>26.059100000000001</v>
      </c>
      <c r="GI166">
        <v>30.0001</v>
      </c>
      <c r="GJ166">
        <v>26.1785</v>
      </c>
      <c r="GK166">
        <v>26.154800000000002</v>
      </c>
      <c r="GL166">
        <v>35.275399999999998</v>
      </c>
      <c r="GM166">
        <v>100</v>
      </c>
      <c r="GN166">
        <v>32.240400000000001</v>
      </c>
      <c r="GO166">
        <v>25.331299999999999</v>
      </c>
      <c r="GP166">
        <v>800</v>
      </c>
      <c r="GQ166">
        <v>0</v>
      </c>
      <c r="GR166">
        <v>99.793700000000001</v>
      </c>
      <c r="GS166">
        <v>99.660700000000006</v>
      </c>
    </row>
    <row r="167" spans="1:201" x14ac:dyDescent="0.25">
      <c r="A167">
        <v>151</v>
      </c>
      <c r="B167">
        <v>1690302539.5999999</v>
      </c>
      <c r="C167">
        <v>1635.599999904633</v>
      </c>
      <c r="D167" t="s">
        <v>633</v>
      </c>
      <c r="E167" t="s">
        <v>634</v>
      </c>
      <c r="F167" t="s">
        <v>330</v>
      </c>
      <c r="H167">
        <v>1690302539.5999999</v>
      </c>
      <c r="I167">
        <f t="shared" si="60"/>
        <v>2.3587590114108777E-3</v>
      </c>
      <c r="J167">
        <f t="shared" si="61"/>
        <v>2.3587590114108776</v>
      </c>
      <c r="K167">
        <f t="shared" si="62"/>
        <v>33.285968885867369</v>
      </c>
      <c r="L167">
        <f t="shared" si="63"/>
        <v>426.48700000000002</v>
      </c>
      <c r="M167">
        <f t="shared" si="64"/>
        <v>111.86646730679374</v>
      </c>
      <c r="N167">
        <f t="shared" si="65"/>
        <v>11.120336092319794</v>
      </c>
      <c r="O167">
        <f t="shared" si="66"/>
        <v>42.395893006957998</v>
      </c>
      <c r="P167">
        <f t="shared" si="67"/>
        <v>0.17944921686751242</v>
      </c>
      <c r="Q167">
        <f t="shared" si="68"/>
        <v>2.113721981683117</v>
      </c>
      <c r="R167">
        <f t="shared" si="69"/>
        <v>0.17139475117032241</v>
      </c>
      <c r="S167">
        <f t="shared" si="70"/>
        <v>0.10781525173092091</v>
      </c>
      <c r="T167">
        <f t="shared" si="71"/>
        <v>276.11465263118555</v>
      </c>
      <c r="U167">
        <f t="shared" si="72"/>
        <v>28.18751350013514</v>
      </c>
      <c r="V167">
        <f t="shared" si="73"/>
        <v>28.18751350013514</v>
      </c>
      <c r="W167">
        <f t="shared" si="74"/>
        <v>3.8365209077219977</v>
      </c>
      <c r="X167">
        <f t="shared" si="75"/>
        <v>70.947239626420441</v>
      </c>
      <c r="Y167">
        <f t="shared" si="76"/>
        <v>2.5121500325841999</v>
      </c>
      <c r="Z167">
        <f t="shared" si="77"/>
        <v>3.5408707171866993</v>
      </c>
      <c r="AA167">
        <f t="shared" si="78"/>
        <v>1.3243708751377978</v>
      </c>
      <c r="AB167">
        <f t="shared" si="79"/>
        <v>-104.02127240321971</v>
      </c>
      <c r="AC167">
        <f t="shared" si="80"/>
        <v>-156.1768377801663</v>
      </c>
      <c r="AD167">
        <f t="shared" si="81"/>
        <v>-16.02601116733992</v>
      </c>
      <c r="AE167">
        <f t="shared" si="82"/>
        <v>-0.10946871954035942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52391.637340811569</v>
      </c>
      <c r="AK167">
        <f t="shared" si="86"/>
        <v>1799.99</v>
      </c>
      <c r="AL167">
        <f t="shared" si="87"/>
        <v>1499.1048955931999</v>
      </c>
      <c r="AM167">
        <f t="shared" si="88"/>
        <v>0.83284068</v>
      </c>
      <c r="AN167">
        <f t="shared" si="89"/>
        <v>0.15339788145000002</v>
      </c>
      <c r="AO167">
        <v>32.700000000000003</v>
      </c>
      <c r="AP167">
        <v>0.5</v>
      </c>
      <c r="AQ167" t="s">
        <v>331</v>
      </c>
      <c r="AR167">
        <v>2</v>
      </c>
      <c r="AS167">
        <v>1690302539.5999999</v>
      </c>
      <c r="AT167">
        <v>426.48700000000002</v>
      </c>
      <c r="AU167">
        <v>800.01400000000001</v>
      </c>
      <c r="AV167">
        <v>25.2713</v>
      </c>
      <c r="AW167">
        <v>0.22767699999999999</v>
      </c>
      <c r="AX167">
        <v>426.53899999999999</v>
      </c>
      <c r="AY167">
        <v>24.989799999999999</v>
      </c>
      <c r="AZ167">
        <v>300.20499999999998</v>
      </c>
      <c r="BA167">
        <v>99.307199999999995</v>
      </c>
      <c r="BB167">
        <v>0.100034</v>
      </c>
      <c r="BC167">
        <v>26.817</v>
      </c>
      <c r="BD167">
        <v>27.0105</v>
      </c>
      <c r="BE167">
        <v>28.1341</v>
      </c>
      <c r="BF167">
        <v>0</v>
      </c>
      <c r="BG167">
        <v>0</v>
      </c>
      <c r="BH167">
        <v>9970</v>
      </c>
      <c r="BI167">
        <v>1079.3800000000001</v>
      </c>
      <c r="BJ167">
        <v>1.7380500000000001</v>
      </c>
      <c r="BK167">
        <v>-373.52699999999999</v>
      </c>
      <c r="BL167">
        <v>437.54500000000002</v>
      </c>
      <c r="BM167">
        <v>800.19600000000003</v>
      </c>
      <c r="BN167">
        <v>25.043700000000001</v>
      </c>
      <c r="BO167">
        <v>800.01400000000001</v>
      </c>
      <c r="BP167">
        <v>0.22767699999999999</v>
      </c>
      <c r="BQ167">
        <v>2.50963</v>
      </c>
      <c r="BR167">
        <v>2.2610000000000002E-2</v>
      </c>
      <c r="BS167">
        <v>21.089099999999998</v>
      </c>
      <c r="BT167">
        <v>-38.237200000000001</v>
      </c>
      <c r="BU167">
        <v>1799.99</v>
      </c>
      <c r="BV167">
        <v>0.90999399999999997</v>
      </c>
      <c r="BW167">
        <v>3.39963E-2</v>
      </c>
      <c r="BX167">
        <v>2.2005500000000001E-2</v>
      </c>
      <c r="BY167">
        <v>3.4004699999999999E-2</v>
      </c>
      <c r="BZ167">
        <v>26</v>
      </c>
      <c r="CA167">
        <v>33528.199999999997</v>
      </c>
      <c r="CB167">
        <v>1690300477.5</v>
      </c>
      <c r="CC167" t="s">
        <v>332</v>
      </c>
      <c r="CD167">
        <v>1690300477.5</v>
      </c>
      <c r="CE167">
        <v>1690300465.5</v>
      </c>
      <c r="CF167">
        <v>7</v>
      </c>
      <c r="CG167">
        <v>5.0999999999999997E-2</v>
      </c>
      <c r="CH167">
        <v>-8.0000000000000002E-3</v>
      </c>
      <c r="CI167">
        <v>-0.316</v>
      </c>
      <c r="CJ167">
        <v>0.28199999999999997</v>
      </c>
      <c r="CK167">
        <v>800</v>
      </c>
      <c r="CL167">
        <v>24</v>
      </c>
      <c r="CM167">
        <v>0.25</v>
      </c>
      <c r="CN167">
        <v>0.13</v>
      </c>
      <c r="CO167">
        <v>-372.43648780487808</v>
      </c>
      <c r="CP167">
        <v>-6.7730592334501818</v>
      </c>
      <c r="CQ167">
        <v>0.66920634179605887</v>
      </c>
      <c r="CR167">
        <v>-1</v>
      </c>
      <c r="CS167">
        <v>24.99741707317073</v>
      </c>
      <c r="CT167">
        <v>0.26115679442513101</v>
      </c>
      <c r="CU167">
        <v>2.5760661088689862E-2</v>
      </c>
      <c r="CV167">
        <v>-1</v>
      </c>
      <c r="CW167">
        <v>0</v>
      </c>
      <c r="CX167">
        <v>0</v>
      </c>
      <c r="CY167" t="s">
        <v>333</v>
      </c>
      <c r="CZ167">
        <v>2.3649100000000001</v>
      </c>
      <c r="DA167">
        <v>2.7138</v>
      </c>
      <c r="DB167">
        <v>9.4202599999999997E-2</v>
      </c>
      <c r="DC167">
        <v>0.14636399999999999</v>
      </c>
      <c r="DD167">
        <v>0.118127</v>
      </c>
      <c r="DE167">
        <v>1.9139199999999999E-3</v>
      </c>
      <c r="DF167">
        <v>33091.699999999997</v>
      </c>
      <c r="DG167">
        <v>27535.5</v>
      </c>
      <c r="DH167">
        <v>31187.8</v>
      </c>
      <c r="DI167">
        <v>28107.3</v>
      </c>
      <c r="DJ167">
        <v>37335.5</v>
      </c>
      <c r="DK167">
        <v>39901.699999999997</v>
      </c>
      <c r="DL167">
        <v>44387</v>
      </c>
      <c r="DM167">
        <v>42603.6</v>
      </c>
      <c r="DN167">
        <v>1.48552</v>
      </c>
      <c r="DO167">
        <v>2.03382</v>
      </c>
      <c r="DP167">
        <v>8.9921100000000004E-2</v>
      </c>
      <c r="DQ167">
        <v>0.168376</v>
      </c>
      <c r="DR167">
        <v>25.5382</v>
      </c>
      <c r="DS167">
        <v>25.379300000000001</v>
      </c>
      <c r="DT167">
        <v>33.200000000000003</v>
      </c>
      <c r="DU167">
        <v>29</v>
      </c>
      <c r="DV167">
        <v>13.4453</v>
      </c>
      <c r="DW167">
        <v>61.461100000000002</v>
      </c>
      <c r="DX167">
        <v>36.290100000000002</v>
      </c>
      <c r="DY167">
        <v>1</v>
      </c>
      <c r="DZ167">
        <v>-0.106725</v>
      </c>
      <c r="EA167">
        <v>-0.360871</v>
      </c>
      <c r="EB167">
        <v>20.1891</v>
      </c>
      <c r="EC167">
        <v>5.2411000000000003</v>
      </c>
      <c r="ED167">
        <v>12.039899999999999</v>
      </c>
      <c r="EE167">
        <v>5.0174500000000002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1.8689199999999999</v>
      </c>
      <c r="EL167">
        <v>1.8646199999999999</v>
      </c>
      <c r="EM167">
        <v>1.8692</v>
      </c>
      <c r="EN167">
        <v>1.8672299999999999</v>
      </c>
      <c r="EO167">
        <v>1.8633900000000001</v>
      </c>
      <c r="EP167">
        <v>1.8644700000000001</v>
      </c>
      <c r="EQ167">
        <v>1.87015</v>
      </c>
      <c r="ER167">
        <v>1.86941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-5.1999999999999998E-2</v>
      </c>
      <c r="FG167">
        <v>0.28149999999999997</v>
      </c>
      <c r="FH167">
        <v>0.23539598422606861</v>
      </c>
      <c r="FI167">
        <v>-6.1462078757559423E-4</v>
      </c>
      <c r="FJ167">
        <v>-1.8861989874597051E-7</v>
      </c>
      <c r="FK167">
        <v>1.1980462299894961E-10</v>
      </c>
      <c r="FL167">
        <v>0.28151999999999688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34.4</v>
      </c>
      <c r="FU167">
        <v>34.6</v>
      </c>
      <c r="FV167">
        <v>1.7639199999999999</v>
      </c>
      <c r="FW167">
        <v>2.5939899999999998</v>
      </c>
      <c r="FX167">
        <v>1.5490699999999999</v>
      </c>
      <c r="FY167">
        <v>2.3303199999999999</v>
      </c>
      <c r="FZ167">
        <v>1.50146</v>
      </c>
      <c r="GA167">
        <v>2.32178</v>
      </c>
      <c r="GB167">
        <v>33.602899999999998</v>
      </c>
      <c r="GC167">
        <v>23.982399999999998</v>
      </c>
      <c r="GD167">
        <v>19</v>
      </c>
      <c r="GE167">
        <v>286.10000000000002</v>
      </c>
      <c r="GF167">
        <v>578.99300000000005</v>
      </c>
      <c r="GG167">
        <v>25.3095</v>
      </c>
      <c r="GH167">
        <v>26.059899999999999</v>
      </c>
      <c r="GI167">
        <v>30</v>
      </c>
      <c r="GJ167">
        <v>26.1785</v>
      </c>
      <c r="GK167">
        <v>26.154800000000002</v>
      </c>
      <c r="GL167">
        <v>35.2682</v>
      </c>
      <c r="GM167">
        <v>100</v>
      </c>
      <c r="GN167">
        <v>31.451799999999999</v>
      </c>
      <c r="GO167">
        <v>25.3734</v>
      </c>
      <c r="GP167">
        <v>800</v>
      </c>
      <c r="GQ167">
        <v>0</v>
      </c>
      <c r="GR167">
        <v>99.792699999999996</v>
      </c>
      <c r="GS167">
        <v>99.662099999999995</v>
      </c>
    </row>
    <row r="168" spans="1:201" x14ac:dyDescent="0.25">
      <c r="A168">
        <v>152</v>
      </c>
      <c r="B168">
        <v>1690302549.5999999</v>
      </c>
      <c r="C168">
        <v>1645.599999904633</v>
      </c>
      <c r="D168" t="s">
        <v>635</v>
      </c>
      <c r="E168" t="s">
        <v>636</v>
      </c>
      <c r="F168" t="s">
        <v>330</v>
      </c>
      <c r="H168">
        <v>1690302549.5999999</v>
      </c>
      <c r="I168">
        <f t="shared" si="60"/>
        <v>2.3637169187439066E-3</v>
      </c>
      <c r="J168">
        <f t="shared" si="61"/>
        <v>2.3637169187439064</v>
      </c>
      <c r="K168">
        <f t="shared" si="62"/>
        <v>33.388249887670298</v>
      </c>
      <c r="L168">
        <f t="shared" si="63"/>
        <v>425.35700000000003</v>
      </c>
      <c r="M168">
        <f t="shared" si="64"/>
        <v>111.6970061956968</v>
      </c>
      <c r="N168">
        <f t="shared" si="65"/>
        <v>11.103350040027994</v>
      </c>
      <c r="O168">
        <f t="shared" si="66"/>
        <v>42.283028201324704</v>
      </c>
      <c r="P168">
        <f t="shared" si="67"/>
        <v>0.18056993064894855</v>
      </c>
      <c r="Q168">
        <f t="shared" si="68"/>
        <v>2.1179540288744785</v>
      </c>
      <c r="R168">
        <f t="shared" si="69"/>
        <v>0.17243250402645252</v>
      </c>
      <c r="S168">
        <f t="shared" si="70"/>
        <v>0.10847086775516446</v>
      </c>
      <c r="T168">
        <f t="shared" si="71"/>
        <v>276.11587261800003</v>
      </c>
      <c r="U168">
        <f t="shared" si="72"/>
        <v>28.186195758565781</v>
      </c>
      <c r="V168">
        <f t="shared" si="73"/>
        <v>28.186195758565781</v>
      </c>
      <c r="W168">
        <f t="shared" si="74"/>
        <v>3.8362266072721685</v>
      </c>
      <c r="X168">
        <f t="shared" si="75"/>
        <v>71.075150176715596</v>
      </c>
      <c r="Y168">
        <f t="shared" si="76"/>
        <v>2.5171084491376501</v>
      </c>
      <c r="Z168">
        <f t="shared" si="77"/>
        <v>3.5414746826131385</v>
      </c>
      <c r="AA168">
        <f t="shared" si="78"/>
        <v>1.3191181581345184</v>
      </c>
      <c r="AB168">
        <f t="shared" si="79"/>
        <v>-104.23991611660628</v>
      </c>
      <c r="AC168">
        <f t="shared" si="80"/>
        <v>-156.00793660900831</v>
      </c>
      <c r="AD168">
        <f t="shared" si="81"/>
        <v>-15.976816952831635</v>
      </c>
      <c r="AE168">
        <f t="shared" si="82"/>
        <v>-0.10879706044622139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52576.514910721758</v>
      </c>
      <c r="AK168">
        <f t="shared" si="86"/>
        <v>1800</v>
      </c>
      <c r="AL168">
        <f t="shared" si="87"/>
        <v>1499.1125417999999</v>
      </c>
      <c r="AM168">
        <f t="shared" si="88"/>
        <v>0.83284030099999995</v>
      </c>
      <c r="AN168">
        <f t="shared" si="89"/>
        <v>0.15339770701000002</v>
      </c>
      <c r="AO168">
        <v>32.700000000000003</v>
      </c>
      <c r="AP168">
        <v>0.5</v>
      </c>
      <c r="AQ168" t="s">
        <v>331</v>
      </c>
      <c r="AR168">
        <v>2</v>
      </c>
      <c r="AS168">
        <v>1690302549.5999999</v>
      </c>
      <c r="AT168">
        <v>425.35700000000003</v>
      </c>
      <c r="AU168">
        <v>800.01700000000005</v>
      </c>
      <c r="AV168">
        <v>25.3215</v>
      </c>
      <c r="AW168">
        <v>0.224858</v>
      </c>
      <c r="AX168">
        <v>425.40800000000002</v>
      </c>
      <c r="AY168">
        <v>25.04</v>
      </c>
      <c r="AZ168">
        <v>300.185</v>
      </c>
      <c r="BA168">
        <v>99.305999999999997</v>
      </c>
      <c r="BB168">
        <v>9.9977099999999999E-2</v>
      </c>
      <c r="BC168">
        <v>26.819900000000001</v>
      </c>
      <c r="BD168">
        <v>27.001799999999999</v>
      </c>
      <c r="BE168">
        <v>28.125499999999999</v>
      </c>
      <c r="BF168">
        <v>0</v>
      </c>
      <c r="BG168">
        <v>0</v>
      </c>
      <c r="BH168">
        <v>10006.9</v>
      </c>
      <c r="BI168">
        <v>1079.31</v>
      </c>
      <c r="BJ168">
        <v>1.7380500000000001</v>
      </c>
      <c r="BK168">
        <v>-374.66</v>
      </c>
      <c r="BL168">
        <v>436.40800000000002</v>
      </c>
      <c r="BM168">
        <v>800.197</v>
      </c>
      <c r="BN168">
        <v>25.096699999999998</v>
      </c>
      <c r="BO168">
        <v>800.01700000000005</v>
      </c>
      <c r="BP168">
        <v>0.224858</v>
      </c>
      <c r="BQ168">
        <v>2.51458</v>
      </c>
      <c r="BR168">
        <v>2.23298E-2</v>
      </c>
      <c r="BS168">
        <v>21.121200000000002</v>
      </c>
      <c r="BT168">
        <v>-38.358699999999999</v>
      </c>
      <c r="BU168">
        <v>1800</v>
      </c>
      <c r="BV168">
        <v>0.90999600000000003</v>
      </c>
      <c r="BW168">
        <v>3.3995299999999999E-2</v>
      </c>
      <c r="BX168">
        <v>2.2004800000000001E-2</v>
      </c>
      <c r="BY168">
        <v>3.4003699999999998E-2</v>
      </c>
      <c r="BZ168">
        <v>26</v>
      </c>
      <c r="CA168">
        <v>33528.199999999997</v>
      </c>
      <c r="CB168">
        <v>1690300477.5</v>
      </c>
      <c r="CC168" t="s">
        <v>332</v>
      </c>
      <c r="CD168">
        <v>1690300477.5</v>
      </c>
      <c r="CE168">
        <v>1690300465.5</v>
      </c>
      <c r="CF168">
        <v>7</v>
      </c>
      <c r="CG168">
        <v>5.0999999999999997E-2</v>
      </c>
      <c r="CH168">
        <v>-8.0000000000000002E-3</v>
      </c>
      <c r="CI168">
        <v>-0.316</v>
      </c>
      <c r="CJ168">
        <v>0.28199999999999997</v>
      </c>
      <c r="CK168">
        <v>800</v>
      </c>
      <c r="CL168">
        <v>24</v>
      </c>
      <c r="CM168">
        <v>0.25</v>
      </c>
      <c r="CN168">
        <v>0.13</v>
      </c>
      <c r="CO168">
        <v>-373.46965853658543</v>
      </c>
      <c r="CP168">
        <v>-5.8517560975613314</v>
      </c>
      <c r="CQ168">
        <v>0.57918216561260738</v>
      </c>
      <c r="CR168">
        <v>-1</v>
      </c>
      <c r="CS168">
        <v>25.041397560975611</v>
      </c>
      <c r="CT168">
        <v>0.27249407665508918</v>
      </c>
      <c r="CU168">
        <v>2.6932974510855068E-2</v>
      </c>
      <c r="CV168">
        <v>-1</v>
      </c>
      <c r="CW168">
        <v>0</v>
      </c>
      <c r="CX168">
        <v>0</v>
      </c>
      <c r="CY168" t="s">
        <v>333</v>
      </c>
      <c r="CZ168">
        <v>2.3648500000000001</v>
      </c>
      <c r="DA168">
        <v>2.7137799999999999</v>
      </c>
      <c r="DB168">
        <v>9.4013899999999997E-2</v>
      </c>
      <c r="DC168">
        <v>0.14636399999999999</v>
      </c>
      <c r="DD168">
        <v>0.11829199999999999</v>
      </c>
      <c r="DE168">
        <v>1.89055E-3</v>
      </c>
      <c r="DF168">
        <v>33098.6</v>
      </c>
      <c r="DG168">
        <v>27535.4</v>
      </c>
      <c r="DH168">
        <v>31187.8</v>
      </c>
      <c r="DI168">
        <v>28107.3</v>
      </c>
      <c r="DJ168">
        <v>37328.400000000001</v>
      </c>
      <c r="DK168">
        <v>39902.5</v>
      </c>
      <c r="DL168">
        <v>44386.9</v>
      </c>
      <c r="DM168">
        <v>42603.5</v>
      </c>
      <c r="DN168">
        <v>1.48532</v>
      </c>
      <c r="DO168">
        <v>2.0340799999999999</v>
      </c>
      <c r="DP168">
        <v>8.9205800000000002E-2</v>
      </c>
      <c r="DQ168">
        <v>0.16766800000000001</v>
      </c>
      <c r="DR168">
        <v>25.5412</v>
      </c>
      <c r="DS168">
        <v>25.382300000000001</v>
      </c>
      <c r="DT168">
        <v>32.700000000000003</v>
      </c>
      <c r="DU168">
        <v>29</v>
      </c>
      <c r="DV168">
        <v>13.2441</v>
      </c>
      <c r="DW168">
        <v>61.571100000000001</v>
      </c>
      <c r="DX168">
        <v>36.213900000000002</v>
      </c>
      <c r="DY168">
        <v>1</v>
      </c>
      <c r="DZ168">
        <v>-0.106778</v>
      </c>
      <c r="EA168">
        <v>-0.23557700000000001</v>
      </c>
      <c r="EB168">
        <v>20.1892</v>
      </c>
      <c r="EC168">
        <v>5.2411000000000003</v>
      </c>
      <c r="ED168">
        <v>12.039899999999999</v>
      </c>
      <c r="EE168">
        <v>5.0173500000000004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1.8646199999999999</v>
      </c>
      <c r="EM168">
        <v>1.8692</v>
      </c>
      <c r="EN168">
        <v>1.8672200000000001</v>
      </c>
      <c r="EO168">
        <v>1.8633900000000001</v>
      </c>
      <c r="EP168">
        <v>1.8644700000000001</v>
      </c>
      <c r="EQ168">
        <v>1.8701399999999999</v>
      </c>
      <c r="ER168">
        <v>1.8694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-5.0999999999999997E-2</v>
      </c>
      <c r="FG168">
        <v>0.28149999999999997</v>
      </c>
      <c r="FH168">
        <v>0.23539598422606861</v>
      </c>
      <c r="FI168">
        <v>-6.1462078757559423E-4</v>
      </c>
      <c r="FJ168">
        <v>-1.8861989874597051E-7</v>
      </c>
      <c r="FK168">
        <v>1.1980462299894961E-10</v>
      </c>
      <c r="FL168">
        <v>0.28151999999999688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34.5</v>
      </c>
      <c r="FU168">
        <v>34.700000000000003</v>
      </c>
      <c r="FV168">
        <v>1.7639199999999999</v>
      </c>
      <c r="FW168">
        <v>2.5927699999999998</v>
      </c>
      <c r="FX168">
        <v>1.5490699999999999</v>
      </c>
      <c r="FY168">
        <v>2.3303199999999999</v>
      </c>
      <c r="FZ168">
        <v>1.50146</v>
      </c>
      <c r="GA168">
        <v>2.3730500000000001</v>
      </c>
      <c r="GB168">
        <v>33.602899999999998</v>
      </c>
      <c r="GC168">
        <v>23.982399999999998</v>
      </c>
      <c r="GD168">
        <v>19</v>
      </c>
      <c r="GE168">
        <v>286.02</v>
      </c>
      <c r="GF168">
        <v>579.197</v>
      </c>
      <c r="GG168">
        <v>25.360499999999998</v>
      </c>
      <c r="GH168">
        <v>26.061199999999999</v>
      </c>
      <c r="GI168">
        <v>30</v>
      </c>
      <c r="GJ168">
        <v>26.1798</v>
      </c>
      <c r="GK168">
        <v>26.154800000000002</v>
      </c>
      <c r="GL168">
        <v>35.2682</v>
      </c>
      <c r="GM168">
        <v>100</v>
      </c>
      <c r="GN168">
        <v>30.670200000000001</v>
      </c>
      <c r="GO168">
        <v>25.347999999999999</v>
      </c>
      <c r="GP168">
        <v>800</v>
      </c>
      <c r="GQ168">
        <v>0</v>
      </c>
      <c r="GR168">
        <v>99.792599999999993</v>
      </c>
      <c r="GS168">
        <v>99.662000000000006</v>
      </c>
    </row>
    <row r="169" spans="1:201" x14ac:dyDescent="0.25">
      <c r="A169">
        <v>153</v>
      </c>
      <c r="B169">
        <v>1690302559.5999999</v>
      </c>
      <c r="C169">
        <v>1655.599999904633</v>
      </c>
      <c r="D169" t="s">
        <v>637</v>
      </c>
      <c r="E169" t="s">
        <v>638</v>
      </c>
      <c r="F169" t="s">
        <v>330</v>
      </c>
      <c r="H169">
        <v>1690302559.5999999</v>
      </c>
      <c r="I169">
        <f t="shared" si="60"/>
        <v>2.3685936815048708E-3</v>
      </c>
      <c r="J169">
        <f t="shared" si="61"/>
        <v>2.3685936815048709</v>
      </c>
      <c r="K169">
        <f t="shared" si="62"/>
        <v>33.485143176414653</v>
      </c>
      <c r="L169">
        <f t="shared" si="63"/>
        <v>424.36700000000002</v>
      </c>
      <c r="M169">
        <f t="shared" si="64"/>
        <v>111.48035708602281</v>
      </c>
      <c r="N169">
        <f t="shared" si="65"/>
        <v>11.081952962226685</v>
      </c>
      <c r="O169">
        <f t="shared" si="66"/>
        <v>42.1851459364484</v>
      </c>
      <c r="P169">
        <f t="shared" si="67"/>
        <v>0.18157252871832955</v>
      </c>
      <c r="Q169">
        <f t="shared" si="68"/>
        <v>2.1172451968410009</v>
      </c>
      <c r="R169">
        <f t="shared" si="69"/>
        <v>0.1733440790221403</v>
      </c>
      <c r="S169">
        <f t="shared" si="70"/>
        <v>0.10904826486286859</v>
      </c>
      <c r="T169">
        <f t="shared" si="71"/>
        <v>276.11596954799995</v>
      </c>
      <c r="U169">
        <f t="shared" si="72"/>
        <v>28.187797909706799</v>
      </c>
      <c r="V169">
        <f t="shared" si="73"/>
        <v>28.187797909706799</v>
      </c>
      <c r="W169">
        <f t="shared" si="74"/>
        <v>3.8365844294868703</v>
      </c>
      <c r="X169">
        <f t="shared" si="75"/>
        <v>71.193018896687732</v>
      </c>
      <c r="Y169">
        <f t="shared" si="76"/>
        <v>2.5217127852610002</v>
      </c>
      <c r="Z169">
        <f t="shared" si="77"/>
        <v>3.5420787379734548</v>
      </c>
      <c r="AA169">
        <f t="shared" si="78"/>
        <v>1.3148716442258701</v>
      </c>
      <c r="AB169">
        <f t="shared" si="79"/>
        <v>-104.4549813543648</v>
      </c>
      <c r="AC169">
        <f t="shared" si="80"/>
        <v>-155.8075813697489</v>
      </c>
      <c r="AD169">
        <f t="shared" si="81"/>
        <v>-15.961999073485794</v>
      </c>
      <c r="AE169">
        <f t="shared" si="82"/>
        <v>-0.10859224959955327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52544.949641769919</v>
      </c>
      <c r="AK169">
        <f t="shared" si="86"/>
        <v>1800</v>
      </c>
      <c r="AL169">
        <f t="shared" si="87"/>
        <v>1499.1139458</v>
      </c>
      <c r="AM169">
        <f t="shared" si="88"/>
        <v>0.83284108099999998</v>
      </c>
      <c r="AN169">
        <f t="shared" si="89"/>
        <v>0.15339776085999998</v>
      </c>
      <c r="AO169">
        <v>32.700000000000003</v>
      </c>
      <c r="AP169">
        <v>0.5</v>
      </c>
      <c r="AQ169" t="s">
        <v>331</v>
      </c>
      <c r="AR169">
        <v>2</v>
      </c>
      <c r="AS169">
        <v>1690302559.5999999</v>
      </c>
      <c r="AT169">
        <v>424.36700000000002</v>
      </c>
      <c r="AU169">
        <v>800.04700000000003</v>
      </c>
      <c r="AV169">
        <v>25.3675</v>
      </c>
      <c r="AW169">
        <v>0.222444</v>
      </c>
      <c r="AX169">
        <v>424.41699999999997</v>
      </c>
      <c r="AY169">
        <v>25.085999999999999</v>
      </c>
      <c r="AZ169">
        <v>300.21100000000001</v>
      </c>
      <c r="BA169">
        <v>99.307299999999998</v>
      </c>
      <c r="BB169">
        <v>9.9925200000000006E-2</v>
      </c>
      <c r="BC169">
        <v>26.822800000000001</v>
      </c>
      <c r="BD169">
        <v>27.005800000000001</v>
      </c>
      <c r="BE169">
        <v>28.145299999999999</v>
      </c>
      <c r="BF169">
        <v>0</v>
      </c>
      <c r="BG169">
        <v>0</v>
      </c>
      <c r="BH169">
        <v>10000.6</v>
      </c>
      <c r="BI169">
        <v>1079.31</v>
      </c>
      <c r="BJ169">
        <v>1.7380500000000001</v>
      </c>
      <c r="BK169">
        <v>-375.68</v>
      </c>
      <c r="BL169">
        <v>435.41300000000001</v>
      </c>
      <c r="BM169">
        <v>800.22500000000002</v>
      </c>
      <c r="BN169">
        <v>25.145099999999999</v>
      </c>
      <c r="BO169">
        <v>800.04700000000003</v>
      </c>
      <c r="BP169">
        <v>0.222444</v>
      </c>
      <c r="BQ169">
        <v>2.51918</v>
      </c>
      <c r="BR169">
        <v>2.20903E-2</v>
      </c>
      <c r="BS169">
        <v>21.1509</v>
      </c>
      <c r="BT169">
        <v>-38.4636</v>
      </c>
      <c r="BU169">
        <v>1800</v>
      </c>
      <c r="BV169">
        <v>0.909999</v>
      </c>
      <c r="BW169">
        <v>3.3994400000000001E-2</v>
      </c>
      <c r="BX169">
        <v>2.2004300000000001E-2</v>
      </c>
      <c r="BY169">
        <v>3.40028E-2</v>
      </c>
      <c r="BZ169">
        <v>26</v>
      </c>
      <c r="CA169">
        <v>33528.400000000001</v>
      </c>
      <c r="CB169">
        <v>1690300477.5</v>
      </c>
      <c r="CC169" t="s">
        <v>332</v>
      </c>
      <c r="CD169">
        <v>1690300477.5</v>
      </c>
      <c r="CE169">
        <v>1690300465.5</v>
      </c>
      <c r="CF169">
        <v>7</v>
      </c>
      <c r="CG169">
        <v>5.0999999999999997E-2</v>
      </c>
      <c r="CH169">
        <v>-8.0000000000000002E-3</v>
      </c>
      <c r="CI169">
        <v>-0.316</v>
      </c>
      <c r="CJ169">
        <v>0.28199999999999997</v>
      </c>
      <c r="CK169">
        <v>800</v>
      </c>
      <c r="CL169">
        <v>24</v>
      </c>
      <c r="CM169">
        <v>0.25</v>
      </c>
      <c r="CN169">
        <v>0.13</v>
      </c>
      <c r="CO169">
        <v>-374.48435000000001</v>
      </c>
      <c r="CP169">
        <v>-6.6571407129444014</v>
      </c>
      <c r="CQ169">
        <v>0.64175215426206522</v>
      </c>
      <c r="CR169">
        <v>-1</v>
      </c>
      <c r="CS169">
        <v>25.0895875</v>
      </c>
      <c r="CT169">
        <v>0.32299249530955598</v>
      </c>
      <c r="CU169">
        <v>3.1103313227853979E-2</v>
      </c>
      <c r="CV169">
        <v>-1</v>
      </c>
      <c r="CW169">
        <v>0</v>
      </c>
      <c r="CX169">
        <v>0</v>
      </c>
      <c r="CY169" t="s">
        <v>333</v>
      </c>
      <c r="CZ169">
        <v>2.3649399999999998</v>
      </c>
      <c r="DA169">
        <v>2.7137199999999999</v>
      </c>
      <c r="DB169">
        <v>9.3848399999999998E-2</v>
      </c>
      <c r="DC169">
        <v>0.146367</v>
      </c>
      <c r="DD169">
        <v>0.11844300000000001</v>
      </c>
      <c r="DE169">
        <v>1.8705200000000001E-3</v>
      </c>
      <c r="DF169">
        <v>33104.699999999997</v>
      </c>
      <c r="DG169">
        <v>27535.5</v>
      </c>
      <c r="DH169">
        <v>31187.9</v>
      </c>
      <c r="DI169">
        <v>28107.5</v>
      </c>
      <c r="DJ169">
        <v>37322.1</v>
      </c>
      <c r="DK169">
        <v>39903.599999999999</v>
      </c>
      <c r="DL169">
        <v>44387.1</v>
      </c>
      <c r="DM169">
        <v>42603.8</v>
      </c>
      <c r="DN169">
        <v>1.4853499999999999</v>
      </c>
      <c r="DO169">
        <v>2.0337000000000001</v>
      </c>
      <c r="DP169">
        <v>8.9451699999999995E-2</v>
      </c>
      <c r="DQ169">
        <v>0.168882</v>
      </c>
      <c r="DR169">
        <v>25.5412</v>
      </c>
      <c r="DS169">
        <v>25.382300000000001</v>
      </c>
      <c r="DT169">
        <v>32.4</v>
      </c>
      <c r="DU169">
        <v>29</v>
      </c>
      <c r="DV169">
        <v>13.120799999999999</v>
      </c>
      <c r="DW169">
        <v>61.411099999999998</v>
      </c>
      <c r="DX169">
        <v>36.157899999999998</v>
      </c>
      <c r="DY169">
        <v>1</v>
      </c>
      <c r="DZ169">
        <v>-0.106545</v>
      </c>
      <c r="EA169">
        <v>-0.18751599999999999</v>
      </c>
      <c r="EB169">
        <v>20.1891</v>
      </c>
      <c r="EC169">
        <v>5.2409499999999998</v>
      </c>
      <c r="ED169">
        <v>12.039899999999999</v>
      </c>
      <c r="EE169">
        <v>5.0170500000000002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1.8689100000000001</v>
      </c>
      <c r="EL169">
        <v>1.8646199999999999</v>
      </c>
      <c r="EM169">
        <v>1.8692</v>
      </c>
      <c r="EN169">
        <v>1.8672200000000001</v>
      </c>
      <c r="EO169">
        <v>1.8633900000000001</v>
      </c>
      <c r="EP169">
        <v>1.8644700000000001</v>
      </c>
      <c r="EQ169">
        <v>1.87015</v>
      </c>
      <c r="ER169">
        <v>1.86941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-0.05</v>
      </c>
      <c r="FG169">
        <v>0.28149999999999997</v>
      </c>
      <c r="FH169">
        <v>0.23539598422606861</v>
      </c>
      <c r="FI169">
        <v>-6.1462078757559423E-4</v>
      </c>
      <c r="FJ169">
        <v>-1.8861989874597051E-7</v>
      </c>
      <c r="FK169">
        <v>1.1980462299894961E-10</v>
      </c>
      <c r="FL169">
        <v>0.28151999999999688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34.700000000000003</v>
      </c>
      <c r="FU169">
        <v>34.9</v>
      </c>
      <c r="FV169">
        <v>1.7639199999999999</v>
      </c>
      <c r="FW169">
        <v>2.5903299999999998</v>
      </c>
      <c r="FX169">
        <v>1.5490699999999999</v>
      </c>
      <c r="FY169">
        <v>2.3303199999999999</v>
      </c>
      <c r="FZ169">
        <v>1.50146</v>
      </c>
      <c r="GA169">
        <v>2.34131</v>
      </c>
      <c r="GB169">
        <v>33.602899999999998</v>
      </c>
      <c r="GC169">
        <v>23.982399999999998</v>
      </c>
      <c r="GD169">
        <v>19</v>
      </c>
      <c r="GE169">
        <v>286.03500000000003</v>
      </c>
      <c r="GF169">
        <v>578.89</v>
      </c>
      <c r="GG169">
        <v>25.343</v>
      </c>
      <c r="GH169">
        <v>26.062100000000001</v>
      </c>
      <c r="GI169">
        <v>30.0001</v>
      </c>
      <c r="GJ169">
        <v>26.180700000000002</v>
      </c>
      <c r="GK169">
        <v>26.154800000000002</v>
      </c>
      <c r="GL169">
        <v>35.263100000000001</v>
      </c>
      <c r="GM169">
        <v>100</v>
      </c>
      <c r="GN169">
        <v>29.896699999999999</v>
      </c>
      <c r="GO169">
        <v>25.3323</v>
      </c>
      <c r="GP169">
        <v>800</v>
      </c>
      <c r="GQ169">
        <v>0</v>
      </c>
      <c r="GR169">
        <v>99.793000000000006</v>
      </c>
      <c r="GS169">
        <v>99.662700000000001</v>
      </c>
    </row>
    <row r="170" spans="1:201" x14ac:dyDescent="0.25">
      <c r="A170">
        <v>154</v>
      </c>
      <c r="B170">
        <v>1690302569.5999999</v>
      </c>
      <c r="C170">
        <v>1665.599999904633</v>
      </c>
      <c r="D170" t="s">
        <v>639</v>
      </c>
      <c r="E170" t="s">
        <v>640</v>
      </c>
      <c r="F170" t="s">
        <v>330</v>
      </c>
      <c r="H170">
        <v>1690302569.5999999</v>
      </c>
      <c r="I170">
        <f t="shared" si="60"/>
        <v>2.3720435048139232E-3</v>
      </c>
      <c r="J170">
        <f t="shared" si="61"/>
        <v>2.3720435048139232</v>
      </c>
      <c r="K170">
        <f t="shared" si="62"/>
        <v>33.572471870783758</v>
      </c>
      <c r="L170">
        <f t="shared" si="63"/>
        <v>423.55</v>
      </c>
      <c r="M170">
        <f t="shared" si="64"/>
        <v>111.15572042489212</v>
      </c>
      <c r="N170">
        <f t="shared" si="65"/>
        <v>11.050285841654857</v>
      </c>
      <c r="O170">
        <f t="shared" si="66"/>
        <v>42.106232143</v>
      </c>
      <c r="P170">
        <f t="shared" si="67"/>
        <v>0.18235316745207453</v>
      </c>
      <c r="Q170">
        <f t="shared" si="68"/>
        <v>2.1170214658533069</v>
      </c>
      <c r="R170">
        <f t="shared" si="69"/>
        <v>0.17405471568329578</v>
      </c>
      <c r="S170">
        <f t="shared" si="70"/>
        <v>0.10949830622016857</v>
      </c>
      <c r="T170">
        <f t="shared" si="71"/>
        <v>276.11576384399996</v>
      </c>
      <c r="U170">
        <f t="shared" si="72"/>
        <v>28.185418977849334</v>
      </c>
      <c r="V170">
        <f t="shared" si="73"/>
        <v>28.185418977849334</v>
      </c>
      <c r="W170">
        <f t="shared" si="74"/>
        <v>3.8360531326233249</v>
      </c>
      <c r="X170">
        <f t="shared" si="75"/>
        <v>71.279542567928573</v>
      </c>
      <c r="Y170">
        <f t="shared" si="76"/>
        <v>2.5245845006999996</v>
      </c>
      <c r="Z170">
        <f t="shared" si="77"/>
        <v>3.5418079434139185</v>
      </c>
      <c r="AA170">
        <f t="shared" si="78"/>
        <v>1.3114686319233253</v>
      </c>
      <c r="AB170">
        <f t="shared" si="79"/>
        <v>-104.60711856229402</v>
      </c>
      <c r="AC170">
        <f t="shared" si="80"/>
        <v>-155.66797547842035</v>
      </c>
      <c r="AD170">
        <f t="shared" si="81"/>
        <v>-15.949089253454886</v>
      </c>
      <c r="AE170">
        <f t="shared" si="82"/>
        <v>-0.10841945016929344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52535.483027461647</v>
      </c>
      <c r="AK170">
        <f t="shared" si="86"/>
        <v>1800</v>
      </c>
      <c r="AL170">
        <f t="shared" si="87"/>
        <v>1499.1133914</v>
      </c>
      <c r="AM170">
        <f t="shared" si="88"/>
        <v>0.83284077300000003</v>
      </c>
      <c r="AN170">
        <f t="shared" si="89"/>
        <v>0.15339764657999996</v>
      </c>
      <c r="AO170">
        <v>32.700000000000003</v>
      </c>
      <c r="AP170">
        <v>0.5</v>
      </c>
      <c r="AQ170" t="s">
        <v>331</v>
      </c>
      <c r="AR170">
        <v>2</v>
      </c>
      <c r="AS170">
        <v>1690302569.5999999</v>
      </c>
      <c r="AT170">
        <v>423.55</v>
      </c>
      <c r="AU170">
        <v>800.08699999999999</v>
      </c>
      <c r="AV170">
        <v>25.395</v>
      </c>
      <c r="AW170">
        <v>0.21998500000000001</v>
      </c>
      <c r="AX170">
        <v>423.6</v>
      </c>
      <c r="AY170">
        <v>25.113499999999998</v>
      </c>
      <c r="AZ170">
        <v>300.28199999999998</v>
      </c>
      <c r="BA170">
        <v>99.312600000000003</v>
      </c>
      <c r="BB170">
        <v>0.10006</v>
      </c>
      <c r="BC170">
        <v>26.8215</v>
      </c>
      <c r="BD170">
        <v>26.988299999999999</v>
      </c>
      <c r="BE170">
        <v>28.1539</v>
      </c>
      <c r="BF170">
        <v>0</v>
      </c>
      <c r="BG170">
        <v>0</v>
      </c>
      <c r="BH170">
        <v>9998.1200000000008</v>
      </c>
      <c r="BI170">
        <v>1079.24</v>
      </c>
      <c r="BJ170">
        <v>1.7380500000000001</v>
      </c>
      <c r="BK170">
        <v>-376.53699999999998</v>
      </c>
      <c r="BL170">
        <v>434.58600000000001</v>
      </c>
      <c r="BM170">
        <v>800.26300000000003</v>
      </c>
      <c r="BN170">
        <v>25.175000000000001</v>
      </c>
      <c r="BO170">
        <v>800.08699999999999</v>
      </c>
      <c r="BP170">
        <v>0.21998500000000001</v>
      </c>
      <c r="BQ170">
        <v>2.5220400000000001</v>
      </c>
      <c r="BR170">
        <v>2.18473E-2</v>
      </c>
      <c r="BS170">
        <v>21.169499999999999</v>
      </c>
      <c r="BT170">
        <v>-38.571100000000001</v>
      </c>
      <c r="BU170">
        <v>1800</v>
      </c>
      <c r="BV170">
        <v>0.91</v>
      </c>
      <c r="BW170">
        <v>3.3993900000000001E-2</v>
      </c>
      <c r="BX170">
        <v>2.20039E-2</v>
      </c>
      <c r="BY170">
        <v>3.4002200000000003E-2</v>
      </c>
      <c r="BZ170">
        <v>26</v>
      </c>
      <c r="CA170">
        <v>33528.5</v>
      </c>
      <c r="CB170">
        <v>1690300477.5</v>
      </c>
      <c r="CC170" t="s">
        <v>332</v>
      </c>
      <c r="CD170">
        <v>1690300477.5</v>
      </c>
      <c r="CE170">
        <v>1690300465.5</v>
      </c>
      <c r="CF170">
        <v>7</v>
      </c>
      <c r="CG170">
        <v>5.0999999999999997E-2</v>
      </c>
      <c r="CH170">
        <v>-8.0000000000000002E-3</v>
      </c>
      <c r="CI170">
        <v>-0.316</v>
      </c>
      <c r="CJ170">
        <v>0.28199999999999997</v>
      </c>
      <c r="CK170">
        <v>800</v>
      </c>
      <c r="CL170">
        <v>24</v>
      </c>
      <c r="CM170">
        <v>0.25</v>
      </c>
      <c r="CN170">
        <v>0.13</v>
      </c>
      <c r="CO170">
        <v>-375.48387500000001</v>
      </c>
      <c r="CP170">
        <v>-5.2457673545961034</v>
      </c>
      <c r="CQ170">
        <v>0.50786500113218958</v>
      </c>
      <c r="CR170">
        <v>-1</v>
      </c>
      <c r="CS170">
        <v>25.135932499999999</v>
      </c>
      <c r="CT170">
        <v>0.23055647279547839</v>
      </c>
      <c r="CU170">
        <v>2.2474478720317621E-2</v>
      </c>
      <c r="CV170">
        <v>-1</v>
      </c>
      <c r="CW170">
        <v>0</v>
      </c>
      <c r="CX170">
        <v>0</v>
      </c>
      <c r="CY170" t="s">
        <v>333</v>
      </c>
      <c r="CZ170">
        <v>2.3651599999999999</v>
      </c>
      <c r="DA170">
        <v>2.7138499999999999</v>
      </c>
      <c r="DB170">
        <v>9.3713900000000003E-2</v>
      </c>
      <c r="DC170">
        <v>0.14637500000000001</v>
      </c>
      <c r="DD170">
        <v>0.118536</v>
      </c>
      <c r="DE170">
        <v>1.85016E-3</v>
      </c>
      <c r="DF170">
        <v>33109.699999999997</v>
      </c>
      <c r="DG170">
        <v>27535.4</v>
      </c>
      <c r="DH170">
        <v>31187.9</v>
      </c>
      <c r="DI170">
        <v>28107.599999999999</v>
      </c>
      <c r="DJ170">
        <v>37318.199999999997</v>
      </c>
      <c r="DK170">
        <v>39904.400000000001</v>
      </c>
      <c r="DL170">
        <v>44387.199999999997</v>
      </c>
      <c r="DM170">
        <v>42603.8</v>
      </c>
      <c r="DN170">
        <v>1.4854499999999999</v>
      </c>
      <c r="DO170">
        <v>2.0333999999999999</v>
      </c>
      <c r="DP170">
        <v>8.8512900000000005E-2</v>
      </c>
      <c r="DQ170">
        <v>0.16941100000000001</v>
      </c>
      <c r="DR170">
        <v>25.539000000000001</v>
      </c>
      <c r="DS170">
        <v>25.382300000000001</v>
      </c>
      <c r="DT170">
        <v>32</v>
      </c>
      <c r="DU170">
        <v>29</v>
      </c>
      <c r="DV170">
        <v>12.959199999999999</v>
      </c>
      <c r="DW170">
        <v>61.461100000000002</v>
      </c>
      <c r="DX170">
        <v>36.253999999999998</v>
      </c>
      <c r="DY170">
        <v>1</v>
      </c>
      <c r="DZ170">
        <v>-0.10633099999999999</v>
      </c>
      <c r="EA170">
        <v>-0.25305299999999997</v>
      </c>
      <c r="EB170">
        <v>20.1891</v>
      </c>
      <c r="EC170">
        <v>5.2411000000000003</v>
      </c>
      <c r="ED170">
        <v>12.039899999999999</v>
      </c>
      <c r="EE170">
        <v>5.0170000000000003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</v>
      </c>
      <c r="EL170">
        <v>1.8646199999999999</v>
      </c>
      <c r="EM170">
        <v>1.8691899999999999</v>
      </c>
      <c r="EN170">
        <v>1.8672200000000001</v>
      </c>
      <c r="EO170">
        <v>1.86338</v>
      </c>
      <c r="EP170">
        <v>1.8644700000000001</v>
      </c>
      <c r="EQ170">
        <v>1.87015</v>
      </c>
      <c r="ER170">
        <v>1.86941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-0.05</v>
      </c>
      <c r="FG170">
        <v>0.28149999999999997</v>
      </c>
      <c r="FH170">
        <v>0.23539598422606861</v>
      </c>
      <c r="FI170">
        <v>-6.1462078757559423E-4</v>
      </c>
      <c r="FJ170">
        <v>-1.8861989874597051E-7</v>
      </c>
      <c r="FK170">
        <v>1.1980462299894961E-10</v>
      </c>
      <c r="FL170">
        <v>0.28151999999999688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34.9</v>
      </c>
      <c r="FU170">
        <v>35.1</v>
      </c>
      <c r="FV170">
        <v>1.7639199999999999</v>
      </c>
      <c r="FW170">
        <v>2.5939899999999998</v>
      </c>
      <c r="FX170">
        <v>1.5490699999999999</v>
      </c>
      <c r="FY170">
        <v>2.3303199999999999</v>
      </c>
      <c r="FZ170">
        <v>1.50146</v>
      </c>
      <c r="GA170">
        <v>2.2778299999999998</v>
      </c>
      <c r="GB170">
        <v>33.602899999999998</v>
      </c>
      <c r="GC170">
        <v>23.982399999999998</v>
      </c>
      <c r="GD170">
        <v>19</v>
      </c>
      <c r="GE170">
        <v>286.07799999999997</v>
      </c>
      <c r="GF170">
        <v>578.65700000000004</v>
      </c>
      <c r="GG170">
        <v>25.3292</v>
      </c>
      <c r="GH170">
        <v>26.063400000000001</v>
      </c>
      <c r="GI170">
        <v>30.000299999999999</v>
      </c>
      <c r="GJ170">
        <v>26.180700000000002</v>
      </c>
      <c r="GK170">
        <v>26.156099999999999</v>
      </c>
      <c r="GL170">
        <v>35.261200000000002</v>
      </c>
      <c r="GM170">
        <v>100</v>
      </c>
      <c r="GN170">
        <v>29.1372</v>
      </c>
      <c r="GO170">
        <v>25.3431</v>
      </c>
      <c r="GP170">
        <v>800</v>
      </c>
      <c r="GQ170">
        <v>0</v>
      </c>
      <c r="GR170">
        <v>99.793199999999999</v>
      </c>
      <c r="GS170">
        <v>99.662899999999993</v>
      </c>
    </row>
    <row r="171" spans="1:201" x14ac:dyDescent="0.25">
      <c r="A171">
        <v>155</v>
      </c>
      <c r="B171">
        <v>1690302579.5999999</v>
      </c>
      <c r="C171">
        <v>1675.599999904633</v>
      </c>
      <c r="D171" t="s">
        <v>641</v>
      </c>
      <c r="E171" t="s">
        <v>642</v>
      </c>
      <c r="F171" t="s">
        <v>330</v>
      </c>
      <c r="H171">
        <v>1690302579.5999999</v>
      </c>
      <c r="I171">
        <f t="shared" si="60"/>
        <v>2.3756624958122027E-3</v>
      </c>
      <c r="J171">
        <f t="shared" si="61"/>
        <v>2.3756624958122026</v>
      </c>
      <c r="K171">
        <f t="shared" si="62"/>
        <v>33.644795367750717</v>
      </c>
      <c r="L171">
        <f t="shared" si="63"/>
        <v>422.59800000000001</v>
      </c>
      <c r="M171">
        <f t="shared" si="64"/>
        <v>111.3510831132398</v>
      </c>
      <c r="N171">
        <f t="shared" si="65"/>
        <v>11.069208658072309</v>
      </c>
      <c r="O171">
        <f t="shared" si="66"/>
        <v>42.009698601017398</v>
      </c>
      <c r="P171">
        <f t="shared" si="67"/>
        <v>0.18345961987421272</v>
      </c>
      <c r="Q171">
        <f t="shared" si="68"/>
        <v>2.116036693795702</v>
      </c>
      <c r="R171">
        <f t="shared" si="69"/>
        <v>0.17505893502887376</v>
      </c>
      <c r="S171">
        <f t="shared" si="70"/>
        <v>0.1101345424280461</v>
      </c>
      <c r="T171">
        <f t="shared" si="71"/>
        <v>276.11563570199996</v>
      </c>
      <c r="U171">
        <f t="shared" si="72"/>
        <v>28.178432263706775</v>
      </c>
      <c r="V171">
        <f t="shared" si="73"/>
        <v>28.178432263706775</v>
      </c>
      <c r="W171">
        <f t="shared" si="74"/>
        <v>3.8344931313910768</v>
      </c>
      <c r="X171">
        <f t="shared" si="75"/>
        <v>71.420389894065465</v>
      </c>
      <c r="Y171">
        <f t="shared" si="76"/>
        <v>2.5286359669099703</v>
      </c>
      <c r="Z171">
        <f t="shared" si="77"/>
        <v>3.5404958873237429</v>
      </c>
      <c r="AA171">
        <f t="shared" si="78"/>
        <v>1.3058571644811066</v>
      </c>
      <c r="AB171">
        <f t="shared" si="79"/>
        <v>-104.76671606531814</v>
      </c>
      <c r="AC171">
        <f t="shared" si="80"/>
        <v>-155.51722342185354</v>
      </c>
      <c r="AD171">
        <f t="shared" si="81"/>
        <v>-15.940001807076115</v>
      </c>
      <c r="AE171">
        <f t="shared" si="82"/>
        <v>-0.10830559224780245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52493.330589494231</v>
      </c>
      <c r="AK171">
        <f t="shared" si="86"/>
        <v>1800</v>
      </c>
      <c r="AL171">
        <f t="shared" si="87"/>
        <v>1499.1138341999999</v>
      </c>
      <c r="AM171">
        <f t="shared" si="88"/>
        <v>0.83284101899999996</v>
      </c>
      <c r="AN171">
        <f t="shared" si="89"/>
        <v>0.15339757538999998</v>
      </c>
      <c r="AO171">
        <v>32.700000000000003</v>
      </c>
      <c r="AP171">
        <v>0.5</v>
      </c>
      <c r="AQ171" t="s">
        <v>331</v>
      </c>
      <c r="AR171">
        <v>2</v>
      </c>
      <c r="AS171">
        <v>1690302579.5999999</v>
      </c>
      <c r="AT171">
        <v>422.59800000000001</v>
      </c>
      <c r="AU171">
        <v>800.024</v>
      </c>
      <c r="AV171">
        <v>25.436900000000001</v>
      </c>
      <c r="AW171">
        <v>0.217253</v>
      </c>
      <c r="AX171">
        <v>422.64699999999999</v>
      </c>
      <c r="AY171">
        <v>25.1554</v>
      </c>
      <c r="AZ171">
        <v>300.19499999999999</v>
      </c>
      <c r="BA171">
        <v>99.308199999999999</v>
      </c>
      <c r="BB171">
        <v>9.9981299999999995E-2</v>
      </c>
      <c r="BC171">
        <v>26.815200000000001</v>
      </c>
      <c r="BD171">
        <v>27.0153</v>
      </c>
      <c r="BE171">
        <v>28.141999999999999</v>
      </c>
      <c r="BF171">
        <v>0</v>
      </c>
      <c r="BG171">
        <v>0</v>
      </c>
      <c r="BH171">
        <v>9990</v>
      </c>
      <c r="BI171">
        <v>1079.2</v>
      </c>
      <c r="BJ171">
        <v>1.7380500000000001</v>
      </c>
      <c r="BK171">
        <v>-377.42599999999999</v>
      </c>
      <c r="BL171">
        <v>433.62799999999999</v>
      </c>
      <c r="BM171">
        <v>800.19799999999998</v>
      </c>
      <c r="BN171">
        <v>25.2196</v>
      </c>
      <c r="BO171">
        <v>800.024</v>
      </c>
      <c r="BP171">
        <v>0.217253</v>
      </c>
      <c r="BQ171">
        <v>2.5260899999999999</v>
      </c>
      <c r="BR171">
        <v>2.1575E-2</v>
      </c>
      <c r="BS171">
        <v>21.195599999999999</v>
      </c>
      <c r="BT171">
        <v>-38.692799999999998</v>
      </c>
      <c r="BU171">
        <v>1800</v>
      </c>
      <c r="BV171">
        <v>0.91000300000000001</v>
      </c>
      <c r="BW171">
        <v>3.3992700000000001E-2</v>
      </c>
      <c r="BX171">
        <v>2.2003200000000001E-2</v>
      </c>
      <c r="BY171">
        <v>3.4001099999999999E-2</v>
      </c>
      <c r="BZ171">
        <v>26</v>
      </c>
      <c r="CA171">
        <v>33528.400000000001</v>
      </c>
      <c r="CB171">
        <v>1690300477.5</v>
      </c>
      <c r="CC171" t="s">
        <v>332</v>
      </c>
      <c r="CD171">
        <v>1690300477.5</v>
      </c>
      <c r="CE171">
        <v>1690300465.5</v>
      </c>
      <c r="CF171">
        <v>7</v>
      </c>
      <c r="CG171">
        <v>5.0999999999999997E-2</v>
      </c>
      <c r="CH171">
        <v>-8.0000000000000002E-3</v>
      </c>
      <c r="CI171">
        <v>-0.316</v>
      </c>
      <c r="CJ171">
        <v>0.28199999999999997</v>
      </c>
      <c r="CK171">
        <v>800</v>
      </c>
      <c r="CL171">
        <v>24</v>
      </c>
      <c r="CM171">
        <v>0.25</v>
      </c>
      <c r="CN171">
        <v>0.13</v>
      </c>
      <c r="CO171">
        <v>-376.42875609756089</v>
      </c>
      <c r="CP171">
        <v>-5.7387804878053768</v>
      </c>
      <c r="CQ171">
        <v>0.56870347970508839</v>
      </c>
      <c r="CR171">
        <v>-1</v>
      </c>
      <c r="CS171">
        <v>25.174348780487811</v>
      </c>
      <c r="CT171">
        <v>0.2223554006968928</v>
      </c>
      <c r="CU171">
        <v>2.212319301648159E-2</v>
      </c>
      <c r="CV171">
        <v>-1</v>
      </c>
      <c r="CW171">
        <v>0</v>
      </c>
      <c r="CX171">
        <v>0</v>
      </c>
      <c r="CY171" t="s">
        <v>333</v>
      </c>
      <c r="CZ171">
        <v>2.3648600000000002</v>
      </c>
      <c r="DA171">
        <v>2.7137600000000002</v>
      </c>
      <c r="DB171">
        <v>9.3552899999999994E-2</v>
      </c>
      <c r="DC171">
        <v>0.14636399999999999</v>
      </c>
      <c r="DD171">
        <v>0.118671</v>
      </c>
      <c r="DE171">
        <v>1.8274400000000001E-3</v>
      </c>
      <c r="DF171">
        <v>33115.599999999999</v>
      </c>
      <c r="DG171">
        <v>27536.1</v>
      </c>
      <c r="DH171">
        <v>31188</v>
      </c>
      <c r="DI171">
        <v>28107.9</v>
      </c>
      <c r="DJ171">
        <v>37312.400000000001</v>
      </c>
      <c r="DK171">
        <v>39905.9</v>
      </c>
      <c r="DL171">
        <v>44387.199999999997</v>
      </c>
      <c r="DM171">
        <v>42604.4</v>
      </c>
      <c r="DN171">
        <v>1.4859199999999999</v>
      </c>
      <c r="DO171">
        <v>2.0336500000000002</v>
      </c>
      <c r="DP171">
        <v>9.0032799999999996E-2</v>
      </c>
      <c r="DQ171">
        <v>0.168547</v>
      </c>
      <c r="DR171">
        <v>25.5412</v>
      </c>
      <c r="DS171">
        <v>25.384499999999999</v>
      </c>
      <c r="DT171">
        <v>31.6</v>
      </c>
      <c r="DU171">
        <v>29</v>
      </c>
      <c r="DV171">
        <v>12.797700000000001</v>
      </c>
      <c r="DW171">
        <v>61.391100000000002</v>
      </c>
      <c r="DX171">
        <v>36.177900000000001</v>
      </c>
      <c r="DY171">
        <v>1</v>
      </c>
      <c r="DZ171">
        <v>-0.106374</v>
      </c>
      <c r="EA171">
        <v>-0.24517700000000001</v>
      </c>
      <c r="EB171">
        <v>20.189299999999999</v>
      </c>
      <c r="EC171">
        <v>5.2404999999999999</v>
      </c>
      <c r="ED171">
        <v>12.039899999999999</v>
      </c>
      <c r="EE171">
        <v>5.0168499999999998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1.8646199999999999</v>
      </c>
      <c r="EM171">
        <v>1.8691899999999999</v>
      </c>
      <c r="EN171">
        <v>1.8672299999999999</v>
      </c>
      <c r="EO171">
        <v>1.86338</v>
      </c>
      <c r="EP171">
        <v>1.8644700000000001</v>
      </c>
      <c r="EQ171">
        <v>1.8701700000000001</v>
      </c>
      <c r="ER171">
        <v>1.8694200000000001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-4.9000000000000002E-2</v>
      </c>
      <c r="FG171">
        <v>0.28149999999999997</v>
      </c>
      <c r="FH171">
        <v>0.23539598422606861</v>
      </c>
      <c r="FI171">
        <v>-6.1462078757559423E-4</v>
      </c>
      <c r="FJ171">
        <v>-1.8861989874597051E-7</v>
      </c>
      <c r="FK171">
        <v>1.1980462299894961E-10</v>
      </c>
      <c r="FL171">
        <v>0.28151999999999688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</v>
      </c>
      <c r="FU171">
        <v>35.200000000000003</v>
      </c>
      <c r="FV171">
        <v>1.7639199999999999</v>
      </c>
      <c r="FW171">
        <v>2.5915499999999998</v>
      </c>
      <c r="FX171">
        <v>1.5490699999999999</v>
      </c>
      <c r="FY171">
        <v>2.3303199999999999</v>
      </c>
      <c r="FZ171">
        <v>1.50146</v>
      </c>
      <c r="GA171">
        <v>2.2961399999999998</v>
      </c>
      <c r="GB171">
        <v>33.602899999999998</v>
      </c>
      <c r="GC171">
        <v>23.982399999999998</v>
      </c>
      <c r="GD171">
        <v>19</v>
      </c>
      <c r="GE171">
        <v>286.28199999999998</v>
      </c>
      <c r="GF171">
        <v>578.87400000000002</v>
      </c>
      <c r="GG171">
        <v>25.3491</v>
      </c>
      <c r="GH171">
        <v>26.0654</v>
      </c>
      <c r="GI171">
        <v>30.0002</v>
      </c>
      <c r="GJ171">
        <v>26.180700000000002</v>
      </c>
      <c r="GK171">
        <v>26.157</v>
      </c>
      <c r="GL171">
        <v>35.258200000000002</v>
      </c>
      <c r="GM171">
        <v>100</v>
      </c>
      <c r="GN171">
        <v>28.392800000000001</v>
      </c>
      <c r="GO171">
        <v>25.344899999999999</v>
      </c>
      <c r="GP171">
        <v>800</v>
      </c>
      <c r="GQ171">
        <v>0</v>
      </c>
      <c r="GR171">
        <v>99.793300000000002</v>
      </c>
      <c r="GS171">
        <v>99.664100000000005</v>
      </c>
    </row>
    <row r="172" spans="1:201" x14ac:dyDescent="0.25">
      <c r="A172">
        <v>156</v>
      </c>
      <c r="B172">
        <v>1690302589.5999999</v>
      </c>
      <c r="C172">
        <v>1685.599999904633</v>
      </c>
      <c r="D172" t="s">
        <v>643</v>
      </c>
      <c r="E172" t="s">
        <v>644</v>
      </c>
      <c r="F172" t="s">
        <v>330</v>
      </c>
      <c r="H172">
        <v>1690302589.5999999</v>
      </c>
      <c r="I172">
        <f t="shared" si="60"/>
        <v>2.3801858091862102E-3</v>
      </c>
      <c r="J172">
        <f t="shared" si="61"/>
        <v>2.38018580918621</v>
      </c>
      <c r="K172">
        <f t="shared" si="62"/>
        <v>33.743491574854993</v>
      </c>
      <c r="L172">
        <f t="shared" si="63"/>
        <v>421.565</v>
      </c>
      <c r="M172">
        <f t="shared" si="64"/>
        <v>110.70029682420437</v>
      </c>
      <c r="N172">
        <f t="shared" si="65"/>
        <v>11.004314576656446</v>
      </c>
      <c r="O172">
        <f t="shared" si="66"/>
        <v>41.906246031797998</v>
      </c>
      <c r="P172">
        <f t="shared" si="67"/>
        <v>0.18424460236604343</v>
      </c>
      <c r="Q172">
        <f t="shared" si="68"/>
        <v>2.1149362255998971</v>
      </c>
      <c r="R172">
        <f t="shared" si="69"/>
        <v>0.17576946832346299</v>
      </c>
      <c r="S172">
        <f t="shared" si="70"/>
        <v>0.11058488267330331</v>
      </c>
      <c r="T172">
        <f t="shared" si="71"/>
        <v>276.11555639400001</v>
      </c>
      <c r="U172">
        <f t="shared" si="72"/>
        <v>28.184978170974652</v>
      </c>
      <c r="V172">
        <f t="shared" si="73"/>
        <v>28.184978170974652</v>
      </c>
      <c r="W172">
        <f t="shared" si="74"/>
        <v>3.8359546924175505</v>
      </c>
      <c r="X172">
        <f t="shared" si="75"/>
        <v>71.51107687867183</v>
      </c>
      <c r="Y172">
        <f t="shared" si="76"/>
        <v>2.5329637529482798</v>
      </c>
      <c r="Z172">
        <f t="shared" si="77"/>
        <v>3.5420579069810314</v>
      </c>
      <c r="AA172">
        <f t="shared" si="78"/>
        <v>1.3029909394692707</v>
      </c>
      <c r="AB172">
        <f t="shared" si="79"/>
        <v>-104.96619418511187</v>
      </c>
      <c r="AC172">
        <f t="shared" si="80"/>
        <v>-155.3275589015899</v>
      </c>
      <c r="AD172">
        <f t="shared" si="81"/>
        <v>-15.929962525382431</v>
      </c>
      <c r="AE172">
        <f t="shared" si="82"/>
        <v>-0.10815921808421081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52443.77623545027</v>
      </c>
      <c r="AK172">
        <f t="shared" si="86"/>
        <v>1800</v>
      </c>
      <c r="AL172">
        <f t="shared" si="87"/>
        <v>1499.1138324000001</v>
      </c>
      <c r="AM172">
        <f t="shared" si="88"/>
        <v>0.83284101799999999</v>
      </c>
      <c r="AN172">
        <f t="shared" si="89"/>
        <v>0.15339753133</v>
      </c>
      <c r="AO172">
        <v>32.700000000000003</v>
      </c>
      <c r="AP172">
        <v>0.5</v>
      </c>
      <c r="AQ172" t="s">
        <v>331</v>
      </c>
      <c r="AR172">
        <v>2</v>
      </c>
      <c r="AS172">
        <v>1690302589.5999999</v>
      </c>
      <c r="AT172">
        <v>421.565</v>
      </c>
      <c r="AU172">
        <v>800.04499999999996</v>
      </c>
      <c r="AV172">
        <v>25.480899999999998</v>
      </c>
      <c r="AW172">
        <v>0.21538499999999999</v>
      </c>
      <c r="AX172">
        <v>421.613</v>
      </c>
      <c r="AY172">
        <v>25.199300000000001</v>
      </c>
      <c r="AZ172">
        <v>300.20699999999999</v>
      </c>
      <c r="BA172">
        <v>99.306399999999996</v>
      </c>
      <c r="BB172">
        <v>9.9969199999999994E-2</v>
      </c>
      <c r="BC172">
        <v>26.822700000000001</v>
      </c>
      <c r="BD172">
        <v>27.0181</v>
      </c>
      <c r="BE172">
        <v>28.144400000000001</v>
      </c>
      <c r="BF172">
        <v>0</v>
      </c>
      <c r="BG172">
        <v>0</v>
      </c>
      <c r="BH172">
        <v>9980.6200000000008</v>
      </c>
      <c r="BI172">
        <v>1079.17</v>
      </c>
      <c r="BJ172">
        <v>1.7380500000000001</v>
      </c>
      <c r="BK172">
        <v>-378.48099999999999</v>
      </c>
      <c r="BL172">
        <v>432.58699999999999</v>
      </c>
      <c r="BM172">
        <v>800.21799999999996</v>
      </c>
      <c r="BN172">
        <v>25.265499999999999</v>
      </c>
      <c r="BO172">
        <v>800.04499999999996</v>
      </c>
      <c r="BP172">
        <v>0.21538499999999999</v>
      </c>
      <c r="BQ172">
        <v>2.5304099999999998</v>
      </c>
      <c r="BR172">
        <v>2.1389100000000001E-2</v>
      </c>
      <c r="BS172">
        <v>21.223500000000001</v>
      </c>
      <c r="BT172">
        <v>-38.776800000000001</v>
      </c>
      <c r="BU172">
        <v>1800</v>
      </c>
      <c r="BV172">
        <v>0.91000400000000004</v>
      </c>
      <c r="BW172">
        <v>3.3992300000000003E-2</v>
      </c>
      <c r="BX172">
        <v>2.2002899999999999E-2</v>
      </c>
      <c r="BY172">
        <v>3.4000700000000002E-2</v>
      </c>
      <c r="BZ172">
        <v>26</v>
      </c>
      <c r="CA172">
        <v>33528.400000000001</v>
      </c>
      <c r="CB172">
        <v>1690300477.5</v>
      </c>
      <c r="CC172" t="s">
        <v>332</v>
      </c>
      <c r="CD172">
        <v>1690300477.5</v>
      </c>
      <c r="CE172">
        <v>1690300465.5</v>
      </c>
      <c r="CF172">
        <v>7</v>
      </c>
      <c r="CG172">
        <v>5.0999999999999997E-2</v>
      </c>
      <c r="CH172">
        <v>-8.0000000000000002E-3</v>
      </c>
      <c r="CI172">
        <v>-0.316</v>
      </c>
      <c r="CJ172">
        <v>0.28199999999999997</v>
      </c>
      <c r="CK172">
        <v>800</v>
      </c>
      <c r="CL172">
        <v>24</v>
      </c>
      <c r="CM172">
        <v>0.25</v>
      </c>
      <c r="CN172">
        <v>0.13</v>
      </c>
      <c r="CO172">
        <v>-377.33232500000003</v>
      </c>
      <c r="CP172">
        <v>-5.2678311444652799</v>
      </c>
      <c r="CQ172">
        <v>0.50755691244923085</v>
      </c>
      <c r="CR172">
        <v>-1</v>
      </c>
      <c r="CS172">
        <v>25.213954999999999</v>
      </c>
      <c r="CT172">
        <v>0.2690724202626239</v>
      </c>
      <c r="CU172">
        <v>2.5896032031954151E-2</v>
      </c>
      <c r="CV172">
        <v>-1</v>
      </c>
      <c r="CW172">
        <v>0</v>
      </c>
      <c r="CX172">
        <v>0</v>
      </c>
      <c r="CY172" t="s">
        <v>333</v>
      </c>
      <c r="CZ172">
        <v>2.3649200000000001</v>
      </c>
      <c r="DA172">
        <v>2.71374</v>
      </c>
      <c r="DB172">
        <v>9.3379100000000007E-2</v>
      </c>
      <c r="DC172">
        <v>0.146365</v>
      </c>
      <c r="DD172">
        <v>0.118814</v>
      </c>
      <c r="DE172">
        <v>1.8119200000000001E-3</v>
      </c>
      <c r="DF172">
        <v>33121.4</v>
      </c>
      <c r="DG172">
        <v>27535.9</v>
      </c>
      <c r="DH172">
        <v>31187.4</v>
      </c>
      <c r="DI172">
        <v>28107.8</v>
      </c>
      <c r="DJ172">
        <v>37305.4</v>
      </c>
      <c r="DK172">
        <v>39906.400000000001</v>
      </c>
      <c r="DL172">
        <v>44386.3</v>
      </c>
      <c r="DM172">
        <v>42604.3</v>
      </c>
      <c r="DN172">
        <v>1.4856</v>
      </c>
      <c r="DO172">
        <v>2.0335999999999999</v>
      </c>
      <c r="DP172">
        <v>9.0204199999999998E-2</v>
      </c>
      <c r="DQ172">
        <v>0.16869600000000001</v>
      </c>
      <c r="DR172">
        <v>25.5412</v>
      </c>
      <c r="DS172">
        <v>25.384499999999999</v>
      </c>
      <c r="DT172">
        <v>31.3</v>
      </c>
      <c r="DU172">
        <v>29</v>
      </c>
      <c r="DV172">
        <v>12.6783</v>
      </c>
      <c r="DW172">
        <v>61.591099999999997</v>
      </c>
      <c r="DX172">
        <v>36.165900000000001</v>
      </c>
      <c r="DY172">
        <v>1</v>
      </c>
      <c r="DZ172">
        <v>-0.10625800000000001</v>
      </c>
      <c r="EA172">
        <v>-0.154722</v>
      </c>
      <c r="EB172">
        <v>20.189599999999999</v>
      </c>
      <c r="EC172">
        <v>5.2411000000000003</v>
      </c>
      <c r="ED172">
        <v>12.039899999999999</v>
      </c>
      <c r="EE172">
        <v>5.0167999999999999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1.8646199999999999</v>
      </c>
      <c r="EM172">
        <v>1.8691899999999999</v>
      </c>
      <c r="EN172">
        <v>1.8672299999999999</v>
      </c>
      <c r="EO172">
        <v>1.8633999999999999</v>
      </c>
      <c r="EP172">
        <v>1.8644700000000001</v>
      </c>
      <c r="EQ172">
        <v>1.87015</v>
      </c>
      <c r="ER172">
        <v>1.8693900000000001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-4.8000000000000001E-2</v>
      </c>
      <c r="FG172">
        <v>0.28160000000000002</v>
      </c>
      <c r="FH172">
        <v>0.23539598422606861</v>
      </c>
      <c r="FI172">
        <v>-6.1462078757559423E-4</v>
      </c>
      <c r="FJ172">
        <v>-1.8861989874597051E-7</v>
      </c>
      <c r="FK172">
        <v>1.1980462299894961E-10</v>
      </c>
      <c r="FL172">
        <v>0.28151999999999688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35.200000000000003</v>
      </c>
      <c r="FU172">
        <v>35.4</v>
      </c>
      <c r="FV172">
        <v>1.7639199999999999</v>
      </c>
      <c r="FW172">
        <v>2.5878899999999998</v>
      </c>
      <c r="FX172">
        <v>1.5490699999999999</v>
      </c>
      <c r="FY172">
        <v>2.3303199999999999</v>
      </c>
      <c r="FZ172">
        <v>1.50146</v>
      </c>
      <c r="GA172">
        <v>2.3107899999999999</v>
      </c>
      <c r="GB172">
        <v>33.602899999999998</v>
      </c>
      <c r="GC172">
        <v>23.973700000000001</v>
      </c>
      <c r="GD172">
        <v>19</v>
      </c>
      <c r="GE172">
        <v>286.142</v>
      </c>
      <c r="GF172">
        <v>578.83299999999997</v>
      </c>
      <c r="GG172">
        <v>25.328399999999998</v>
      </c>
      <c r="GH172">
        <v>26.0656</v>
      </c>
      <c r="GI172">
        <v>30.0002</v>
      </c>
      <c r="GJ172">
        <v>26.180700000000002</v>
      </c>
      <c r="GK172">
        <v>26.157</v>
      </c>
      <c r="GL172">
        <v>35.259500000000003</v>
      </c>
      <c r="GM172">
        <v>100</v>
      </c>
      <c r="GN172">
        <v>27.584399999999999</v>
      </c>
      <c r="GO172">
        <v>25.3141</v>
      </c>
      <c r="GP172">
        <v>800</v>
      </c>
      <c r="GQ172">
        <v>0</v>
      </c>
      <c r="GR172">
        <v>99.791300000000007</v>
      </c>
      <c r="GS172">
        <v>99.663799999999995</v>
      </c>
    </row>
    <row r="173" spans="1:201" x14ac:dyDescent="0.25">
      <c r="A173">
        <v>157</v>
      </c>
      <c r="B173">
        <v>1690302599.5999999</v>
      </c>
      <c r="C173">
        <v>1695.599999904633</v>
      </c>
      <c r="D173" t="s">
        <v>645</v>
      </c>
      <c r="E173" t="s">
        <v>646</v>
      </c>
      <c r="F173" t="s">
        <v>330</v>
      </c>
      <c r="H173">
        <v>1690302599.5999999</v>
      </c>
      <c r="I173">
        <f t="shared" si="60"/>
        <v>2.3834114288171929E-3</v>
      </c>
      <c r="J173">
        <f t="shared" si="61"/>
        <v>2.383411428817193</v>
      </c>
      <c r="K173">
        <f t="shared" si="62"/>
        <v>33.80813271555165</v>
      </c>
      <c r="L173">
        <f t="shared" si="63"/>
        <v>420.80200000000002</v>
      </c>
      <c r="M173">
        <f t="shared" si="64"/>
        <v>110.78027363494193</v>
      </c>
      <c r="N173">
        <f t="shared" si="65"/>
        <v>11.012317822627079</v>
      </c>
      <c r="O173">
        <f t="shared" si="66"/>
        <v>41.830600452096</v>
      </c>
      <c r="P173">
        <f t="shared" si="67"/>
        <v>0.18513325393772853</v>
      </c>
      <c r="Q173">
        <f t="shared" si="68"/>
        <v>2.1135732638979388</v>
      </c>
      <c r="R173">
        <f t="shared" si="69"/>
        <v>0.17657296507770251</v>
      </c>
      <c r="S173">
        <f t="shared" si="70"/>
        <v>0.11109422153260602</v>
      </c>
      <c r="T173">
        <f t="shared" si="71"/>
        <v>276.11701106087264</v>
      </c>
      <c r="U173">
        <f t="shared" si="72"/>
        <v>28.180559234402843</v>
      </c>
      <c r="V173">
        <f t="shared" si="73"/>
        <v>28.180559234402843</v>
      </c>
      <c r="W173">
        <f t="shared" si="74"/>
        <v>3.8349679851458682</v>
      </c>
      <c r="X173">
        <f t="shared" si="75"/>
        <v>71.618495394204757</v>
      </c>
      <c r="Y173">
        <f t="shared" si="76"/>
        <v>2.5361569723391999</v>
      </c>
      <c r="Z173">
        <f t="shared" si="77"/>
        <v>3.5412039283701859</v>
      </c>
      <c r="AA173">
        <f t="shared" si="78"/>
        <v>1.2988110128066683</v>
      </c>
      <c r="AB173">
        <f t="shared" si="79"/>
        <v>-105.10844401083821</v>
      </c>
      <c r="AC173">
        <f t="shared" si="80"/>
        <v>-155.19111686010569</v>
      </c>
      <c r="AD173">
        <f t="shared" si="81"/>
        <v>-15.925555740639757</v>
      </c>
      <c r="AE173">
        <f t="shared" si="82"/>
        <v>-0.10810555071103067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52384.841731115346</v>
      </c>
      <c r="AK173">
        <f t="shared" si="86"/>
        <v>1800.01</v>
      </c>
      <c r="AL173">
        <f t="shared" si="87"/>
        <v>1499.12215901017</v>
      </c>
      <c r="AM173">
        <f t="shared" si="88"/>
        <v>0.83284101700000002</v>
      </c>
      <c r="AN173">
        <f t="shared" si="89"/>
        <v>0.15339748726999997</v>
      </c>
      <c r="AO173">
        <v>32.700000000000003</v>
      </c>
      <c r="AP173">
        <v>0.5</v>
      </c>
      <c r="AQ173" t="s">
        <v>331</v>
      </c>
      <c r="AR173">
        <v>2</v>
      </c>
      <c r="AS173">
        <v>1690302599.5999999</v>
      </c>
      <c r="AT173">
        <v>420.80200000000002</v>
      </c>
      <c r="AU173">
        <v>799.995</v>
      </c>
      <c r="AV173">
        <v>25.512899999999998</v>
      </c>
      <c r="AW173">
        <v>0.21304899999999999</v>
      </c>
      <c r="AX173">
        <v>420.85</v>
      </c>
      <c r="AY173">
        <v>25.231400000000001</v>
      </c>
      <c r="AZ173">
        <v>300.19600000000003</v>
      </c>
      <c r="BA173">
        <v>99.306799999999996</v>
      </c>
      <c r="BB173">
        <v>0.100048</v>
      </c>
      <c r="BC173">
        <v>26.8186</v>
      </c>
      <c r="BD173">
        <v>26.988600000000002</v>
      </c>
      <c r="BE173">
        <v>28.1311</v>
      </c>
      <c r="BF173">
        <v>0</v>
      </c>
      <c r="BG173">
        <v>0</v>
      </c>
      <c r="BH173">
        <v>9968.75</v>
      </c>
      <c r="BI173">
        <v>1079.2</v>
      </c>
      <c r="BJ173">
        <v>1.6231100000000001</v>
      </c>
      <c r="BK173">
        <v>-379.19200000000001</v>
      </c>
      <c r="BL173">
        <v>431.81900000000002</v>
      </c>
      <c r="BM173">
        <v>800.16499999999996</v>
      </c>
      <c r="BN173">
        <v>25.299900000000001</v>
      </c>
      <c r="BO173">
        <v>799.995</v>
      </c>
      <c r="BP173">
        <v>0.21304899999999999</v>
      </c>
      <c r="BQ173">
        <v>2.5335999999999999</v>
      </c>
      <c r="BR173">
        <v>2.11573E-2</v>
      </c>
      <c r="BS173">
        <v>21.244</v>
      </c>
      <c r="BT173">
        <v>-38.882300000000001</v>
      </c>
      <c r="BU173">
        <v>1800.01</v>
      </c>
      <c r="BV173">
        <v>0.91000499999999995</v>
      </c>
      <c r="BW173">
        <v>3.3991899999999999E-2</v>
      </c>
      <c r="BX173">
        <v>2.2002600000000001E-2</v>
      </c>
      <c r="BY173">
        <v>3.4000299999999997E-2</v>
      </c>
      <c r="BZ173">
        <v>26</v>
      </c>
      <c r="CA173">
        <v>33528.5</v>
      </c>
      <c r="CB173">
        <v>1690300477.5</v>
      </c>
      <c r="CC173" t="s">
        <v>332</v>
      </c>
      <c r="CD173">
        <v>1690300477.5</v>
      </c>
      <c r="CE173">
        <v>1690300465.5</v>
      </c>
      <c r="CF173">
        <v>7</v>
      </c>
      <c r="CG173">
        <v>5.0999999999999997E-2</v>
      </c>
      <c r="CH173">
        <v>-8.0000000000000002E-3</v>
      </c>
      <c r="CI173">
        <v>-0.316</v>
      </c>
      <c r="CJ173">
        <v>0.28199999999999997</v>
      </c>
      <c r="CK173">
        <v>800</v>
      </c>
      <c r="CL173">
        <v>24</v>
      </c>
      <c r="CM173">
        <v>0.25</v>
      </c>
      <c r="CN173">
        <v>0.13</v>
      </c>
      <c r="CO173">
        <v>-378.27572500000002</v>
      </c>
      <c r="CP173">
        <v>-5.9172495309554964</v>
      </c>
      <c r="CQ173">
        <v>0.57154282374552134</v>
      </c>
      <c r="CR173">
        <v>-1</v>
      </c>
      <c r="CS173">
        <v>25.258085000000001</v>
      </c>
      <c r="CT173">
        <v>0.25709493433386621</v>
      </c>
      <c r="CU173">
        <v>2.4763517015965329E-2</v>
      </c>
      <c r="CV173">
        <v>-1</v>
      </c>
      <c r="CW173">
        <v>0</v>
      </c>
      <c r="CX173">
        <v>0</v>
      </c>
      <c r="CY173" t="s">
        <v>333</v>
      </c>
      <c r="CZ173">
        <v>2.3648699999999998</v>
      </c>
      <c r="DA173">
        <v>2.7138100000000001</v>
      </c>
      <c r="DB173">
        <v>9.3251700000000007E-2</v>
      </c>
      <c r="DC173">
        <v>0.14635899999999999</v>
      </c>
      <c r="DD173">
        <v>0.11892</v>
      </c>
      <c r="DE173">
        <v>1.7925300000000001E-3</v>
      </c>
      <c r="DF173">
        <v>33126.400000000001</v>
      </c>
      <c r="DG173">
        <v>27536</v>
      </c>
      <c r="DH173">
        <v>31187.8</v>
      </c>
      <c r="DI173">
        <v>28107.7</v>
      </c>
      <c r="DJ173">
        <v>37301.4</v>
      </c>
      <c r="DK173">
        <v>39906.9</v>
      </c>
      <c r="DL173">
        <v>44386.9</v>
      </c>
      <c r="DM173">
        <v>42604</v>
      </c>
      <c r="DN173">
        <v>1.4854499999999999</v>
      </c>
      <c r="DO173">
        <v>2.0335800000000002</v>
      </c>
      <c r="DP173">
        <v>8.8356400000000002E-2</v>
      </c>
      <c r="DQ173">
        <v>0.16775000000000001</v>
      </c>
      <c r="DR173">
        <v>25.541899999999998</v>
      </c>
      <c r="DS173">
        <v>25.386600000000001</v>
      </c>
      <c r="DT173">
        <v>30.9</v>
      </c>
      <c r="DU173">
        <v>29</v>
      </c>
      <c r="DV173">
        <v>12.513400000000001</v>
      </c>
      <c r="DW173">
        <v>61.551099999999998</v>
      </c>
      <c r="DX173">
        <v>36.286099999999998</v>
      </c>
      <c r="DY173">
        <v>1</v>
      </c>
      <c r="DZ173">
        <v>-0.10628600000000001</v>
      </c>
      <c r="EA173">
        <v>-0.13444999999999999</v>
      </c>
      <c r="EB173">
        <v>20.189599999999999</v>
      </c>
      <c r="EC173">
        <v>5.2409499999999998</v>
      </c>
      <c r="ED173">
        <v>12.039899999999999</v>
      </c>
      <c r="EE173">
        <v>5.0164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1.8646199999999999</v>
      </c>
      <c r="EM173">
        <v>1.8691899999999999</v>
      </c>
      <c r="EN173">
        <v>1.8672200000000001</v>
      </c>
      <c r="EO173">
        <v>1.8633900000000001</v>
      </c>
      <c r="EP173">
        <v>1.8644700000000001</v>
      </c>
      <c r="EQ173">
        <v>1.8701399999999999</v>
      </c>
      <c r="ER173">
        <v>1.8694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-4.8000000000000001E-2</v>
      </c>
      <c r="FG173">
        <v>0.28149999999999997</v>
      </c>
      <c r="FH173">
        <v>0.23539598422606861</v>
      </c>
      <c r="FI173">
        <v>-6.1462078757559423E-4</v>
      </c>
      <c r="FJ173">
        <v>-1.8861989874597051E-7</v>
      </c>
      <c r="FK173">
        <v>1.1980462299894961E-10</v>
      </c>
      <c r="FL173">
        <v>0.28151999999999688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35.4</v>
      </c>
      <c r="FU173">
        <v>35.6</v>
      </c>
      <c r="FV173">
        <v>1.7639199999999999</v>
      </c>
      <c r="FW173">
        <v>2.5915499999999998</v>
      </c>
      <c r="FX173">
        <v>1.5490699999999999</v>
      </c>
      <c r="FY173">
        <v>2.3303199999999999</v>
      </c>
      <c r="FZ173">
        <v>1.50146</v>
      </c>
      <c r="GA173">
        <v>2.33887</v>
      </c>
      <c r="GB173">
        <v>33.602899999999998</v>
      </c>
      <c r="GC173">
        <v>23.973700000000001</v>
      </c>
      <c r="GD173">
        <v>19</v>
      </c>
      <c r="GE173">
        <v>286.07900000000001</v>
      </c>
      <c r="GF173">
        <v>578.81200000000001</v>
      </c>
      <c r="GG173">
        <v>25.291599999999999</v>
      </c>
      <c r="GH173">
        <v>26.067</v>
      </c>
      <c r="GI173">
        <v>30.0002</v>
      </c>
      <c r="GJ173">
        <v>26.180700000000002</v>
      </c>
      <c r="GK173">
        <v>26.157</v>
      </c>
      <c r="GL173">
        <v>35.257800000000003</v>
      </c>
      <c r="GM173">
        <v>100</v>
      </c>
      <c r="GN173">
        <v>27.185600000000001</v>
      </c>
      <c r="GO173">
        <v>25.2866</v>
      </c>
      <c r="GP173">
        <v>800</v>
      </c>
      <c r="GQ173">
        <v>0</v>
      </c>
      <c r="GR173">
        <v>99.792500000000004</v>
      </c>
      <c r="GS173">
        <v>99.663300000000007</v>
      </c>
    </row>
    <row r="174" spans="1:201" x14ac:dyDescent="0.25">
      <c r="A174">
        <v>158</v>
      </c>
      <c r="B174">
        <v>1690302609.5999999</v>
      </c>
      <c r="C174">
        <v>1705.599999904633</v>
      </c>
      <c r="D174" t="s">
        <v>647</v>
      </c>
      <c r="E174" t="s">
        <v>648</v>
      </c>
      <c r="F174" t="s">
        <v>330</v>
      </c>
      <c r="H174">
        <v>1690302609.5999999</v>
      </c>
      <c r="I174">
        <f t="shared" si="60"/>
        <v>2.3873420976389574E-3</v>
      </c>
      <c r="J174">
        <f t="shared" si="61"/>
        <v>2.3873420976389577</v>
      </c>
      <c r="K174">
        <f t="shared" si="62"/>
        <v>33.894598831635527</v>
      </c>
      <c r="L174">
        <f t="shared" si="63"/>
        <v>419.93700000000001</v>
      </c>
      <c r="M174">
        <f t="shared" si="64"/>
        <v>110.64853918976993</v>
      </c>
      <c r="N174">
        <f t="shared" si="65"/>
        <v>10.999286582163693</v>
      </c>
      <c r="O174">
        <f t="shared" si="66"/>
        <v>41.744856672098997</v>
      </c>
      <c r="P174">
        <f t="shared" si="67"/>
        <v>0.18609049084672699</v>
      </c>
      <c r="Q174">
        <f t="shared" si="68"/>
        <v>2.1093214422941351</v>
      </c>
      <c r="R174">
        <f t="shared" si="69"/>
        <v>0.17742711464417554</v>
      </c>
      <c r="S174">
        <f t="shared" si="70"/>
        <v>0.1116367010209085</v>
      </c>
      <c r="T174">
        <f t="shared" si="71"/>
        <v>276.11547597000003</v>
      </c>
      <c r="U174">
        <f t="shared" si="72"/>
        <v>28.178359031046533</v>
      </c>
      <c r="V174">
        <f t="shared" si="73"/>
        <v>28.178359031046533</v>
      </c>
      <c r="W174">
        <f t="shared" si="74"/>
        <v>3.834476782853296</v>
      </c>
      <c r="X174">
        <f t="shared" si="75"/>
        <v>71.735295246814673</v>
      </c>
      <c r="Y174">
        <f t="shared" si="76"/>
        <v>2.5398001153937999</v>
      </c>
      <c r="Z174">
        <f t="shared" si="77"/>
        <v>3.540516710296215</v>
      </c>
      <c r="AA174">
        <f t="shared" si="78"/>
        <v>1.2946766674594961</v>
      </c>
      <c r="AB174">
        <f t="shared" si="79"/>
        <v>-105.28178650587802</v>
      </c>
      <c r="AC174">
        <f t="shared" si="80"/>
        <v>-155.00398922171803</v>
      </c>
      <c r="AD174">
        <f t="shared" si="81"/>
        <v>-15.937978340990295</v>
      </c>
      <c r="AE174">
        <f t="shared" si="82"/>
        <v>-0.10827809858631099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52199.603496148608</v>
      </c>
      <c r="AK174">
        <f t="shared" si="86"/>
        <v>1800</v>
      </c>
      <c r="AL174">
        <f t="shared" si="87"/>
        <v>1499.1148170000001</v>
      </c>
      <c r="AM174">
        <f t="shared" si="88"/>
        <v>0.83284156500000006</v>
      </c>
      <c r="AN174">
        <f t="shared" si="89"/>
        <v>0.15339748665000003</v>
      </c>
      <c r="AO174">
        <v>32.700000000000003</v>
      </c>
      <c r="AP174">
        <v>0.5</v>
      </c>
      <c r="AQ174" t="s">
        <v>331</v>
      </c>
      <c r="AR174">
        <v>2</v>
      </c>
      <c r="AS174">
        <v>1690302609.5999999</v>
      </c>
      <c r="AT174">
        <v>419.93700000000001</v>
      </c>
      <c r="AU174">
        <v>800.03700000000003</v>
      </c>
      <c r="AV174">
        <v>25.549399999999999</v>
      </c>
      <c r="AW174">
        <v>0.21079999999999999</v>
      </c>
      <c r="AX174">
        <v>419.98399999999998</v>
      </c>
      <c r="AY174">
        <v>25.267800000000001</v>
      </c>
      <c r="AZ174">
        <v>300.22000000000003</v>
      </c>
      <c r="BA174">
        <v>99.307299999999998</v>
      </c>
      <c r="BB174">
        <v>0.10012699999999999</v>
      </c>
      <c r="BC174">
        <v>26.815300000000001</v>
      </c>
      <c r="BD174">
        <v>27.000399999999999</v>
      </c>
      <c r="BE174">
        <v>28.150700000000001</v>
      </c>
      <c r="BF174">
        <v>0</v>
      </c>
      <c r="BG174">
        <v>0</v>
      </c>
      <c r="BH174">
        <v>9931.8799999999992</v>
      </c>
      <c r="BI174">
        <v>1079.02</v>
      </c>
      <c r="BJ174">
        <v>1.7380500000000001</v>
      </c>
      <c r="BK174">
        <v>-380.101</v>
      </c>
      <c r="BL174">
        <v>430.947</v>
      </c>
      <c r="BM174">
        <v>800.20600000000002</v>
      </c>
      <c r="BN174">
        <v>25.3386</v>
      </c>
      <c r="BO174">
        <v>800.03700000000003</v>
      </c>
      <c r="BP174">
        <v>0.21079999999999999</v>
      </c>
      <c r="BQ174">
        <v>2.5372400000000002</v>
      </c>
      <c r="BR174">
        <v>2.0934000000000001E-2</v>
      </c>
      <c r="BS174">
        <v>21.267399999999999</v>
      </c>
      <c r="BT174">
        <v>-38.984999999999999</v>
      </c>
      <c r="BU174">
        <v>1800</v>
      </c>
      <c r="BV174">
        <v>0.91000800000000004</v>
      </c>
      <c r="BW174">
        <v>3.3990899999999998E-2</v>
      </c>
      <c r="BX174">
        <v>2.2002000000000001E-2</v>
      </c>
      <c r="BY174">
        <v>3.3999300000000003E-2</v>
      </c>
      <c r="BZ174">
        <v>26</v>
      </c>
      <c r="CA174">
        <v>33528.5</v>
      </c>
      <c r="CB174">
        <v>1690300477.5</v>
      </c>
      <c r="CC174" t="s">
        <v>332</v>
      </c>
      <c r="CD174">
        <v>1690300477.5</v>
      </c>
      <c r="CE174">
        <v>1690300465.5</v>
      </c>
      <c r="CF174">
        <v>7</v>
      </c>
      <c r="CG174">
        <v>5.0999999999999997E-2</v>
      </c>
      <c r="CH174">
        <v>-8.0000000000000002E-3</v>
      </c>
      <c r="CI174">
        <v>-0.316</v>
      </c>
      <c r="CJ174">
        <v>0.28199999999999997</v>
      </c>
      <c r="CK174">
        <v>800</v>
      </c>
      <c r="CL174">
        <v>24</v>
      </c>
      <c r="CM174">
        <v>0.25</v>
      </c>
      <c r="CN174">
        <v>0.13</v>
      </c>
      <c r="CO174">
        <v>-379.19307500000002</v>
      </c>
      <c r="CP174">
        <v>-4.9672007504677289</v>
      </c>
      <c r="CQ174">
        <v>0.48025708675146289</v>
      </c>
      <c r="CR174">
        <v>-1</v>
      </c>
      <c r="CS174">
        <v>25.296939999999999</v>
      </c>
      <c r="CT174">
        <v>0.21123602251401799</v>
      </c>
      <c r="CU174">
        <v>2.0355242567948191E-2</v>
      </c>
      <c r="CV174">
        <v>-1</v>
      </c>
      <c r="CW174">
        <v>0</v>
      </c>
      <c r="CX174">
        <v>0</v>
      </c>
      <c r="CY174" t="s">
        <v>333</v>
      </c>
      <c r="CZ174">
        <v>2.36497</v>
      </c>
      <c r="DA174">
        <v>2.7138599999999999</v>
      </c>
      <c r="DB174">
        <v>9.3104300000000001E-2</v>
      </c>
      <c r="DC174">
        <v>0.14636199999999999</v>
      </c>
      <c r="DD174">
        <v>0.119037</v>
      </c>
      <c r="DE174">
        <v>1.77382E-3</v>
      </c>
      <c r="DF174">
        <v>33131.9</v>
      </c>
      <c r="DG174">
        <v>27536.3</v>
      </c>
      <c r="DH174">
        <v>31187.9</v>
      </c>
      <c r="DI174">
        <v>28108.1</v>
      </c>
      <c r="DJ174">
        <v>37296.6</v>
      </c>
      <c r="DK174">
        <v>39908</v>
      </c>
      <c r="DL174">
        <v>44387.1</v>
      </c>
      <c r="DM174">
        <v>42604.4</v>
      </c>
      <c r="DN174">
        <v>1.4858199999999999</v>
      </c>
      <c r="DO174">
        <v>2.0334500000000002</v>
      </c>
      <c r="DP174">
        <v>8.8848200000000002E-2</v>
      </c>
      <c r="DQ174">
        <v>0.168823</v>
      </c>
      <c r="DR174">
        <v>25.5457</v>
      </c>
      <c r="DS174">
        <v>25.3888</v>
      </c>
      <c r="DT174">
        <v>30.6</v>
      </c>
      <c r="DU174">
        <v>29</v>
      </c>
      <c r="DV174">
        <v>12.394299999999999</v>
      </c>
      <c r="DW174">
        <v>61.781100000000002</v>
      </c>
      <c r="DX174">
        <v>36.458300000000001</v>
      </c>
      <c r="DY174">
        <v>1</v>
      </c>
      <c r="DZ174">
        <v>-0.106336</v>
      </c>
      <c r="EA174">
        <v>-0.29094799999999998</v>
      </c>
      <c r="EB174">
        <v>20.1892</v>
      </c>
      <c r="EC174">
        <v>5.2406499999999996</v>
      </c>
      <c r="ED174">
        <v>12.039899999999999</v>
      </c>
      <c r="EE174">
        <v>5.0167999999999999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1.8646199999999999</v>
      </c>
      <c r="EM174">
        <v>1.8692</v>
      </c>
      <c r="EN174">
        <v>1.8672200000000001</v>
      </c>
      <c r="EO174">
        <v>1.86338</v>
      </c>
      <c r="EP174">
        <v>1.8644700000000001</v>
      </c>
      <c r="EQ174">
        <v>1.87015</v>
      </c>
      <c r="ER174">
        <v>1.8694200000000001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-4.7E-2</v>
      </c>
      <c r="FG174">
        <v>0.28160000000000002</v>
      </c>
      <c r="FH174">
        <v>0.23539598422606861</v>
      </c>
      <c r="FI174">
        <v>-6.1462078757559423E-4</v>
      </c>
      <c r="FJ174">
        <v>-1.8861989874597051E-7</v>
      </c>
      <c r="FK174">
        <v>1.1980462299894961E-10</v>
      </c>
      <c r="FL174">
        <v>0.28151999999999688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35.5</v>
      </c>
      <c r="FU174">
        <v>35.700000000000003</v>
      </c>
      <c r="FV174">
        <v>1.7639199999999999</v>
      </c>
      <c r="FW174">
        <v>2.5964399999999999</v>
      </c>
      <c r="FX174">
        <v>1.5490699999999999</v>
      </c>
      <c r="FY174">
        <v>2.3303199999999999</v>
      </c>
      <c r="FZ174">
        <v>1.50146</v>
      </c>
      <c r="GA174">
        <v>2.31812</v>
      </c>
      <c r="GB174">
        <v>33.602899999999998</v>
      </c>
      <c r="GC174">
        <v>23.973700000000001</v>
      </c>
      <c r="GD174">
        <v>19</v>
      </c>
      <c r="GE174">
        <v>286.24900000000002</v>
      </c>
      <c r="GF174">
        <v>578.71</v>
      </c>
      <c r="GG174">
        <v>25.3109</v>
      </c>
      <c r="GH174">
        <v>26.067799999999998</v>
      </c>
      <c r="GI174">
        <v>29.999700000000001</v>
      </c>
      <c r="GJ174">
        <v>26.1829</v>
      </c>
      <c r="GK174">
        <v>26.157</v>
      </c>
      <c r="GL174">
        <v>35.255800000000001</v>
      </c>
      <c r="GM174">
        <v>100</v>
      </c>
      <c r="GN174">
        <v>26.398499999999999</v>
      </c>
      <c r="GO174">
        <v>25.325500000000002</v>
      </c>
      <c r="GP174">
        <v>800</v>
      </c>
      <c r="GQ174">
        <v>0</v>
      </c>
      <c r="GR174">
        <v>99.793000000000006</v>
      </c>
      <c r="GS174">
        <v>99.664400000000001</v>
      </c>
    </row>
    <row r="175" spans="1:201" x14ac:dyDescent="0.25">
      <c r="A175">
        <v>159</v>
      </c>
      <c r="B175">
        <v>1690302619.5999999</v>
      </c>
      <c r="C175">
        <v>1715.599999904633</v>
      </c>
      <c r="D175" t="s">
        <v>649</v>
      </c>
      <c r="E175" t="s">
        <v>650</v>
      </c>
      <c r="F175" t="s">
        <v>330</v>
      </c>
      <c r="H175">
        <v>1690302619.5999999</v>
      </c>
      <c r="I175">
        <f t="shared" si="60"/>
        <v>2.3909520471354748E-3</v>
      </c>
      <c r="J175">
        <f t="shared" si="61"/>
        <v>2.3909520471354746</v>
      </c>
      <c r="K175">
        <f t="shared" si="62"/>
        <v>33.961664020964577</v>
      </c>
      <c r="L175">
        <f t="shared" si="63"/>
        <v>419.11399999999998</v>
      </c>
      <c r="M175">
        <f t="shared" si="64"/>
        <v>110.6725589831385</v>
      </c>
      <c r="N175">
        <f t="shared" si="65"/>
        <v>11.001736304652566</v>
      </c>
      <c r="O175">
        <f t="shared" si="66"/>
        <v>41.663279063517997</v>
      </c>
      <c r="P175">
        <f t="shared" si="67"/>
        <v>0.18697016857762569</v>
      </c>
      <c r="Q175">
        <f t="shared" si="68"/>
        <v>2.1175406038644047</v>
      </c>
      <c r="R175">
        <f t="shared" si="69"/>
        <v>0.178258998451022</v>
      </c>
      <c r="S175">
        <f t="shared" si="70"/>
        <v>0.1121607104278383</v>
      </c>
      <c r="T175">
        <f t="shared" si="71"/>
        <v>276.11552840399997</v>
      </c>
      <c r="U175">
        <f t="shared" si="72"/>
        <v>28.176586152973343</v>
      </c>
      <c r="V175">
        <f t="shared" si="73"/>
        <v>28.176586152973343</v>
      </c>
      <c r="W175">
        <f t="shared" si="74"/>
        <v>3.8340810222006709</v>
      </c>
      <c r="X175">
        <f t="shared" si="75"/>
        <v>71.821981092885622</v>
      </c>
      <c r="Y175">
        <f t="shared" si="76"/>
        <v>2.5435124001742002</v>
      </c>
      <c r="Z175">
        <f t="shared" si="77"/>
        <v>3.541412199260749</v>
      </c>
      <c r="AA175">
        <f t="shared" si="78"/>
        <v>1.2905686220264707</v>
      </c>
      <c r="AB175">
        <f t="shared" si="79"/>
        <v>-105.44098527867443</v>
      </c>
      <c r="AC175">
        <f t="shared" si="80"/>
        <v>-154.91469135290484</v>
      </c>
      <c r="AD175">
        <f t="shared" si="81"/>
        <v>-15.867168816530793</v>
      </c>
      <c r="AE175">
        <f t="shared" si="82"/>
        <v>-0.10731704411008991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52558.478984277863</v>
      </c>
      <c r="AK175">
        <f t="shared" si="86"/>
        <v>1800</v>
      </c>
      <c r="AL175">
        <f t="shared" si="87"/>
        <v>1499.1134184</v>
      </c>
      <c r="AM175">
        <f t="shared" si="88"/>
        <v>0.83284078800000005</v>
      </c>
      <c r="AN175">
        <f t="shared" si="89"/>
        <v>0.15339751577999999</v>
      </c>
      <c r="AO175">
        <v>32.700000000000003</v>
      </c>
      <c r="AP175">
        <v>0.5</v>
      </c>
      <c r="AQ175" t="s">
        <v>331</v>
      </c>
      <c r="AR175">
        <v>2</v>
      </c>
      <c r="AS175">
        <v>1690302619.5999999</v>
      </c>
      <c r="AT175">
        <v>419.11399999999998</v>
      </c>
      <c r="AU175">
        <v>799.97</v>
      </c>
      <c r="AV175">
        <v>25.586600000000001</v>
      </c>
      <c r="AW175">
        <v>0.208625</v>
      </c>
      <c r="AX175">
        <v>419.161</v>
      </c>
      <c r="AY175">
        <v>25.305099999999999</v>
      </c>
      <c r="AZ175">
        <v>300.19600000000003</v>
      </c>
      <c r="BA175">
        <v>99.308000000000007</v>
      </c>
      <c r="BB175">
        <v>9.9987000000000006E-2</v>
      </c>
      <c r="BC175">
        <v>26.819600000000001</v>
      </c>
      <c r="BD175">
        <v>26.995699999999999</v>
      </c>
      <c r="BE175">
        <v>28.149699999999999</v>
      </c>
      <c r="BF175">
        <v>0</v>
      </c>
      <c r="BG175">
        <v>0</v>
      </c>
      <c r="BH175">
        <v>10003.1</v>
      </c>
      <c r="BI175">
        <v>1078.93</v>
      </c>
      <c r="BJ175">
        <v>1.7380500000000001</v>
      </c>
      <c r="BK175">
        <v>-380.85599999999999</v>
      </c>
      <c r="BL175">
        <v>430.12</v>
      </c>
      <c r="BM175">
        <v>800.13699999999994</v>
      </c>
      <c r="BN175">
        <v>25.3779</v>
      </c>
      <c r="BO175">
        <v>799.97</v>
      </c>
      <c r="BP175">
        <v>0.208625</v>
      </c>
      <c r="BQ175">
        <v>2.54095</v>
      </c>
      <c r="BR175">
        <v>2.07181E-2</v>
      </c>
      <c r="BS175">
        <v>21.2912</v>
      </c>
      <c r="BT175">
        <v>-39.0852</v>
      </c>
      <c r="BU175">
        <v>1800</v>
      </c>
      <c r="BV175">
        <v>0.91000300000000001</v>
      </c>
      <c r="BW175">
        <v>3.39975E-2</v>
      </c>
      <c r="BX175">
        <v>2.2001400000000001E-2</v>
      </c>
      <c r="BY175">
        <v>3.3998399999999998E-2</v>
      </c>
      <c r="BZ175">
        <v>26</v>
      </c>
      <c r="CA175">
        <v>33528.300000000003</v>
      </c>
      <c r="CB175">
        <v>1690300477.5</v>
      </c>
      <c r="CC175" t="s">
        <v>332</v>
      </c>
      <c r="CD175">
        <v>1690300477.5</v>
      </c>
      <c r="CE175">
        <v>1690300465.5</v>
      </c>
      <c r="CF175">
        <v>7</v>
      </c>
      <c r="CG175">
        <v>5.0999999999999997E-2</v>
      </c>
      <c r="CH175">
        <v>-8.0000000000000002E-3</v>
      </c>
      <c r="CI175">
        <v>-0.316</v>
      </c>
      <c r="CJ175">
        <v>0.28199999999999997</v>
      </c>
      <c r="CK175">
        <v>800</v>
      </c>
      <c r="CL175">
        <v>24</v>
      </c>
      <c r="CM175">
        <v>0.25</v>
      </c>
      <c r="CN175">
        <v>0.13</v>
      </c>
      <c r="CO175">
        <v>-379.99702500000001</v>
      </c>
      <c r="CP175">
        <v>-4.8535046904302312</v>
      </c>
      <c r="CQ175">
        <v>0.46874931933283692</v>
      </c>
      <c r="CR175">
        <v>-1</v>
      </c>
      <c r="CS175">
        <v>25.333712500000001</v>
      </c>
      <c r="CT175">
        <v>0.23675684802993849</v>
      </c>
      <c r="CU175">
        <v>2.2789736587990529E-2</v>
      </c>
      <c r="CV175">
        <v>-1</v>
      </c>
      <c r="CW175">
        <v>0</v>
      </c>
      <c r="CX175">
        <v>0</v>
      </c>
      <c r="CY175" t="s">
        <v>333</v>
      </c>
      <c r="CZ175">
        <v>2.3649</v>
      </c>
      <c r="DA175">
        <v>2.7137799999999999</v>
      </c>
      <c r="DB175">
        <v>9.2967900000000006E-2</v>
      </c>
      <c r="DC175">
        <v>0.14635600000000001</v>
      </c>
      <c r="DD175">
        <v>0.119161</v>
      </c>
      <c r="DE175">
        <v>1.75578E-3</v>
      </c>
      <c r="DF175">
        <v>33136.9</v>
      </c>
      <c r="DG175">
        <v>27536.3</v>
      </c>
      <c r="DH175">
        <v>31188</v>
      </c>
      <c r="DI175">
        <v>28107.9</v>
      </c>
      <c r="DJ175">
        <v>37291.300000000003</v>
      </c>
      <c r="DK175">
        <v>39908.699999999997</v>
      </c>
      <c r="DL175">
        <v>44387.1</v>
      </c>
      <c r="DM175">
        <v>42604.4</v>
      </c>
      <c r="DN175">
        <v>1.48573</v>
      </c>
      <c r="DO175">
        <v>2.0335800000000002</v>
      </c>
      <c r="DP175">
        <v>8.8445800000000005E-2</v>
      </c>
      <c r="DQ175">
        <v>0.168629</v>
      </c>
      <c r="DR175">
        <v>25.547599999999999</v>
      </c>
      <c r="DS175">
        <v>25.390899999999998</v>
      </c>
      <c r="DT175">
        <v>30.2</v>
      </c>
      <c r="DU175">
        <v>29</v>
      </c>
      <c r="DV175">
        <v>12.2309</v>
      </c>
      <c r="DW175">
        <v>61.561100000000003</v>
      </c>
      <c r="DX175">
        <v>36.502400000000002</v>
      </c>
      <c r="DY175">
        <v>1</v>
      </c>
      <c r="DZ175">
        <v>-0.10607999999999999</v>
      </c>
      <c r="EA175">
        <v>-0.221577</v>
      </c>
      <c r="EB175">
        <v>20.189299999999999</v>
      </c>
      <c r="EC175">
        <v>5.2409499999999998</v>
      </c>
      <c r="ED175">
        <v>12.039899999999999</v>
      </c>
      <c r="EE175">
        <v>5.0168999999999997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1.8646199999999999</v>
      </c>
      <c r="EM175">
        <v>1.8691899999999999</v>
      </c>
      <c r="EN175">
        <v>1.8672299999999999</v>
      </c>
      <c r="EO175">
        <v>1.86338</v>
      </c>
      <c r="EP175">
        <v>1.8644700000000001</v>
      </c>
      <c r="EQ175">
        <v>1.87015</v>
      </c>
      <c r="ER175">
        <v>1.8694599999999999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-4.7E-2</v>
      </c>
      <c r="FG175">
        <v>0.28149999999999997</v>
      </c>
      <c r="FH175">
        <v>0.23539598422606861</v>
      </c>
      <c r="FI175">
        <v>-6.1462078757559423E-4</v>
      </c>
      <c r="FJ175">
        <v>-1.8861989874597051E-7</v>
      </c>
      <c r="FK175">
        <v>1.1980462299894961E-10</v>
      </c>
      <c r="FL175">
        <v>0.28151999999999688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35.700000000000003</v>
      </c>
      <c r="FU175">
        <v>35.9</v>
      </c>
      <c r="FV175">
        <v>1.7626999999999999</v>
      </c>
      <c r="FW175">
        <v>2.5976599999999999</v>
      </c>
      <c r="FX175">
        <v>1.5490699999999999</v>
      </c>
      <c r="FY175">
        <v>2.3303199999999999</v>
      </c>
      <c r="FZ175">
        <v>1.50146</v>
      </c>
      <c r="GA175">
        <v>2.2863799999999999</v>
      </c>
      <c r="GB175">
        <v>33.602899999999998</v>
      </c>
      <c r="GC175">
        <v>23.973700000000001</v>
      </c>
      <c r="GD175">
        <v>19</v>
      </c>
      <c r="GE175">
        <v>286.20600000000002</v>
      </c>
      <c r="GF175">
        <v>578.81200000000001</v>
      </c>
      <c r="GG175">
        <v>25.330200000000001</v>
      </c>
      <c r="GH175">
        <v>26.069800000000001</v>
      </c>
      <c r="GI175">
        <v>30.000299999999999</v>
      </c>
      <c r="GJ175">
        <v>26.1829</v>
      </c>
      <c r="GK175">
        <v>26.157</v>
      </c>
      <c r="GL175">
        <v>35.254199999999997</v>
      </c>
      <c r="GM175">
        <v>100</v>
      </c>
      <c r="GN175">
        <v>25.625</v>
      </c>
      <c r="GO175">
        <v>25.322299999999998</v>
      </c>
      <c r="GP175">
        <v>800</v>
      </c>
      <c r="GQ175">
        <v>0</v>
      </c>
      <c r="GR175">
        <v>99.793099999999995</v>
      </c>
      <c r="GS175">
        <v>99.664100000000005</v>
      </c>
    </row>
    <row r="176" spans="1:201" x14ac:dyDescent="0.25">
      <c r="A176">
        <v>160</v>
      </c>
      <c r="B176">
        <v>1690302629.5999999</v>
      </c>
      <c r="C176">
        <v>1725.599999904633</v>
      </c>
      <c r="D176" t="s">
        <v>651</v>
      </c>
      <c r="E176" t="s">
        <v>652</v>
      </c>
      <c r="F176" t="s">
        <v>330</v>
      </c>
      <c r="H176">
        <v>1690302629.5999999</v>
      </c>
      <c r="I176">
        <f t="shared" si="60"/>
        <v>2.3931147792425746E-3</v>
      </c>
      <c r="J176">
        <f t="shared" si="61"/>
        <v>2.3931147792425747</v>
      </c>
      <c r="K176">
        <f t="shared" si="62"/>
        <v>34.042770986444957</v>
      </c>
      <c r="L176">
        <f t="shared" si="63"/>
        <v>418.22699999999998</v>
      </c>
      <c r="M176">
        <f t="shared" si="64"/>
        <v>109.99722387934249</v>
      </c>
      <c r="N176">
        <f t="shared" si="65"/>
        <v>10.934640550476006</v>
      </c>
      <c r="O176">
        <f t="shared" si="66"/>
        <v>41.575248467363998</v>
      </c>
      <c r="P176">
        <f t="shared" si="67"/>
        <v>0.18756456125766052</v>
      </c>
      <c r="Q176">
        <f t="shared" si="68"/>
        <v>2.1145988926260619</v>
      </c>
      <c r="R176">
        <f t="shared" si="69"/>
        <v>0.17878773072960766</v>
      </c>
      <c r="S176">
        <f t="shared" si="70"/>
        <v>0.11249666408391118</v>
      </c>
      <c r="T176">
        <f t="shared" si="71"/>
        <v>276.11553729600001</v>
      </c>
      <c r="U176">
        <f t="shared" si="72"/>
        <v>28.176441565574972</v>
      </c>
      <c r="V176">
        <f t="shared" si="73"/>
        <v>28.176441565574972</v>
      </c>
      <c r="W176">
        <f t="shared" si="74"/>
        <v>3.8340487474392311</v>
      </c>
      <c r="X176">
        <f t="shared" si="75"/>
        <v>71.900987163639911</v>
      </c>
      <c r="Y176">
        <f t="shared" si="76"/>
        <v>2.5461456075159998</v>
      </c>
      <c r="Z176">
        <f t="shared" si="77"/>
        <v>3.5411831018692563</v>
      </c>
      <c r="AA176">
        <f t="shared" si="78"/>
        <v>1.2879031399232312</v>
      </c>
      <c r="AB176">
        <f t="shared" si="79"/>
        <v>-105.53636176459754</v>
      </c>
      <c r="AC176">
        <f t="shared" si="80"/>
        <v>-154.80840131173801</v>
      </c>
      <c r="AD176">
        <f t="shared" si="81"/>
        <v>-15.878241875044342</v>
      </c>
      <c r="AE176">
        <f t="shared" si="82"/>
        <v>-0.10746765537987812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52429.781247562911</v>
      </c>
      <c r="AK176">
        <f t="shared" si="86"/>
        <v>1800</v>
      </c>
      <c r="AL176">
        <f t="shared" si="87"/>
        <v>1499.1121565999997</v>
      </c>
      <c r="AM176">
        <f t="shared" si="88"/>
        <v>0.8328400869999999</v>
      </c>
      <c r="AN176">
        <f t="shared" si="89"/>
        <v>0.15339752072000001</v>
      </c>
      <c r="AO176">
        <v>32.700000000000003</v>
      </c>
      <c r="AP176">
        <v>0.5</v>
      </c>
      <c r="AQ176" t="s">
        <v>331</v>
      </c>
      <c r="AR176">
        <v>2</v>
      </c>
      <c r="AS176">
        <v>1690302629.5999999</v>
      </c>
      <c r="AT176">
        <v>418.22699999999998</v>
      </c>
      <c r="AU176">
        <v>800.04100000000005</v>
      </c>
      <c r="AV176">
        <v>25.613</v>
      </c>
      <c r="AW176">
        <v>0.20691799999999999</v>
      </c>
      <c r="AX176">
        <v>418.27300000000002</v>
      </c>
      <c r="AY176">
        <v>25.331499999999998</v>
      </c>
      <c r="AZ176">
        <v>300.12700000000001</v>
      </c>
      <c r="BA176">
        <v>99.308300000000003</v>
      </c>
      <c r="BB176">
        <v>0.100032</v>
      </c>
      <c r="BC176">
        <v>26.8185</v>
      </c>
      <c r="BD176">
        <v>27.002300000000002</v>
      </c>
      <c r="BE176">
        <v>28.145499999999998</v>
      </c>
      <c r="BF176">
        <v>0</v>
      </c>
      <c r="BG176">
        <v>0</v>
      </c>
      <c r="BH176">
        <v>9977.5</v>
      </c>
      <c r="BI176">
        <v>1078.9100000000001</v>
      </c>
      <c r="BJ176">
        <v>1.7380500000000001</v>
      </c>
      <c r="BK176">
        <v>-381.81299999999999</v>
      </c>
      <c r="BL176">
        <v>429.221</v>
      </c>
      <c r="BM176">
        <v>800.20600000000002</v>
      </c>
      <c r="BN176">
        <v>25.406099999999999</v>
      </c>
      <c r="BO176">
        <v>800.04100000000005</v>
      </c>
      <c r="BP176">
        <v>0.20691799999999999</v>
      </c>
      <c r="BQ176">
        <v>2.54359</v>
      </c>
      <c r="BR176">
        <v>2.05487E-2</v>
      </c>
      <c r="BS176">
        <v>21.3081</v>
      </c>
      <c r="BT176">
        <v>-39.1646</v>
      </c>
      <c r="BU176">
        <v>1800</v>
      </c>
      <c r="BV176">
        <v>0.909999</v>
      </c>
      <c r="BW176">
        <v>3.40021E-2</v>
      </c>
      <c r="BX176">
        <v>2.2001099999999999E-2</v>
      </c>
      <c r="BY176">
        <v>3.3998E-2</v>
      </c>
      <c r="BZ176">
        <v>26</v>
      </c>
      <c r="CA176">
        <v>33528.300000000003</v>
      </c>
      <c r="CB176">
        <v>1690300477.5</v>
      </c>
      <c r="CC176" t="s">
        <v>332</v>
      </c>
      <c r="CD176">
        <v>1690300477.5</v>
      </c>
      <c r="CE176">
        <v>1690300465.5</v>
      </c>
      <c r="CF176">
        <v>7</v>
      </c>
      <c r="CG176">
        <v>5.0999999999999997E-2</v>
      </c>
      <c r="CH176">
        <v>-8.0000000000000002E-3</v>
      </c>
      <c r="CI176">
        <v>-0.316</v>
      </c>
      <c r="CJ176">
        <v>0.28199999999999997</v>
      </c>
      <c r="CK176">
        <v>800</v>
      </c>
      <c r="CL176">
        <v>24</v>
      </c>
      <c r="CM176">
        <v>0.25</v>
      </c>
      <c r="CN176">
        <v>0.13</v>
      </c>
      <c r="CO176">
        <v>-380.78287499999999</v>
      </c>
      <c r="CP176">
        <v>-4.7307354596612941</v>
      </c>
      <c r="CQ176">
        <v>0.45584088164073572</v>
      </c>
      <c r="CR176">
        <v>-1</v>
      </c>
      <c r="CS176">
        <v>25.36974</v>
      </c>
      <c r="CT176">
        <v>0.19630469043145291</v>
      </c>
      <c r="CU176">
        <v>1.9084231711022661E-2</v>
      </c>
      <c r="CV176">
        <v>-1</v>
      </c>
      <c r="CW176">
        <v>0</v>
      </c>
      <c r="CX176">
        <v>0</v>
      </c>
      <c r="CY176" t="s">
        <v>333</v>
      </c>
      <c r="CZ176">
        <v>2.3646699999999998</v>
      </c>
      <c r="DA176">
        <v>2.7138</v>
      </c>
      <c r="DB176">
        <v>9.2819100000000002E-2</v>
      </c>
      <c r="DC176">
        <v>0.146365</v>
      </c>
      <c r="DD176">
        <v>0.11924800000000001</v>
      </c>
      <c r="DE176">
        <v>1.7416E-3</v>
      </c>
      <c r="DF176">
        <v>33141.9</v>
      </c>
      <c r="DG176">
        <v>27536.1</v>
      </c>
      <c r="DH176">
        <v>31187.599999999999</v>
      </c>
      <c r="DI176">
        <v>28108</v>
      </c>
      <c r="DJ176">
        <v>37287</v>
      </c>
      <c r="DK176">
        <v>39909.300000000003</v>
      </c>
      <c r="DL176">
        <v>44386.5</v>
      </c>
      <c r="DM176">
        <v>42604.4</v>
      </c>
      <c r="DN176">
        <v>1.4854000000000001</v>
      </c>
      <c r="DO176">
        <v>2.0338500000000002</v>
      </c>
      <c r="DP176">
        <v>8.8848200000000002E-2</v>
      </c>
      <c r="DQ176">
        <v>0.16850200000000001</v>
      </c>
      <c r="DR176">
        <v>25.547599999999999</v>
      </c>
      <c r="DS176">
        <v>25.3888</v>
      </c>
      <c r="DT176">
        <v>29.9</v>
      </c>
      <c r="DU176">
        <v>29</v>
      </c>
      <c r="DV176">
        <v>12.11</v>
      </c>
      <c r="DW176">
        <v>61.671100000000003</v>
      </c>
      <c r="DX176">
        <v>36.5946</v>
      </c>
      <c r="DY176">
        <v>1</v>
      </c>
      <c r="DZ176">
        <v>-0.106438</v>
      </c>
      <c r="EA176">
        <v>-0.22851299999999999</v>
      </c>
      <c r="EB176">
        <v>20.189299999999999</v>
      </c>
      <c r="EC176">
        <v>5.2409499999999998</v>
      </c>
      <c r="ED176">
        <v>12.039899999999999</v>
      </c>
      <c r="EE176">
        <v>5.0168999999999997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1.8689100000000001</v>
      </c>
      <c r="EL176">
        <v>1.8646199999999999</v>
      </c>
      <c r="EM176">
        <v>1.8691899999999999</v>
      </c>
      <c r="EN176">
        <v>1.8672299999999999</v>
      </c>
      <c r="EO176">
        <v>1.8633900000000001</v>
      </c>
      <c r="EP176">
        <v>1.8644700000000001</v>
      </c>
      <c r="EQ176">
        <v>1.8701399999999999</v>
      </c>
      <c r="ER176">
        <v>1.8694500000000001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-4.5999999999999999E-2</v>
      </c>
      <c r="FG176">
        <v>0.28149999999999997</v>
      </c>
      <c r="FH176">
        <v>0.23539598422606861</v>
      </c>
      <c r="FI176">
        <v>-6.1462078757559423E-4</v>
      </c>
      <c r="FJ176">
        <v>-1.8861989874597051E-7</v>
      </c>
      <c r="FK176">
        <v>1.1980462299894961E-10</v>
      </c>
      <c r="FL176">
        <v>0.28151999999999688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35.9</v>
      </c>
      <c r="FU176">
        <v>36.1</v>
      </c>
      <c r="FV176">
        <v>1.7626999999999999</v>
      </c>
      <c r="FW176">
        <v>2.5939899999999998</v>
      </c>
      <c r="FX176">
        <v>1.5490699999999999</v>
      </c>
      <c r="FY176">
        <v>2.3303199999999999</v>
      </c>
      <c r="FZ176">
        <v>1.50146</v>
      </c>
      <c r="GA176">
        <v>2.2900399999999999</v>
      </c>
      <c r="GB176">
        <v>33.602899999999998</v>
      </c>
      <c r="GC176">
        <v>23.982399999999998</v>
      </c>
      <c r="GD176">
        <v>19</v>
      </c>
      <c r="GE176">
        <v>286.06700000000001</v>
      </c>
      <c r="GF176">
        <v>579.03800000000001</v>
      </c>
      <c r="GG176">
        <v>25.326599999999999</v>
      </c>
      <c r="GH176">
        <v>26.07</v>
      </c>
      <c r="GI176">
        <v>29.9999</v>
      </c>
      <c r="GJ176">
        <v>26.1829</v>
      </c>
      <c r="GK176">
        <v>26.157</v>
      </c>
      <c r="GL176">
        <v>35.254399999999997</v>
      </c>
      <c r="GM176">
        <v>100</v>
      </c>
      <c r="GN176">
        <v>24.865300000000001</v>
      </c>
      <c r="GO176">
        <v>25.328800000000001</v>
      </c>
      <c r="GP176">
        <v>800</v>
      </c>
      <c r="GQ176">
        <v>0</v>
      </c>
      <c r="GR176">
        <v>99.791700000000006</v>
      </c>
      <c r="GS176">
        <v>99.664299999999997</v>
      </c>
    </row>
    <row r="177" spans="1:201" x14ac:dyDescent="0.25">
      <c r="A177">
        <v>161</v>
      </c>
      <c r="B177">
        <v>1690302639.5999999</v>
      </c>
      <c r="C177">
        <v>1735.599999904633</v>
      </c>
      <c r="D177" t="s">
        <v>653</v>
      </c>
      <c r="E177" t="s">
        <v>654</v>
      </c>
      <c r="F177" t="s">
        <v>330</v>
      </c>
      <c r="H177">
        <v>1690302639.5999999</v>
      </c>
      <c r="I177">
        <f t="shared" si="60"/>
        <v>2.3967492013401552E-3</v>
      </c>
      <c r="J177">
        <f t="shared" si="61"/>
        <v>2.396749201340155</v>
      </c>
      <c r="K177">
        <f t="shared" si="62"/>
        <v>34.119887603305365</v>
      </c>
      <c r="L177">
        <f t="shared" si="63"/>
        <v>417.39400000000001</v>
      </c>
      <c r="M177">
        <f t="shared" si="64"/>
        <v>110.15108709421759</v>
      </c>
      <c r="N177">
        <f t="shared" si="65"/>
        <v>10.94996601742076</v>
      </c>
      <c r="O177">
        <f t="shared" si="66"/>
        <v>41.492555692764</v>
      </c>
      <c r="P177">
        <f t="shared" si="67"/>
        <v>0.18862070598098457</v>
      </c>
      <c r="Q177">
        <f t="shared" si="68"/>
        <v>2.1169038918184628</v>
      </c>
      <c r="R177">
        <f t="shared" si="69"/>
        <v>0.1797564418369906</v>
      </c>
      <c r="S177">
        <f t="shared" si="70"/>
        <v>0.11310947389385108</v>
      </c>
      <c r="T177">
        <f t="shared" si="71"/>
        <v>276.115586904</v>
      </c>
      <c r="U177">
        <f t="shared" si="72"/>
        <v>28.169330888967583</v>
      </c>
      <c r="V177">
        <f t="shared" si="73"/>
        <v>28.169330888967583</v>
      </c>
      <c r="W177">
        <f t="shared" si="74"/>
        <v>3.8324617964683396</v>
      </c>
      <c r="X177">
        <f t="shared" si="75"/>
        <v>72.016530101730481</v>
      </c>
      <c r="Y177">
        <f t="shared" si="76"/>
        <v>2.5495623406638002</v>
      </c>
      <c r="Z177">
        <f t="shared" si="77"/>
        <v>3.5402460199933139</v>
      </c>
      <c r="AA177">
        <f t="shared" si="78"/>
        <v>1.2828994558045395</v>
      </c>
      <c r="AB177">
        <f t="shared" si="79"/>
        <v>-105.69663977910085</v>
      </c>
      <c r="AC177">
        <f t="shared" si="80"/>
        <v>-154.67920135153861</v>
      </c>
      <c r="AD177">
        <f t="shared" si="81"/>
        <v>-15.846796777751443</v>
      </c>
      <c r="AE177">
        <f t="shared" si="82"/>
        <v>-0.10705100439088255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52531.556427111114</v>
      </c>
      <c r="AK177">
        <f t="shared" si="86"/>
        <v>1800</v>
      </c>
      <c r="AL177">
        <f t="shared" si="87"/>
        <v>1499.1110514</v>
      </c>
      <c r="AM177">
        <f t="shared" si="88"/>
        <v>0.83283947299999994</v>
      </c>
      <c r="AN177">
        <f t="shared" si="89"/>
        <v>0.15339754827999999</v>
      </c>
      <c r="AO177">
        <v>32.700000000000003</v>
      </c>
      <c r="AP177">
        <v>0.5</v>
      </c>
      <c r="AQ177" t="s">
        <v>331</v>
      </c>
      <c r="AR177">
        <v>2</v>
      </c>
      <c r="AS177">
        <v>1690302639.5999999</v>
      </c>
      <c r="AT177">
        <v>417.39400000000001</v>
      </c>
      <c r="AU177">
        <v>800.029</v>
      </c>
      <c r="AV177">
        <v>25.647300000000001</v>
      </c>
      <c r="AW177">
        <v>0.204462</v>
      </c>
      <c r="AX177">
        <v>417.43900000000002</v>
      </c>
      <c r="AY177">
        <v>25.3657</v>
      </c>
      <c r="AZ177">
        <v>300.13799999999998</v>
      </c>
      <c r="BA177">
        <v>99.308599999999998</v>
      </c>
      <c r="BB177">
        <v>0.100006</v>
      </c>
      <c r="BC177">
        <v>26.814</v>
      </c>
      <c r="BD177">
        <v>27.016100000000002</v>
      </c>
      <c r="BE177">
        <v>28.1129</v>
      </c>
      <c r="BF177">
        <v>0</v>
      </c>
      <c r="BG177">
        <v>0</v>
      </c>
      <c r="BH177">
        <v>9997.5</v>
      </c>
      <c r="BI177">
        <v>1078.8399999999999</v>
      </c>
      <c r="BJ177">
        <v>1.7380500000000001</v>
      </c>
      <c r="BK177">
        <v>-382.63600000000002</v>
      </c>
      <c r="BL177">
        <v>428.38</v>
      </c>
      <c r="BM177">
        <v>800.19299999999998</v>
      </c>
      <c r="BN177">
        <v>25.442799999999998</v>
      </c>
      <c r="BO177">
        <v>800.029</v>
      </c>
      <c r="BP177">
        <v>0.204462</v>
      </c>
      <c r="BQ177">
        <v>2.5469900000000001</v>
      </c>
      <c r="BR177">
        <v>2.0304900000000001E-2</v>
      </c>
      <c r="BS177">
        <v>21.329899999999999</v>
      </c>
      <c r="BT177">
        <v>-39.279699999999998</v>
      </c>
      <c r="BU177">
        <v>1800</v>
      </c>
      <c r="BV177">
        <v>0.909995</v>
      </c>
      <c r="BW177">
        <v>3.4006700000000001E-2</v>
      </c>
      <c r="BX177">
        <v>2.20009E-2</v>
      </c>
      <c r="BY177">
        <v>3.3997600000000003E-2</v>
      </c>
      <c r="BZ177">
        <v>26</v>
      </c>
      <c r="CA177">
        <v>33528.300000000003</v>
      </c>
      <c r="CB177">
        <v>1690300477.5</v>
      </c>
      <c r="CC177" t="s">
        <v>332</v>
      </c>
      <c r="CD177">
        <v>1690300477.5</v>
      </c>
      <c r="CE177">
        <v>1690300465.5</v>
      </c>
      <c r="CF177">
        <v>7</v>
      </c>
      <c r="CG177">
        <v>5.0999999999999997E-2</v>
      </c>
      <c r="CH177">
        <v>-8.0000000000000002E-3</v>
      </c>
      <c r="CI177">
        <v>-0.316</v>
      </c>
      <c r="CJ177">
        <v>0.28199999999999997</v>
      </c>
      <c r="CK177">
        <v>800</v>
      </c>
      <c r="CL177">
        <v>24</v>
      </c>
      <c r="CM177">
        <v>0.25</v>
      </c>
      <c r="CN177">
        <v>0.13</v>
      </c>
      <c r="CO177">
        <v>-381.64780487804882</v>
      </c>
      <c r="CP177">
        <v>-5.3311777003489906</v>
      </c>
      <c r="CQ177">
        <v>0.52712904975741248</v>
      </c>
      <c r="CR177">
        <v>-1</v>
      </c>
      <c r="CS177">
        <v>25.40459024390244</v>
      </c>
      <c r="CT177">
        <v>0.20531289198605809</v>
      </c>
      <c r="CU177">
        <v>2.0396996489536579E-2</v>
      </c>
      <c r="CV177">
        <v>-1</v>
      </c>
      <c r="CW177">
        <v>0</v>
      </c>
      <c r="CX177">
        <v>0</v>
      </c>
      <c r="CY177" t="s">
        <v>333</v>
      </c>
      <c r="CZ177">
        <v>2.36469</v>
      </c>
      <c r="DA177">
        <v>2.7137899999999999</v>
      </c>
      <c r="DB177">
        <v>9.2682500000000001E-2</v>
      </c>
      <c r="DC177">
        <v>0.146369</v>
      </c>
      <c r="DD177">
        <v>0.119364</v>
      </c>
      <c r="DE177">
        <v>1.7212499999999999E-3</v>
      </c>
      <c r="DF177">
        <v>33146.800000000003</v>
      </c>
      <c r="DG177">
        <v>27535.9</v>
      </c>
      <c r="DH177">
        <v>31187.4</v>
      </c>
      <c r="DI177">
        <v>28107.9</v>
      </c>
      <c r="DJ177">
        <v>37282</v>
      </c>
      <c r="DK177">
        <v>39910</v>
      </c>
      <c r="DL177">
        <v>44386.5</v>
      </c>
      <c r="DM177">
        <v>42604.2</v>
      </c>
      <c r="DN177">
        <v>1.48563</v>
      </c>
      <c r="DO177">
        <v>2.0335999999999999</v>
      </c>
      <c r="DP177">
        <v>8.9690099999999995E-2</v>
      </c>
      <c r="DQ177">
        <v>0.16664000000000001</v>
      </c>
      <c r="DR177">
        <v>25.547599999999999</v>
      </c>
      <c r="DS177">
        <v>25.386600000000001</v>
      </c>
      <c r="DT177">
        <v>29.5</v>
      </c>
      <c r="DU177">
        <v>29.1</v>
      </c>
      <c r="DV177">
        <v>12.0185</v>
      </c>
      <c r="DW177">
        <v>61.961100000000002</v>
      </c>
      <c r="DX177">
        <v>36.542499999999997</v>
      </c>
      <c r="DY177">
        <v>1</v>
      </c>
      <c r="DZ177">
        <v>-0.106186</v>
      </c>
      <c r="EA177">
        <v>-0.20688500000000001</v>
      </c>
      <c r="EB177">
        <v>20.189299999999999</v>
      </c>
      <c r="EC177">
        <v>5.24125</v>
      </c>
      <c r="ED177">
        <v>12.039899999999999</v>
      </c>
      <c r="EE177">
        <v>5.0176499999999997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1.8646199999999999</v>
      </c>
      <c r="EM177">
        <v>1.8691899999999999</v>
      </c>
      <c r="EN177">
        <v>1.8672200000000001</v>
      </c>
      <c r="EO177">
        <v>1.8633900000000001</v>
      </c>
      <c r="EP177">
        <v>1.8644700000000001</v>
      </c>
      <c r="EQ177">
        <v>1.8701399999999999</v>
      </c>
      <c r="ER177">
        <v>1.8694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-4.4999999999999998E-2</v>
      </c>
      <c r="FG177">
        <v>0.28160000000000002</v>
      </c>
      <c r="FH177">
        <v>0.23539598422606861</v>
      </c>
      <c r="FI177">
        <v>-6.1462078757559423E-4</v>
      </c>
      <c r="FJ177">
        <v>-1.8861989874597051E-7</v>
      </c>
      <c r="FK177">
        <v>1.1980462299894961E-10</v>
      </c>
      <c r="FL177">
        <v>0.28151999999999688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</v>
      </c>
      <c r="FU177">
        <v>36.200000000000003</v>
      </c>
      <c r="FV177">
        <v>1.7626999999999999</v>
      </c>
      <c r="FW177">
        <v>2.5927699999999998</v>
      </c>
      <c r="FX177">
        <v>1.5490699999999999</v>
      </c>
      <c r="FY177">
        <v>2.3303199999999999</v>
      </c>
      <c r="FZ177">
        <v>1.50146</v>
      </c>
      <c r="GA177">
        <v>2.2668499999999998</v>
      </c>
      <c r="GB177">
        <v>33.602899999999998</v>
      </c>
      <c r="GC177">
        <v>23.982399999999998</v>
      </c>
      <c r="GD177">
        <v>19</v>
      </c>
      <c r="GE177">
        <v>286.16300000000001</v>
      </c>
      <c r="GF177">
        <v>578.85699999999997</v>
      </c>
      <c r="GG177">
        <v>25.326699999999999</v>
      </c>
      <c r="GH177">
        <v>26.072199999999999</v>
      </c>
      <c r="GI177">
        <v>30</v>
      </c>
      <c r="GJ177">
        <v>26.1829</v>
      </c>
      <c r="GK177">
        <v>26.159199999999998</v>
      </c>
      <c r="GL177">
        <v>35.250300000000003</v>
      </c>
      <c r="GM177">
        <v>100</v>
      </c>
      <c r="GN177">
        <v>24.102799999999998</v>
      </c>
      <c r="GO177">
        <v>25.3233</v>
      </c>
      <c r="GP177">
        <v>800</v>
      </c>
      <c r="GQ177">
        <v>0</v>
      </c>
      <c r="GR177">
        <v>99.791499999999999</v>
      </c>
      <c r="GS177">
        <v>99.663799999999995</v>
      </c>
    </row>
    <row r="178" spans="1:201" x14ac:dyDescent="0.25">
      <c r="A178">
        <v>162</v>
      </c>
      <c r="B178">
        <v>1690302649.5999999</v>
      </c>
      <c r="C178">
        <v>1745.599999904633</v>
      </c>
      <c r="D178" t="s">
        <v>655</v>
      </c>
      <c r="E178" t="s">
        <v>656</v>
      </c>
      <c r="F178" t="s">
        <v>330</v>
      </c>
      <c r="H178">
        <v>1690302649.5999999</v>
      </c>
      <c r="I178">
        <f t="shared" si="60"/>
        <v>2.4004343552968843E-3</v>
      </c>
      <c r="J178">
        <f t="shared" si="61"/>
        <v>2.4004343552968841</v>
      </c>
      <c r="K178">
        <f t="shared" si="62"/>
        <v>34.177167193159256</v>
      </c>
      <c r="L178">
        <f t="shared" si="63"/>
        <v>416.79500000000002</v>
      </c>
      <c r="M178">
        <f t="shared" si="64"/>
        <v>110.11468067781202</v>
      </c>
      <c r="N178">
        <f t="shared" si="65"/>
        <v>10.945761283410178</v>
      </c>
      <c r="O178">
        <f t="shared" si="66"/>
        <v>41.430793296921493</v>
      </c>
      <c r="P178">
        <f t="shared" si="67"/>
        <v>0.18930222406437738</v>
      </c>
      <c r="Q178">
        <f t="shared" si="68"/>
        <v>2.1182099106693122</v>
      </c>
      <c r="R178">
        <f t="shared" si="69"/>
        <v>0.18038064213509419</v>
      </c>
      <c r="S178">
        <f t="shared" si="70"/>
        <v>0.11350442480271536</v>
      </c>
      <c r="T178">
        <f t="shared" si="71"/>
        <v>276.11552278799996</v>
      </c>
      <c r="U178">
        <f t="shared" si="72"/>
        <v>28.172873113560499</v>
      </c>
      <c r="V178">
        <f t="shared" si="73"/>
        <v>28.172873113560499</v>
      </c>
      <c r="W178">
        <f t="shared" si="74"/>
        <v>3.8332522736127861</v>
      </c>
      <c r="X178">
        <f t="shared" si="75"/>
        <v>72.087765916889296</v>
      </c>
      <c r="Y178">
        <f t="shared" si="76"/>
        <v>2.5529249363552498</v>
      </c>
      <c r="Z178">
        <f t="shared" si="77"/>
        <v>3.541412199260749</v>
      </c>
      <c r="AA178">
        <f t="shared" si="78"/>
        <v>1.2803273372575363</v>
      </c>
      <c r="AB178">
        <f t="shared" si="79"/>
        <v>-105.8591550685926</v>
      </c>
      <c r="AC178">
        <f t="shared" si="80"/>
        <v>-154.53963867940607</v>
      </c>
      <c r="AD178">
        <f t="shared" si="81"/>
        <v>-15.823458716760754</v>
      </c>
      <c r="AE178">
        <f t="shared" si="82"/>
        <v>-0.10672967675944278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52587.733259880515</v>
      </c>
      <c r="AK178">
        <f t="shared" si="86"/>
        <v>1800</v>
      </c>
      <c r="AL178">
        <f t="shared" si="87"/>
        <v>1499.1107778000001</v>
      </c>
      <c r="AM178">
        <f t="shared" si="88"/>
        <v>0.83283932100000002</v>
      </c>
      <c r="AN178">
        <f t="shared" si="89"/>
        <v>0.15339751265999998</v>
      </c>
      <c r="AO178">
        <v>32.700000000000003</v>
      </c>
      <c r="AP178">
        <v>0.5</v>
      </c>
      <c r="AQ178" t="s">
        <v>331</v>
      </c>
      <c r="AR178">
        <v>2</v>
      </c>
      <c r="AS178">
        <v>1690302649.5999999</v>
      </c>
      <c r="AT178">
        <v>416.79500000000002</v>
      </c>
      <c r="AU178">
        <v>800.03599999999994</v>
      </c>
      <c r="AV178">
        <v>25.682500000000001</v>
      </c>
      <c r="AW178">
        <v>0.202736</v>
      </c>
      <c r="AX178">
        <v>416.84</v>
      </c>
      <c r="AY178">
        <v>25.4009</v>
      </c>
      <c r="AZ178">
        <v>300.15300000000002</v>
      </c>
      <c r="BA178">
        <v>99.303299999999993</v>
      </c>
      <c r="BB178">
        <v>9.9987699999999999E-2</v>
      </c>
      <c r="BC178">
        <v>26.819600000000001</v>
      </c>
      <c r="BD178">
        <v>26.988700000000001</v>
      </c>
      <c r="BE178">
        <v>28.137499999999999</v>
      </c>
      <c r="BF178">
        <v>0</v>
      </c>
      <c r="BG178">
        <v>0</v>
      </c>
      <c r="BH178">
        <v>10009.4</v>
      </c>
      <c r="BI178">
        <v>1078.79</v>
      </c>
      <c r="BJ178">
        <v>1.7380500000000001</v>
      </c>
      <c r="BK178">
        <v>-383.24099999999999</v>
      </c>
      <c r="BL178">
        <v>427.78100000000001</v>
      </c>
      <c r="BM178">
        <v>800.19799999999998</v>
      </c>
      <c r="BN178">
        <v>25.479700000000001</v>
      </c>
      <c r="BO178">
        <v>800.03599999999994</v>
      </c>
      <c r="BP178">
        <v>0.202736</v>
      </c>
      <c r="BQ178">
        <v>2.5503499999999999</v>
      </c>
      <c r="BR178">
        <v>2.0132299999999999E-2</v>
      </c>
      <c r="BS178">
        <v>21.351500000000001</v>
      </c>
      <c r="BT178">
        <v>-39.362000000000002</v>
      </c>
      <c r="BU178">
        <v>1800</v>
      </c>
      <c r="BV178">
        <v>0.909995</v>
      </c>
      <c r="BW178">
        <v>3.4008299999999998E-2</v>
      </c>
      <c r="BX178">
        <v>2.20003E-2</v>
      </c>
      <c r="BY178">
        <v>3.3996600000000002E-2</v>
      </c>
      <c r="BZ178">
        <v>26</v>
      </c>
      <c r="CA178">
        <v>33528.300000000003</v>
      </c>
      <c r="CB178">
        <v>1690300477.5</v>
      </c>
      <c r="CC178" t="s">
        <v>332</v>
      </c>
      <c r="CD178">
        <v>1690300477.5</v>
      </c>
      <c r="CE178">
        <v>1690300465.5</v>
      </c>
      <c r="CF178">
        <v>7</v>
      </c>
      <c r="CG178">
        <v>5.0999999999999997E-2</v>
      </c>
      <c r="CH178">
        <v>-8.0000000000000002E-3</v>
      </c>
      <c r="CI178">
        <v>-0.316</v>
      </c>
      <c r="CJ178">
        <v>0.28199999999999997</v>
      </c>
      <c r="CK178">
        <v>800</v>
      </c>
      <c r="CL178">
        <v>24</v>
      </c>
      <c r="CM178">
        <v>0.25</v>
      </c>
      <c r="CN178">
        <v>0.13</v>
      </c>
      <c r="CO178">
        <v>-382.51163414634152</v>
      </c>
      <c r="CP178">
        <v>-4.729149825784134</v>
      </c>
      <c r="CQ178">
        <v>0.47024107756463529</v>
      </c>
      <c r="CR178">
        <v>-1</v>
      </c>
      <c r="CS178">
        <v>25.440604878048781</v>
      </c>
      <c r="CT178">
        <v>0.22184529616725079</v>
      </c>
      <c r="CU178">
        <v>2.1890079624358069E-2</v>
      </c>
      <c r="CV178">
        <v>-1</v>
      </c>
      <c r="CW178">
        <v>0</v>
      </c>
      <c r="CX178">
        <v>0</v>
      </c>
      <c r="CY178" t="s">
        <v>333</v>
      </c>
      <c r="CZ178">
        <v>2.3647499999999999</v>
      </c>
      <c r="DA178">
        <v>2.7137899999999999</v>
      </c>
      <c r="DB178">
        <v>9.2574900000000002E-2</v>
      </c>
      <c r="DC178">
        <v>0.14635899999999999</v>
      </c>
      <c r="DD178">
        <v>0.11947099999999999</v>
      </c>
      <c r="DE178">
        <v>1.70677E-3</v>
      </c>
      <c r="DF178">
        <v>33150.6</v>
      </c>
      <c r="DG178">
        <v>27536.1</v>
      </c>
      <c r="DH178">
        <v>31187.3</v>
      </c>
      <c r="DI178">
        <v>28107.8</v>
      </c>
      <c r="DJ178">
        <v>37277.1</v>
      </c>
      <c r="DK178">
        <v>39910.400000000001</v>
      </c>
      <c r="DL178">
        <v>44386.1</v>
      </c>
      <c r="DM178">
        <v>42604.1</v>
      </c>
      <c r="DN178">
        <v>1.48577</v>
      </c>
      <c r="DO178">
        <v>2.0333800000000002</v>
      </c>
      <c r="DP178">
        <v>8.80137E-2</v>
      </c>
      <c r="DQ178">
        <v>0.16814499999999999</v>
      </c>
      <c r="DR178">
        <v>25.547599999999999</v>
      </c>
      <c r="DS178">
        <v>25.386600000000001</v>
      </c>
      <c r="DT178">
        <v>29.2</v>
      </c>
      <c r="DU178">
        <v>29.1</v>
      </c>
      <c r="DV178">
        <v>11.8942</v>
      </c>
      <c r="DW178">
        <v>61.231099999999998</v>
      </c>
      <c r="DX178">
        <v>36.650599999999997</v>
      </c>
      <c r="DY178">
        <v>1</v>
      </c>
      <c r="DZ178">
        <v>-0.105902</v>
      </c>
      <c r="EA178">
        <v>-0.116645</v>
      </c>
      <c r="EB178">
        <v>20.189399999999999</v>
      </c>
      <c r="EC178">
        <v>5.2416999999999998</v>
      </c>
      <c r="ED178">
        <v>12.039899999999999</v>
      </c>
      <c r="EE178">
        <v>5.0171999999999999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</v>
      </c>
      <c r="EL178">
        <v>1.8646100000000001</v>
      </c>
      <c r="EM178">
        <v>1.8691899999999999</v>
      </c>
      <c r="EN178">
        <v>1.8672200000000001</v>
      </c>
      <c r="EO178">
        <v>1.86338</v>
      </c>
      <c r="EP178">
        <v>1.8644700000000001</v>
      </c>
      <c r="EQ178">
        <v>1.8701399999999999</v>
      </c>
      <c r="ER178">
        <v>1.8694200000000001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-4.4999999999999998E-2</v>
      </c>
      <c r="FG178">
        <v>0.28160000000000002</v>
      </c>
      <c r="FH178">
        <v>0.23539598422606861</v>
      </c>
      <c r="FI178">
        <v>-6.1462078757559423E-4</v>
      </c>
      <c r="FJ178">
        <v>-1.8861989874597051E-7</v>
      </c>
      <c r="FK178">
        <v>1.1980462299894961E-10</v>
      </c>
      <c r="FL178">
        <v>0.28151999999999688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36.200000000000003</v>
      </c>
      <c r="FU178">
        <v>36.4</v>
      </c>
      <c r="FV178">
        <v>1.7626999999999999</v>
      </c>
      <c r="FW178">
        <v>2.5878899999999998</v>
      </c>
      <c r="FX178">
        <v>1.5490699999999999</v>
      </c>
      <c r="FY178">
        <v>2.3303199999999999</v>
      </c>
      <c r="FZ178">
        <v>1.50146</v>
      </c>
      <c r="GA178">
        <v>2.2924799999999999</v>
      </c>
      <c r="GB178">
        <v>33.602899999999998</v>
      </c>
      <c r="GC178">
        <v>23.982399999999998</v>
      </c>
      <c r="GD178">
        <v>19</v>
      </c>
      <c r="GE178">
        <v>286.23700000000002</v>
      </c>
      <c r="GF178">
        <v>578.67200000000003</v>
      </c>
      <c r="GG178">
        <v>25.304300000000001</v>
      </c>
      <c r="GH178">
        <v>26.072199999999999</v>
      </c>
      <c r="GI178">
        <v>30.0002</v>
      </c>
      <c r="GJ178">
        <v>26.185099999999998</v>
      </c>
      <c r="GK178">
        <v>26.159199999999998</v>
      </c>
      <c r="GL178">
        <v>35.246000000000002</v>
      </c>
      <c r="GM178">
        <v>100</v>
      </c>
      <c r="GN178">
        <v>23.698599999999999</v>
      </c>
      <c r="GO178">
        <v>25.287700000000001</v>
      </c>
      <c r="GP178">
        <v>800</v>
      </c>
      <c r="GQ178">
        <v>0</v>
      </c>
      <c r="GR178">
        <v>99.790800000000004</v>
      </c>
      <c r="GS178">
        <v>99.663499999999999</v>
      </c>
    </row>
    <row r="179" spans="1:201" x14ac:dyDescent="0.25">
      <c r="A179">
        <v>163</v>
      </c>
      <c r="B179">
        <v>1690302659.5999999</v>
      </c>
      <c r="C179">
        <v>1755.599999904633</v>
      </c>
      <c r="D179" t="s">
        <v>657</v>
      </c>
      <c r="E179" t="s">
        <v>658</v>
      </c>
      <c r="F179" t="s">
        <v>330</v>
      </c>
      <c r="H179">
        <v>1690302659.5999999</v>
      </c>
      <c r="I179">
        <f t="shared" si="60"/>
        <v>2.4035428830149119E-3</v>
      </c>
      <c r="J179">
        <f t="shared" si="61"/>
        <v>2.4035428830149117</v>
      </c>
      <c r="K179">
        <f t="shared" si="62"/>
        <v>34.2648146934796</v>
      </c>
      <c r="L179">
        <f t="shared" si="63"/>
        <v>415.88499999999999</v>
      </c>
      <c r="M179">
        <f t="shared" si="64"/>
        <v>109.86055371891167</v>
      </c>
      <c r="N179">
        <f t="shared" si="65"/>
        <v>10.92097914331411</v>
      </c>
      <c r="O179">
        <f t="shared" si="66"/>
        <v>41.342149272595002</v>
      </c>
      <c r="P179">
        <f t="shared" si="67"/>
        <v>0.19022482138305249</v>
      </c>
      <c r="Q179">
        <f t="shared" si="68"/>
        <v>2.1168923177335701</v>
      </c>
      <c r="R179">
        <f t="shared" si="69"/>
        <v>0.18121296827664346</v>
      </c>
      <c r="S179">
        <f t="shared" si="70"/>
        <v>0.11403219941907972</v>
      </c>
      <c r="T179">
        <f t="shared" si="71"/>
        <v>276.11556026399995</v>
      </c>
      <c r="U179">
        <f t="shared" si="72"/>
        <v>28.167454055647276</v>
      </c>
      <c r="V179">
        <f t="shared" si="73"/>
        <v>28.167454055647276</v>
      </c>
      <c r="W179">
        <f t="shared" si="74"/>
        <v>3.8320430229993119</v>
      </c>
      <c r="X179">
        <f t="shared" si="75"/>
        <v>72.193419882592963</v>
      </c>
      <c r="Y179">
        <f t="shared" si="76"/>
        <v>2.5558998343111003</v>
      </c>
      <c r="Z179">
        <f t="shared" si="77"/>
        <v>3.5403501295100313</v>
      </c>
      <c r="AA179">
        <f t="shared" si="78"/>
        <v>1.2761431886882115</v>
      </c>
      <c r="AB179">
        <f t="shared" si="79"/>
        <v>-105.99624114095761</v>
      </c>
      <c r="AC179">
        <f t="shared" si="80"/>
        <v>-154.40709741078987</v>
      </c>
      <c r="AD179">
        <f t="shared" si="81"/>
        <v>-15.818897368732969</v>
      </c>
      <c r="AE179">
        <f t="shared" si="82"/>
        <v>-0.10667565648049049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52530.939848346265</v>
      </c>
      <c r="AK179">
        <f t="shared" si="86"/>
        <v>1800</v>
      </c>
      <c r="AL179">
        <f t="shared" si="87"/>
        <v>1499.1116093999999</v>
      </c>
      <c r="AM179">
        <f t="shared" si="88"/>
        <v>0.83283978299999994</v>
      </c>
      <c r="AN179">
        <f t="shared" si="89"/>
        <v>0.15339753347999999</v>
      </c>
      <c r="AO179">
        <v>32.700000000000003</v>
      </c>
      <c r="AP179">
        <v>0.5</v>
      </c>
      <c r="AQ179" t="s">
        <v>331</v>
      </c>
      <c r="AR179">
        <v>2</v>
      </c>
      <c r="AS179">
        <v>1690302659.5999999</v>
      </c>
      <c r="AT179">
        <v>415.88499999999999</v>
      </c>
      <c r="AU179">
        <v>800.04300000000001</v>
      </c>
      <c r="AV179">
        <v>25.711300000000001</v>
      </c>
      <c r="AW179">
        <v>0.20116400000000001</v>
      </c>
      <c r="AX179">
        <v>415.93</v>
      </c>
      <c r="AY179">
        <v>25.4298</v>
      </c>
      <c r="AZ179">
        <v>300.17500000000001</v>
      </c>
      <c r="BA179">
        <v>99.307599999999994</v>
      </c>
      <c r="BB179">
        <v>0.100047</v>
      </c>
      <c r="BC179">
        <v>26.814499999999999</v>
      </c>
      <c r="BD179">
        <v>27.000699999999998</v>
      </c>
      <c r="BE179">
        <v>28.117999999999999</v>
      </c>
      <c r="BF179">
        <v>0</v>
      </c>
      <c r="BG179">
        <v>0</v>
      </c>
      <c r="BH179">
        <v>9997.5</v>
      </c>
      <c r="BI179">
        <v>1078.77</v>
      </c>
      <c r="BJ179">
        <v>1.7380500000000001</v>
      </c>
      <c r="BK179">
        <v>-384.15699999999998</v>
      </c>
      <c r="BL179">
        <v>426.86099999999999</v>
      </c>
      <c r="BM179">
        <v>800.20399999999995</v>
      </c>
      <c r="BN179">
        <v>25.510200000000001</v>
      </c>
      <c r="BO179">
        <v>800.04300000000001</v>
      </c>
      <c r="BP179">
        <v>0.20116400000000001</v>
      </c>
      <c r="BQ179">
        <v>2.5533299999999999</v>
      </c>
      <c r="BR179">
        <v>1.9977100000000001E-2</v>
      </c>
      <c r="BS179">
        <v>21.3705</v>
      </c>
      <c r="BT179">
        <v>-39.436599999999999</v>
      </c>
      <c r="BU179">
        <v>1800</v>
      </c>
      <c r="BV179">
        <v>0.90999699999999994</v>
      </c>
      <c r="BW179">
        <v>3.4007700000000002E-2</v>
      </c>
      <c r="BX179">
        <v>2.1999899999999999E-2</v>
      </c>
      <c r="BY179">
        <v>3.3995999999999998E-2</v>
      </c>
      <c r="BZ179">
        <v>26</v>
      </c>
      <c r="CA179">
        <v>33528.300000000003</v>
      </c>
      <c r="CB179">
        <v>1690300477.5</v>
      </c>
      <c r="CC179" t="s">
        <v>332</v>
      </c>
      <c r="CD179">
        <v>1690300477.5</v>
      </c>
      <c r="CE179">
        <v>1690300465.5</v>
      </c>
      <c r="CF179">
        <v>7</v>
      </c>
      <c r="CG179">
        <v>5.0999999999999997E-2</v>
      </c>
      <c r="CH179">
        <v>-8.0000000000000002E-3</v>
      </c>
      <c r="CI179">
        <v>-0.316</v>
      </c>
      <c r="CJ179">
        <v>0.28199999999999997</v>
      </c>
      <c r="CK179">
        <v>800</v>
      </c>
      <c r="CL179">
        <v>24</v>
      </c>
      <c r="CM179">
        <v>0.25</v>
      </c>
      <c r="CN179">
        <v>0.13</v>
      </c>
      <c r="CO179">
        <v>-383.25560975609761</v>
      </c>
      <c r="CP179">
        <v>-4.0406759581879843</v>
      </c>
      <c r="CQ179">
        <v>0.40150964378350779</v>
      </c>
      <c r="CR179">
        <v>-1</v>
      </c>
      <c r="CS179">
        <v>25.475441463414629</v>
      </c>
      <c r="CT179">
        <v>0.19841393728217649</v>
      </c>
      <c r="CU179">
        <v>1.960864637073563E-2</v>
      </c>
      <c r="CV179">
        <v>-1</v>
      </c>
      <c r="CW179">
        <v>0</v>
      </c>
      <c r="CX179">
        <v>0</v>
      </c>
      <c r="CY179" t="s">
        <v>333</v>
      </c>
      <c r="CZ179">
        <v>2.3647999999999998</v>
      </c>
      <c r="DA179">
        <v>2.7138399999999998</v>
      </c>
      <c r="DB179">
        <v>9.2425199999999999E-2</v>
      </c>
      <c r="DC179">
        <v>0.146365</v>
      </c>
      <c r="DD179">
        <v>0.11957</v>
      </c>
      <c r="DE179">
        <v>1.6937600000000001E-3</v>
      </c>
      <c r="DF179">
        <v>33156.199999999997</v>
      </c>
      <c r="DG179">
        <v>27535.4</v>
      </c>
      <c r="DH179">
        <v>31187.5</v>
      </c>
      <c r="DI179">
        <v>28107.3</v>
      </c>
      <c r="DJ179">
        <v>37273.1</v>
      </c>
      <c r="DK179">
        <v>39910.1</v>
      </c>
      <c r="DL179">
        <v>44386.400000000001</v>
      </c>
      <c r="DM179">
        <v>42603.199999999997</v>
      </c>
      <c r="DN179">
        <v>1.4858</v>
      </c>
      <c r="DO179">
        <v>2.0333199999999998</v>
      </c>
      <c r="DP179">
        <v>8.8617199999999993E-2</v>
      </c>
      <c r="DQ179">
        <v>0.16680400000000001</v>
      </c>
      <c r="DR179">
        <v>25.549800000000001</v>
      </c>
      <c r="DS179">
        <v>25.388999999999999</v>
      </c>
      <c r="DT179">
        <v>28.9</v>
      </c>
      <c r="DU179">
        <v>29.1</v>
      </c>
      <c r="DV179">
        <v>11.772</v>
      </c>
      <c r="DW179">
        <v>62.001100000000001</v>
      </c>
      <c r="DX179">
        <v>36.534500000000001</v>
      </c>
      <c r="DY179">
        <v>1</v>
      </c>
      <c r="DZ179">
        <v>-0.10587100000000001</v>
      </c>
      <c r="EA179">
        <v>-0.209009</v>
      </c>
      <c r="EB179">
        <v>20.189399999999999</v>
      </c>
      <c r="EC179">
        <v>5.2413999999999996</v>
      </c>
      <c r="ED179">
        <v>12.039899999999999</v>
      </c>
      <c r="EE179">
        <v>5.0172499999999998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1.8689100000000001</v>
      </c>
      <c r="EL179">
        <v>1.8646100000000001</v>
      </c>
      <c r="EM179">
        <v>1.8691899999999999</v>
      </c>
      <c r="EN179">
        <v>1.8672299999999999</v>
      </c>
      <c r="EO179">
        <v>1.86338</v>
      </c>
      <c r="EP179">
        <v>1.8644700000000001</v>
      </c>
      <c r="EQ179">
        <v>1.87016</v>
      </c>
      <c r="ER179">
        <v>1.86944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-4.4999999999999998E-2</v>
      </c>
      <c r="FG179">
        <v>0.28149999999999997</v>
      </c>
      <c r="FH179">
        <v>0.23539598422606861</v>
      </c>
      <c r="FI179">
        <v>-6.1462078757559423E-4</v>
      </c>
      <c r="FJ179">
        <v>-1.8861989874597051E-7</v>
      </c>
      <c r="FK179">
        <v>1.1980462299894961E-10</v>
      </c>
      <c r="FL179">
        <v>0.28151999999999688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36.4</v>
      </c>
      <c r="FU179">
        <v>36.6</v>
      </c>
      <c r="FV179">
        <v>1.7626999999999999</v>
      </c>
      <c r="FW179">
        <v>2.5891099999999998</v>
      </c>
      <c r="FX179">
        <v>1.5490699999999999</v>
      </c>
      <c r="FY179">
        <v>2.3303199999999999</v>
      </c>
      <c r="FZ179">
        <v>1.50146</v>
      </c>
      <c r="GA179">
        <v>2.2778299999999998</v>
      </c>
      <c r="GB179">
        <v>33.602899999999998</v>
      </c>
      <c r="GC179">
        <v>23.982399999999998</v>
      </c>
      <c r="GD179">
        <v>19</v>
      </c>
      <c r="GE179">
        <v>286.24900000000002</v>
      </c>
      <c r="GF179">
        <v>578.63800000000003</v>
      </c>
      <c r="GG179">
        <v>25.304300000000001</v>
      </c>
      <c r="GH179">
        <v>26.074400000000001</v>
      </c>
      <c r="GI179">
        <v>30.0002</v>
      </c>
      <c r="GJ179">
        <v>26.185099999999998</v>
      </c>
      <c r="GK179">
        <v>26.1599</v>
      </c>
      <c r="GL179">
        <v>35.246099999999998</v>
      </c>
      <c r="GM179">
        <v>100</v>
      </c>
      <c r="GN179">
        <v>22.924900000000001</v>
      </c>
      <c r="GO179">
        <v>25.303699999999999</v>
      </c>
      <c r="GP179">
        <v>800</v>
      </c>
      <c r="GQ179">
        <v>0</v>
      </c>
      <c r="GR179">
        <v>99.791499999999999</v>
      </c>
      <c r="GS179">
        <v>99.661600000000007</v>
      </c>
    </row>
    <row r="180" spans="1:201" x14ac:dyDescent="0.25">
      <c r="A180">
        <v>164</v>
      </c>
      <c r="B180">
        <v>1690302669.5999999</v>
      </c>
      <c r="C180">
        <v>1765.599999904633</v>
      </c>
      <c r="D180" t="s">
        <v>659</v>
      </c>
      <c r="E180" t="s">
        <v>660</v>
      </c>
      <c r="F180" t="s">
        <v>330</v>
      </c>
      <c r="H180">
        <v>1690302669.5999999</v>
      </c>
      <c r="I180">
        <f t="shared" si="60"/>
        <v>2.4061549618240373E-3</v>
      </c>
      <c r="J180">
        <f t="shared" si="61"/>
        <v>2.4061549618240372</v>
      </c>
      <c r="K180">
        <f t="shared" si="62"/>
        <v>34.315773896130054</v>
      </c>
      <c r="L180">
        <f t="shared" si="63"/>
        <v>415.19499999999999</v>
      </c>
      <c r="M180">
        <f t="shared" si="64"/>
        <v>109.58739986867212</v>
      </c>
      <c r="N180">
        <f t="shared" si="65"/>
        <v>10.89431326955718</v>
      </c>
      <c r="O180">
        <f t="shared" si="66"/>
        <v>41.275405779993001</v>
      </c>
      <c r="P180">
        <f t="shared" si="67"/>
        <v>0.19078631743144495</v>
      </c>
      <c r="Q180">
        <f t="shared" si="68"/>
        <v>2.1159391663464584</v>
      </c>
      <c r="R180">
        <f t="shared" si="69"/>
        <v>0.18171867189754196</v>
      </c>
      <c r="S180">
        <f t="shared" si="70"/>
        <v>0.11435294072782642</v>
      </c>
      <c r="T180">
        <f t="shared" si="71"/>
        <v>276.11529659999997</v>
      </c>
      <c r="U180">
        <f t="shared" si="72"/>
        <v>28.172681599060738</v>
      </c>
      <c r="V180">
        <f t="shared" si="73"/>
        <v>28.172681599060738</v>
      </c>
      <c r="W180">
        <f t="shared" si="74"/>
        <v>3.8332095319081438</v>
      </c>
      <c r="X180">
        <f t="shared" si="75"/>
        <v>72.262984084804728</v>
      </c>
      <c r="Y180">
        <f t="shared" si="76"/>
        <v>2.5592053882071606</v>
      </c>
      <c r="Z180">
        <f t="shared" si="77"/>
        <v>3.5415163387160811</v>
      </c>
      <c r="AA180">
        <f t="shared" si="78"/>
        <v>1.2740041437009832</v>
      </c>
      <c r="AB180">
        <f t="shared" si="79"/>
        <v>-106.11143381644004</v>
      </c>
      <c r="AC180">
        <f t="shared" si="80"/>
        <v>-154.29508630759577</v>
      </c>
      <c r="AD180">
        <f t="shared" si="81"/>
        <v>-15.815397295396213</v>
      </c>
      <c r="AE180">
        <f t="shared" si="82"/>
        <v>-0.10662081943206658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52488.285388564414</v>
      </c>
      <c r="AK180">
        <f t="shared" si="86"/>
        <v>1800</v>
      </c>
      <c r="AL180">
        <f t="shared" si="87"/>
        <v>1499.110803</v>
      </c>
      <c r="AM180">
        <f t="shared" si="88"/>
        <v>0.83283933499999996</v>
      </c>
      <c r="AN180">
        <f t="shared" si="89"/>
        <v>0.153397387</v>
      </c>
      <c r="AO180">
        <v>32.700000000000003</v>
      </c>
      <c r="AP180">
        <v>0.5</v>
      </c>
      <c r="AQ180" t="s">
        <v>331</v>
      </c>
      <c r="AR180">
        <v>2</v>
      </c>
      <c r="AS180">
        <v>1690302669.5999999</v>
      </c>
      <c r="AT180">
        <v>415.19499999999999</v>
      </c>
      <c r="AU180">
        <v>800.00699999999995</v>
      </c>
      <c r="AV180">
        <v>25.743400000000001</v>
      </c>
      <c r="AW180">
        <v>0.199404</v>
      </c>
      <c r="AX180">
        <v>415.23899999999998</v>
      </c>
      <c r="AY180">
        <v>25.4619</v>
      </c>
      <c r="AZ180">
        <v>300.09300000000002</v>
      </c>
      <c r="BA180">
        <v>99.312200000000004</v>
      </c>
      <c r="BB180">
        <v>9.9897399999999997E-2</v>
      </c>
      <c r="BC180">
        <v>26.8201</v>
      </c>
      <c r="BD180">
        <v>26.9983</v>
      </c>
      <c r="BE180">
        <v>28.116499999999998</v>
      </c>
      <c r="BF180">
        <v>0</v>
      </c>
      <c r="BG180">
        <v>0</v>
      </c>
      <c r="BH180">
        <v>9988.75</v>
      </c>
      <c r="BI180">
        <v>1078.74</v>
      </c>
      <c r="BJ180">
        <v>1.7380500000000001</v>
      </c>
      <c r="BK180">
        <v>-384.81200000000001</v>
      </c>
      <c r="BL180">
        <v>426.166</v>
      </c>
      <c r="BM180">
        <v>800.16600000000005</v>
      </c>
      <c r="BN180">
        <v>25.544</v>
      </c>
      <c r="BO180">
        <v>800.00699999999995</v>
      </c>
      <c r="BP180">
        <v>0.199404</v>
      </c>
      <c r="BQ180">
        <v>2.5566399999999998</v>
      </c>
      <c r="BR180">
        <v>1.98032E-2</v>
      </c>
      <c r="BS180">
        <v>21.3916</v>
      </c>
      <c r="BT180">
        <v>-39.520699999999998</v>
      </c>
      <c r="BU180">
        <v>1800</v>
      </c>
      <c r="BV180">
        <v>0.90999799999999997</v>
      </c>
      <c r="BW180">
        <v>3.4007000000000003E-2</v>
      </c>
      <c r="BX180">
        <v>2.1999500000000002E-2</v>
      </c>
      <c r="BY180">
        <v>3.3995400000000002E-2</v>
      </c>
      <c r="BZ180">
        <v>26</v>
      </c>
      <c r="CA180">
        <v>33528.300000000003</v>
      </c>
      <c r="CB180">
        <v>1690300477.5</v>
      </c>
      <c r="CC180" t="s">
        <v>332</v>
      </c>
      <c r="CD180">
        <v>1690300477.5</v>
      </c>
      <c r="CE180">
        <v>1690300465.5</v>
      </c>
      <c r="CF180">
        <v>7</v>
      </c>
      <c r="CG180">
        <v>5.0999999999999997E-2</v>
      </c>
      <c r="CH180">
        <v>-8.0000000000000002E-3</v>
      </c>
      <c r="CI180">
        <v>-0.316</v>
      </c>
      <c r="CJ180">
        <v>0.28199999999999997</v>
      </c>
      <c r="CK180">
        <v>800</v>
      </c>
      <c r="CL180">
        <v>24</v>
      </c>
      <c r="CM180">
        <v>0.25</v>
      </c>
      <c r="CN180">
        <v>0.13</v>
      </c>
      <c r="CO180">
        <v>-384.036025</v>
      </c>
      <c r="CP180">
        <v>-4.4623452157593313</v>
      </c>
      <c r="CQ180">
        <v>0.43739492952593628</v>
      </c>
      <c r="CR180">
        <v>-1</v>
      </c>
      <c r="CS180">
        <v>25.511369999999999</v>
      </c>
      <c r="CT180">
        <v>0.1994183864914858</v>
      </c>
      <c r="CU180">
        <v>1.9249690906609371E-2</v>
      </c>
      <c r="CV180">
        <v>-1</v>
      </c>
      <c r="CW180">
        <v>0</v>
      </c>
      <c r="CX180">
        <v>0</v>
      </c>
      <c r="CY180" t="s">
        <v>333</v>
      </c>
      <c r="CZ180">
        <v>2.3645499999999999</v>
      </c>
      <c r="DA180">
        <v>2.7136800000000001</v>
      </c>
      <c r="DB180">
        <v>9.2311000000000004E-2</v>
      </c>
      <c r="DC180">
        <v>0.14636399999999999</v>
      </c>
      <c r="DD180">
        <v>0.11967700000000001</v>
      </c>
      <c r="DE180">
        <v>1.6791600000000001E-3</v>
      </c>
      <c r="DF180">
        <v>33160.1</v>
      </c>
      <c r="DG180">
        <v>27535.200000000001</v>
      </c>
      <c r="DH180">
        <v>31187.200000000001</v>
      </c>
      <c r="DI180">
        <v>28107.1</v>
      </c>
      <c r="DJ180">
        <v>37268.400000000001</v>
      </c>
      <c r="DK180">
        <v>39910.699999999997</v>
      </c>
      <c r="DL180">
        <v>44386.3</v>
      </c>
      <c r="DM180">
        <v>42603.199999999997</v>
      </c>
      <c r="DN180">
        <v>1.48552</v>
      </c>
      <c r="DO180">
        <v>2.0334500000000002</v>
      </c>
      <c r="DP180">
        <v>8.8259599999999994E-2</v>
      </c>
      <c r="DQ180">
        <v>0.16648299999999999</v>
      </c>
      <c r="DR180">
        <v>25.5532</v>
      </c>
      <c r="DS180">
        <v>25.392700000000001</v>
      </c>
      <c r="DT180">
        <v>28.6</v>
      </c>
      <c r="DU180">
        <v>29.1</v>
      </c>
      <c r="DV180">
        <v>11.651300000000001</v>
      </c>
      <c r="DW180">
        <v>61.5411</v>
      </c>
      <c r="DX180">
        <v>36.598599999999998</v>
      </c>
      <c r="DY180">
        <v>1</v>
      </c>
      <c r="DZ180">
        <v>-0.105409</v>
      </c>
      <c r="EA180">
        <v>-0.186032</v>
      </c>
      <c r="EB180">
        <v>20.189399999999999</v>
      </c>
      <c r="EC180">
        <v>5.2408000000000001</v>
      </c>
      <c r="ED180">
        <v>12.039899999999999</v>
      </c>
      <c r="EE180">
        <v>5.01715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1.8646199999999999</v>
      </c>
      <c r="EM180">
        <v>1.8692</v>
      </c>
      <c r="EN180">
        <v>1.8672200000000001</v>
      </c>
      <c r="EO180">
        <v>1.86338</v>
      </c>
      <c r="EP180">
        <v>1.8644700000000001</v>
      </c>
      <c r="EQ180">
        <v>1.8701700000000001</v>
      </c>
      <c r="ER180">
        <v>1.8694299999999999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-4.3999999999999997E-2</v>
      </c>
      <c r="FG180">
        <v>0.28149999999999997</v>
      </c>
      <c r="FH180">
        <v>0.23539598422606861</v>
      </c>
      <c r="FI180">
        <v>-6.1462078757559423E-4</v>
      </c>
      <c r="FJ180">
        <v>-1.8861989874597051E-7</v>
      </c>
      <c r="FK180">
        <v>1.1980462299894961E-10</v>
      </c>
      <c r="FL180">
        <v>0.28151999999999688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36.5</v>
      </c>
      <c r="FU180">
        <v>36.700000000000003</v>
      </c>
      <c r="FV180">
        <v>1.7626999999999999</v>
      </c>
      <c r="FW180">
        <v>2.5903299999999998</v>
      </c>
      <c r="FX180">
        <v>1.5490699999999999</v>
      </c>
      <c r="FY180">
        <v>2.3303199999999999</v>
      </c>
      <c r="FZ180">
        <v>1.50146</v>
      </c>
      <c r="GA180">
        <v>2.2778299999999998</v>
      </c>
      <c r="GB180">
        <v>33.625399999999999</v>
      </c>
      <c r="GC180">
        <v>23.982399999999998</v>
      </c>
      <c r="GD180">
        <v>19</v>
      </c>
      <c r="GE180">
        <v>286.14</v>
      </c>
      <c r="GF180">
        <v>578.75900000000001</v>
      </c>
      <c r="GG180">
        <v>25.301600000000001</v>
      </c>
      <c r="GH180">
        <v>26.075299999999999</v>
      </c>
      <c r="GI180">
        <v>30</v>
      </c>
      <c r="GJ180">
        <v>26.187200000000001</v>
      </c>
      <c r="GK180">
        <v>26.1614</v>
      </c>
      <c r="GL180">
        <v>35.244599999999998</v>
      </c>
      <c r="GM180">
        <v>100</v>
      </c>
      <c r="GN180">
        <v>22.139500000000002</v>
      </c>
      <c r="GO180">
        <v>25.297999999999998</v>
      </c>
      <c r="GP180">
        <v>800</v>
      </c>
      <c r="GQ180">
        <v>0</v>
      </c>
      <c r="GR180">
        <v>99.790999999999997</v>
      </c>
      <c r="GS180">
        <v>99.6614</v>
      </c>
    </row>
    <row r="181" spans="1:201" x14ac:dyDescent="0.25">
      <c r="A181">
        <v>165</v>
      </c>
      <c r="B181">
        <v>1690302679.5999999</v>
      </c>
      <c r="C181">
        <v>1775.599999904633</v>
      </c>
      <c r="D181" t="s">
        <v>661</v>
      </c>
      <c r="E181" t="s">
        <v>662</v>
      </c>
      <c r="F181" t="s">
        <v>330</v>
      </c>
      <c r="H181">
        <v>1690302679.5999999</v>
      </c>
      <c r="I181">
        <f t="shared" si="60"/>
        <v>2.409742461035016E-3</v>
      </c>
      <c r="J181">
        <f t="shared" si="61"/>
        <v>2.409742461035016</v>
      </c>
      <c r="K181">
        <f t="shared" si="62"/>
        <v>34.387699055447527</v>
      </c>
      <c r="L181">
        <f t="shared" si="63"/>
        <v>414.50799999999998</v>
      </c>
      <c r="M181">
        <f t="shared" si="64"/>
        <v>109.63742401222241</v>
      </c>
      <c r="N181">
        <f t="shared" si="65"/>
        <v>10.898813320668449</v>
      </c>
      <c r="O181">
        <f t="shared" si="66"/>
        <v>41.205321564468804</v>
      </c>
      <c r="P181">
        <f t="shared" si="67"/>
        <v>0.19167976712163243</v>
      </c>
      <c r="Q181">
        <f t="shared" si="68"/>
        <v>2.1156730578393632</v>
      </c>
      <c r="R181">
        <f t="shared" si="69"/>
        <v>0.18252809192665786</v>
      </c>
      <c r="S181">
        <f t="shared" si="70"/>
        <v>0.11486587934563811</v>
      </c>
      <c r="T181">
        <f t="shared" si="71"/>
        <v>276.11535281399995</v>
      </c>
      <c r="U181">
        <f t="shared" si="72"/>
        <v>28.168481444621907</v>
      </c>
      <c r="V181">
        <f t="shared" si="73"/>
        <v>28.168481444621907</v>
      </c>
      <c r="W181">
        <f t="shared" si="74"/>
        <v>3.8322722569748429</v>
      </c>
      <c r="X181">
        <f t="shared" si="75"/>
        <v>72.357808460982227</v>
      </c>
      <c r="Y181">
        <f t="shared" si="76"/>
        <v>2.5620964513929598</v>
      </c>
      <c r="Z181">
        <f t="shared" si="77"/>
        <v>3.5408707171866993</v>
      </c>
      <c r="AA181">
        <f t="shared" si="78"/>
        <v>1.270175805581883</v>
      </c>
      <c r="AB181">
        <f t="shared" si="79"/>
        <v>-106.26964253164421</v>
      </c>
      <c r="AC181">
        <f t="shared" si="80"/>
        <v>-154.1501977765561</v>
      </c>
      <c r="AD181">
        <f t="shared" si="81"/>
        <v>-15.801957492493647</v>
      </c>
      <c r="AE181">
        <f t="shared" si="82"/>
        <v>-0.10644498669401514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52477.075260807818</v>
      </c>
      <c r="AK181">
        <f t="shared" si="86"/>
        <v>1800</v>
      </c>
      <c r="AL181">
        <f t="shared" si="87"/>
        <v>1499.1120503999998</v>
      </c>
      <c r="AM181">
        <f t="shared" si="88"/>
        <v>0.8328400279999999</v>
      </c>
      <c r="AN181">
        <f t="shared" si="89"/>
        <v>0.15339741822999997</v>
      </c>
      <c r="AO181">
        <v>32.700000000000003</v>
      </c>
      <c r="AP181">
        <v>0.5</v>
      </c>
      <c r="AQ181" t="s">
        <v>331</v>
      </c>
      <c r="AR181">
        <v>2</v>
      </c>
      <c r="AS181">
        <v>1690302679.5999999</v>
      </c>
      <c r="AT181">
        <v>414.50799999999998</v>
      </c>
      <c r="AU181">
        <v>800.02099999999996</v>
      </c>
      <c r="AV181">
        <v>25.773599999999998</v>
      </c>
      <c r="AW181">
        <v>0.197681</v>
      </c>
      <c r="AX181">
        <v>414.55099999999999</v>
      </c>
      <c r="AY181">
        <v>25.492100000000001</v>
      </c>
      <c r="AZ181">
        <v>300.15600000000001</v>
      </c>
      <c r="BA181">
        <v>99.3078</v>
      </c>
      <c r="BB181">
        <v>9.9983600000000006E-2</v>
      </c>
      <c r="BC181">
        <v>26.817</v>
      </c>
      <c r="BD181">
        <v>27.004799999999999</v>
      </c>
      <c r="BE181">
        <v>28.118400000000001</v>
      </c>
      <c r="BF181">
        <v>0</v>
      </c>
      <c r="BG181">
        <v>0</v>
      </c>
      <c r="BH181">
        <v>9986.8799999999992</v>
      </c>
      <c r="BI181">
        <v>1078.71</v>
      </c>
      <c r="BJ181">
        <v>1.7380500000000001</v>
      </c>
      <c r="BK181">
        <v>-385.51400000000001</v>
      </c>
      <c r="BL181">
        <v>425.47399999999999</v>
      </c>
      <c r="BM181">
        <v>800.17899999999997</v>
      </c>
      <c r="BN181">
        <v>25.575900000000001</v>
      </c>
      <c r="BO181">
        <v>800.02099999999996</v>
      </c>
      <c r="BP181">
        <v>0.197681</v>
      </c>
      <c r="BQ181">
        <v>2.55952</v>
      </c>
      <c r="BR181">
        <v>1.9631200000000001E-2</v>
      </c>
      <c r="BS181">
        <v>21.41</v>
      </c>
      <c r="BT181">
        <v>-39.604599999999998</v>
      </c>
      <c r="BU181">
        <v>1800</v>
      </c>
      <c r="BV181">
        <v>0.91000099999999995</v>
      </c>
      <c r="BW181">
        <v>3.4006099999999997E-2</v>
      </c>
      <c r="BX181">
        <v>2.1998899999999998E-2</v>
      </c>
      <c r="BY181">
        <v>3.3994499999999997E-2</v>
      </c>
      <c r="BZ181">
        <v>26</v>
      </c>
      <c r="CA181">
        <v>33528.400000000001</v>
      </c>
      <c r="CB181">
        <v>1690300477.5</v>
      </c>
      <c r="CC181" t="s">
        <v>332</v>
      </c>
      <c r="CD181">
        <v>1690300477.5</v>
      </c>
      <c r="CE181">
        <v>1690300465.5</v>
      </c>
      <c r="CF181">
        <v>7</v>
      </c>
      <c r="CG181">
        <v>5.0999999999999997E-2</v>
      </c>
      <c r="CH181">
        <v>-8.0000000000000002E-3</v>
      </c>
      <c r="CI181">
        <v>-0.316</v>
      </c>
      <c r="CJ181">
        <v>0.28199999999999997</v>
      </c>
      <c r="CK181">
        <v>800</v>
      </c>
      <c r="CL181">
        <v>24</v>
      </c>
      <c r="CM181">
        <v>0.25</v>
      </c>
      <c r="CN181">
        <v>0.13</v>
      </c>
      <c r="CO181">
        <v>-384.77120000000002</v>
      </c>
      <c r="CP181">
        <v>-3.9643452157588648</v>
      </c>
      <c r="CQ181">
        <v>0.38796437980825271</v>
      </c>
      <c r="CR181">
        <v>-1</v>
      </c>
      <c r="CS181">
        <v>25.543824999999998</v>
      </c>
      <c r="CT181">
        <v>0.18286378986861221</v>
      </c>
      <c r="CU181">
        <v>1.764690836945659E-2</v>
      </c>
      <c r="CV181">
        <v>-1</v>
      </c>
      <c r="CW181">
        <v>0</v>
      </c>
      <c r="CX181">
        <v>0</v>
      </c>
      <c r="CY181" t="s">
        <v>333</v>
      </c>
      <c r="CZ181">
        <v>2.3647200000000002</v>
      </c>
      <c r="DA181">
        <v>2.7137600000000002</v>
      </c>
      <c r="DB181">
        <v>9.2192200000000002E-2</v>
      </c>
      <c r="DC181">
        <v>0.14636199999999999</v>
      </c>
      <c r="DD181">
        <v>0.119772</v>
      </c>
      <c r="DE181">
        <v>1.66478E-3</v>
      </c>
      <c r="DF181">
        <v>33164.300000000003</v>
      </c>
      <c r="DG181">
        <v>27535.5</v>
      </c>
      <c r="DH181">
        <v>31187.1</v>
      </c>
      <c r="DI181">
        <v>28107.3</v>
      </c>
      <c r="DJ181">
        <v>37264</v>
      </c>
      <c r="DK181">
        <v>39911.5</v>
      </c>
      <c r="DL181">
        <v>44385.9</v>
      </c>
      <c r="DM181">
        <v>42603.4</v>
      </c>
      <c r="DN181">
        <v>1.48553</v>
      </c>
      <c r="DO181">
        <v>2.0335200000000002</v>
      </c>
      <c r="DP181">
        <v>8.8475600000000001E-2</v>
      </c>
      <c r="DQ181">
        <v>0.16658000000000001</v>
      </c>
      <c r="DR181">
        <v>25.5562</v>
      </c>
      <c r="DS181">
        <v>25.393000000000001</v>
      </c>
      <c r="DT181">
        <v>28.2</v>
      </c>
      <c r="DU181">
        <v>29.1</v>
      </c>
      <c r="DV181">
        <v>11.485900000000001</v>
      </c>
      <c r="DW181">
        <v>62.0411</v>
      </c>
      <c r="DX181">
        <v>36.490400000000001</v>
      </c>
      <c r="DY181">
        <v>1</v>
      </c>
      <c r="DZ181">
        <v>-0.105368</v>
      </c>
      <c r="EA181">
        <v>-0.216672</v>
      </c>
      <c r="EB181">
        <v>20.189399999999999</v>
      </c>
      <c r="EC181">
        <v>5.2415500000000002</v>
      </c>
      <c r="ED181">
        <v>12.039899999999999</v>
      </c>
      <c r="EE181">
        <v>5.0171999999999999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1.8646199999999999</v>
      </c>
      <c r="EM181">
        <v>1.8691899999999999</v>
      </c>
      <c r="EN181">
        <v>1.8672299999999999</v>
      </c>
      <c r="EO181">
        <v>1.86338</v>
      </c>
      <c r="EP181">
        <v>1.8644700000000001</v>
      </c>
      <c r="EQ181">
        <v>1.8701399999999999</v>
      </c>
      <c r="ER181">
        <v>1.86944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-4.2999999999999997E-2</v>
      </c>
      <c r="FG181">
        <v>0.28149999999999997</v>
      </c>
      <c r="FH181">
        <v>0.23539598422606861</v>
      </c>
      <c r="FI181">
        <v>-6.1462078757559423E-4</v>
      </c>
      <c r="FJ181">
        <v>-1.8861989874597051E-7</v>
      </c>
      <c r="FK181">
        <v>1.1980462299894961E-10</v>
      </c>
      <c r="FL181">
        <v>0.28151999999999688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36.700000000000003</v>
      </c>
      <c r="FU181">
        <v>36.9</v>
      </c>
      <c r="FV181">
        <v>1.7626999999999999</v>
      </c>
      <c r="FW181">
        <v>2.5927699999999998</v>
      </c>
      <c r="FX181">
        <v>1.5490699999999999</v>
      </c>
      <c r="FY181">
        <v>2.3303199999999999</v>
      </c>
      <c r="FZ181">
        <v>1.50146</v>
      </c>
      <c r="GA181">
        <v>2.2778299999999998</v>
      </c>
      <c r="GB181">
        <v>33.602899999999998</v>
      </c>
      <c r="GC181">
        <v>23.982399999999998</v>
      </c>
      <c r="GD181">
        <v>19</v>
      </c>
      <c r="GE181">
        <v>286.14</v>
      </c>
      <c r="GF181">
        <v>578.82000000000005</v>
      </c>
      <c r="GG181">
        <v>25.3017</v>
      </c>
      <c r="GH181">
        <v>26.076599999999999</v>
      </c>
      <c r="GI181">
        <v>30.0001</v>
      </c>
      <c r="GJ181">
        <v>26.187200000000001</v>
      </c>
      <c r="GK181">
        <v>26.1614</v>
      </c>
      <c r="GL181">
        <v>35.241100000000003</v>
      </c>
      <c r="GM181">
        <v>100</v>
      </c>
      <c r="GN181">
        <v>21.7516</v>
      </c>
      <c r="GO181">
        <v>25.306899999999999</v>
      </c>
      <c r="GP181">
        <v>800</v>
      </c>
      <c r="GQ181">
        <v>0</v>
      </c>
      <c r="GR181">
        <v>99.790400000000005</v>
      </c>
      <c r="GS181">
        <v>99.661900000000003</v>
      </c>
    </row>
    <row r="182" spans="1:201" x14ac:dyDescent="0.25">
      <c r="A182">
        <v>166</v>
      </c>
      <c r="B182">
        <v>1690302689.5999999</v>
      </c>
      <c r="C182">
        <v>1785.599999904633</v>
      </c>
      <c r="D182" t="s">
        <v>663</v>
      </c>
      <c r="E182" t="s">
        <v>664</v>
      </c>
      <c r="F182" t="s">
        <v>330</v>
      </c>
      <c r="H182">
        <v>1690302689.5999999</v>
      </c>
      <c r="I182">
        <f t="shared" si="60"/>
        <v>2.4122204872637928E-3</v>
      </c>
      <c r="J182">
        <f t="shared" si="61"/>
        <v>2.4122204872637929</v>
      </c>
      <c r="K182">
        <f t="shared" si="62"/>
        <v>34.443125491690068</v>
      </c>
      <c r="L182">
        <f t="shared" si="63"/>
        <v>413.92500000000001</v>
      </c>
      <c r="M182">
        <f t="shared" si="64"/>
        <v>109.1622587922853</v>
      </c>
      <c r="N182">
        <f t="shared" si="65"/>
        <v>10.851628162876544</v>
      </c>
      <c r="O182">
        <f t="shared" si="66"/>
        <v>41.147556280102499</v>
      </c>
      <c r="P182">
        <f t="shared" si="67"/>
        <v>0.19206144447479176</v>
      </c>
      <c r="Q182">
        <f t="shared" si="68"/>
        <v>2.1161816545687082</v>
      </c>
      <c r="R182">
        <f t="shared" si="69"/>
        <v>0.18287631998780998</v>
      </c>
      <c r="S182">
        <f t="shared" si="70"/>
        <v>0.11508633323693479</v>
      </c>
      <c r="T182">
        <f t="shared" si="71"/>
        <v>276.11526389400001</v>
      </c>
      <c r="U182">
        <f t="shared" si="72"/>
        <v>28.174807201829623</v>
      </c>
      <c r="V182">
        <f t="shared" si="73"/>
        <v>28.174807201829623</v>
      </c>
      <c r="W182">
        <f t="shared" si="74"/>
        <v>3.8336839416700093</v>
      </c>
      <c r="X182">
        <f t="shared" si="75"/>
        <v>72.397791126192715</v>
      </c>
      <c r="Y182">
        <f t="shared" si="76"/>
        <v>2.5646431581228297</v>
      </c>
      <c r="Z182">
        <f t="shared" si="77"/>
        <v>3.5424328812084025</v>
      </c>
      <c r="AA182">
        <f t="shared" si="78"/>
        <v>1.2690407835471795</v>
      </c>
      <c r="AB182">
        <f t="shared" si="79"/>
        <v>-106.37892348833326</v>
      </c>
      <c r="AC182">
        <f t="shared" si="80"/>
        <v>-154.05328815245619</v>
      </c>
      <c r="AD182">
        <f t="shared" si="81"/>
        <v>-15.789317380611518</v>
      </c>
      <c r="AE182">
        <f t="shared" si="82"/>
        <v>-0.10626512740097382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52498.056252414797</v>
      </c>
      <c r="AK182">
        <f t="shared" si="86"/>
        <v>1800</v>
      </c>
      <c r="AL182">
        <f t="shared" si="87"/>
        <v>1499.1123293999999</v>
      </c>
      <c r="AM182">
        <f t="shared" si="88"/>
        <v>0.83284018299999996</v>
      </c>
      <c r="AN182">
        <f t="shared" si="89"/>
        <v>0.15339736882999999</v>
      </c>
      <c r="AO182">
        <v>32.700000000000003</v>
      </c>
      <c r="AP182">
        <v>0.5</v>
      </c>
      <c r="AQ182" t="s">
        <v>331</v>
      </c>
      <c r="AR182">
        <v>2</v>
      </c>
      <c r="AS182">
        <v>1690302689.5999999</v>
      </c>
      <c r="AT182">
        <v>413.92500000000001</v>
      </c>
      <c r="AU182">
        <v>800.05700000000002</v>
      </c>
      <c r="AV182">
        <v>25.799099999999999</v>
      </c>
      <c r="AW182">
        <v>0.196271</v>
      </c>
      <c r="AX182">
        <v>413.96699999999998</v>
      </c>
      <c r="AY182">
        <v>25.517600000000002</v>
      </c>
      <c r="AZ182">
        <v>300.14100000000002</v>
      </c>
      <c r="BA182">
        <v>99.308300000000003</v>
      </c>
      <c r="BB182">
        <v>9.9941299999999997E-2</v>
      </c>
      <c r="BC182">
        <v>26.8245</v>
      </c>
      <c r="BD182">
        <v>26.991399999999999</v>
      </c>
      <c r="BE182">
        <v>28.131799999999998</v>
      </c>
      <c r="BF182">
        <v>0</v>
      </c>
      <c r="BG182">
        <v>0</v>
      </c>
      <c r="BH182">
        <v>9991.25</v>
      </c>
      <c r="BI182">
        <v>1078.6099999999999</v>
      </c>
      <c r="BJ182">
        <v>1.7380500000000001</v>
      </c>
      <c r="BK182">
        <v>-386.13299999999998</v>
      </c>
      <c r="BL182">
        <v>424.88600000000002</v>
      </c>
      <c r="BM182">
        <v>800.21400000000006</v>
      </c>
      <c r="BN182">
        <v>25.602900000000002</v>
      </c>
      <c r="BO182">
        <v>800.05700000000002</v>
      </c>
      <c r="BP182">
        <v>0.196271</v>
      </c>
      <c r="BQ182">
        <v>2.5620699999999998</v>
      </c>
      <c r="BR182">
        <v>1.94913E-2</v>
      </c>
      <c r="BS182">
        <v>21.426300000000001</v>
      </c>
      <c r="BT182">
        <v>-39.673400000000001</v>
      </c>
      <c r="BU182">
        <v>1800</v>
      </c>
      <c r="BV182">
        <v>0.91000300000000001</v>
      </c>
      <c r="BW182">
        <v>3.4005399999999998E-2</v>
      </c>
      <c r="BX182">
        <v>2.1998400000000001E-2</v>
      </c>
      <c r="BY182">
        <v>3.3993700000000002E-2</v>
      </c>
      <c r="BZ182">
        <v>26</v>
      </c>
      <c r="CA182">
        <v>33528.400000000001</v>
      </c>
      <c r="CB182">
        <v>1690300477.5</v>
      </c>
      <c r="CC182" t="s">
        <v>332</v>
      </c>
      <c r="CD182">
        <v>1690300477.5</v>
      </c>
      <c r="CE182">
        <v>1690300465.5</v>
      </c>
      <c r="CF182">
        <v>7</v>
      </c>
      <c r="CG182">
        <v>5.0999999999999997E-2</v>
      </c>
      <c r="CH182">
        <v>-8.0000000000000002E-3</v>
      </c>
      <c r="CI182">
        <v>-0.316</v>
      </c>
      <c r="CJ182">
        <v>0.28199999999999997</v>
      </c>
      <c r="CK182">
        <v>800</v>
      </c>
      <c r="CL182">
        <v>24</v>
      </c>
      <c r="CM182">
        <v>0.25</v>
      </c>
      <c r="CN182">
        <v>0.13</v>
      </c>
      <c r="CO182">
        <v>-385.37912499999999</v>
      </c>
      <c r="CP182">
        <v>-3.8826754221377908</v>
      </c>
      <c r="CQ182">
        <v>0.37445054329643851</v>
      </c>
      <c r="CR182">
        <v>-1</v>
      </c>
      <c r="CS182">
        <v>25.571377500000001</v>
      </c>
      <c r="CT182">
        <v>0.18138123827385111</v>
      </c>
      <c r="CU182">
        <v>1.7475146458613939E-2</v>
      </c>
      <c r="CV182">
        <v>-1</v>
      </c>
      <c r="CW182">
        <v>0</v>
      </c>
      <c r="CX182">
        <v>0</v>
      </c>
      <c r="CY182" t="s">
        <v>333</v>
      </c>
      <c r="CZ182">
        <v>2.3647</v>
      </c>
      <c r="DA182">
        <v>2.7137199999999999</v>
      </c>
      <c r="DB182">
        <v>9.2094200000000001E-2</v>
      </c>
      <c r="DC182">
        <v>0.146366</v>
      </c>
      <c r="DD182">
        <v>0.119856</v>
      </c>
      <c r="DE182">
        <v>1.6530500000000001E-3</v>
      </c>
      <c r="DF182">
        <v>33167.4</v>
      </c>
      <c r="DG182">
        <v>27535.3</v>
      </c>
      <c r="DH182">
        <v>31186.6</v>
      </c>
      <c r="DI182">
        <v>28107.3</v>
      </c>
      <c r="DJ182">
        <v>37259.800000000003</v>
      </c>
      <c r="DK182">
        <v>39912</v>
      </c>
      <c r="DL182">
        <v>44385.3</v>
      </c>
      <c r="DM182">
        <v>42603.5</v>
      </c>
      <c r="DN182">
        <v>1.4855700000000001</v>
      </c>
      <c r="DO182">
        <v>2.0333000000000001</v>
      </c>
      <c r="DP182">
        <v>8.7656100000000001E-2</v>
      </c>
      <c r="DQ182">
        <v>0.16753399999999999</v>
      </c>
      <c r="DR182">
        <v>25.5562</v>
      </c>
      <c r="DS182">
        <v>25.390899999999998</v>
      </c>
      <c r="DT182">
        <v>28</v>
      </c>
      <c r="DU182">
        <v>29.1</v>
      </c>
      <c r="DV182">
        <v>11.405200000000001</v>
      </c>
      <c r="DW182">
        <v>62.031100000000002</v>
      </c>
      <c r="DX182">
        <v>36.5304</v>
      </c>
      <c r="DY182">
        <v>1</v>
      </c>
      <c r="DZ182">
        <v>-0.105155</v>
      </c>
      <c r="EA182">
        <v>-0.194883</v>
      </c>
      <c r="EB182">
        <v>20.1892</v>
      </c>
      <c r="EC182">
        <v>5.24125</v>
      </c>
      <c r="ED182">
        <v>12.039899999999999</v>
      </c>
      <c r="EE182">
        <v>5.0172499999999998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1.8646199999999999</v>
      </c>
      <c r="EM182">
        <v>1.8691800000000001</v>
      </c>
      <c r="EN182">
        <v>1.8672200000000001</v>
      </c>
      <c r="EO182">
        <v>1.86338</v>
      </c>
      <c r="EP182">
        <v>1.8644700000000001</v>
      </c>
      <c r="EQ182">
        <v>1.87015</v>
      </c>
      <c r="ER182">
        <v>1.8693900000000001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-4.2000000000000003E-2</v>
      </c>
      <c r="FG182">
        <v>0.28149999999999997</v>
      </c>
      <c r="FH182">
        <v>0.23539598422606861</v>
      </c>
      <c r="FI182">
        <v>-6.1462078757559423E-4</v>
      </c>
      <c r="FJ182">
        <v>-1.8861989874597051E-7</v>
      </c>
      <c r="FK182">
        <v>1.1980462299894961E-10</v>
      </c>
      <c r="FL182">
        <v>0.28151999999999688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36.9</v>
      </c>
      <c r="FU182">
        <v>37.1</v>
      </c>
      <c r="FV182">
        <v>1.7626999999999999</v>
      </c>
      <c r="FW182">
        <v>2.5903299999999998</v>
      </c>
      <c r="FX182">
        <v>1.5490699999999999</v>
      </c>
      <c r="FY182">
        <v>2.3303199999999999</v>
      </c>
      <c r="FZ182">
        <v>1.50146</v>
      </c>
      <c r="GA182">
        <v>2.3083499999999999</v>
      </c>
      <c r="GB182">
        <v>33.602899999999998</v>
      </c>
      <c r="GC182">
        <v>23.982399999999998</v>
      </c>
      <c r="GD182">
        <v>19</v>
      </c>
      <c r="GE182">
        <v>286.16399999999999</v>
      </c>
      <c r="GF182">
        <v>578.66</v>
      </c>
      <c r="GG182">
        <v>25.304099999999998</v>
      </c>
      <c r="GH182">
        <v>26.078800000000001</v>
      </c>
      <c r="GI182">
        <v>30.000299999999999</v>
      </c>
      <c r="GJ182">
        <v>26.187999999999999</v>
      </c>
      <c r="GK182">
        <v>26.163599999999999</v>
      </c>
      <c r="GL182">
        <v>35.240600000000001</v>
      </c>
      <c r="GM182">
        <v>100</v>
      </c>
      <c r="GN182">
        <v>20.9786</v>
      </c>
      <c r="GO182">
        <v>25.303100000000001</v>
      </c>
      <c r="GP182">
        <v>800</v>
      </c>
      <c r="GQ182">
        <v>0</v>
      </c>
      <c r="GR182">
        <v>99.788799999999995</v>
      </c>
      <c r="GS182">
        <v>99.662000000000006</v>
      </c>
    </row>
    <row r="183" spans="1:201" x14ac:dyDescent="0.25">
      <c r="A183">
        <v>167</v>
      </c>
      <c r="B183">
        <v>1690302699.5999999</v>
      </c>
      <c r="C183">
        <v>1795.599999904633</v>
      </c>
      <c r="D183" t="s">
        <v>665</v>
      </c>
      <c r="E183" t="s">
        <v>666</v>
      </c>
      <c r="F183" t="s">
        <v>330</v>
      </c>
      <c r="H183">
        <v>1690302699.5999999</v>
      </c>
      <c r="I183">
        <f t="shared" si="60"/>
        <v>2.4154145991313854E-3</v>
      </c>
      <c r="J183">
        <f t="shared" si="61"/>
        <v>2.4154145991313856</v>
      </c>
      <c r="K183">
        <f t="shared" si="62"/>
        <v>34.529136571837064</v>
      </c>
      <c r="L183">
        <f t="shared" si="63"/>
        <v>413.108</v>
      </c>
      <c r="M183">
        <f t="shared" si="64"/>
        <v>108.99437223060052</v>
      </c>
      <c r="N183">
        <f t="shared" si="65"/>
        <v>10.834945209413458</v>
      </c>
      <c r="O183">
        <f t="shared" si="66"/>
        <v>41.066363831156806</v>
      </c>
      <c r="P183">
        <f t="shared" si="67"/>
        <v>0.19296725283087954</v>
      </c>
      <c r="Q183">
        <f t="shared" si="68"/>
        <v>2.1192664947095308</v>
      </c>
      <c r="R183">
        <f t="shared" si="69"/>
        <v>0.1837103296598461</v>
      </c>
      <c r="S183">
        <f t="shared" si="70"/>
        <v>0.11561363979571837</v>
      </c>
      <c r="T183">
        <f t="shared" si="71"/>
        <v>276.11500023000008</v>
      </c>
      <c r="U183">
        <f t="shared" si="72"/>
        <v>28.167607185965483</v>
      </c>
      <c r="V183">
        <f t="shared" si="73"/>
        <v>28.167607185965483</v>
      </c>
      <c r="W183">
        <f t="shared" si="74"/>
        <v>3.8320771891166281</v>
      </c>
      <c r="X183">
        <f t="shared" si="75"/>
        <v>72.486317344713058</v>
      </c>
      <c r="Y183">
        <f t="shared" si="76"/>
        <v>2.5671298697003602</v>
      </c>
      <c r="Z183">
        <f t="shared" si="77"/>
        <v>3.5415371669279585</v>
      </c>
      <c r="AA183">
        <f t="shared" si="78"/>
        <v>1.2649473194162679</v>
      </c>
      <c r="AB183">
        <f t="shared" si="79"/>
        <v>-106.51978382169409</v>
      </c>
      <c r="AC183">
        <f t="shared" si="80"/>
        <v>-153.94651950161779</v>
      </c>
      <c r="AD183">
        <f t="shared" si="81"/>
        <v>-15.754502366976276</v>
      </c>
      <c r="AE183">
        <f t="shared" si="82"/>
        <v>-0.10580546028808158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52634.102202626993</v>
      </c>
      <c r="AK183">
        <f t="shared" si="86"/>
        <v>1800</v>
      </c>
      <c r="AL183">
        <f t="shared" si="87"/>
        <v>1499.111523</v>
      </c>
      <c r="AM183">
        <f t="shared" si="88"/>
        <v>0.83283973499999997</v>
      </c>
      <c r="AN183">
        <f t="shared" si="89"/>
        <v>0.15339722235000003</v>
      </c>
      <c r="AO183">
        <v>32.700000000000003</v>
      </c>
      <c r="AP183">
        <v>0.5</v>
      </c>
      <c r="AQ183" t="s">
        <v>331</v>
      </c>
      <c r="AR183">
        <v>2</v>
      </c>
      <c r="AS183">
        <v>1690302699.5999999</v>
      </c>
      <c r="AT183">
        <v>413.108</v>
      </c>
      <c r="AU183">
        <v>800.072</v>
      </c>
      <c r="AV183">
        <v>25.824100000000001</v>
      </c>
      <c r="AW183">
        <v>0.194517</v>
      </c>
      <c r="AX183">
        <v>413.15</v>
      </c>
      <c r="AY183">
        <v>25.5426</v>
      </c>
      <c r="AZ183">
        <v>300.21699999999998</v>
      </c>
      <c r="BA183">
        <v>99.308300000000003</v>
      </c>
      <c r="BB183">
        <v>9.9999599999999994E-2</v>
      </c>
      <c r="BC183">
        <v>26.8202</v>
      </c>
      <c r="BD183">
        <v>26.9968</v>
      </c>
      <c r="BE183">
        <v>28.117799999999999</v>
      </c>
      <c r="BF183">
        <v>0</v>
      </c>
      <c r="BG183">
        <v>0</v>
      </c>
      <c r="BH183">
        <v>10018.1</v>
      </c>
      <c r="BI183">
        <v>1078.5899999999999</v>
      </c>
      <c r="BJ183">
        <v>1.70441</v>
      </c>
      <c r="BK183">
        <v>-386.964</v>
      </c>
      <c r="BL183">
        <v>424.05900000000003</v>
      </c>
      <c r="BM183">
        <v>800.22699999999998</v>
      </c>
      <c r="BN183">
        <v>25.6296</v>
      </c>
      <c r="BO183">
        <v>800.072</v>
      </c>
      <c r="BP183">
        <v>0.194517</v>
      </c>
      <c r="BQ183">
        <v>2.56454</v>
      </c>
      <c r="BR183">
        <v>1.93171E-2</v>
      </c>
      <c r="BS183">
        <v>21.442</v>
      </c>
      <c r="BT183">
        <v>-39.759599999999999</v>
      </c>
      <c r="BU183">
        <v>1800</v>
      </c>
      <c r="BV183">
        <v>0.91000400000000004</v>
      </c>
      <c r="BW183">
        <v>3.4004699999999999E-2</v>
      </c>
      <c r="BX183">
        <v>2.1998E-2</v>
      </c>
      <c r="BY183">
        <v>3.3993099999999998E-2</v>
      </c>
      <c r="BZ183">
        <v>26</v>
      </c>
      <c r="CA183">
        <v>33528.400000000001</v>
      </c>
      <c r="CB183">
        <v>1690300477.5</v>
      </c>
      <c r="CC183" t="s">
        <v>332</v>
      </c>
      <c r="CD183">
        <v>1690300477.5</v>
      </c>
      <c r="CE183">
        <v>1690300465.5</v>
      </c>
      <c r="CF183">
        <v>7</v>
      </c>
      <c r="CG183">
        <v>5.0999999999999997E-2</v>
      </c>
      <c r="CH183">
        <v>-8.0000000000000002E-3</v>
      </c>
      <c r="CI183">
        <v>-0.316</v>
      </c>
      <c r="CJ183">
        <v>0.28199999999999997</v>
      </c>
      <c r="CK183">
        <v>800</v>
      </c>
      <c r="CL183">
        <v>24</v>
      </c>
      <c r="CM183">
        <v>0.25</v>
      </c>
      <c r="CN183">
        <v>0.13</v>
      </c>
      <c r="CO183">
        <v>-386.03660000000002</v>
      </c>
      <c r="CP183">
        <v>-3.8968255159459231</v>
      </c>
      <c r="CQ183">
        <v>0.37714061038292063</v>
      </c>
      <c r="CR183">
        <v>-1</v>
      </c>
      <c r="CS183">
        <v>25.599417500000001</v>
      </c>
      <c r="CT183">
        <v>0.15431707317069329</v>
      </c>
      <c r="CU183">
        <v>1.4861407865676791E-2</v>
      </c>
      <c r="CV183">
        <v>-1</v>
      </c>
      <c r="CW183">
        <v>0</v>
      </c>
      <c r="CX183">
        <v>0</v>
      </c>
      <c r="CY183" t="s">
        <v>333</v>
      </c>
      <c r="CZ183">
        <v>2.3649499999999999</v>
      </c>
      <c r="DA183">
        <v>2.7138100000000001</v>
      </c>
      <c r="DB183">
        <v>9.1955700000000001E-2</v>
      </c>
      <c r="DC183">
        <v>0.146368</v>
      </c>
      <c r="DD183">
        <v>0.119937</v>
      </c>
      <c r="DE183">
        <v>1.6384500000000001E-3</v>
      </c>
      <c r="DF183">
        <v>33172.699999999997</v>
      </c>
      <c r="DG183">
        <v>27535.200000000001</v>
      </c>
      <c r="DH183">
        <v>31186.9</v>
      </c>
      <c r="DI183">
        <v>28107.200000000001</v>
      </c>
      <c r="DJ183">
        <v>37256.800000000003</v>
      </c>
      <c r="DK183">
        <v>39912.400000000001</v>
      </c>
      <c r="DL183">
        <v>44385.8</v>
      </c>
      <c r="DM183">
        <v>42603.3</v>
      </c>
      <c r="DN183">
        <v>1.4858</v>
      </c>
      <c r="DO183">
        <v>2.0333199999999998</v>
      </c>
      <c r="DP183">
        <v>8.7983900000000004E-2</v>
      </c>
      <c r="DQ183">
        <v>0.16667699999999999</v>
      </c>
      <c r="DR183">
        <v>25.5562</v>
      </c>
      <c r="DS183">
        <v>25.390899999999998</v>
      </c>
      <c r="DT183">
        <v>27.7</v>
      </c>
      <c r="DU183">
        <v>29.1</v>
      </c>
      <c r="DV183">
        <v>11.2813</v>
      </c>
      <c r="DW183">
        <v>61.631100000000004</v>
      </c>
      <c r="DX183">
        <v>36.382199999999997</v>
      </c>
      <c r="DY183">
        <v>1</v>
      </c>
      <c r="DZ183">
        <v>-0.10492899999999999</v>
      </c>
      <c r="EA183">
        <v>-0.19647100000000001</v>
      </c>
      <c r="EB183">
        <v>20.1892</v>
      </c>
      <c r="EC183">
        <v>5.2411000000000003</v>
      </c>
      <c r="ED183">
        <v>12.039899999999999</v>
      </c>
      <c r="EE183">
        <v>5.01715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1.8646199999999999</v>
      </c>
      <c r="EM183">
        <v>1.8692</v>
      </c>
      <c r="EN183">
        <v>1.8672500000000001</v>
      </c>
      <c r="EO183">
        <v>1.8633999999999999</v>
      </c>
      <c r="EP183">
        <v>1.86449</v>
      </c>
      <c r="EQ183">
        <v>1.8701700000000001</v>
      </c>
      <c r="ER183">
        <v>1.86941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-4.2000000000000003E-2</v>
      </c>
      <c r="FG183">
        <v>0.28149999999999997</v>
      </c>
      <c r="FH183">
        <v>0.23539598422606861</v>
      </c>
      <c r="FI183">
        <v>-6.1462078757559423E-4</v>
      </c>
      <c r="FJ183">
        <v>-1.8861989874597051E-7</v>
      </c>
      <c r="FK183">
        <v>1.1980462299894961E-10</v>
      </c>
      <c r="FL183">
        <v>0.28151999999999688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</v>
      </c>
      <c r="FU183">
        <v>37.200000000000003</v>
      </c>
      <c r="FV183">
        <v>1.7626999999999999</v>
      </c>
      <c r="FW183">
        <v>2.5952099999999998</v>
      </c>
      <c r="FX183">
        <v>1.5490699999999999</v>
      </c>
      <c r="FY183">
        <v>2.3303199999999999</v>
      </c>
      <c r="FZ183">
        <v>1.50146</v>
      </c>
      <c r="GA183">
        <v>2.2729499999999998</v>
      </c>
      <c r="GB183">
        <v>33.602899999999998</v>
      </c>
      <c r="GC183">
        <v>23.982399999999998</v>
      </c>
      <c r="GD183">
        <v>19</v>
      </c>
      <c r="GE183">
        <v>286.26799999999997</v>
      </c>
      <c r="GF183">
        <v>578.68100000000004</v>
      </c>
      <c r="GG183">
        <v>25.3033</v>
      </c>
      <c r="GH183">
        <v>26.0808</v>
      </c>
      <c r="GI183">
        <v>30.000299999999999</v>
      </c>
      <c r="GJ183">
        <v>26.189399999999999</v>
      </c>
      <c r="GK183">
        <v>26.163599999999999</v>
      </c>
      <c r="GL183">
        <v>35.236600000000003</v>
      </c>
      <c r="GM183">
        <v>100</v>
      </c>
      <c r="GN183">
        <v>20.227</v>
      </c>
      <c r="GO183">
        <v>25.3033</v>
      </c>
      <c r="GP183">
        <v>800</v>
      </c>
      <c r="GQ183">
        <v>0</v>
      </c>
      <c r="GR183">
        <v>99.789900000000003</v>
      </c>
      <c r="GS183">
        <v>99.661600000000007</v>
      </c>
    </row>
    <row r="184" spans="1:201" x14ac:dyDescent="0.25">
      <c r="A184">
        <v>168</v>
      </c>
      <c r="B184">
        <v>1690302709.5999999</v>
      </c>
      <c r="C184">
        <v>1805.599999904633</v>
      </c>
      <c r="D184" t="s">
        <v>667</v>
      </c>
      <c r="E184" t="s">
        <v>668</v>
      </c>
      <c r="F184" t="s">
        <v>330</v>
      </c>
      <c r="H184">
        <v>1690302709.5999999</v>
      </c>
      <c r="I184">
        <f t="shared" si="60"/>
        <v>2.4194796653218475E-3</v>
      </c>
      <c r="J184">
        <f t="shared" si="61"/>
        <v>2.4194796653218473</v>
      </c>
      <c r="K184">
        <f t="shared" si="62"/>
        <v>34.58438711078098</v>
      </c>
      <c r="L184">
        <f t="shared" si="63"/>
        <v>412.44299999999998</v>
      </c>
      <c r="M184">
        <f t="shared" si="64"/>
        <v>109.62052368585761</v>
      </c>
      <c r="N184">
        <f t="shared" si="65"/>
        <v>10.897134864255897</v>
      </c>
      <c r="O184">
        <f t="shared" si="66"/>
        <v>41.000050389269703</v>
      </c>
      <c r="P184">
        <f t="shared" si="67"/>
        <v>0.19415059742071758</v>
      </c>
      <c r="Q184">
        <f t="shared" si="68"/>
        <v>2.118904938918821</v>
      </c>
      <c r="R184">
        <f t="shared" si="69"/>
        <v>0.18478123800178936</v>
      </c>
      <c r="S184">
        <f t="shared" si="70"/>
        <v>0.11629238549000806</v>
      </c>
      <c r="T184">
        <f t="shared" si="71"/>
        <v>276.11507629800002</v>
      </c>
      <c r="U184">
        <f t="shared" si="72"/>
        <v>28.161098585902128</v>
      </c>
      <c r="V184">
        <f t="shared" si="73"/>
        <v>28.161098585902128</v>
      </c>
      <c r="W184">
        <f t="shared" si="74"/>
        <v>3.8306252382114105</v>
      </c>
      <c r="X184">
        <f t="shared" si="75"/>
        <v>72.615806804823563</v>
      </c>
      <c r="Y184">
        <f t="shared" si="76"/>
        <v>2.5709142916291703</v>
      </c>
      <c r="Z184">
        <f t="shared" si="77"/>
        <v>3.5404334190478139</v>
      </c>
      <c r="AA184">
        <f t="shared" si="78"/>
        <v>1.2597109465822403</v>
      </c>
      <c r="AB184">
        <f t="shared" si="79"/>
        <v>-106.69905324069347</v>
      </c>
      <c r="AC184">
        <f t="shared" si="80"/>
        <v>-153.78219187015745</v>
      </c>
      <c r="AD184">
        <f t="shared" si="81"/>
        <v>-15.739442909383937</v>
      </c>
      <c r="AE184">
        <f t="shared" si="82"/>
        <v>-0.10561172223481208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52619.152429824055</v>
      </c>
      <c r="AK184">
        <f t="shared" si="86"/>
        <v>1800</v>
      </c>
      <c r="AL184">
        <f t="shared" si="87"/>
        <v>1499.1121998000001</v>
      </c>
      <c r="AM184">
        <f t="shared" si="88"/>
        <v>0.83284011099999999</v>
      </c>
      <c r="AN184">
        <f t="shared" si="89"/>
        <v>0.15339726461</v>
      </c>
      <c r="AO184">
        <v>32.700000000000003</v>
      </c>
      <c r="AP184">
        <v>0.5</v>
      </c>
      <c r="AQ184" t="s">
        <v>331</v>
      </c>
      <c r="AR184">
        <v>2</v>
      </c>
      <c r="AS184">
        <v>1690302709.5999999</v>
      </c>
      <c r="AT184">
        <v>412.44299999999998</v>
      </c>
      <c r="AU184">
        <v>799.976</v>
      </c>
      <c r="AV184">
        <v>25.862300000000001</v>
      </c>
      <c r="AW184">
        <v>0.19281300000000001</v>
      </c>
      <c r="AX184">
        <v>412.48500000000001</v>
      </c>
      <c r="AY184">
        <v>25.5808</v>
      </c>
      <c r="AZ184">
        <v>300.24299999999999</v>
      </c>
      <c r="BA184">
        <v>99.3078</v>
      </c>
      <c r="BB184">
        <v>9.9997900000000001E-2</v>
      </c>
      <c r="BC184">
        <v>26.814900000000002</v>
      </c>
      <c r="BD184">
        <v>26.994700000000002</v>
      </c>
      <c r="BE184">
        <v>28.13</v>
      </c>
      <c r="BF184">
        <v>0</v>
      </c>
      <c r="BG184">
        <v>0</v>
      </c>
      <c r="BH184">
        <v>10015</v>
      </c>
      <c r="BI184">
        <v>1078.6300000000001</v>
      </c>
      <c r="BJ184">
        <v>1.7380500000000001</v>
      </c>
      <c r="BK184">
        <v>-387.53300000000002</v>
      </c>
      <c r="BL184">
        <v>423.39299999999997</v>
      </c>
      <c r="BM184">
        <v>800.13099999999997</v>
      </c>
      <c r="BN184">
        <v>25.669499999999999</v>
      </c>
      <c r="BO184">
        <v>799.976</v>
      </c>
      <c r="BP184">
        <v>0.19281300000000001</v>
      </c>
      <c r="BQ184">
        <v>2.56833</v>
      </c>
      <c r="BR184">
        <v>1.91478E-2</v>
      </c>
      <c r="BS184">
        <v>21.466100000000001</v>
      </c>
      <c r="BT184">
        <v>-39.844099999999997</v>
      </c>
      <c r="BU184">
        <v>1800</v>
      </c>
      <c r="BV184">
        <v>0.91000499999999995</v>
      </c>
      <c r="BW184">
        <v>3.40045E-2</v>
      </c>
      <c r="BX184">
        <v>2.1997800000000001E-2</v>
      </c>
      <c r="BY184">
        <v>3.39929E-2</v>
      </c>
      <c r="BZ184">
        <v>26</v>
      </c>
      <c r="CA184">
        <v>33528.5</v>
      </c>
      <c r="CB184">
        <v>1690300477.5</v>
      </c>
      <c r="CC184" t="s">
        <v>332</v>
      </c>
      <c r="CD184">
        <v>1690300477.5</v>
      </c>
      <c r="CE184">
        <v>1690300465.5</v>
      </c>
      <c r="CF184">
        <v>7</v>
      </c>
      <c r="CG184">
        <v>5.0999999999999997E-2</v>
      </c>
      <c r="CH184">
        <v>-8.0000000000000002E-3</v>
      </c>
      <c r="CI184">
        <v>-0.316</v>
      </c>
      <c r="CJ184">
        <v>0.28199999999999997</v>
      </c>
      <c r="CK184">
        <v>800</v>
      </c>
      <c r="CL184">
        <v>24</v>
      </c>
      <c r="CM184">
        <v>0.25</v>
      </c>
      <c r="CN184">
        <v>0.13</v>
      </c>
      <c r="CO184">
        <v>-386.75689999999997</v>
      </c>
      <c r="CP184">
        <v>-4.5162551594740687</v>
      </c>
      <c r="CQ184">
        <v>0.43747913093083501</v>
      </c>
      <c r="CR184">
        <v>-1</v>
      </c>
      <c r="CS184">
        <v>25.629069999999999</v>
      </c>
      <c r="CT184">
        <v>0.20532607879920781</v>
      </c>
      <c r="CU184">
        <v>1.993054439798372E-2</v>
      </c>
      <c r="CV184">
        <v>-1</v>
      </c>
      <c r="CW184">
        <v>0</v>
      </c>
      <c r="CX184">
        <v>0</v>
      </c>
      <c r="CY184" t="s">
        <v>333</v>
      </c>
      <c r="CZ184">
        <v>2.36503</v>
      </c>
      <c r="DA184">
        <v>2.7138</v>
      </c>
      <c r="DB184">
        <v>9.1843099999999997E-2</v>
      </c>
      <c r="DC184">
        <v>0.14635500000000001</v>
      </c>
      <c r="DD184">
        <v>0.120062</v>
      </c>
      <c r="DE184">
        <v>1.62426E-3</v>
      </c>
      <c r="DF184">
        <v>33177.1</v>
      </c>
      <c r="DG184">
        <v>27535.8</v>
      </c>
      <c r="DH184">
        <v>31187.200000000001</v>
      </c>
      <c r="DI184">
        <v>28107.4</v>
      </c>
      <c r="DJ184">
        <v>37251.599999999999</v>
      </c>
      <c r="DK184">
        <v>39913.199999999997</v>
      </c>
      <c r="DL184">
        <v>44386</v>
      </c>
      <c r="DM184">
        <v>42603.6</v>
      </c>
      <c r="DN184">
        <v>1.4859199999999999</v>
      </c>
      <c r="DO184">
        <v>2.03328</v>
      </c>
      <c r="DP184">
        <v>8.7857199999999996E-2</v>
      </c>
      <c r="DQ184">
        <v>0.16742199999999999</v>
      </c>
      <c r="DR184">
        <v>25.5562</v>
      </c>
      <c r="DS184">
        <v>25.390899999999998</v>
      </c>
      <c r="DT184">
        <v>27.4</v>
      </c>
      <c r="DU184">
        <v>29.1</v>
      </c>
      <c r="DV184">
        <v>11.159800000000001</v>
      </c>
      <c r="DW184">
        <v>61.591099999999997</v>
      </c>
      <c r="DX184">
        <v>36.438299999999998</v>
      </c>
      <c r="DY184">
        <v>1</v>
      </c>
      <c r="DZ184">
        <v>-0.104672</v>
      </c>
      <c r="EA184">
        <v>-0.199959</v>
      </c>
      <c r="EB184">
        <v>20.189399999999999</v>
      </c>
      <c r="EC184">
        <v>5.2416999999999998</v>
      </c>
      <c r="ED184">
        <v>12.039899999999999</v>
      </c>
      <c r="EE184">
        <v>5.0171999999999999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1.8689100000000001</v>
      </c>
      <c r="EL184">
        <v>1.8646199999999999</v>
      </c>
      <c r="EM184">
        <v>1.8692</v>
      </c>
      <c r="EN184">
        <v>1.86724</v>
      </c>
      <c r="EO184">
        <v>1.8633999999999999</v>
      </c>
      <c r="EP184">
        <v>1.8644700000000001</v>
      </c>
      <c r="EQ184">
        <v>1.87018</v>
      </c>
      <c r="ER184">
        <v>1.8694200000000001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-4.2000000000000003E-2</v>
      </c>
      <c r="FG184">
        <v>0.28149999999999997</v>
      </c>
      <c r="FH184">
        <v>0.23539598422606861</v>
      </c>
      <c r="FI184">
        <v>-6.1462078757559423E-4</v>
      </c>
      <c r="FJ184">
        <v>-1.8861989874597051E-7</v>
      </c>
      <c r="FK184">
        <v>1.1980462299894961E-10</v>
      </c>
      <c r="FL184">
        <v>0.28151999999999688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37.200000000000003</v>
      </c>
      <c r="FU184">
        <v>37.4</v>
      </c>
      <c r="FV184">
        <v>1.7626999999999999</v>
      </c>
      <c r="FW184">
        <v>2.5891099999999998</v>
      </c>
      <c r="FX184">
        <v>1.5490699999999999</v>
      </c>
      <c r="FY184">
        <v>2.3303199999999999</v>
      </c>
      <c r="FZ184">
        <v>1.50146</v>
      </c>
      <c r="GA184">
        <v>2.2875999999999999</v>
      </c>
      <c r="GB184">
        <v>33.625399999999999</v>
      </c>
      <c r="GC184">
        <v>23.982399999999998</v>
      </c>
      <c r="GD184">
        <v>19</v>
      </c>
      <c r="GE184">
        <v>286.32100000000003</v>
      </c>
      <c r="GF184">
        <v>578.64</v>
      </c>
      <c r="GG184">
        <v>25.3034</v>
      </c>
      <c r="GH184">
        <v>26.081</v>
      </c>
      <c r="GI184">
        <v>30.0002</v>
      </c>
      <c r="GJ184">
        <v>26.189399999999999</v>
      </c>
      <c r="GK184">
        <v>26.163599999999999</v>
      </c>
      <c r="GL184">
        <v>35.238999999999997</v>
      </c>
      <c r="GM184">
        <v>100</v>
      </c>
      <c r="GN184">
        <v>19.848099999999999</v>
      </c>
      <c r="GO184">
        <v>25.304400000000001</v>
      </c>
      <c r="GP184">
        <v>800</v>
      </c>
      <c r="GQ184">
        <v>0</v>
      </c>
      <c r="GR184">
        <v>99.790499999999994</v>
      </c>
      <c r="GS184">
        <v>99.662300000000002</v>
      </c>
    </row>
    <row r="185" spans="1:201" x14ac:dyDescent="0.25">
      <c r="A185">
        <v>169</v>
      </c>
      <c r="B185">
        <v>1690302719.5999999</v>
      </c>
      <c r="C185">
        <v>1815.599999904633</v>
      </c>
      <c r="D185" t="s">
        <v>669</v>
      </c>
      <c r="E185" t="s">
        <v>670</v>
      </c>
      <c r="F185" t="s">
        <v>330</v>
      </c>
      <c r="H185">
        <v>1690302719.5999999</v>
      </c>
      <c r="I185">
        <f t="shared" si="60"/>
        <v>2.4213671624030669E-3</v>
      </c>
      <c r="J185">
        <f t="shared" si="61"/>
        <v>2.421367162403067</v>
      </c>
      <c r="K185">
        <f t="shared" si="62"/>
        <v>34.629205915246047</v>
      </c>
      <c r="L185">
        <f t="shared" si="63"/>
        <v>411.96699999999998</v>
      </c>
      <c r="M185">
        <f t="shared" si="64"/>
        <v>109.17323049017817</v>
      </c>
      <c r="N185">
        <f t="shared" si="65"/>
        <v>10.852402314120988</v>
      </c>
      <c r="O185">
        <f t="shared" si="66"/>
        <v>40.951720527714002</v>
      </c>
      <c r="P185">
        <f t="shared" si="67"/>
        <v>0.19443358530002361</v>
      </c>
      <c r="Q185">
        <f t="shared" si="68"/>
        <v>2.1165069426400462</v>
      </c>
      <c r="R185">
        <f t="shared" si="69"/>
        <v>0.18502751082236085</v>
      </c>
      <c r="S185">
        <f t="shared" si="70"/>
        <v>0.11644936384551448</v>
      </c>
      <c r="T185">
        <f t="shared" si="71"/>
        <v>276.11501896800002</v>
      </c>
      <c r="U185">
        <f t="shared" si="72"/>
        <v>28.166814145553658</v>
      </c>
      <c r="V185">
        <f t="shared" si="73"/>
        <v>28.166814145553658</v>
      </c>
      <c r="W185">
        <f t="shared" si="74"/>
        <v>3.8319002504689794</v>
      </c>
      <c r="X185">
        <f t="shared" si="75"/>
        <v>72.651607569593381</v>
      </c>
      <c r="Y185">
        <f t="shared" si="76"/>
        <v>2.5729382885885999</v>
      </c>
      <c r="Z185">
        <f t="shared" si="77"/>
        <v>3.5414746826131385</v>
      </c>
      <c r="AA185">
        <f t="shared" si="78"/>
        <v>1.2589619618803796</v>
      </c>
      <c r="AB185">
        <f t="shared" si="79"/>
        <v>-106.78229186197525</v>
      </c>
      <c r="AC185">
        <f t="shared" si="80"/>
        <v>-153.68980329469977</v>
      </c>
      <c r="AD185">
        <f t="shared" si="81"/>
        <v>-15.748651526466265</v>
      </c>
      <c r="AE185">
        <f t="shared" si="82"/>
        <v>-0.10572771514128476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52513.052359602996</v>
      </c>
      <c r="AK185">
        <f t="shared" si="86"/>
        <v>1800</v>
      </c>
      <c r="AL185">
        <f t="shared" si="87"/>
        <v>1499.1119388</v>
      </c>
      <c r="AM185">
        <f t="shared" si="88"/>
        <v>0.83283996599999999</v>
      </c>
      <c r="AN185">
        <f t="shared" si="89"/>
        <v>0.15339723276</v>
      </c>
      <c r="AO185">
        <v>32.700000000000003</v>
      </c>
      <c r="AP185">
        <v>0.5</v>
      </c>
      <c r="AQ185" t="s">
        <v>331</v>
      </c>
      <c r="AR185">
        <v>2</v>
      </c>
      <c r="AS185">
        <v>1690302719.5999999</v>
      </c>
      <c r="AT185">
        <v>411.96699999999998</v>
      </c>
      <c r="AU185">
        <v>800.02800000000002</v>
      </c>
      <c r="AV185">
        <v>25.883299999999998</v>
      </c>
      <c r="AW185">
        <v>0.19143199999999999</v>
      </c>
      <c r="AX185">
        <v>412.00900000000001</v>
      </c>
      <c r="AY185">
        <v>25.601700000000001</v>
      </c>
      <c r="AZ185">
        <v>300.209</v>
      </c>
      <c r="BA185">
        <v>99.305300000000003</v>
      </c>
      <c r="BB185">
        <v>0.10004200000000001</v>
      </c>
      <c r="BC185">
        <v>26.819900000000001</v>
      </c>
      <c r="BD185">
        <v>26.992599999999999</v>
      </c>
      <c r="BE185">
        <v>28.122299999999999</v>
      </c>
      <c r="BF185">
        <v>0</v>
      </c>
      <c r="BG185">
        <v>0</v>
      </c>
      <c r="BH185">
        <v>9994.3799999999992</v>
      </c>
      <c r="BI185">
        <v>1078.51</v>
      </c>
      <c r="BJ185">
        <v>1.7380500000000001</v>
      </c>
      <c r="BK185">
        <v>-388.06099999999998</v>
      </c>
      <c r="BL185">
        <v>422.91300000000001</v>
      </c>
      <c r="BM185">
        <v>800.18200000000002</v>
      </c>
      <c r="BN185">
        <v>25.691800000000001</v>
      </c>
      <c r="BO185">
        <v>800.02800000000002</v>
      </c>
      <c r="BP185">
        <v>0.19143199999999999</v>
      </c>
      <c r="BQ185">
        <v>2.5703499999999999</v>
      </c>
      <c r="BR185">
        <v>1.9010200000000001E-2</v>
      </c>
      <c r="BS185">
        <v>21.478899999999999</v>
      </c>
      <c r="BT185">
        <v>-39.913200000000003</v>
      </c>
      <c r="BU185">
        <v>1800</v>
      </c>
      <c r="BV185">
        <v>0.91000499999999995</v>
      </c>
      <c r="BW185">
        <v>3.4004399999999997E-2</v>
      </c>
      <c r="BX185">
        <v>2.1997800000000001E-2</v>
      </c>
      <c r="BY185">
        <v>3.3992799999999997E-2</v>
      </c>
      <c r="BZ185">
        <v>26</v>
      </c>
      <c r="CA185">
        <v>33528.300000000003</v>
      </c>
      <c r="CB185">
        <v>1690300477.5</v>
      </c>
      <c r="CC185" t="s">
        <v>332</v>
      </c>
      <c r="CD185">
        <v>1690300477.5</v>
      </c>
      <c r="CE185">
        <v>1690300465.5</v>
      </c>
      <c r="CF185">
        <v>7</v>
      </c>
      <c r="CG185">
        <v>5.0999999999999997E-2</v>
      </c>
      <c r="CH185">
        <v>-8.0000000000000002E-3</v>
      </c>
      <c r="CI185">
        <v>-0.316</v>
      </c>
      <c r="CJ185">
        <v>0.28199999999999997</v>
      </c>
      <c r="CK185">
        <v>800</v>
      </c>
      <c r="CL185">
        <v>24</v>
      </c>
      <c r="CM185">
        <v>0.25</v>
      </c>
      <c r="CN185">
        <v>0.13</v>
      </c>
      <c r="CO185">
        <v>-387.41025000000002</v>
      </c>
      <c r="CP185">
        <v>-3.1953996247659391</v>
      </c>
      <c r="CQ185">
        <v>0.31423818593544411</v>
      </c>
      <c r="CR185">
        <v>-1</v>
      </c>
      <c r="CS185">
        <v>25.660779999999999</v>
      </c>
      <c r="CT185">
        <v>0.17905440900556779</v>
      </c>
      <c r="CU185">
        <v>1.7636272281862771E-2</v>
      </c>
      <c r="CV185">
        <v>-1</v>
      </c>
      <c r="CW185">
        <v>0</v>
      </c>
      <c r="CX185">
        <v>0</v>
      </c>
      <c r="CY185" t="s">
        <v>333</v>
      </c>
      <c r="CZ185">
        <v>2.3649100000000001</v>
      </c>
      <c r="DA185">
        <v>2.7138300000000002</v>
      </c>
      <c r="DB185">
        <v>9.1759800000000002E-2</v>
      </c>
      <c r="DC185">
        <v>0.14635799999999999</v>
      </c>
      <c r="DD185">
        <v>0.120126</v>
      </c>
      <c r="DE185">
        <v>1.6127100000000001E-3</v>
      </c>
      <c r="DF185">
        <v>33180.5</v>
      </c>
      <c r="DG185">
        <v>27536</v>
      </c>
      <c r="DH185">
        <v>31187.5</v>
      </c>
      <c r="DI185">
        <v>28107.7</v>
      </c>
      <c r="DJ185">
        <v>37249.1</v>
      </c>
      <c r="DK185">
        <v>39914.199999999997</v>
      </c>
      <c r="DL185">
        <v>44386.3</v>
      </c>
      <c r="DM185">
        <v>42604.1</v>
      </c>
      <c r="DN185">
        <v>1.4857499999999999</v>
      </c>
      <c r="DO185">
        <v>2.0333000000000001</v>
      </c>
      <c r="DP185">
        <v>8.7678400000000004E-2</v>
      </c>
      <c r="DQ185">
        <v>0.16677400000000001</v>
      </c>
      <c r="DR185">
        <v>25.556999999999999</v>
      </c>
      <c r="DS185">
        <v>25.393799999999999</v>
      </c>
      <c r="DT185">
        <v>27.2</v>
      </c>
      <c r="DU185">
        <v>29.1</v>
      </c>
      <c r="DV185">
        <v>11.079700000000001</v>
      </c>
      <c r="DW185">
        <v>61.251100000000001</v>
      </c>
      <c r="DX185">
        <v>36.442300000000003</v>
      </c>
      <c r="DY185">
        <v>1</v>
      </c>
      <c r="DZ185">
        <v>-0.10483000000000001</v>
      </c>
      <c r="EA185">
        <v>-0.23996999999999999</v>
      </c>
      <c r="EB185">
        <v>20.189299999999999</v>
      </c>
      <c r="EC185">
        <v>5.2416999999999998</v>
      </c>
      <c r="ED185">
        <v>12.039899999999999</v>
      </c>
      <c r="EE185">
        <v>5.0171999999999999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1.8646199999999999</v>
      </c>
      <c r="EM185">
        <v>1.8691899999999999</v>
      </c>
      <c r="EN185">
        <v>1.86724</v>
      </c>
      <c r="EO185">
        <v>1.8633900000000001</v>
      </c>
      <c r="EP185">
        <v>1.8644700000000001</v>
      </c>
      <c r="EQ185">
        <v>1.87018</v>
      </c>
      <c r="ER185">
        <v>1.8694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-4.2000000000000003E-2</v>
      </c>
      <c r="FG185">
        <v>0.28160000000000002</v>
      </c>
      <c r="FH185">
        <v>0.23539598422606861</v>
      </c>
      <c r="FI185">
        <v>-6.1462078757559423E-4</v>
      </c>
      <c r="FJ185">
        <v>-1.8861989874597051E-7</v>
      </c>
      <c r="FK185">
        <v>1.1980462299894961E-10</v>
      </c>
      <c r="FL185">
        <v>0.28151999999999688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37.4</v>
      </c>
      <c r="FU185">
        <v>37.6</v>
      </c>
      <c r="FV185">
        <v>1.7626999999999999</v>
      </c>
      <c r="FW185">
        <v>2.5952099999999998</v>
      </c>
      <c r="FX185">
        <v>1.5490699999999999</v>
      </c>
      <c r="FY185">
        <v>2.3303199999999999</v>
      </c>
      <c r="FZ185">
        <v>1.50146</v>
      </c>
      <c r="GA185">
        <v>2.2741699999999998</v>
      </c>
      <c r="GB185">
        <v>33.602899999999998</v>
      </c>
      <c r="GC185">
        <v>23.982399999999998</v>
      </c>
      <c r="GD185">
        <v>19</v>
      </c>
      <c r="GE185">
        <v>286.25599999999997</v>
      </c>
      <c r="GF185">
        <v>578.68499999999995</v>
      </c>
      <c r="GG185">
        <v>25.310300000000002</v>
      </c>
      <c r="GH185">
        <v>26.083300000000001</v>
      </c>
      <c r="GI185">
        <v>30.0002</v>
      </c>
      <c r="GJ185">
        <v>26.191700000000001</v>
      </c>
      <c r="GK185">
        <v>26.165800000000001</v>
      </c>
      <c r="GL185">
        <v>35.238799999999998</v>
      </c>
      <c r="GM185">
        <v>100</v>
      </c>
      <c r="GN185">
        <v>19.075900000000001</v>
      </c>
      <c r="GO185">
        <v>25.318100000000001</v>
      </c>
      <c r="GP185">
        <v>800</v>
      </c>
      <c r="GQ185">
        <v>0</v>
      </c>
      <c r="GR185">
        <v>99.791399999999996</v>
      </c>
      <c r="GS185">
        <v>99.663499999999999</v>
      </c>
    </row>
    <row r="186" spans="1:201" x14ac:dyDescent="0.25">
      <c r="A186">
        <v>170</v>
      </c>
      <c r="B186">
        <v>1690302729.5999999</v>
      </c>
      <c r="C186">
        <v>1825.599999904633</v>
      </c>
      <c r="D186" t="s">
        <v>671</v>
      </c>
      <c r="E186" t="s">
        <v>672</v>
      </c>
      <c r="F186" t="s">
        <v>330</v>
      </c>
      <c r="H186">
        <v>1690302729.5999999</v>
      </c>
      <c r="I186">
        <f t="shared" si="60"/>
        <v>2.4243683272143338E-3</v>
      </c>
      <c r="J186">
        <f t="shared" si="61"/>
        <v>2.4243683272143337</v>
      </c>
      <c r="K186">
        <f t="shared" si="62"/>
        <v>34.694833030084162</v>
      </c>
      <c r="L186">
        <f t="shared" si="63"/>
        <v>411.25700000000001</v>
      </c>
      <c r="M186">
        <f t="shared" si="64"/>
        <v>109.01058256762799</v>
      </c>
      <c r="N186">
        <f t="shared" si="65"/>
        <v>10.836707423990051</v>
      </c>
      <c r="O186">
        <f t="shared" si="66"/>
        <v>40.8829278781539</v>
      </c>
      <c r="P186">
        <f t="shared" si="67"/>
        <v>0.19516549478337314</v>
      </c>
      <c r="Q186">
        <f t="shared" si="68"/>
        <v>2.1195695351086972</v>
      </c>
      <c r="R186">
        <f t="shared" si="69"/>
        <v>0.18570330366235444</v>
      </c>
      <c r="S186">
        <f t="shared" si="70"/>
        <v>0.11687646607892364</v>
      </c>
      <c r="T186">
        <f t="shared" si="71"/>
        <v>276.114958398</v>
      </c>
      <c r="U186">
        <f t="shared" si="72"/>
        <v>28.168290332641373</v>
      </c>
      <c r="V186">
        <f t="shared" si="73"/>
        <v>28.168290332641373</v>
      </c>
      <c r="W186">
        <f t="shared" si="74"/>
        <v>3.8322296146158195</v>
      </c>
      <c r="X186">
        <f t="shared" si="75"/>
        <v>72.72705263325696</v>
      </c>
      <c r="Y186">
        <f t="shared" si="76"/>
        <v>2.5762615729801199</v>
      </c>
      <c r="Z186">
        <f t="shared" si="77"/>
        <v>3.5423703830973552</v>
      </c>
      <c r="AA186">
        <f t="shared" si="78"/>
        <v>1.2559680416356995</v>
      </c>
      <c r="AB186">
        <f t="shared" si="79"/>
        <v>-106.91464323015212</v>
      </c>
      <c r="AC186">
        <f t="shared" si="80"/>
        <v>-153.58951518394935</v>
      </c>
      <c r="AD186">
        <f t="shared" si="81"/>
        <v>-15.716087201172316</v>
      </c>
      <c r="AE186">
        <f t="shared" si="82"/>
        <v>-0.10528721727382617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52646.733733990506</v>
      </c>
      <c r="AK186">
        <f t="shared" si="86"/>
        <v>1800</v>
      </c>
      <c r="AL186">
        <f t="shared" si="87"/>
        <v>1499.1123527999998</v>
      </c>
      <c r="AM186">
        <f t="shared" si="88"/>
        <v>0.83284019599999992</v>
      </c>
      <c r="AN186">
        <f t="shared" si="89"/>
        <v>0.15339719910999999</v>
      </c>
      <c r="AO186">
        <v>32.700000000000003</v>
      </c>
      <c r="AP186">
        <v>0.5</v>
      </c>
      <c r="AQ186" t="s">
        <v>331</v>
      </c>
      <c r="AR186">
        <v>2</v>
      </c>
      <c r="AS186">
        <v>1690302729.5999999</v>
      </c>
      <c r="AT186">
        <v>411.25700000000001</v>
      </c>
      <c r="AU186">
        <v>800.06899999999996</v>
      </c>
      <c r="AV186">
        <v>25.915600000000001</v>
      </c>
      <c r="AW186">
        <v>0.189999</v>
      </c>
      <c r="AX186">
        <v>411.298</v>
      </c>
      <c r="AY186">
        <v>25.6341</v>
      </c>
      <c r="AZ186">
        <v>300.17700000000002</v>
      </c>
      <c r="BA186">
        <v>99.309700000000007</v>
      </c>
      <c r="BB186">
        <v>9.9982699999999994E-2</v>
      </c>
      <c r="BC186">
        <v>26.824200000000001</v>
      </c>
      <c r="BD186">
        <v>27.016400000000001</v>
      </c>
      <c r="BE186">
        <v>28.136299999999999</v>
      </c>
      <c r="BF186">
        <v>0</v>
      </c>
      <c r="BG186">
        <v>0</v>
      </c>
      <c r="BH186">
        <v>10020.6</v>
      </c>
      <c r="BI186">
        <v>1078.54</v>
      </c>
      <c r="BJ186">
        <v>1.7380500000000001</v>
      </c>
      <c r="BK186">
        <v>-388.81200000000001</v>
      </c>
      <c r="BL186">
        <v>422.19900000000001</v>
      </c>
      <c r="BM186">
        <v>800.221</v>
      </c>
      <c r="BN186">
        <v>25.7256</v>
      </c>
      <c r="BO186">
        <v>800.06899999999996</v>
      </c>
      <c r="BP186">
        <v>0.189999</v>
      </c>
      <c r="BQ186">
        <v>2.5736699999999999</v>
      </c>
      <c r="BR186">
        <v>1.8868699999999999E-2</v>
      </c>
      <c r="BS186">
        <v>21.5001</v>
      </c>
      <c r="BT186">
        <v>-39.9848</v>
      </c>
      <c r="BU186">
        <v>1800</v>
      </c>
      <c r="BV186">
        <v>0.91000700000000001</v>
      </c>
      <c r="BW186">
        <v>3.4003699999999998E-2</v>
      </c>
      <c r="BX186">
        <v>2.1997300000000001E-2</v>
      </c>
      <c r="BY186">
        <v>3.3992099999999997E-2</v>
      </c>
      <c r="BZ186">
        <v>26</v>
      </c>
      <c r="CA186">
        <v>33528.400000000001</v>
      </c>
      <c r="CB186">
        <v>1690300477.5</v>
      </c>
      <c r="CC186" t="s">
        <v>332</v>
      </c>
      <c r="CD186">
        <v>1690300477.5</v>
      </c>
      <c r="CE186">
        <v>1690300465.5</v>
      </c>
      <c r="CF186">
        <v>7</v>
      </c>
      <c r="CG186">
        <v>5.0999999999999997E-2</v>
      </c>
      <c r="CH186">
        <v>-8.0000000000000002E-3</v>
      </c>
      <c r="CI186">
        <v>-0.316</v>
      </c>
      <c r="CJ186">
        <v>0.28199999999999997</v>
      </c>
      <c r="CK186">
        <v>800</v>
      </c>
      <c r="CL186">
        <v>24</v>
      </c>
      <c r="CM186">
        <v>0.25</v>
      </c>
      <c r="CN186">
        <v>0.13</v>
      </c>
      <c r="CO186">
        <v>-388.02873170731709</v>
      </c>
      <c r="CP186">
        <v>-4.0254146341468022</v>
      </c>
      <c r="CQ186">
        <v>0.40319716319597271</v>
      </c>
      <c r="CR186">
        <v>-1</v>
      </c>
      <c r="CS186">
        <v>25.691019512195119</v>
      </c>
      <c r="CT186">
        <v>0.1736508710801625</v>
      </c>
      <c r="CU186">
        <v>1.7315117031392671E-2</v>
      </c>
      <c r="CV186">
        <v>-1</v>
      </c>
      <c r="CW186">
        <v>0</v>
      </c>
      <c r="CX186">
        <v>0</v>
      </c>
      <c r="CY186" t="s">
        <v>333</v>
      </c>
      <c r="CZ186">
        <v>2.3648099999999999</v>
      </c>
      <c r="DA186">
        <v>2.7137899999999999</v>
      </c>
      <c r="DB186">
        <v>9.1643600000000006E-2</v>
      </c>
      <c r="DC186">
        <v>0.146369</v>
      </c>
      <c r="DD186">
        <v>0.120237</v>
      </c>
      <c r="DE186">
        <v>1.60085E-3</v>
      </c>
      <c r="DF186">
        <v>33184.6</v>
      </c>
      <c r="DG186">
        <v>27535.5</v>
      </c>
      <c r="DH186">
        <v>31187.4</v>
      </c>
      <c r="DI186">
        <v>28107.599999999999</v>
      </c>
      <c r="DJ186">
        <v>37244.300000000003</v>
      </c>
      <c r="DK186">
        <v>39914.400000000001</v>
      </c>
      <c r="DL186">
        <v>44386.3</v>
      </c>
      <c r="DM186">
        <v>42603.9</v>
      </c>
      <c r="DN186">
        <v>1.48577</v>
      </c>
      <c r="DO186">
        <v>2.0333000000000001</v>
      </c>
      <c r="DP186">
        <v>8.9049299999999998E-2</v>
      </c>
      <c r="DQ186">
        <v>0.167549</v>
      </c>
      <c r="DR186">
        <v>25.558399999999999</v>
      </c>
      <c r="DS186">
        <v>25.395199999999999</v>
      </c>
      <c r="DT186">
        <v>26.9</v>
      </c>
      <c r="DU186">
        <v>29.1</v>
      </c>
      <c r="DV186">
        <v>10.9566</v>
      </c>
      <c r="DW186">
        <v>61.3611</v>
      </c>
      <c r="DX186">
        <v>36.490400000000001</v>
      </c>
      <c r="DY186">
        <v>1</v>
      </c>
      <c r="DZ186">
        <v>-0.104822</v>
      </c>
      <c r="EA186">
        <v>-0.22097800000000001</v>
      </c>
      <c r="EB186">
        <v>20.189299999999999</v>
      </c>
      <c r="EC186">
        <v>5.24125</v>
      </c>
      <c r="ED186">
        <v>12.039899999999999</v>
      </c>
      <c r="EE186">
        <v>5.0172499999999998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1.8689100000000001</v>
      </c>
      <c r="EL186">
        <v>1.8646199999999999</v>
      </c>
      <c r="EM186">
        <v>1.8692</v>
      </c>
      <c r="EN186">
        <v>1.86724</v>
      </c>
      <c r="EO186">
        <v>1.8633900000000001</v>
      </c>
      <c r="EP186">
        <v>1.86449</v>
      </c>
      <c r="EQ186">
        <v>1.87018</v>
      </c>
      <c r="ER186">
        <v>1.8693900000000001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-4.1000000000000002E-2</v>
      </c>
      <c r="FG186">
        <v>0.28149999999999997</v>
      </c>
      <c r="FH186">
        <v>0.23539598422606861</v>
      </c>
      <c r="FI186">
        <v>-6.1462078757559423E-4</v>
      </c>
      <c r="FJ186">
        <v>-1.8861989874597051E-7</v>
      </c>
      <c r="FK186">
        <v>1.1980462299894961E-10</v>
      </c>
      <c r="FL186">
        <v>0.28151999999999688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37.5</v>
      </c>
      <c r="FU186">
        <v>37.700000000000003</v>
      </c>
      <c r="FV186">
        <v>1.7626999999999999</v>
      </c>
      <c r="FW186">
        <v>2.5952099999999998</v>
      </c>
      <c r="FX186">
        <v>1.5490699999999999</v>
      </c>
      <c r="FY186">
        <v>2.3303199999999999</v>
      </c>
      <c r="FZ186">
        <v>1.50146</v>
      </c>
      <c r="GA186">
        <v>2.2705099999999998</v>
      </c>
      <c r="GB186">
        <v>33.625399999999999</v>
      </c>
      <c r="GC186">
        <v>23.982399999999998</v>
      </c>
      <c r="GD186">
        <v>19</v>
      </c>
      <c r="GE186">
        <v>286.267</v>
      </c>
      <c r="GF186">
        <v>578.68499999999995</v>
      </c>
      <c r="GG186">
        <v>25.3248</v>
      </c>
      <c r="GH186">
        <v>26.0854</v>
      </c>
      <c r="GI186">
        <v>30</v>
      </c>
      <c r="GJ186">
        <v>26.191700000000001</v>
      </c>
      <c r="GK186">
        <v>26.165800000000001</v>
      </c>
      <c r="GL186">
        <v>35.238</v>
      </c>
      <c r="GM186">
        <v>100</v>
      </c>
      <c r="GN186">
        <v>18.295200000000001</v>
      </c>
      <c r="GO186">
        <v>25.323</v>
      </c>
      <c r="GP186">
        <v>800</v>
      </c>
      <c r="GQ186">
        <v>0</v>
      </c>
      <c r="GR186">
        <v>99.791200000000003</v>
      </c>
      <c r="GS186">
        <v>99.662899999999993</v>
      </c>
    </row>
    <row r="187" spans="1:201" x14ac:dyDescent="0.25">
      <c r="A187">
        <v>171</v>
      </c>
      <c r="B187">
        <v>1690302739.5999999</v>
      </c>
      <c r="C187">
        <v>1835.599999904633</v>
      </c>
      <c r="D187" t="s">
        <v>673</v>
      </c>
      <c r="E187" t="s">
        <v>674</v>
      </c>
      <c r="F187" t="s">
        <v>330</v>
      </c>
      <c r="H187">
        <v>1690302739.5999999</v>
      </c>
      <c r="I187">
        <f t="shared" si="60"/>
        <v>2.4271168515528434E-3</v>
      </c>
      <c r="J187">
        <f t="shared" si="61"/>
        <v>2.4271168515528436</v>
      </c>
      <c r="K187">
        <f t="shared" si="62"/>
        <v>34.745039984462224</v>
      </c>
      <c r="L187">
        <f t="shared" si="63"/>
        <v>410.72300000000001</v>
      </c>
      <c r="M187">
        <f t="shared" si="64"/>
        <v>108.8539516143238</v>
      </c>
      <c r="N187">
        <f t="shared" si="65"/>
        <v>10.820878948265895</v>
      </c>
      <c r="O187">
        <f t="shared" si="66"/>
        <v>40.828870228022005</v>
      </c>
      <c r="P187">
        <f t="shared" si="67"/>
        <v>0.19570244099764164</v>
      </c>
      <c r="Q187">
        <f t="shared" si="68"/>
        <v>2.1212613475797095</v>
      </c>
      <c r="R187">
        <f t="shared" si="69"/>
        <v>0.18619666728270509</v>
      </c>
      <c r="S187">
        <f t="shared" si="70"/>
        <v>0.11718848673328111</v>
      </c>
      <c r="T187">
        <f t="shared" si="71"/>
        <v>276.11318974331277</v>
      </c>
      <c r="U187">
        <f t="shared" si="72"/>
        <v>28.170336024548728</v>
      </c>
      <c r="V187">
        <f t="shared" si="73"/>
        <v>28.170336024548728</v>
      </c>
      <c r="W187">
        <f t="shared" si="74"/>
        <v>3.8326860864563819</v>
      </c>
      <c r="X187">
        <f t="shared" si="75"/>
        <v>72.778073063736315</v>
      </c>
      <c r="Y187">
        <f t="shared" si="76"/>
        <v>2.5786754288170002</v>
      </c>
      <c r="Z187">
        <f t="shared" si="77"/>
        <v>3.5432037703975654</v>
      </c>
      <c r="AA187">
        <f t="shared" si="78"/>
        <v>1.2540106576393817</v>
      </c>
      <c r="AB187">
        <f t="shared" si="79"/>
        <v>-107.03585315348039</v>
      </c>
      <c r="AC187">
        <f t="shared" si="80"/>
        <v>-153.48861081981153</v>
      </c>
      <c r="AD187">
        <f t="shared" si="81"/>
        <v>-15.693709375661346</v>
      </c>
      <c r="AE187">
        <f t="shared" si="82"/>
        <v>-0.10498360564048426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52720.287352898114</v>
      </c>
      <c r="AK187">
        <f t="shared" si="86"/>
        <v>1799.99</v>
      </c>
      <c r="AL187">
        <f t="shared" si="87"/>
        <v>1499.10334400182</v>
      </c>
      <c r="AM187">
        <f t="shared" si="88"/>
        <v>0.83283981799999995</v>
      </c>
      <c r="AN187">
        <f t="shared" si="89"/>
        <v>0.15339706873000003</v>
      </c>
      <c r="AO187">
        <v>32.700000000000003</v>
      </c>
      <c r="AP187">
        <v>0.5</v>
      </c>
      <c r="AQ187" t="s">
        <v>331</v>
      </c>
      <c r="AR187">
        <v>2</v>
      </c>
      <c r="AS187">
        <v>1690302739.5999999</v>
      </c>
      <c r="AT187">
        <v>410.72300000000001</v>
      </c>
      <c r="AU187">
        <v>800.04899999999998</v>
      </c>
      <c r="AV187">
        <v>25.9405</v>
      </c>
      <c r="AW187">
        <v>0.18845100000000001</v>
      </c>
      <c r="AX187">
        <v>410.76400000000001</v>
      </c>
      <c r="AY187">
        <v>25.658999999999999</v>
      </c>
      <c r="AZ187">
        <v>300.20100000000002</v>
      </c>
      <c r="BA187">
        <v>99.307299999999998</v>
      </c>
      <c r="BB187">
        <v>0.10001400000000001</v>
      </c>
      <c r="BC187">
        <v>26.828199999999999</v>
      </c>
      <c r="BD187">
        <v>27.0091</v>
      </c>
      <c r="BE187">
        <v>28.132300000000001</v>
      </c>
      <c r="BF187">
        <v>0</v>
      </c>
      <c r="BG187">
        <v>0</v>
      </c>
      <c r="BH187">
        <v>10035.6</v>
      </c>
      <c r="BI187">
        <v>1078.55</v>
      </c>
      <c r="BJ187">
        <v>1.7380500000000001</v>
      </c>
      <c r="BK187">
        <v>-389.32600000000002</v>
      </c>
      <c r="BL187">
        <v>421.661</v>
      </c>
      <c r="BM187">
        <v>800.2</v>
      </c>
      <c r="BN187">
        <v>25.752099999999999</v>
      </c>
      <c r="BO187">
        <v>800.04899999999998</v>
      </c>
      <c r="BP187">
        <v>0.18845100000000001</v>
      </c>
      <c r="BQ187">
        <v>2.5760800000000001</v>
      </c>
      <c r="BR187">
        <v>1.8714499999999998E-2</v>
      </c>
      <c r="BS187">
        <v>21.5153</v>
      </c>
      <c r="BT187">
        <v>-40.063400000000001</v>
      </c>
      <c r="BU187">
        <v>1799.99</v>
      </c>
      <c r="BV187">
        <v>0.91000800000000004</v>
      </c>
      <c r="BW187">
        <v>3.4003100000000001E-2</v>
      </c>
      <c r="BX187">
        <v>2.19969E-2</v>
      </c>
      <c r="BY187">
        <v>3.3991500000000001E-2</v>
      </c>
      <c r="BZ187">
        <v>26</v>
      </c>
      <c r="CA187">
        <v>33528.300000000003</v>
      </c>
      <c r="CB187">
        <v>1690300477.5</v>
      </c>
      <c r="CC187" t="s">
        <v>332</v>
      </c>
      <c r="CD187">
        <v>1690300477.5</v>
      </c>
      <c r="CE187">
        <v>1690300465.5</v>
      </c>
      <c r="CF187">
        <v>7</v>
      </c>
      <c r="CG187">
        <v>5.0999999999999997E-2</v>
      </c>
      <c r="CH187">
        <v>-8.0000000000000002E-3</v>
      </c>
      <c r="CI187">
        <v>-0.316</v>
      </c>
      <c r="CJ187">
        <v>0.28199999999999997</v>
      </c>
      <c r="CK187">
        <v>800</v>
      </c>
      <c r="CL187">
        <v>24</v>
      </c>
      <c r="CM187">
        <v>0.25</v>
      </c>
      <c r="CN187">
        <v>0.13</v>
      </c>
      <c r="CO187">
        <v>-388.68560000000002</v>
      </c>
      <c r="CP187">
        <v>-3.9976660412746869</v>
      </c>
      <c r="CQ187">
        <v>0.38611648501455681</v>
      </c>
      <c r="CR187">
        <v>-1</v>
      </c>
      <c r="CS187">
        <v>25.720514999999999</v>
      </c>
      <c r="CT187">
        <v>0.1869748592870687</v>
      </c>
      <c r="CU187">
        <v>1.802157803856249E-2</v>
      </c>
      <c r="CV187">
        <v>-1</v>
      </c>
      <c r="CW187">
        <v>0</v>
      </c>
      <c r="CX187">
        <v>0</v>
      </c>
      <c r="CY187" t="s">
        <v>333</v>
      </c>
      <c r="CZ187">
        <v>2.3648799999999999</v>
      </c>
      <c r="DA187">
        <v>2.7138399999999998</v>
      </c>
      <c r="DB187">
        <v>9.1550500000000007E-2</v>
      </c>
      <c r="DC187">
        <v>0.14636199999999999</v>
      </c>
      <c r="DD187">
        <v>0.12031500000000001</v>
      </c>
      <c r="DE187">
        <v>1.5879100000000001E-3</v>
      </c>
      <c r="DF187">
        <v>33187.5</v>
      </c>
      <c r="DG187">
        <v>27535.599999999999</v>
      </c>
      <c r="DH187">
        <v>31186.9</v>
      </c>
      <c r="DI187">
        <v>28107.4</v>
      </c>
      <c r="DJ187">
        <v>37240.6</v>
      </c>
      <c r="DK187">
        <v>39914.6</v>
      </c>
      <c r="DL187">
        <v>44385.7</v>
      </c>
      <c r="DM187">
        <v>42603.4</v>
      </c>
      <c r="DN187">
        <v>1.4857499999999999</v>
      </c>
      <c r="DO187">
        <v>2.03335</v>
      </c>
      <c r="DP187">
        <v>8.8602299999999995E-2</v>
      </c>
      <c r="DQ187">
        <v>0.16730300000000001</v>
      </c>
      <c r="DR187">
        <v>25.558399999999999</v>
      </c>
      <c r="DS187">
        <v>25.395199999999999</v>
      </c>
      <c r="DT187">
        <v>26.6</v>
      </c>
      <c r="DU187">
        <v>29.1</v>
      </c>
      <c r="DV187">
        <v>10.836499999999999</v>
      </c>
      <c r="DW187">
        <v>61.051099999999998</v>
      </c>
      <c r="DX187">
        <v>36.2821</v>
      </c>
      <c r="DY187">
        <v>1</v>
      </c>
      <c r="DZ187">
        <v>-0.104715</v>
      </c>
      <c r="EA187">
        <v>-0.171961</v>
      </c>
      <c r="EB187">
        <v>20.1892</v>
      </c>
      <c r="EC187">
        <v>5.2415500000000002</v>
      </c>
      <c r="ED187">
        <v>12.039899999999999</v>
      </c>
      <c r="EE187">
        <v>5.01715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1.8646199999999999</v>
      </c>
      <c r="EM187">
        <v>1.8692</v>
      </c>
      <c r="EN187">
        <v>1.86724</v>
      </c>
      <c r="EO187">
        <v>1.8633999999999999</v>
      </c>
      <c r="EP187">
        <v>1.8644700000000001</v>
      </c>
      <c r="EQ187">
        <v>1.8701399999999999</v>
      </c>
      <c r="ER187">
        <v>1.8694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-4.1000000000000002E-2</v>
      </c>
      <c r="FG187">
        <v>0.28149999999999997</v>
      </c>
      <c r="FH187">
        <v>0.23539598422606861</v>
      </c>
      <c r="FI187">
        <v>-6.1462078757559423E-4</v>
      </c>
      <c r="FJ187">
        <v>-1.8861989874597051E-7</v>
      </c>
      <c r="FK187">
        <v>1.1980462299894961E-10</v>
      </c>
      <c r="FL187">
        <v>0.28151999999999688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37.700000000000003</v>
      </c>
      <c r="FU187">
        <v>37.9</v>
      </c>
      <c r="FV187">
        <v>1.7626999999999999</v>
      </c>
      <c r="FW187">
        <v>2.5927699999999998</v>
      </c>
      <c r="FX187">
        <v>1.5490699999999999</v>
      </c>
      <c r="FY187">
        <v>2.3303199999999999</v>
      </c>
      <c r="FZ187">
        <v>1.50146</v>
      </c>
      <c r="GA187">
        <v>2.2827099999999998</v>
      </c>
      <c r="GB187">
        <v>33.602899999999998</v>
      </c>
      <c r="GC187">
        <v>23.973700000000001</v>
      </c>
      <c r="GD187">
        <v>19</v>
      </c>
      <c r="GE187">
        <v>286.26600000000002</v>
      </c>
      <c r="GF187">
        <v>578.75</v>
      </c>
      <c r="GG187">
        <v>25.314800000000002</v>
      </c>
      <c r="GH187">
        <v>26.0854</v>
      </c>
      <c r="GI187">
        <v>30.0001</v>
      </c>
      <c r="GJ187">
        <v>26.1938</v>
      </c>
      <c r="GK187">
        <v>26.167999999999999</v>
      </c>
      <c r="GL187">
        <v>35.235799999999998</v>
      </c>
      <c r="GM187">
        <v>100</v>
      </c>
      <c r="GN187">
        <v>17.9102</v>
      </c>
      <c r="GO187">
        <v>25.309200000000001</v>
      </c>
      <c r="GP187">
        <v>800</v>
      </c>
      <c r="GQ187">
        <v>0</v>
      </c>
      <c r="GR187">
        <v>99.7898</v>
      </c>
      <c r="GS187">
        <v>99.662099999999995</v>
      </c>
    </row>
    <row r="188" spans="1:201" x14ac:dyDescent="0.25">
      <c r="A188">
        <v>172</v>
      </c>
      <c r="B188">
        <v>1690302749.5999999</v>
      </c>
      <c r="C188">
        <v>1845.599999904633</v>
      </c>
      <c r="D188" t="s">
        <v>675</v>
      </c>
      <c r="E188" t="s">
        <v>676</v>
      </c>
      <c r="F188" t="s">
        <v>330</v>
      </c>
      <c r="H188">
        <v>1690302749.5999999</v>
      </c>
      <c r="I188">
        <f t="shared" si="60"/>
        <v>2.4295446714165626E-3</v>
      </c>
      <c r="J188">
        <f t="shared" si="61"/>
        <v>2.4295446714165627</v>
      </c>
      <c r="K188">
        <f t="shared" si="62"/>
        <v>34.801007294761312</v>
      </c>
      <c r="L188">
        <f t="shared" si="63"/>
        <v>410.12299999999999</v>
      </c>
      <c r="M188">
        <f t="shared" si="64"/>
        <v>108.92824108710629</v>
      </c>
      <c r="N188">
        <f t="shared" si="65"/>
        <v>10.828069755088057</v>
      </c>
      <c r="O188">
        <f t="shared" si="66"/>
        <v>40.768495000435998</v>
      </c>
      <c r="P188">
        <f t="shared" si="67"/>
        <v>0.19650787193429642</v>
      </c>
      <c r="Q188">
        <f t="shared" si="68"/>
        <v>2.1152861770914781</v>
      </c>
      <c r="R188">
        <f t="shared" si="69"/>
        <v>0.18690010614681007</v>
      </c>
      <c r="S188">
        <f t="shared" si="70"/>
        <v>0.11763662990396148</v>
      </c>
      <c r="T188">
        <f t="shared" si="71"/>
        <v>276.11480190600003</v>
      </c>
      <c r="U188">
        <f t="shared" si="72"/>
        <v>28.165746501555383</v>
      </c>
      <c r="V188">
        <f t="shared" si="73"/>
        <v>28.165746501555383</v>
      </c>
      <c r="W188">
        <f t="shared" si="74"/>
        <v>3.8316620550935654</v>
      </c>
      <c r="X188">
        <f t="shared" si="75"/>
        <v>72.878881230253825</v>
      </c>
      <c r="Y188">
        <f t="shared" si="76"/>
        <v>2.5811541033587999</v>
      </c>
      <c r="Z188">
        <f t="shared" si="77"/>
        <v>3.5417037964727967</v>
      </c>
      <c r="AA188">
        <f t="shared" si="78"/>
        <v>1.2505079517347655</v>
      </c>
      <c r="AB188">
        <f t="shared" si="79"/>
        <v>-107.14292000947042</v>
      </c>
      <c r="AC188">
        <f t="shared" si="80"/>
        <v>-153.35396098293393</v>
      </c>
      <c r="AD188">
        <f t="shared" si="81"/>
        <v>-15.723308863276188</v>
      </c>
      <c r="AE188">
        <f t="shared" si="82"/>
        <v>-0.10538794968050524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52459.379761251592</v>
      </c>
      <c r="AK188">
        <f t="shared" si="86"/>
        <v>1800</v>
      </c>
      <c r="AL188">
        <f t="shared" si="87"/>
        <v>1499.1126606</v>
      </c>
      <c r="AM188">
        <f t="shared" si="88"/>
        <v>0.83284036699999997</v>
      </c>
      <c r="AN188">
        <f t="shared" si="89"/>
        <v>0.15339711217000002</v>
      </c>
      <c r="AO188">
        <v>32.700000000000003</v>
      </c>
      <c r="AP188">
        <v>0.5</v>
      </c>
      <c r="AQ188" t="s">
        <v>331</v>
      </c>
      <c r="AR188">
        <v>2</v>
      </c>
      <c r="AS188">
        <v>1690302749.5999999</v>
      </c>
      <c r="AT188">
        <v>410.12299999999999</v>
      </c>
      <c r="AU188">
        <v>800.077</v>
      </c>
      <c r="AV188">
        <v>25.965900000000001</v>
      </c>
      <c r="AW188">
        <v>0.187218</v>
      </c>
      <c r="AX188">
        <v>410.16300000000001</v>
      </c>
      <c r="AY188">
        <v>25.6843</v>
      </c>
      <c r="AZ188">
        <v>300.18299999999999</v>
      </c>
      <c r="BA188">
        <v>99.305499999999995</v>
      </c>
      <c r="BB188">
        <v>0.100032</v>
      </c>
      <c r="BC188">
        <v>26.821000000000002</v>
      </c>
      <c r="BD188">
        <v>27.012599999999999</v>
      </c>
      <c r="BE188">
        <v>28.108599999999999</v>
      </c>
      <c r="BF188">
        <v>0</v>
      </c>
      <c r="BG188">
        <v>0</v>
      </c>
      <c r="BH188">
        <v>9983.75</v>
      </c>
      <c r="BI188">
        <v>1078.54</v>
      </c>
      <c r="BJ188">
        <v>1.7380500000000001</v>
      </c>
      <c r="BK188">
        <v>-389.95400000000001</v>
      </c>
      <c r="BL188">
        <v>421.05599999999998</v>
      </c>
      <c r="BM188">
        <v>800.22699999999998</v>
      </c>
      <c r="BN188">
        <v>25.778600000000001</v>
      </c>
      <c r="BO188">
        <v>800.077</v>
      </c>
      <c r="BP188">
        <v>0.187218</v>
      </c>
      <c r="BQ188">
        <v>2.5785499999999999</v>
      </c>
      <c r="BR188">
        <v>1.8591699999999999E-2</v>
      </c>
      <c r="BS188">
        <v>21.530999999999999</v>
      </c>
      <c r="BT188">
        <v>-40.126399999999997</v>
      </c>
      <c r="BU188">
        <v>1800</v>
      </c>
      <c r="BV188">
        <v>0.91000999999999999</v>
      </c>
      <c r="BW188">
        <v>3.4002499999999998E-2</v>
      </c>
      <c r="BX188">
        <v>2.1996600000000002E-2</v>
      </c>
      <c r="BY188">
        <v>3.3990899999999998E-2</v>
      </c>
      <c r="BZ188">
        <v>26</v>
      </c>
      <c r="CA188">
        <v>33528.400000000001</v>
      </c>
      <c r="CB188">
        <v>1690300477.5</v>
      </c>
      <c r="CC188" t="s">
        <v>332</v>
      </c>
      <c r="CD188">
        <v>1690300477.5</v>
      </c>
      <c r="CE188">
        <v>1690300465.5</v>
      </c>
      <c r="CF188">
        <v>7</v>
      </c>
      <c r="CG188">
        <v>5.0999999999999997E-2</v>
      </c>
      <c r="CH188">
        <v>-8.0000000000000002E-3</v>
      </c>
      <c r="CI188">
        <v>-0.316</v>
      </c>
      <c r="CJ188">
        <v>0.28199999999999997</v>
      </c>
      <c r="CK188">
        <v>800</v>
      </c>
      <c r="CL188">
        <v>24</v>
      </c>
      <c r="CM188">
        <v>0.25</v>
      </c>
      <c r="CN188">
        <v>0.13</v>
      </c>
      <c r="CO188">
        <v>-389.30073170731708</v>
      </c>
      <c r="CP188">
        <v>-3.207114982578176</v>
      </c>
      <c r="CQ188">
        <v>0.31844186392803953</v>
      </c>
      <c r="CR188">
        <v>-1</v>
      </c>
      <c r="CS188">
        <v>25.75037804878049</v>
      </c>
      <c r="CT188">
        <v>0.1627902439024648</v>
      </c>
      <c r="CU188">
        <v>1.6089710576534591E-2</v>
      </c>
      <c r="CV188">
        <v>-1</v>
      </c>
      <c r="CW188">
        <v>0</v>
      </c>
      <c r="CX188">
        <v>0</v>
      </c>
      <c r="CY188" t="s">
        <v>333</v>
      </c>
      <c r="CZ188">
        <v>2.3648099999999999</v>
      </c>
      <c r="DA188">
        <v>2.7138100000000001</v>
      </c>
      <c r="DB188">
        <v>9.1447200000000006E-2</v>
      </c>
      <c r="DC188">
        <v>0.14636299999999999</v>
      </c>
      <c r="DD188">
        <v>0.120395</v>
      </c>
      <c r="DE188">
        <v>1.5776099999999999E-3</v>
      </c>
      <c r="DF188">
        <v>33190.800000000003</v>
      </c>
      <c r="DG188">
        <v>27535.1</v>
      </c>
      <c r="DH188">
        <v>31186.400000000001</v>
      </c>
      <c r="DI188">
        <v>28107</v>
      </c>
      <c r="DJ188">
        <v>37236.5</v>
      </c>
      <c r="DK188">
        <v>39914.6</v>
      </c>
      <c r="DL188">
        <v>44385</v>
      </c>
      <c r="DM188">
        <v>42603</v>
      </c>
      <c r="DN188">
        <v>1.4858199999999999</v>
      </c>
      <c r="DO188">
        <v>2.0332300000000001</v>
      </c>
      <c r="DP188">
        <v>8.8684299999999994E-2</v>
      </c>
      <c r="DQ188">
        <v>0.16585</v>
      </c>
      <c r="DR188">
        <v>25.560500000000001</v>
      </c>
      <c r="DS188">
        <v>25.395199999999999</v>
      </c>
      <c r="DT188">
        <v>26.4</v>
      </c>
      <c r="DU188">
        <v>29.1</v>
      </c>
      <c r="DV188">
        <v>10.7552</v>
      </c>
      <c r="DW188">
        <v>61.491100000000003</v>
      </c>
      <c r="DX188">
        <v>36.414299999999997</v>
      </c>
      <c r="DY188">
        <v>1</v>
      </c>
      <c r="DZ188">
        <v>-0.104599</v>
      </c>
      <c r="EA188">
        <v>-0.19364100000000001</v>
      </c>
      <c r="EB188">
        <v>20.189399999999999</v>
      </c>
      <c r="EC188">
        <v>5.2413999999999996</v>
      </c>
      <c r="ED188">
        <v>12.039899999999999</v>
      </c>
      <c r="EE188">
        <v>5.0170500000000002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1.8689100000000001</v>
      </c>
      <c r="EL188">
        <v>1.8646199999999999</v>
      </c>
      <c r="EM188">
        <v>1.8692</v>
      </c>
      <c r="EN188">
        <v>1.8672299999999999</v>
      </c>
      <c r="EO188">
        <v>1.8633900000000001</v>
      </c>
      <c r="EP188">
        <v>1.8644700000000001</v>
      </c>
      <c r="EQ188">
        <v>1.8701399999999999</v>
      </c>
      <c r="ER188">
        <v>1.86937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-0.04</v>
      </c>
      <c r="FG188">
        <v>0.28160000000000002</v>
      </c>
      <c r="FH188">
        <v>0.23539598422606861</v>
      </c>
      <c r="FI188">
        <v>-6.1462078757559423E-4</v>
      </c>
      <c r="FJ188">
        <v>-1.8861989874597051E-7</v>
      </c>
      <c r="FK188">
        <v>1.1980462299894961E-10</v>
      </c>
      <c r="FL188">
        <v>0.28151999999999688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37.9</v>
      </c>
      <c r="FU188">
        <v>38.1</v>
      </c>
      <c r="FV188">
        <v>1.7626999999999999</v>
      </c>
      <c r="FW188">
        <v>2.5891099999999998</v>
      </c>
      <c r="FX188">
        <v>1.5490699999999999</v>
      </c>
      <c r="FY188">
        <v>2.3303199999999999</v>
      </c>
      <c r="FZ188">
        <v>1.50146</v>
      </c>
      <c r="GA188">
        <v>2.31934</v>
      </c>
      <c r="GB188">
        <v>33.625399999999999</v>
      </c>
      <c r="GC188">
        <v>23.982399999999998</v>
      </c>
      <c r="GD188">
        <v>19</v>
      </c>
      <c r="GE188">
        <v>286.298</v>
      </c>
      <c r="GF188">
        <v>578.649</v>
      </c>
      <c r="GG188">
        <v>25.302600000000002</v>
      </c>
      <c r="GH188">
        <v>26.087599999999998</v>
      </c>
      <c r="GI188">
        <v>30.0002</v>
      </c>
      <c r="GJ188">
        <v>26.1938</v>
      </c>
      <c r="GK188">
        <v>26.168099999999999</v>
      </c>
      <c r="GL188">
        <v>35.233699999999999</v>
      </c>
      <c r="GM188">
        <v>100</v>
      </c>
      <c r="GN188">
        <v>17.143799999999999</v>
      </c>
      <c r="GO188">
        <v>25.3094</v>
      </c>
      <c r="GP188">
        <v>800</v>
      </c>
      <c r="GQ188">
        <v>0</v>
      </c>
      <c r="GR188">
        <v>99.788200000000003</v>
      </c>
      <c r="GS188">
        <v>99.660899999999998</v>
      </c>
    </row>
    <row r="189" spans="1:201" x14ac:dyDescent="0.25">
      <c r="A189">
        <v>173</v>
      </c>
      <c r="B189">
        <v>1690302759.5999999</v>
      </c>
      <c r="C189">
        <v>1855.599999904633</v>
      </c>
      <c r="D189" t="s">
        <v>677</v>
      </c>
      <c r="E189" t="s">
        <v>678</v>
      </c>
      <c r="F189" t="s">
        <v>330</v>
      </c>
      <c r="H189">
        <v>1690302759.5999999</v>
      </c>
      <c r="I189">
        <f t="shared" si="60"/>
        <v>2.4314986549564665E-3</v>
      </c>
      <c r="J189">
        <f t="shared" si="61"/>
        <v>2.4314986549564663</v>
      </c>
      <c r="K189">
        <f t="shared" si="62"/>
        <v>34.839886183360818</v>
      </c>
      <c r="L189">
        <f t="shared" si="63"/>
        <v>409.51799999999997</v>
      </c>
      <c r="M189">
        <f t="shared" si="64"/>
        <v>108.82088657768458</v>
      </c>
      <c r="N189">
        <f t="shared" si="65"/>
        <v>10.818137234428029</v>
      </c>
      <c r="O189">
        <f t="shared" si="66"/>
        <v>40.711136099831997</v>
      </c>
      <c r="P189">
        <f t="shared" si="67"/>
        <v>0.1970666529083403</v>
      </c>
      <c r="Q189">
        <f t="shared" si="68"/>
        <v>2.1163004188075929</v>
      </c>
      <c r="R189">
        <f t="shared" si="69"/>
        <v>0.18740999837456443</v>
      </c>
      <c r="S189">
        <f t="shared" si="70"/>
        <v>0.11795941747637388</v>
      </c>
      <c r="T189">
        <f t="shared" si="71"/>
        <v>276.11307072797388</v>
      </c>
      <c r="U189">
        <f t="shared" si="72"/>
        <v>28.167758218284188</v>
      </c>
      <c r="V189">
        <f t="shared" si="73"/>
        <v>28.167758218284188</v>
      </c>
      <c r="W189">
        <f t="shared" si="74"/>
        <v>3.8321108873929766</v>
      </c>
      <c r="X189">
        <f t="shared" si="75"/>
        <v>72.943243964490122</v>
      </c>
      <c r="Y189">
        <f t="shared" si="76"/>
        <v>2.5839350666404002</v>
      </c>
      <c r="Z189">
        <f t="shared" si="77"/>
        <v>3.5423912156940798</v>
      </c>
      <c r="AA189">
        <f t="shared" si="78"/>
        <v>1.2481758207525764</v>
      </c>
      <c r="AB189">
        <f t="shared" si="79"/>
        <v>-107.22909068358017</v>
      </c>
      <c r="AC189">
        <f t="shared" si="80"/>
        <v>-153.28050607556725</v>
      </c>
      <c r="AD189">
        <f t="shared" si="81"/>
        <v>-15.708662100332655</v>
      </c>
      <c r="AE189">
        <f t="shared" si="82"/>
        <v>-0.10518813150622464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52503.381594365841</v>
      </c>
      <c r="AK189">
        <f t="shared" si="86"/>
        <v>1799.99</v>
      </c>
      <c r="AL189">
        <f t="shared" si="87"/>
        <v>1499.10448339549</v>
      </c>
      <c r="AM189">
        <f t="shared" si="88"/>
        <v>0.83284045099999993</v>
      </c>
      <c r="AN189">
        <f t="shared" si="89"/>
        <v>0.15339700261</v>
      </c>
      <c r="AO189">
        <v>32.700000000000003</v>
      </c>
      <c r="AP189">
        <v>0.5</v>
      </c>
      <c r="AQ189" t="s">
        <v>331</v>
      </c>
      <c r="AR189">
        <v>2</v>
      </c>
      <c r="AS189">
        <v>1690302759.5999999</v>
      </c>
      <c r="AT189">
        <v>409.51799999999997</v>
      </c>
      <c r="AU189">
        <v>800.00400000000002</v>
      </c>
      <c r="AV189">
        <v>25.992100000000001</v>
      </c>
      <c r="AW189">
        <v>0.185728</v>
      </c>
      <c r="AX189">
        <v>409.55700000000002</v>
      </c>
      <c r="AY189">
        <v>25.710599999999999</v>
      </c>
      <c r="AZ189">
        <v>300.09399999999999</v>
      </c>
      <c r="BA189">
        <v>99.312299999999993</v>
      </c>
      <c r="BB189">
        <v>0.100024</v>
      </c>
      <c r="BC189">
        <v>26.824300000000001</v>
      </c>
      <c r="BD189">
        <v>27.0063</v>
      </c>
      <c r="BE189">
        <v>28.130099999999999</v>
      </c>
      <c r="BF189">
        <v>0</v>
      </c>
      <c r="BG189">
        <v>0</v>
      </c>
      <c r="BH189">
        <v>9991.8799999999992</v>
      </c>
      <c r="BI189">
        <v>1078.49</v>
      </c>
      <c r="BJ189">
        <v>1.7380500000000001</v>
      </c>
      <c r="BK189">
        <v>-390.48599999999999</v>
      </c>
      <c r="BL189">
        <v>420.44600000000003</v>
      </c>
      <c r="BM189">
        <v>800.15200000000004</v>
      </c>
      <c r="BN189">
        <v>25.8064</v>
      </c>
      <c r="BO189">
        <v>800.00400000000002</v>
      </c>
      <c r="BP189">
        <v>0.185728</v>
      </c>
      <c r="BQ189">
        <v>2.58134</v>
      </c>
      <c r="BR189">
        <v>1.8445099999999999E-2</v>
      </c>
      <c r="BS189">
        <v>21.5486</v>
      </c>
      <c r="BT189">
        <v>-40.202100000000002</v>
      </c>
      <c r="BU189">
        <v>1799.99</v>
      </c>
      <c r="BV189">
        <v>0.91001299999999996</v>
      </c>
      <c r="BW189">
        <v>3.4001299999999998E-2</v>
      </c>
      <c r="BX189">
        <v>2.1995799999999999E-2</v>
      </c>
      <c r="BY189">
        <v>3.3989699999999998E-2</v>
      </c>
      <c r="BZ189">
        <v>26</v>
      </c>
      <c r="CA189">
        <v>33528.300000000003</v>
      </c>
      <c r="CB189">
        <v>1690300477.5</v>
      </c>
      <c r="CC189" t="s">
        <v>332</v>
      </c>
      <c r="CD189">
        <v>1690300477.5</v>
      </c>
      <c r="CE189">
        <v>1690300465.5</v>
      </c>
      <c r="CF189">
        <v>7</v>
      </c>
      <c r="CG189">
        <v>5.0999999999999997E-2</v>
      </c>
      <c r="CH189">
        <v>-8.0000000000000002E-3</v>
      </c>
      <c r="CI189">
        <v>-0.316</v>
      </c>
      <c r="CJ189">
        <v>0.28199999999999997</v>
      </c>
      <c r="CK189">
        <v>800</v>
      </c>
      <c r="CL189">
        <v>24</v>
      </c>
      <c r="CM189">
        <v>0.25</v>
      </c>
      <c r="CN189">
        <v>0.13</v>
      </c>
      <c r="CO189">
        <v>-389.90715</v>
      </c>
      <c r="CP189">
        <v>-3.2501313320812222</v>
      </c>
      <c r="CQ189">
        <v>0.31800106524978861</v>
      </c>
      <c r="CR189">
        <v>-1</v>
      </c>
      <c r="CS189">
        <v>25.779365000000009</v>
      </c>
      <c r="CT189">
        <v>0.1593275797372494</v>
      </c>
      <c r="CU189">
        <v>1.536272355410967E-2</v>
      </c>
      <c r="CV189">
        <v>-1</v>
      </c>
      <c r="CW189">
        <v>0</v>
      </c>
      <c r="CX189">
        <v>0</v>
      </c>
      <c r="CY189" t="s">
        <v>333</v>
      </c>
      <c r="CZ189">
        <v>2.36456</v>
      </c>
      <c r="DA189">
        <v>2.7138100000000001</v>
      </c>
      <c r="DB189">
        <v>9.1350200000000006E-2</v>
      </c>
      <c r="DC189">
        <v>0.14636299999999999</v>
      </c>
      <c r="DD189">
        <v>0.120488</v>
      </c>
      <c r="DE189">
        <v>1.56529E-3</v>
      </c>
      <c r="DF189">
        <v>33194.300000000003</v>
      </c>
      <c r="DG189">
        <v>27535.4</v>
      </c>
      <c r="DH189">
        <v>31186.400000000001</v>
      </c>
      <c r="DI189">
        <v>28107.3</v>
      </c>
      <c r="DJ189">
        <v>37232.5</v>
      </c>
      <c r="DK189">
        <v>39915.4</v>
      </c>
      <c r="DL189">
        <v>44385</v>
      </c>
      <c r="DM189">
        <v>42603.4</v>
      </c>
      <c r="DN189">
        <v>1.4855700000000001</v>
      </c>
      <c r="DO189">
        <v>2.03315</v>
      </c>
      <c r="DP189">
        <v>8.8304300000000002E-2</v>
      </c>
      <c r="DQ189">
        <v>0.16703499999999999</v>
      </c>
      <c r="DR189">
        <v>25.560500000000001</v>
      </c>
      <c r="DS189">
        <v>25.397300000000001</v>
      </c>
      <c r="DT189">
        <v>26.1</v>
      </c>
      <c r="DU189">
        <v>29.1</v>
      </c>
      <c r="DV189">
        <v>10.631399999999999</v>
      </c>
      <c r="DW189">
        <v>61.511099999999999</v>
      </c>
      <c r="DX189">
        <v>36.674700000000001</v>
      </c>
      <c r="DY189">
        <v>1</v>
      </c>
      <c r="DZ189">
        <v>-0.10446900000000001</v>
      </c>
      <c r="EA189">
        <v>-0.15243999999999999</v>
      </c>
      <c r="EB189">
        <v>20.189699999999998</v>
      </c>
      <c r="EC189">
        <v>5.2409499999999998</v>
      </c>
      <c r="ED189">
        <v>12.039899999999999</v>
      </c>
      <c r="EE189">
        <v>5.0171999999999999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1.8689100000000001</v>
      </c>
      <c r="EL189">
        <v>1.8646100000000001</v>
      </c>
      <c r="EM189">
        <v>1.8692</v>
      </c>
      <c r="EN189">
        <v>1.8672299999999999</v>
      </c>
      <c r="EO189">
        <v>1.86338</v>
      </c>
      <c r="EP189">
        <v>1.8644700000000001</v>
      </c>
      <c r="EQ189">
        <v>1.8701399999999999</v>
      </c>
      <c r="ER189">
        <v>1.86937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-3.9E-2</v>
      </c>
      <c r="FG189">
        <v>0.28149999999999997</v>
      </c>
      <c r="FH189">
        <v>0.23539598422606861</v>
      </c>
      <c r="FI189">
        <v>-6.1462078757559423E-4</v>
      </c>
      <c r="FJ189">
        <v>-1.8861989874597051E-7</v>
      </c>
      <c r="FK189">
        <v>1.1980462299894961E-10</v>
      </c>
      <c r="FL189">
        <v>0.28151999999999688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</v>
      </c>
      <c r="FU189">
        <v>38.200000000000003</v>
      </c>
      <c r="FV189">
        <v>1.7626999999999999</v>
      </c>
      <c r="FW189">
        <v>2.5952099999999998</v>
      </c>
      <c r="FX189">
        <v>1.5490699999999999</v>
      </c>
      <c r="FY189">
        <v>2.3303199999999999</v>
      </c>
      <c r="FZ189">
        <v>1.50146</v>
      </c>
      <c r="GA189">
        <v>2.2741699999999998</v>
      </c>
      <c r="GB189">
        <v>33.625399999999999</v>
      </c>
      <c r="GC189">
        <v>23.982399999999998</v>
      </c>
      <c r="GD189">
        <v>19</v>
      </c>
      <c r="GE189">
        <v>286.20100000000002</v>
      </c>
      <c r="GF189">
        <v>578.61099999999999</v>
      </c>
      <c r="GG189">
        <v>25.3048</v>
      </c>
      <c r="GH189">
        <v>26.0898</v>
      </c>
      <c r="GI189">
        <v>30.0002</v>
      </c>
      <c r="GJ189">
        <v>26.196000000000002</v>
      </c>
      <c r="GK189">
        <v>26.170200000000001</v>
      </c>
      <c r="GL189">
        <v>35.235799999999998</v>
      </c>
      <c r="GM189">
        <v>100</v>
      </c>
      <c r="GN189">
        <v>16.770199999999999</v>
      </c>
      <c r="GO189">
        <v>25.292300000000001</v>
      </c>
      <c r="GP189">
        <v>800</v>
      </c>
      <c r="GQ189">
        <v>0</v>
      </c>
      <c r="GR189">
        <v>99.788200000000003</v>
      </c>
      <c r="GS189">
        <v>99.661799999999999</v>
      </c>
    </row>
    <row r="190" spans="1:201" x14ac:dyDescent="0.25">
      <c r="A190">
        <v>174</v>
      </c>
      <c r="B190">
        <v>1690302769.5999999</v>
      </c>
      <c r="C190">
        <v>1865.599999904633</v>
      </c>
      <c r="D190" t="s">
        <v>679</v>
      </c>
      <c r="E190" t="s">
        <v>680</v>
      </c>
      <c r="F190" t="s">
        <v>330</v>
      </c>
      <c r="H190">
        <v>1690302769.5999999</v>
      </c>
      <c r="I190">
        <f t="shared" si="60"/>
        <v>2.4340345218304585E-3</v>
      </c>
      <c r="J190">
        <f t="shared" si="61"/>
        <v>2.4340345218304584</v>
      </c>
      <c r="K190">
        <f t="shared" si="62"/>
        <v>34.898401846778668</v>
      </c>
      <c r="L190">
        <f t="shared" si="63"/>
        <v>409.07</v>
      </c>
      <c r="M190">
        <f t="shared" si="64"/>
        <v>108.4554211869176</v>
      </c>
      <c r="N190">
        <f t="shared" si="65"/>
        <v>10.781419738039324</v>
      </c>
      <c r="O190">
        <f t="shared" si="66"/>
        <v>40.665144480317998</v>
      </c>
      <c r="P190">
        <f t="shared" si="67"/>
        <v>0.19747128210520845</v>
      </c>
      <c r="Q190">
        <f t="shared" si="68"/>
        <v>2.1137404968077926</v>
      </c>
      <c r="R190">
        <f t="shared" si="69"/>
        <v>0.18776485782814167</v>
      </c>
      <c r="S190">
        <f t="shared" si="70"/>
        <v>0.11818535001729405</v>
      </c>
      <c r="T190">
        <f t="shared" si="71"/>
        <v>276.11454412800003</v>
      </c>
      <c r="U190">
        <f t="shared" si="72"/>
        <v>28.170253551784846</v>
      </c>
      <c r="V190">
        <f t="shared" si="73"/>
        <v>28.170253551784846</v>
      </c>
      <c r="W190">
        <f t="shared" si="74"/>
        <v>3.8326676827215893</v>
      </c>
      <c r="X190">
        <f t="shared" si="75"/>
        <v>72.982430465009031</v>
      </c>
      <c r="Y190">
        <f t="shared" si="76"/>
        <v>2.58561209919726</v>
      </c>
      <c r="Z190">
        <f t="shared" si="77"/>
        <v>3.5427870553542551</v>
      </c>
      <c r="AA190">
        <f t="shared" si="78"/>
        <v>1.2470555835243293</v>
      </c>
      <c r="AB190">
        <f t="shared" si="79"/>
        <v>-107.34092241272322</v>
      </c>
      <c r="AC190">
        <f t="shared" si="80"/>
        <v>-153.16293652628167</v>
      </c>
      <c r="AD190">
        <f t="shared" si="81"/>
        <v>-15.715968037885315</v>
      </c>
      <c r="AE190">
        <f t="shared" si="82"/>
        <v>-0.10528284889016959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52390.873820911693</v>
      </c>
      <c r="AK190">
        <f t="shared" si="86"/>
        <v>1800</v>
      </c>
      <c r="AL190">
        <f t="shared" si="87"/>
        <v>1499.1132258000002</v>
      </c>
      <c r="AM190">
        <f t="shared" si="88"/>
        <v>0.83284068100000008</v>
      </c>
      <c r="AN190">
        <f t="shared" si="89"/>
        <v>0.15339696896000002</v>
      </c>
      <c r="AO190">
        <v>32.700000000000003</v>
      </c>
      <c r="AP190">
        <v>0.5</v>
      </c>
      <c r="AQ190" t="s">
        <v>331</v>
      </c>
      <c r="AR190">
        <v>2</v>
      </c>
      <c r="AS190">
        <v>1690302769.5999999</v>
      </c>
      <c r="AT190">
        <v>409.07</v>
      </c>
      <c r="AU190">
        <v>800.08100000000002</v>
      </c>
      <c r="AV190">
        <v>26.009899999999998</v>
      </c>
      <c r="AW190">
        <v>0.18448700000000001</v>
      </c>
      <c r="AX190">
        <v>409.11</v>
      </c>
      <c r="AY190">
        <v>25.728400000000001</v>
      </c>
      <c r="AZ190">
        <v>300.18</v>
      </c>
      <c r="BA190">
        <v>99.308800000000005</v>
      </c>
      <c r="BB190">
        <v>9.9967399999999998E-2</v>
      </c>
      <c r="BC190">
        <v>26.8262</v>
      </c>
      <c r="BD190">
        <v>26.998000000000001</v>
      </c>
      <c r="BE190">
        <v>28.145900000000001</v>
      </c>
      <c r="BF190">
        <v>0</v>
      </c>
      <c r="BG190">
        <v>0</v>
      </c>
      <c r="BH190">
        <v>9970</v>
      </c>
      <c r="BI190">
        <v>1078.3900000000001</v>
      </c>
      <c r="BJ190">
        <v>1.7380500000000001</v>
      </c>
      <c r="BK190">
        <v>-391.01100000000002</v>
      </c>
      <c r="BL190">
        <v>419.99400000000003</v>
      </c>
      <c r="BM190">
        <v>800.22900000000004</v>
      </c>
      <c r="BN190">
        <v>25.825500000000002</v>
      </c>
      <c r="BO190">
        <v>800.08100000000002</v>
      </c>
      <c r="BP190">
        <v>0.18448700000000001</v>
      </c>
      <c r="BQ190">
        <v>2.5830199999999999</v>
      </c>
      <c r="BR190">
        <v>1.8321199999999999E-2</v>
      </c>
      <c r="BS190">
        <v>21.5593</v>
      </c>
      <c r="BT190">
        <v>-40.266500000000001</v>
      </c>
      <c r="BU190">
        <v>1800</v>
      </c>
      <c r="BV190">
        <v>0.91001500000000002</v>
      </c>
      <c r="BW190">
        <v>3.4000599999999999E-2</v>
      </c>
      <c r="BX190">
        <v>2.1995299999999999E-2</v>
      </c>
      <c r="BY190">
        <v>3.3988999999999998E-2</v>
      </c>
      <c r="BZ190">
        <v>26</v>
      </c>
      <c r="CA190">
        <v>33528.400000000001</v>
      </c>
      <c r="CB190">
        <v>1690300477.5</v>
      </c>
      <c r="CC190" t="s">
        <v>332</v>
      </c>
      <c r="CD190">
        <v>1690300477.5</v>
      </c>
      <c r="CE190">
        <v>1690300465.5</v>
      </c>
      <c r="CF190">
        <v>7</v>
      </c>
      <c r="CG190">
        <v>5.0999999999999997E-2</v>
      </c>
      <c r="CH190">
        <v>-8.0000000000000002E-3</v>
      </c>
      <c r="CI190">
        <v>-0.316</v>
      </c>
      <c r="CJ190">
        <v>0.28199999999999997</v>
      </c>
      <c r="CK190">
        <v>800</v>
      </c>
      <c r="CL190">
        <v>24</v>
      </c>
      <c r="CM190">
        <v>0.25</v>
      </c>
      <c r="CN190">
        <v>0.13</v>
      </c>
      <c r="CO190">
        <v>-390.41046341463408</v>
      </c>
      <c r="CP190">
        <v>-2.9447874564463818</v>
      </c>
      <c r="CQ190">
        <v>0.29334871428677878</v>
      </c>
      <c r="CR190">
        <v>-1</v>
      </c>
      <c r="CS190">
        <v>25.803217073170732</v>
      </c>
      <c r="CT190">
        <v>0.15294355400698501</v>
      </c>
      <c r="CU190">
        <v>1.5150656468736191E-2</v>
      </c>
      <c r="CV190">
        <v>-1</v>
      </c>
      <c r="CW190">
        <v>0</v>
      </c>
      <c r="CX190">
        <v>0</v>
      </c>
      <c r="CY190" t="s">
        <v>333</v>
      </c>
      <c r="CZ190">
        <v>2.3647999999999998</v>
      </c>
      <c r="DA190">
        <v>2.71373</v>
      </c>
      <c r="DB190">
        <v>9.1270599999999993E-2</v>
      </c>
      <c r="DC190">
        <v>0.146367</v>
      </c>
      <c r="DD190">
        <v>0.120541</v>
      </c>
      <c r="DE190">
        <v>1.55489E-3</v>
      </c>
      <c r="DF190">
        <v>33196.9</v>
      </c>
      <c r="DG190">
        <v>27535.3</v>
      </c>
      <c r="DH190">
        <v>31186.1</v>
      </c>
      <c r="DI190">
        <v>28107.3</v>
      </c>
      <c r="DJ190">
        <v>37229.599999999999</v>
      </c>
      <c r="DK190">
        <v>39916</v>
      </c>
      <c r="DL190">
        <v>44384.3</v>
      </c>
      <c r="DM190">
        <v>42603.5</v>
      </c>
      <c r="DN190">
        <v>1.4859199999999999</v>
      </c>
      <c r="DO190">
        <v>2.0333999999999999</v>
      </c>
      <c r="DP190">
        <v>8.7663500000000005E-2</v>
      </c>
      <c r="DQ190">
        <v>0.167876</v>
      </c>
      <c r="DR190">
        <v>25.5627</v>
      </c>
      <c r="DS190">
        <v>25.3994</v>
      </c>
      <c r="DT190">
        <v>25.8</v>
      </c>
      <c r="DU190">
        <v>29.1</v>
      </c>
      <c r="DV190">
        <v>10.511200000000001</v>
      </c>
      <c r="DW190">
        <v>61.801099999999998</v>
      </c>
      <c r="DX190">
        <v>36.670699999999997</v>
      </c>
      <c r="DY190">
        <v>1</v>
      </c>
      <c r="DZ190">
        <v>-0.104195</v>
      </c>
      <c r="EA190">
        <v>-0.19614400000000001</v>
      </c>
      <c r="EB190">
        <v>20.189299999999999</v>
      </c>
      <c r="EC190">
        <v>5.2413999999999996</v>
      </c>
      <c r="ED190">
        <v>12.039899999999999</v>
      </c>
      <c r="EE190">
        <v>5.0172999999999996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1.8689100000000001</v>
      </c>
      <c r="EL190">
        <v>1.8646</v>
      </c>
      <c r="EM190">
        <v>1.8692</v>
      </c>
      <c r="EN190">
        <v>1.8672299999999999</v>
      </c>
      <c r="EO190">
        <v>1.8633500000000001</v>
      </c>
      <c r="EP190">
        <v>1.8644700000000001</v>
      </c>
      <c r="EQ190">
        <v>1.87015</v>
      </c>
      <c r="ER190">
        <v>1.86937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-0.04</v>
      </c>
      <c r="FG190">
        <v>0.28149999999999997</v>
      </c>
      <c r="FH190">
        <v>0.23539598422606861</v>
      </c>
      <c r="FI190">
        <v>-6.1462078757559423E-4</v>
      </c>
      <c r="FJ190">
        <v>-1.8861989874597051E-7</v>
      </c>
      <c r="FK190">
        <v>1.1980462299894961E-10</v>
      </c>
      <c r="FL190">
        <v>0.28151999999999688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38.200000000000003</v>
      </c>
      <c r="FU190">
        <v>38.4</v>
      </c>
      <c r="FV190">
        <v>1.7626999999999999</v>
      </c>
      <c r="FW190">
        <v>2.5891099999999998</v>
      </c>
      <c r="FX190">
        <v>1.5490699999999999</v>
      </c>
      <c r="FY190">
        <v>2.3303199999999999</v>
      </c>
      <c r="FZ190">
        <v>1.50146</v>
      </c>
      <c r="GA190">
        <v>2.3107899999999999</v>
      </c>
      <c r="GB190">
        <v>33.625399999999999</v>
      </c>
      <c r="GC190">
        <v>23.982399999999998</v>
      </c>
      <c r="GD190">
        <v>19</v>
      </c>
      <c r="GE190">
        <v>286.36099999999999</v>
      </c>
      <c r="GF190">
        <v>578.84100000000001</v>
      </c>
      <c r="GG190">
        <v>25.2849</v>
      </c>
      <c r="GH190">
        <v>26.091999999999999</v>
      </c>
      <c r="GI190">
        <v>30.0002</v>
      </c>
      <c r="GJ190">
        <v>26.1982</v>
      </c>
      <c r="GK190">
        <v>26.1723</v>
      </c>
      <c r="GL190">
        <v>35.234699999999997</v>
      </c>
      <c r="GM190">
        <v>100</v>
      </c>
      <c r="GN190">
        <v>16.004799999999999</v>
      </c>
      <c r="GO190">
        <v>25.296700000000001</v>
      </c>
      <c r="GP190">
        <v>800</v>
      </c>
      <c r="GQ190">
        <v>0</v>
      </c>
      <c r="GR190">
        <v>99.786900000000003</v>
      </c>
      <c r="GS190">
        <v>99.662099999999995</v>
      </c>
    </row>
    <row r="191" spans="1:201" x14ac:dyDescent="0.25">
      <c r="A191">
        <v>175</v>
      </c>
      <c r="B191">
        <v>1690302779.5999999</v>
      </c>
      <c r="C191">
        <v>1875.599999904633</v>
      </c>
      <c r="D191" t="s">
        <v>681</v>
      </c>
      <c r="E191" t="s">
        <v>682</v>
      </c>
      <c r="F191" t="s">
        <v>330</v>
      </c>
      <c r="H191">
        <v>1690302779.5999999</v>
      </c>
      <c r="I191">
        <f t="shared" si="60"/>
        <v>2.4369497244373403E-3</v>
      </c>
      <c r="J191">
        <f t="shared" si="61"/>
        <v>2.4369497244373401</v>
      </c>
      <c r="K191">
        <f t="shared" si="62"/>
        <v>34.959132322842898</v>
      </c>
      <c r="L191">
        <f t="shared" si="63"/>
        <v>408.37299999999999</v>
      </c>
      <c r="M191">
        <f t="shared" si="64"/>
        <v>108.81168084548396</v>
      </c>
      <c r="N191">
        <f t="shared" si="65"/>
        <v>10.817012064651813</v>
      </c>
      <c r="O191">
        <f t="shared" si="66"/>
        <v>40.596520828961999</v>
      </c>
      <c r="P191">
        <f t="shared" si="67"/>
        <v>0.19853322057713665</v>
      </c>
      <c r="Q191">
        <f t="shared" si="68"/>
        <v>2.1182909363931608</v>
      </c>
      <c r="R191">
        <f t="shared" si="69"/>
        <v>0.18874485862487447</v>
      </c>
      <c r="S191">
        <f t="shared" si="70"/>
        <v>0.11880475408515767</v>
      </c>
      <c r="T191">
        <f t="shared" si="71"/>
        <v>276.11297156652478</v>
      </c>
      <c r="U191">
        <f t="shared" si="72"/>
        <v>28.159707067353459</v>
      </c>
      <c r="V191">
        <f t="shared" si="73"/>
        <v>28.159707067353459</v>
      </c>
      <c r="W191">
        <f t="shared" si="74"/>
        <v>3.8303148778808707</v>
      </c>
      <c r="X191">
        <f t="shared" si="75"/>
        <v>73.085951488355732</v>
      </c>
      <c r="Y191">
        <f t="shared" si="76"/>
        <v>2.5882291361051997</v>
      </c>
      <c r="Z191">
        <f t="shared" si="77"/>
        <v>3.5413497168707777</v>
      </c>
      <c r="AA191">
        <f t="shared" si="78"/>
        <v>1.242085741775671</v>
      </c>
      <c r="AB191">
        <f t="shared" si="79"/>
        <v>-107.46948284768671</v>
      </c>
      <c r="AC191">
        <f t="shared" si="80"/>
        <v>-153.07623091153431</v>
      </c>
      <c r="AD191">
        <f t="shared" si="81"/>
        <v>-15.671964495226833</v>
      </c>
      <c r="AE191">
        <f t="shared" si="82"/>
        <v>-0.10470668792311244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52591.492850790084</v>
      </c>
      <c r="AK191">
        <f t="shared" si="86"/>
        <v>1799.99</v>
      </c>
      <c r="AL191">
        <f t="shared" si="87"/>
        <v>1499.10505219233</v>
      </c>
      <c r="AM191">
        <f t="shared" si="88"/>
        <v>0.83284076699999998</v>
      </c>
      <c r="AN191">
        <f t="shared" si="89"/>
        <v>0.15339694751999999</v>
      </c>
      <c r="AO191">
        <v>32.700000000000003</v>
      </c>
      <c r="AP191">
        <v>0.5</v>
      </c>
      <c r="AQ191" t="s">
        <v>331</v>
      </c>
      <c r="AR191">
        <v>2</v>
      </c>
      <c r="AS191">
        <v>1690302779.5999999</v>
      </c>
      <c r="AT191">
        <v>408.37299999999999</v>
      </c>
      <c r="AU191">
        <v>799.99699999999996</v>
      </c>
      <c r="AV191">
        <v>26.035799999999998</v>
      </c>
      <c r="AW191">
        <v>0.18298600000000001</v>
      </c>
      <c r="AX191">
        <v>408.41199999999998</v>
      </c>
      <c r="AY191">
        <v>25.754300000000001</v>
      </c>
      <c r="AZ191">
        <v>300.21300000000002</v>
      </c>
      <c r="BA191">
        <v>99.310299999999998</v>
      </c>
      <c r="BB191">
        <v>0.100094</v>
      </c>
      <c r="BC191">
        <v>26.819299999999998</v>
      </c>
      <c r="BD191">
        <v>27.006399999999999</v>
      </c>
      <c r="BE191">
        <v>28.1296</v>
      </c>
      <c r="BF191">
        <v>0</v>
      </c>
      <c r="BG191">
        <v>0</v>
      </c>
      <c r="BH191">
        <v>10009.4</v>
      </c>
      <c r="BI191">
        <v>1078.3599999999999</v>
      </c>
      <c r="BJ191">
        <v>1.7380500000000001</v>
      </c>
      <c r="BK191">
        <v>-391.62400000000002</v>
      </c>
      <c r="BL191">
        <v>419.28899999999999</v>
      </c>
      <c r="BM191">
        <v>800.14300000000003</v>
      </c>
      <c r="BN191">
        <v>25.852799999999998</v>
      </c>
      <c r="BO191">
        <v>799.99699999999996</v>
      </c>
      <c r="BP191">
        <v>0.18298600000000001</v>
      </c>
      <c r="BQ191">
        <v>2.58562</v>
      </c>
      <c r="BR191">
        <v>1.8172399999999998E-2</v>
      </c>
      <c r="BS191">
        <v>21.575800000000001</v>
      </c>
      <c r="BT191">
        <v>-40.344299999999997</v>
      </c>
      <c r="BU191">
        <v>1799.99</v>
      </c>
      <c r="BV191">
        <v>0.91001600000000005</v>
      </c>
      <c r="BW191">
        <v>3.4000200000000001E-2</v>
      </c>
      <c r="BX191">
        <v>2.19951E-2</v>
      </c>
      <c r="BY191">
        <v>3.3988600000000001E-2</v>
      </c>
      <c r="BZ191">
        <v>26</v>
      </c>
      <c r="CA191">
        <v>33528.300000000003</v>
      </c>
      <c r="CB191">
        <v>1690300477.5</v>
      </c>
      <c r="CC191" t="s">
        <v>332</v>
      </c>
      <c r="CD191">
        <v>1690300477.5</v>
      </c>
      <c r="CE191">
        <v>1690300465.5</v>
      </c>
      <c r="CF191">
        <v>7</v>
      </c>
      <c r="CG191">
        <v>5.0999999999999997E-2</v>
      </c>
      <c r="CH191">
        <v>-8.0000000000000002E-3</v>
      </c>
      <c r="CI191">
        <v>-0.316</v>
      </c>
      <c r="CJ191">
        <v>0.28199999999999997</v>
      </c>
      <c r="CK191">
        <v>800</v>
      </c>
      <c r="CL191">
        <v>24</v>
      </c>
      <c r="CM191">
        <v>0.25</v>
      </c>
      <c r="CN191">
        <v>0.13</v>
      </c>
      <c r="CO191">
        <v>-390.94282926829271</v>
      </c>
      <c r="CP191">
        <v>-3.378919860627795</v>
      </c>
      <c r="CQ191">
        <v>0.33758170844267499</v>
      </c>
      <c r="CR191">
        <v>-1</v>
      </c>
      <c r="CS191">
        <v>25.825321951219511</v>
      </c>
      <c r="CT191">
        <v>0.11972404181185969</v>
      </c>
      <c r="CU191">
        <v>1.1934935646062969E-2</v>
      </c>
      <c r="CV191">
        <v>-1</v>
      </c>
      <c r="CW191">
        <v>0</v>
      </c>
      <c r="CX191">
        <v>0</v>
      </c>
      <c r="CY191" t="s">
        <v>333</v>
      </c>
      <c r="CZ191">
        <v>2.3649200000000001</v>
      </c>
      <c r="DA191">
        <v>2.7139000000000002</v>
      </c>
      <c r="DB191">
        <v>9.1153300000000007E-2</v>
      </c>
      <c r="DC191">
        <v>0.14635799999999999</v>
      </c>
      <c r="DD191">
        <v>0.120627</v>
      </c>
      <c r="DE191">
        <v>1.5424E-3</v>
      </c>
      <c r="DF191">
        <v>33201.1</v>
      </c>
      <c r="DG191">
        <v>27535.5</v>
      </c>
      <c r="DH191">
        <v>31186.1</v>
      </c>
      <c r="DI191">
        <v>28107.3</v>
      </c>
      <c r="DJ191">
        <v>37226</v>
      </c>
      <c r="DK191">
        <v>39916.400000000001</v>
      </c>
      <c r="DL191">
        <v>44384.3</v>
      </c>
      <c r="DM191">
        <v>42603.4</v>
      </c>
      <c r="DN191">
        <v>1.4858499999999999</v>
      </c>
      <c r="DO191">
        <v>2.0332499999999998</v>
      </c>
      <c r="DP191">
        <v>8.8043499999999997E-2</v>
      </c>
      <c r="DQ191">
        <v>0.166878</v>
      </c>
      <c r="DR191">
        <v>25.564900000000002</v>
      </c>
      <c r="DS191">
        <v>25.3994</v>
      </c>
      <c r="DT191">
        <v>25.6</v>
      </c>
      <c r="DU191">
        <v>29.2</v>
      </c>
      <c r="DV191">
        <v>10.488899999999999</v>
      </c>
      <c r="DW191">
        <v>61.6111</v>
      </c>
      <c r="DX191">
        <v>36.710700000000003</v>
      </c>
      <c r="DY191">
        <v>1</v>
      </c>
      <c r="DZ191">
        <v>-0.104101</v>
      </c>
      <c r="EA191">
        <v>-0.20905000000000001</v>
      </c>
      <c r="EB191">
        <v>20.189299999999999</v>
      </c>
      <c r="EC191">
        <v>5.24125</v>
      </c>
      <c r="ED191">
        <v>12.039899999999999</v>
      </c>
      <c r="EE191">
        <v>5.0164499999999999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1.8689100000000001</v>
      </c>
      <c r="EL191">
        <v>1.8646199999999999</v>
      </c>
      <c r="EM191">
        <v>1.8692</v>
      </c>
      <c r="EN191">
        <v>1.8672299999999999</v>
      </c>
      <c r="EO191">
        <v>1.86337</v>
      </c>
      <c r="EP191">
        <v>1.8644700000000001</v>
      </c>
      <c r="EQ191">
        <v>1.8701399999999999</v>
      </c>
      <c r="ER191">
        <v>1.86938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-3.9E-2</v>
      </c>
      <c r="FG191">
        <v>0.28149999999999997</v>
      </c>
      <c r="FH191">
        <v>0.23539598422606861</v>
      </c>
      <c r="FI191">
        <v>-6.1462078757559423E-4</v>
      </c>
      <c r="FJ191">
        <v>-1.8861989874597051E-7</v>
      </c>
      <c r="FK191">
        <v>1.1980462299894961E-10</v>
      </c>
      <c r="FL191">
        <v>0.28151999999999688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38.4</v>
      </c>
      <c r="FU191">
        <v>38.6</v>
      </c>
      <c r="FV191">
        <v>1.7626999999999999</v>
      </c>
      <c r="FW191">
        <v>2.5878899999999998</v>
      </c>
      <c r="FX191">
        <v>1.5490699999999999</v>
      </c>
      <c r="FY191">
        <v>2.3303199999999999</v>
      </c>
      <c r="FZ191">
        <v>1.50146</v>
      </c>
      <c r="GA191">
        <v>2.2997999999999998</v>
      </c>
      <c r="GB191">
        <v>33.625399999999999</v>
      </c>
      <c r="GC191">
        <v>23.982399999999998</v>
      </c>
      <c r="GD191">
        <v>19</v>
      </c>
      <c r="GE191">
        <v>286.33</v>
      </c>
      <c r="GF191">
        <v>578.71799999999996</v>
      </c>
      <c r="GG191">
        <v>25.300599999999999</v>
      </c>
      <c r="GH191">
        <v>26.093499999999999</v>
      </c>
      <c r="GI191">
        <v>30.0001</v>
      </c>
      <c r="GJ191">
        <v>26.198399999999999</v>
      </c>
      <c r="GK191">
        <v>26.1723</v>
      </c>
      <c r="GL191">
        <v>35.235300000000002</v>
      </c>
      <c r="GM191">
        <v>100</v>
      </c>
      <c r="GN191">
        <v>15.613300000000001</v>
      </c>
      <c r="GO191">
        <v>25.302399999999999</v>
      </c>
      <c r="GP191">
        <v>800</v>
      </c>
      <c r="GQ191">
        <v>0</v>
      </c>
      <c r="GR191">
        <v>99.786900000000003</v>
      </c>
      <c r="GS191">
        <v>99.661900000000003</v>
      </c>
    </row>
    <row r="192" spans="1:201" x14ac:dyDescent="0.25">
      <c r="A192">
        <v>176</v>
      </c>
      <c r="B192">
        <v>1690302789.5999999</v>
      </c>
      <c r="C192">
        <v>1885.599999904633</v>
      </c>
      <c r="D192" t="s">
        <v>683</v>
      </c>
      <c r="E192" t="s">
        <v>684</v>
      </c>
      <c r="F192" t="s">
        <v>330</v>
      </c>
      <c r="H192">
        <v>1690302789.5999999</v>
      </c>
      <c r="I192">
        <f t="shared" si="60"/>
        <v>2.4390276720992763E-3</v>
      </c>
      <c r="J192">
        <f t="shared" si="61"/>
        <v>2.4390276720992761</v>
      </c>
      <c r="K192">
        <f t="shared" si="62"/>
        <v>35.003197481853597</v>
      </c>
      <c r="L192">
        <f t="shared" si="63"/>
        <v>407.899</v>
      </c>
      <c r="M192">
        <f t="shared" si="64"/>
        <v>108.72445924513956</v>
      </c>
      <c r="N192">
        <f t="shared" si="65"/>
        <v>10.807908281475092</v>
      </c>
      <c r="O192">
        <f t="shared" si="66"/>
        <v>40.547775640488993</v>
      </c>
      <c r="P192">
        <f t="shared" si="67"/>
        <v>0.19906398015073448</v>
      </c>
      <c r="Q192">
        <f t="shared" si="68"/>
        <v>2.1167347094695641</v>
      </c>
      <c r="R192">
        <f t="shared" si="69"/>
        <v>0.18921775550085881</v>
      </c>
      <c r="S192">
        <f t="shared" si="70"/>
        <v>0.11910514460395966</v>
      </c>
      <c r="T192">
        <f t="shared" si="71"/>
        <v>276.11462232000002</v>
      </c>
      <c r="U192">
        <f t="shared" si="72"/>
        <v>28.160984438701792</v>
      </c>
      <c r="V192">
        <f t="shared" si="73"/>
        <v>28.160984438701792</v>
      </c>
      <c r="W192">
        <f t="shared" si="74"/>
        <v>3.8305997783192645</v>
      </c>
      <c r="X192">
        <f t="shared" si="75"/>
        <v>73.149027765661302</v>
      </c>
      <c r="Y192">
        <f t="shared" si="76"/>
        <v>2.590630477071</v>
      </c>
      <c r="Z192">
        <f t="shared" si="77"/>
        <v>3.5415788236725301</v>
      </c>
      <c r="AA192">
        <f t="shared" si="78"/>
        <v>1.2399693012482644</v>
      </c>
      <c r="AB192">
        <f t="shared" si="79"/>
        <v>-107.56112033957808</v>
      </c>
      <c r="AC192">
        <f t="shared" si="80"/>
        <v>-152.98401284635335</v>
      </c>
      <c r="AD192">
        <f t="shared" si="81"/>
        <v>-15.674224343408012</v>
      </c>
      <c r="AE192">
        <f t="shared" si="82"/>
        <v>-0.10473520933942382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52522.971499751337</v>
      </c>
      <c r="AK192">
        <f t="shared" si="86"/>
        <v>1800</v>
      </c>
      <c r="AL192">
        <f t="shared" si="87"/>
        <v>1499.1142139999997</v>
      </c>
      <c r="AM192">
        <f t="shared" si="88"/>
        <v>0.83284122999999988</v>
      </c>
      <c r="AN192">
        <f t="shared" si="89"/>
        <v>0.1533970124</v>
      </c>
      <c r="AO192">
        <v>32.700000000000003</v>
      </c>
      <c r="AP192">
        <v>0.5</v>
      </c>
      <c r="AQ192" t="s">
        <v>331</v>
      </c>
      <c r="AR192">
        <v>2</v>
      </c>
      <c r="AS192">
        <v>1690302789.5999999</v>
      </c>
      <c r="AT192">
        <v>407.899</v>
      </c>
      <c r="AU192">
        <v>800.07799999999997</v>
      </c>
      <c r="AV192">
        <v>26.061</v>
      </c>
      <c r="AW192">
        <v>0.18163899999999999</v>
      </c>
      <c r="AX192">
        <v>407.93799999999999</v>
      </c>
      <c r="AY192">
        <v>25.779499999999999</v>
      </c>
      <c r="AZ192">
        <v>300.15300000000002</v>
      </c>
      <c r="BA192">
        <v>99.306399999999996</v>
      </c>
      <c r="BB192">
        <v>0.100011</v>
      </c>
      <c r="BC192">
        <v>26.820399999999999</v>
      </c>
      <c r="BD192">
        <v>27.0001</v>
      </c>
      <c r="BE192">
        <v>28.1402</v>
      </c>
      <c r="BF192">
        <v>0</v>
      </c>
      <c r="BG192">
        <v>0</v>
      </c>
      <c r="BH192">
        <v>9996.25</v>
      </c>
      <c r="BI192">
        <v>1078.42</v>
      </c>
      <c r="BJ192">
        <v>1.7380500000000001</v>
      </c>
      <c r="BK192">
        <v>-392.17899999999997</v>
      </c>
      <c r="BL192">
        <v>418.81400000000002</v>
      </c>
      <c r="BM192">
        <v>800.22299999999996</v>
      </c>
      <c r="BN192">
        <v>25.8794</v>
      </c>
      <c r="BO192">
        <v>800.07799999999997</v>
      </c>
      <c r="BP192">
        <v>0.18163899999999999</v>
      </c>
      <c r="BQ192">
        <v>2.5880299999999998</v>
      </c>
      <c r="BR192">
        <v>1.8037899999999999E-2</v>
      </c>
      <c r="BS192">
        <v>21.590900000000001</v>
      </c>
      <c r="BT192">
        <v>-40.415199999999999</v>
      </c>
      <c r="BU192">
        <v>1800</v>
      </c>
      <c r="BV192">
        <v>0.91001699999999996</v>
      </c>
      <c r="BW192">
        <v>3.4000000000000002E-2</v>
      </c>
      <c r="BX192">
        <v>2.1995000000000001E-2</v>
      </c>
      <c r="BY192">
        <v>3.3988400000000002E-2</v>
      </c>
      <c r="BZ192">
        <v>26</v>
      </c>
      <c r="CA192">
        <v>33528.5</v>
      </c>
      <c r="CB192">
        <v>1690300477.5</v>
      </c>
      <c r="CC192" t="s">
        <v>332</v>
      </c>
      <c r="CD192">
        <v>1690300477.5</v>
      </c>
      <c r="CE192">
        <v>1690300465.5</v>
      </c>
      <c r="CF192">
        <v>7</v>
      </c>
      <c r="CG192">
        <v>5.0999999999999997E-2</v>
      </c>
      <c r="CH192">
        <v>-8.0000000000000002E-3</v>
      </c>
      <c r="CI192">
        <v>-0.316</v>
      </c>
      <c r="CJ192">
        <v>0.28199999999999997</v>
      </c>
      <c r="CK192">
        <v>800</v>
      </c>
      <c r="CL192">
        <v>24</v>
      </c>
      <c r="CM192">
        <v>0.25</v>
      </c>
      <c r="CN192">
        <v>0.13</v>
      </c>
      <c r="CO192">
        <v>-391.49844999999999</v>
      </c>
      <c r="CP192">
        <v>-3.6308667917441531</v>
      </c>
      <c r="CQ192">
        <v>0.35293830551528249</v>
      </c>
      <c r="CR192">
        <v>-1</v>
      </c>
      <c r="CS192">
        <v>25.847897499999998</v>
      </c>
      <c r="CT192">
        <v>0.16334521575982</v>
      </c>
      <c r="CU192">
        <v>1.5751293399273721E-2</v>
      </c>
      <c r="CV192">
        <v>-1</v>
      </c>
      <c r="CW192">
        <v>0</v>
      </c>
      <c r="CX192">
        <v>0</v>
      </c>
      <c r="CY192" t="s">
        <v>333</v>
      </c>
      <c r="CZ192">
        <v>2.3647200000000002</v>
      </c>
      <c r="DA192">
        <v>2.7138</v>
      </c>
      <c r="DB192">
        <v>9.1068999999999997E-2</v>
      </c>
      <c r="DC192">
        <v>0.14636199999999999</v>
      </c>
      <c r="DD192">
        <v>0.12070400000000001</v>
      </c>
      <c r="DE192">
        <v>1.53111E-3</v>
      </c>
      <c r="DF192">
        <v>33203.9</v>
      </c>
      <c r="DG192">
        <v>27534.799999999999</v>
      </c>
      <c r="DH192">
        <v>31185.8</v>
      </c>
      <c r="DI192">
        <v>28106.7</v>
      </c>
      <c r="DJ192">
        <v>37222.400000000001</v>
      </c>
      <c r="DK192">
        <v>39915.9</v>
      </c>
      <c r="DL192">
        <v>44384.1</v>
      </c>
      <c r="DM192">
        <v>42602.400000000001</v>
      </c>
      <c r="DN192">
        <v>1.48573</v>
      </c>
      <c r="DO192">
        <v>2.0330699999999999</v>
      </c>
      <c r="DP192">
        <v>8.7790199999999999E-2</v>
      </c>
      <c r="DQ192">
        <v>0.16752600000000001</v>
      </c>
      <c r="DR192">
        <v>25.5627</v>
      </c>
      <c r="DS192">
        <v>25.3994</v>
      </c>
      <c r="DT192">
        <v>25.3</v>
      </c>
      <c r="DU192">
        <v>29.2</v>
      </c>
      <c r="DV192">
        <v>10.365</v>
      </c>
      <c r="DW192">
        <v>61.991100000000003</v>
      </c>
      <c r="DX192">
        <v>36.738799999999998</v>
      </c>
      <c r="DY192">
        <v>1</v>
      </c>
      <c r="DZ192">
        <v>-0.10395799999999999</v>
      </c>
      <c r="EA192">
        <v>-0.19040299999999999</v>
      </c>
      <c r="EB192">
        <v>20.189399999999999</v>
      </c>
      <c r="EC192">
        <v>5.2413999999999996</v>
      </c>
      <c r="ED192">
        <v>12.039899999999999</v>
      </c>
      <c r="EE192">
        <v>5.0170500000000002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1.8689100000000001</v>
      </c>
      <c r="EL192">
        <v>1.8646199999999999</v>
      </c>
      <c r="EM192">
        <v>1.8692</v>
      </c>
      <c r="EN192">
        <v>1.8672200000000001</v>
      </c>
      <c r="EO192">
        <v>1.86337</v>
      </c>
      <c r="EP192">
        <v>1.8644700000000001</v>
      </c>
      <c r="EQ192">
        <v>1.8701399999999999</v>
      </c>
      <c r="ER192">
        <v>1.8694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-3.9E-2</v>
      </c>
      <c r="FG192">
        <v>0.28149999999999997</v>
      </c>
      <c r="FH192">
        <v>0.23539598422606861</v>
      </c>
      <c r="FI192">
        <v>-6.1462078757559423E-4</v>
      </c>
      <c r="FJ192">
        <v>-1.8861989874597051E-7</v>
      </c>
      <c r="FK192">
        <v>1.1980462299894961E-10</v>
      </c>
      <c r="FL192">
        <v>0.28151999999999688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38.5</v>
      </c>
      <c r="FU192">
        <v>38.700000000000003</v>
      </c>
      <c r="FV192">
        <v>1.7626999999999999</v>
      </c>
      <c r="FW192">
        <v>2.5903299999999998</v>
      </c>
      <c r="FX192">
        <v>1.5490699999999999</v>
      </c>
      <c r="FY192">
        <v>2.3303199999999999</v>
      </c>
      <c r="FZ192">
        <v>1.50146</v>
      </c>
      <c r="GA192">
        <v>2.2778299999999998</v>
      </c>
      <c r="GB192">
        <v>33.625399999999999</v>
      </c>
      <c r="GC192">
        <v>23.982399999999998</v>
      </c>
      <c r="GD192">
        <v>19</v>
      </c>
      <c r="GE192">
        <v>286.28500000000003</v>
      </c>
      <c r="GF192">
        <v>578.59900000000005</v>
      </c>
      <c r="GG192">
        <v>25.300799999999999</v>
      </c>
      <c r="GH192">
        <v>26.0946</v>
      </c>
      <c r="GI192">
        <v>30</v>
      </c>
      <c r="GJ192">
        <v>26.200399999999998</v>
      </c>
      <c r="GK192">
        <v>26.174499999999998</v>
      </c>
      <c r="GL192">
        <v>35.232300000000002</v>
      </c>
      <c r="GM192">
        <v>100</v>
      </c>
      <c r="GN192">
        <v>14.848599999999999</v>
      </c>
      <c r="GO192">
        <v>25.300699999999999</v>
      </c>
      <c r="GP192">
        <v>800</v>
      </c>
      <c r="GQ192">
        <v>0</v>
      </c>
      <c r="GR192">
        <v>99.786199999999994</v>
      </c>
      <c r="GS192">
        <v>99.659599999999998</v>
      </c>
    </row>
    <row r="193" spans="1:201" x14ac:dyDescent="0.25">
      <c r="A193">
        <v>177</v>
      </c>
      <c r="B193">
        <v>1690302799.5999999</v>
      </c>
      <c r="C193">
        <v>1895.599999904633</v>
      </c>
      <c r="D193" t="s">
        <v>685</v>
      </c>
      <c r="E193" t="s">
        <v>686</v>
      </c>
      <c r="F193" t="s">
        <v>330</v>
      </c>
      <c r="H193">
        <v>1690302799.5999999</v>
      </c>
      <c r="I193">
        <f t="shared" si="60"/>
        <v>2.4412584324237162E-3</v>
      </c>
      <c r="J193">
        <f t="shared" si="61"/>
        <v>2.4412584324237163</v>
      </c>
      <c r="K193">
        <f t="shared" si="62"/>
        <v>35.036186466517037</v>
      </c>
      <c r="L193">
        <f t="shared" si="63"/>
        <v>407.34899999999999</v>
      </c>
      <c r="M193">
        <f t="shared" si="64"/>
        <v>108.80570146710784</v>
      </c>
      <c r="N193">
        <f t="shared" si="65"/>
        <v>10.81637772059913</v>
      </c>
      <c r="O193">
        <f t="shared" si="66"/>
        <v>40.494575088422998</v>
      </c>
      <c r="P193">
        <f t="shared" si="67"/>
        <v>0.19968254429849364</v>
      </c>
      <c r="Q193">
        <f t="shared" si="68"/>
        <v>2.1200776737085159</v>
      </c>
      <c r="R193">
        <f t="shared" si="69"/>
        <v>0.18979145712905407</v>
      </c>
      <c r="S193">
        <f t="shared" si="70"/>
        <v>0.1194674948340311</v>
      </c>
      <c r="T193">
        <f t="shared" si="71"/>
        <v>276.11456175000006</v>
      </c>
      <c r="U193">
        <f t="shared" si="72"/>
        <v>28.161080315365329</v>
      </c>
      <c r="V193">
        <f t="shared" si="73"/>
        <v>28.161080315365329</v>
      </c>
      <c r="W193">
        <f t="shared" si="74"/>
        <v>3.8306211630608353</v>
      </c>
      <c r="X193">
        <f t="shared" si="75"/>
        <v>73.210647655249275</v>
      </c>
      <c r="Y193">
        <f t="shared" si="76"/>
        <v>2.5932397873301003</v>
      </c>
      <c r="Z193">
        <f t="shared" si="77"/>
        <v>3.5421620630126505</v>
      </c>
      <c r="AA193">
        <f t="shared" si="78"/>
        <v>1.237381375730735</v>
      </c>
      <c r="AB193">
        <f t="shared" si="79"/>
        <v>-107.65949686988588</v>
      </c>
      <c r="AC193">
        <f t="shared" si="80"/>
        <v>-152.91654598537806</v>
      </c>
      <c r="AD193">
        <f t="shared" si="81"/>
        <v>-15.64283332138462</v>
      </c>
      <c r="AE193">
        <f t="shared" si="82"/>
        <v>-0.1043144266485001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52669.227721272648</v>
      </c>
      <c r="AK193">
        <f t="shared" si="86"/>
        <v>1800</v>
      </c>
      <c r="AL193">
        <f t="shared" si="87"/>
        <v>1499.114628</v>
      </c>
      <c r="AM193">
        <f t="shared" si="88"/>
        <v>0.83284146000000003</v>
      </c>
      <c r="AN193">
        <f t="shared" si="89"/>
        <v>0.15339697875000002</v>
      </c>
      <c r="AO193">
        <v>32.700000000000003</v>
      </c>
      <c r="AP193">
        <v>0.5</v>
      </c>
      <c r="AQ193" t="s">
        <v>331</v>
      </c>
      <c r="AR193">
        <v>2</v>
      </c>
      <c r="AS193">
        <v>1690302799.5999999</v>
      </c>
      <c r="AT193">
        <v>407.34899999999999</v>
      </c>
      <c r="AU193">
        <v>799.93499999999995</v>
      </c>
      <c r="AV193">
        <v>26.086300000000001</v>
      </c>
      <c r="AW193">
        <v>0.18049000000000001</v>
      </c>
      <c r="AX193">
        <v>407.387</v>
      </c>
      <c r="AY193">
        <v>25.8048</v>
      </c>
      <c r="AZ193">
        <v>300.113</v>
      </c>
      <c r="BA193">
        <v>99.31</v>
      </c>
      <c r="BB193">
        <v>0.100027</v>
      </c>
      <c r="BC193">
        <v>26.8232</v>
      </c>
      <c r="BD193">
        <v>27.002300000000002</v>
      </c>
      <c r="BE193">
        <v>28.118400000000001</v>
      </c>
      <c r="BF193">
        <v>0</v>
      </c>
      <c r="BG193">
        <v>0</v>
      </c>
      <c r="BH193">
        <v>10025</v>
      </c>
      <c r="BI193">
        <v>1078.44</v>
      </c>
      <c r="BJ193">
        <v>1.7380500000000001</v>
      </c>
      <c r="BK193">
        <v>-392.58600000000001</v>
      </c>
      <c r="BL193">
        <v>418.26</v>
      </c>
      <c r="BM193">
        <v>800.08</v>
      </c>
      <c r="BN193">
        <v>25.905899999999999</v>
      </c>
      <c r="BO193">
        <v>799.93499999999995</v>
      </c>
      <c r="BP193">
        <v>0.18049000000000001</v>
      </c>
      <c r="BQ193">
        <v>2.59063</v>
      </c>
      <c r="BR193">
        <v>1.79244E-2</v>
      </c>
      <c r="BS193">
        <v>21.607399999999998</v>
      </c>
      <c r="BT193">
        <v>-40.4754</v>
      </c>
      <c r="BU193">
        <v>1800</v>
      </c>
      <c r="BV193">
        <v>0.91001900000000002</v>
      </c>
      <c r="BW193">
        <v>3.3999300000000003E-2</v>
      </c>
      <c r="BX193">
        <v>2.19945E-2</v>
      </c>
      <c r="BY193">
        <v>3.3987700000000003E-2</v>
      </c>
      <c r="BZ193">
        <v>26</v>
      </c>
      <c r="CA193">
        <v>33528.400000000001</v>
      </c>
      <c r="CB193">
        <v>1690300477.5</v>
      </c>
      <c r="CC193" t="s">
        <v>332</v>
      </c>
      <c r="CD193">
        <v>1690300477.5</v>
      </c>
      <c r="CE193">
        <v>1690300465.5</v>
      </c>
      <c r="CF193">
        <v>7</v>
      </c>
      <c r="CG193">
        <v>5.0999999999999997E-2</v>
      </c>
      <c r="CH193">
        <v>-8.0000000000000002E-3</v>
      </c>
      <c r="CI193">
        <v>-0.316</v>
      </c>
      <c r="CJ193">
        <v>0.28199999999999997</v>
      </c>
      <c r="CK193">
        <v>800</v>
      </c>
      <c r="CL193">
        <v>24</v>
      </c>
      <c r="CM193">
        <v>0.25</v>
      </c>
      <c r="CN193">
        <v>0.13</v>
      </c>
      <c r="CO193">
        <v>-392.09989999999999</v>
      </c>
      <c r="CP193">
        <v>-3.5551744840521891</v>
      </c>
      <c r="CQ193">
        <v>0.34396342828853121</v>
      </c>
      <c r="CR193">
        <v>-1</v>
      </c>
      <c r="CS193">
        <v>25.87574</v>
      </c>
      <c r="CT193">
        <v>0.16435722326447161</v>
      </c>
      <c r="CU193">
        <v>1.5820805921317519E-2</v>
      </c>
      <c r="CV193">
        <v>-1</v>
      </c>
      <c r="CW193">
        <v>0</v>
      </c>
      <c r="CX193">
        <v>0</v>
      </c>
      <c r="CY193" t="s">
        <v>333</v>
      </c>
      <c r="CZ193">
        <v>2.3645999999999998</v>
      </c>
      <c r="DA193">
        <v>2.7138399999999998</v>
      </c>
      <c r="DB193">
        <v>9.0978100000000006E-2</v>
      </c>
      <c r="DC193">
        <v>0.14635000000000001</v>
      </c>
      <c r="DD193">
        <v>0.12078999999999999</v>
      </c>
      <c r="DE193">
        <v>1.52158E-3</v>
      </c>
      <c r="DF193">
        <v>33207.599999999999</v>
      </c>
      <c r="DG193">
        <v>27535.200000000001</v>
      </c>
      <c r="DH193">
        <v>31186.1</v>
      </c>
      <c r="DI193">
        <v>28106.7</v>
      </c>
      <c r="DJ193">
        <v>37219.1</v>
      </c>
      <c r="DK193">
        <v>39916.400000000001</v>
      </c>
      <c r="DL193">
        <v>44384.4</v>
      </c>
      <c r="DM193">
        <v>42602.6</v>
      </c>
      <c r="DN193">
        <v>1.48567</v>
      </c>
      <c r="DO193">
        <v>2.0331199999999998</v>
      </c>
      <c r="DP193">
        <v>8.7924299999999997E-2</v>
      </c>
      <c r="DQ193">
        <v>0.16605900000000001</v>
      </c>
      <c r="DR193">
        <v>25.5627</v>
      </c>
      <c r="DS193">
        <v>25.401599999999998</v>
      </c>
      <c r="DT193">
        <v>25.1</v>
      </c>
      <c r="DU193">
        <v>29.2</v>
      </c>
      <c r="DV193">
        <v>10.283200000000001</v>
      </c>
      <c r="DW193">
        <v>61.711100000000002</v>
      </c>
      <c r="DX193">
        <v>36.810899999999997</v>
      </c>
      <c r="DY193">
        <v>1</v>
      </c>
      <c r="DZ193">
        <v>-0.10347099999999999</v>
      </c>
      <c r="EA193">
        <v>-0.18892700000000001</v>
      </c>
      <c r="EB193">
        <v>20.189399999999999</v>
      </c>
      <c r="EC193">
        <v>5.2415500000000002</v>
      </c>
      <c r="ED193">
        <v>12.039899999999999</v>
      </c>
      <c r="EE193">
        <v>5.01715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1.8689100000000001</v>
      </c>
      <c r="EL193">
        <v>1.8646199999999999</v>
      </c>
      <c r="EM193">
        <v>1.8692</v>
      </c>
      <c r="EN193">
        <v>1.8672299999999999</v>
      </c>
      <c r="EO193">
        <v>1.86338</v>
      </c>
      <c r="EP193">
        <v>1.8644700000000001</v>
      </c>
      <c r="EQ193">
        <v>1.87015</v>
      </c>
      <c r="ER193">
        <v>1.8694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-3.7999999999999999E-2</v>
      </c>
      <c r="FG193">
        <v>0.28149999999999997</v>
      </c>
      <c r="FH193">
        <v>0.23539598422606861</v>
      </c>
      <c r="FI193">
        <v>-6.1462078757559423E-4</v>
      </c>
      <c r="FJ193">
        <v>-1.8861989874597051E-7</v>
      </c>
      <c r="FK193">
        <v>1.1980462299894961E-10</v>
      </c>
      <c r="FL193">
        <v>0.28151999999999688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38.700000000000003</v>
      </c>
      <c r="FU193">
        <v>38.9</v>
      </c>
      <c r="FV193">
        <v>1.7614700000000001</v>
      </c>
      <c r="FW193">
        <v>2.5915499999999998</v>
      </c>
      <c r="FX193">
        <v>1.5490699999999999</v>
      </c>
      <c r="FY193">
        <v>2.3303199999999999</v>
      </c>
      <c r="FZ193">
        <v>1.50146</v>
      </c>
      <c r="GA193">
        <v>2.2875999999999999</v>
      </c>
      <c r="GB193">
        <v>33.625399999999999</v>
      </c>
      <c r="GC193">
        <v>23.982399999999998</v>
      </c>
      <c r="GD193">
        <v>19</v>
      </c>
      <c r="GE193">
        <v>286.27300000000002</v>
      </c>
      <c r="GF193">
        <v>578.64</v>
      </c>
      <c r="GG193">
        <v>25.303000000000001</v>
      </c>
      <c r="GH193">
        <v>26.096399999999999</v>
      </c>
      <c r="GI193">
        <v>30.0002</v>
      </c>
      <c r="GJ193">
        <v>26.2026</v>
      </c>
      <c r="GK193">
        <v>26.174499999999998</v>
      </c>
      <c r="GL193">
        <v>35.232799999999997</v>
      </c>
      <c r="GM193">
        <v>100</v>
      </c>
      <c r="GN193">
        <v>14.4621</v>
      </c>
      <c r="GO193">
        <v>25.301600000000001</v>
      </c>
      <c r="GP193">
        <v>800</v>
      </c>
      <c r="GQ193">
        <v>0</v>
      </c>
      <c r="GR193">
        <v>99.787099999999995</v>
      </c>
      <c r="GS193">
        <v>99.659899999999993</v>
      </c>
    </row>
    <row r="194" spans="1:201" x14ac:dyDescent="0.25">
      <c r="A194">
        <v>178</v>
      </c>
      <c r="B194">
        <v>1690302809.5999999</v>
      </c>
      <c r="C194">
        <v>1905.599999904633</v>
      </c>
      <c r="D194" t="s">
        <v>687</v>
      </c>
      <c r="E194" t="s">
        <v>688</v>
      </c>
      <c r="F194" t="s">
        <v>330</v>
      </c>
      <c r="H194">
        <v>1690302809.5999999</v>
      </c>
      <c r="I194">
        <f t="shared" si="60"/>
        <v>2.4429256314418574E-3</v>
      </c>
      <c r="J194">
        <f t="shared" si="61"/>
        <v>2.4429256314418573</v>
      </c>
      <c r="K194">
        <f t="shared" si="62"/>
        <v>35.083073862188868</v>
      </c>
      <c r="L194">
        <f t="shared" si="63"/>
        <v>406.86099999999999</v>
      </c>
      <c r="M194">
        <f t="shared" si="64"/>
        <v>108.4080758730484</v>
      </c>
      <c r="N194">
        <f t="shared" si="65"/>
        <v>10.776573027103318</v>
      </c>
      <c r="O194">
        <f t="shared" si="66"/>
        <v>40.445024441858394</v>
      </c>
      <c r="P194">
        <f t="shared" si="67"/>
        <v>0.2000335413262809</v>
      </c>
      <c r="Q194">
        <f t="shared" si="68"/>
        <v>2.1159572596202714</v>
      </c>
      <c r="R194">
        <f t="shared" si="69"/>
        <v>0.19009028448048865</v>
      </c>
      <c r="S194">
        <f t="shared" si="70"/>
        <v>0.1196585893166449</v>
      </c>
      <c r="T194">
        <f t="shared" si="71"/>
        <v>276.11432706600004</v>
      </c>
      <c r="U194">
        <f t="shared" si="72"/>
        <v>28.16435615386181</v>
      </c>
      <c r="V194">
        <f t="shared" si="73"/>
        <v>28.16435615386181</v>
      </c>
      <c r="W194">
        <f t="shared" si="74"/>
        <v>3.8313518826780242</v>
      </c>
      <c r="X194">
        <f t="shared" si="75"/>
        <v>73.25731071311111</v>
      </c>
      <c r="Y194">
        <f t="shared" si="76"/>
        <v>2.5951215859389598</v>
      </c>
      <c r="Z194">
        <f t="shared" si="77"/>
        <v>3.5424745471505577</v>
      </c>
      <c r="AA194">
        <f t="shared" si="78"/>
        <v>1.2362302967390644</v>
      </c>
      <c r="AB194">
        <f t="shared" si="79"/>
        <v>-107.73302034658592</v>
      </c>
      <c r="AC194">
        <f t="shared" si="80"/>
        <v>-152.82192921013291</v>
      </c>
      <c r="AD194">
        <f t="shared" si="81"/>
        <v>-15.663970501371239</v>
      </c>
      <c r="AE194">
        <f t="shared" si="82"/>
        <v>-0.10459299209003348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52488.171947943905</v>
      </c>
      <c r="AK194">
        <f t="shared" si="86"/>
        <v>1800</v>
      </c>
      <c r="AL194">
        <f t="shared" si="87"/>
        <v>1499.1139476000001</v>
      </c>
      <c r="AM194">
        <f t="shared" si="88"/>
        <v>0.83284108200000007</v>
      </c>
      <c r="AN194">
        <f t="shared" si="89"/>
        <v>0.15339684837000003</v>
      </c>
      <c r="AO194">
        <v>32.700000000000003</v>
      </c>
      <c r="AP194">
        <v>0.5</v>
      </c>
      <c r="AQ194" t="s">
        <v>331</v>
      </c>
      <c r="AR194">
        <v>2</v>
      </c>
      <c r="AS194">
        <v>1690302809.5999999</v>
      </c>
      <c r="AT194">
        <v>406.86099999999999</v>
      </c>
      <c r="AU194">
        <v>800.00599999999997</v>
      </c>
      <c r="AV194">
        <v>26.105899999999998</v>
      </c>
      <c r="AW194">
        <v>0.17937800000000001</v>
      </c>
      <c r="AX194">
        <v>406.899</v>
      </c>
      <c r="AY194">
        <v>25.824400000000001</v>
      </c>
      <c r="AZ194">
        <v>300.072</v>
      </c>
      <c r="BA194">
        <v>99.307500000000005</v>
      </c>
      <c r="BB194">
        <v>9.9974400000000005E-2</v>
      </c>
      <c r="BC194">
        <v>26.8247</v>
      </c>
      <c r="BD194">
        <v>27.023299999999999</v>
      </c>
      <c r="BE194">
        <v>28.1205</v>
      </c>
      <c r="BF194">
        <v>0</v>
      </c>
      <c r="BG194">
        <v>0</v>
      </c>
      <c r="BH194">
        <v>9989.3799999999992</v>
      </c>
      <c r="BI194">
        <v>1078.4000000000001</v>
      </c>
      <c r="BJ194">
        <v>1.7380500000000001</v>
      </c>
      <c r="BK194">
        <v>-393.14499999999998</v>
      </c>
      <c r="BL194">
        <v>417.76799999999997</v>
      </c>
      <c r="BM194">
        <v>800.149</v>
      </c>
      <c r="BN194">
        <v>25.926500000000001</v>
      </c>
      <c r="BO194">
        <v>800.00599999999997</v>
      </c>
      <c r="BP194">
        <v>0.17937800000000001</v>
      </c>
      <c r="BQ194">
        <v>2.5925099999999999</v>
      </c>
      <c r="BR194">
        <v>1.7813599999999999E-2</v>
      </c>
      <c r="BS194">
        <v>21.619199999999999</v>
      </c>
      <c r="BT194">
        <v>-40.534500000000001</v>
      </c>
      <c r="BU194">
        <v>1800</v>
      </c>
      <c r="BV194">
        <v>0.91002000000000005</v>
      </c>
      <c r="BW194">
        <v>3.39987E-2</v>
      </c>
      <c r="BX194">
        <v>2.1994099999999999E-2</v>
      </c>
      <c r="BY194">
        <v>3.3987099999999999E-2</v>
      </c>
      <c r="BZ194">
        <v>26</v>
      </c>
      <c r="CA194">
        <v>33528.5</v>
      </c>
      <c r="CB194">
        <v>1690300477.5</v>
      </c>
      <c r="CC194" t="s">
        <v>332</v>
      </c>
      <c r="CD194">
        <v>1690300477.5</v>
      </c>
      <c r="CE194">
        <v>1690300465.5</v>
      </c>
      <c r="CF194">
        <v>7</v>
      </c>
      <c r="CG194">
        <v>5.0999999999999997E-2</v>
      </c>
      <c r="CH194">
        <v>-8.0000000000000002E-3</v>
      </c>
      <c r="CI194">
        <v>-0.316</v>
      </c>
      <c r="CJ194">
        <v>0.28199999999999997</v>
      </c>
      <c r="CK194">
        <v>800</v>
      </c>
      <c r="CL194">
        <v>24</v>
      </c>
      <c r="CM194">
        <v>0.25</v>
      </c>
      <c r="CN194">
        <v>0.13</v>
      </c>
      <c r="CO194">
        <v>-392.56132500000001</v>
      </c>
      <c r="CP194">
        <v>-2.211185741088209</v>
      </c>
      <c r="CQ194">
        <v>0.2238232994462393</v>
      </c>
      <c r="CR194">
        <v>-1</v>
      </c>
      <c r="CS194">
        <v>25.900115</v>
      </c>
      <c r="CT194">
        <v>0.12699512195121199</v>
      </c>
      <c r="CU194">
        <v>1.238922011266246E-2</v>
      </c>
      <c r="CV194">
        <v>-1</v>
      </c>
      <c r="CW194">
        <v>0</v>
      </c>
      <c r="CX194">
        <v>0</v>
      </c>
      <c r="CY194" t="s">
        <v>333</v>
      </c>
      <c r="CZ194">
        <v>2.3644500000000002</v>
      </c>
      <c r="DA194">
        <v>2.7137500000000001</v>
      </c>
      <c r="DB194">
        <v>9.0893000000000002E-2</v>
      </c>
      <c r="DC194">
        <v>0.14635400000000001</v>
      </c>
      <c r="DD194">
        <v>0.120851</v>
      </c>
      <c r="DE194">
        <v>1.5122600000000001E-3</v>
      </c>
      <c r="DF194">
        <v>33210.699999999997</v>
      </c>
      <c r="DG194">
        <v>27534.799999999999</v>
      </c>
      <c r="DH194">
        <v>31186.1</v>
      </c>
      <c r="DI194">
        <v>28106.5</v>
      </c>
      <c r="DJ194">
        <v>37216.400000000001</v>
      </c>
      <c r="DK194">
        <v>39916.400000000001</v>
      </c>
      <c r="DL194">
        <v>44384.4</v>
      </c>
      <c r="DM194">
        <v>42602.1</v>
      </c>
      <c r="DN194">
        <v>1.4854000000000001</v>
      </c>
      <c r="DO194">
        <v>2.0332300000000001</v>
      </c>
      <c r="DP194">
        <v>8.9131299999999997E-2</v>
      </c>
      <c r="DQ194">
        <v>0.16605900000000001</v>
      </c>
      <c r="DR194">
        <v>25.564</v>
      </c>
      <c r="DS194">
        <v>25.403700000000001</v>
      </c>
      <c r="DT194">
        <v>24.9</v>
      </c>
      <c r="DU194">
        <v>29.2</v>
      </c>
      <c r="DV194">
        <v>10.2014</v>
      </c>
      <c r="DW194">
        <v>61.851100000000002</v>
      </c>
      <c r="DX194">
        <v>36.686700000000002</v>
      </c>
      <c r="DY194">
        <v>1</v>
      </c>
      <c r="DZ194">
        <v>-0.103112</v>
      </c>
      <c r="EA194">
        <v>-0.14435200000000001</v>
      </c>
      <c r="EB194">
        <v>20.189299999999999</v>
      </c>
      <c r="EC194">
        <v>5.2408000000000001</v>
      </c>
      <c r="ED194">
        <v>12.039899999999999</v>
      </c>
      <c r="EE194">
        <v>5.0171999999999999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1.8689199999999999</v>
      </c>
      <c r="EL194">
        <v>1.8646199999999999</v>
      </c>
      <c r="EM194">
        <v>1.8692</v>
      </c>
      <c r="EN194">
        <v>1.8672500000000001</v>
      </c>
      <c r="EO194">
        <v>1.8633900000000001</v>
      </c>
      <c r="EP194">
        <v>1.8644700000000001</v>
      </c>
      <c r="EQ194">
        <v>1.8701399999999999</v>
      </c>
      <c r="ER194">
        <v>1.86941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-3.7999999999999999E-2</v>
      </c>
      <c r="FG194">
        <v>0.28149999999999997</v>
      </c>
      <c r="FH194">
        <v>0.23539598422606861</v>
      </c>
      <c r="FI194">
        <v>-6.1462078757559423E-4</v>
      </c>
      <c r="FJ194">
        <v>-1.8861989874597051E-7</v>
      </c>
      <c r="FK194">
        <v>1.1980462299894961E-10</v>
      </c>
      <c r="FL194">
        <v>0.28151999999999688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38.9</v>
      </c>
      <c r="FU194">
        <v>39.1</v>
      </c>
      <c r="FV194">
        <v>1.7626999999999999</v>
      </c>
      <c r="FW194">
        <v>2.5915499999999998</v>
      </c>
      <c r="FX194">
        <v>1.5490699999999999</v>
      </c>
      <c r="FY194">
        <v>2.3303199999999999</v>
      </c>
      <c r="FZ194">
        <v>1.50146</v>
      </c>
      <c r="GA194">
        <v>2.2875999999999999</v>
      </c>
      <c r="GB194">
        <v>33.625399999999999</v>
      </c>
      <c r="GC194">
        <v>23.982399999999998</v>
      </c>
      <c r="GD194">
        <v>19</v>
      </c>
      <c r="GE194">
        <v>286.15499999999997</v>
      </c>
      <c r="GF194">
        <v>578.74699999999996</v>
      </c>
      <c r="GG194">
        <v>25.295400000000001</v>
      </c>
      <c r="GH194">
        <v>26.098600000000001</v>
      </c>
      <c r="GI194">
        <v>30.000399999999999</v>
      </c>
      <c r="GJ194">
        <v>26.2026</v>
      </c>
      <c r="GK194">
        <v>26.1767</v>
      </c>
      <c r="GL194">
        <v>35.232999999999997</v>
      </c>
      <c r="GM194">
        <v>100</v>
      </c>
      <c r="GN194">
        <v>14.078799999999999</v>
      </c>
      <c r="GO194">
        <v>25.285599999999999</v>
      </c>
      <c r="GP194">
        <v>800</v>
      </c>
      <c r="GQ194">
        <v>0</v>
      </c>
      <c r="GR194">
        <v>99.787000000000006</v>
      </c>
      <c r="GS194">
        <v>99.658900000000003</v>
      </c>
    </row>
    <row r="195" spans="1:201" x14ac:dyDescent="0.25">
      <c r="A195">
        <v>179</v>
      </c>
      <c r="B195">
        <v>1690302819.5999999</v>
      </c>
      <c r="C195">
        <v>1915.599999904633</v>
      </c>
      <c r="D195" t="s">
        <v>689</v>
      </c>
      <c r="E195" t="s">
        <v>690</v>
      </c>
      <c r="F195" t="s">
        <v>330</v>
      </c>
      <c r="H195">
        <v>1690302819.5999999</v>
      </c>
      <c r="I195">
        <f t="shared" si="60"/>
        <v>2.4450872255859903E-3</v>
      </c>
      <c r="J195">
        <f t="shared" si="61"/>
        <v>2.4450872255859903</v>
      </c>
      <c r="K195">
        <f t="shared" si="62"/>
        <v>35.125187972152233</v>
      </c>
      <c r="L195">
        <f t="shared" si="63"/>
        <v>406.43799999999999</v>
      </c>
      <c r="M195">
        <f t="shared" si="64"/>
        <v>108.5273376642253</v>
      </c>
      <c r="N195">
        <f t="shared" si="65"/>
        <v>10.788707835660112</v>
      </c>
      <c r="O195">
        <f t="shared" si="66"/>
        <v>40.404021048380201</v>
      </c>
      <c r="P195">
        <f t="shared" si="67"/>
        <v>0.20065938000514599</v>
      </c>
      <c r="Q195">
        <f t="shared" si="68"/>
        <v>2.1165624973292898</v>
      </c>
      <c r="R195">
        <f t="shared" si="69"/>
        <v>0.19065818634594317</v>
      </c>
      <c r="S195">
        <f t="shared" si="70"/>
        <v>0.1200183816053696</v>
      </c>
      <c r="T195">
        <f t="shared" si="71"/>
        <v>276.11437478400006</v>
      </c>
      <c r="U195">
        <f t="shared" si="72"/>
        <v>28.162451606391382</v>
      </c>
      <c r="V195">
        <f t="shared" si="73"/>
        <v>28.162451606391382</v>
      </c>
      <c r="W195">
        <f t="shared" si="74"/>
        <v>3.8309270330804188</v>
      </c>
      <c r="X195">
        <f t="shared" si="75"/>
        <v>73.321306986785572</v>
      </c>
      <c r="Y195">
        <f t="shared" si="76"/>
        <v>2.5972664394737204</v>
      </c>
      <c r="Z195">
        <f t="shared" si="77"/>
        <v>3.5423078859489183</v>
      </c>
      <c r="AA195">
        <f t="shared" si="78"/>
        <v>1.2336605936066984</v>
      </c>
      <c r="AB195">
        <f t="shared" si="79"/>
        <v>-107.82834664834218</v>
      </c>
      <c r="AC195">
        <f t="shared" si="80"/>
        <v>-152.7396037891927</v>
      </c>
      <c r="AD195">
        <f t="shared" si="81"/>
        <v>-15.650844122992844</v>
      </c>
      <c r="AE195">
        <f t="shared" si="82"/>
        <v>-0.10441977652766354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52514.890000268773</v>
      </c>
      <c r="AK195">
        <f t="shared" si="86"/>
        <v>1800</v>
      </c>
      <c r="AL195">
        <f t="shared" si="87"/>
        <v>1499.1144893999997</v>
      </c>
      <c r="AM195">
        <f t="shared" si="88"/>
        <v>0.83284138299999988</v>
      </c>
      <c r="AN195">
        <f t="shared" si="89"/>
        <v>0.15339687488000003</v>
      </c>
      <c r="AO195">
        <v>32.700000000000003</v>
      </c>
      <c r="AP195">
        <v>0.5</v>
      </c>
      <c r="AQ195" t="s">
        <v>331</v>
      </c>
      <c r="AR195">
        <v>2</v>
      </c>
      <c r="AS195">
        <v>1690302819.5999999</v>
      </c>
      <c r="AT195">
        <v>406.43799999999999</v>
      </c>
      <c r="AU195">
        <v>800.03499999999997</v>
      </c>
      <c r="AV195">
        <v>26.126799999999999</v>
      </c>
      <c r="AW195">
        <v>0.17824000000000001</v>
      </c>
      <c r="AX195">
        <v>406.476</v>
      </c>
      <c r="AY195">
        <v>25.845300000000002</v>
      </c>
      <c r="AZ195">
        <v>300.07600000000002</v>
      </c>
      <c r="BA195">
        <v>99.310100000000006</v>
      </c>
      <c r="BB195">
        <v>9.9947900000000006E-2</v>
      </c>
      <c r="BC195">
        <v>26.823899999999998</v>
      </c>
      <c r="BD195">
        <v>27.015000000000001</v>
      </c>
      <c r="BE195">
        <v>28.111899999999999</v>
      </c>
      <c r="BF195">
        <v>0</v>
      </c>
      <c r="BG195">
        <v>0</v>
      </c>
      <c r="BH195">
        <v>9994.3799999999992</v>
      </c>
      <c r="BI195">
        <v>1078.4000000000001</v>
      </c>
      <c r="BJ195">
        <v>1.7380500000000001</v>
      </c>
      <c r="BK195">
        <v>-393.59699999999998</v>
      </c>
      <c r="BL195">
        <v>417.34199999999998</v>
      </c>
      <c r="BM195">
        <v>800.17700000000002</v>
      </c>
      <c r="BN195">
        <v>25.948499999999999</v>
      </c>
      <c r="BO195">
        <v>800.03499999999997</v>
      </c>
      <c r="BP195">
        <v>0.17824000000000001</v>
      </c>
      <c r="BQ195">
        <v>2.5946500000000001</v>
      </c>
      <c r="BR195">
        <v>1.7701000000000001E-2</v>
      </c>
      <c r="BS195">
        <v>21.6327</v>
      </c>
      <c r="BT195">
        <v>-40.594799999999999</v>
      </c>
      <c r="BU195">
        <v>1800</v>
      </c>
      <c r="BV195">
        <v>0.91002099999999997</v>
      </c>
      <c r="BW195">
        <v>3.3998500000000001E-2</v>
      </c>
      <c r="BX195">
        <v>2.19939E-2</v>
      </c>
      <c r="BY195">
        <v>3.3986799999999998E-2</v>
      </c>
      <c r="BZ195">
        <v>26</v>
      </c>
      <c r="CA195">
        <v>33528.5</v>
      </c>
      <c r="CB195">
        <v>1690300477.5</v>
      </c>
      <c r="CC195" t="s">
        <v>332</v>
      </c>
      <c r="CD195">
        <v>1690300477.5</v>
      </c>
      <c r="CE195">
        <v>1690300465.5</v>
      </c>
      <c r="CF195">
        <v>7</v>
      </c>
      <c r="CG195">
        <v>5.0999999999999997E-2</v>
      </c>
      <c r="CH195">
        <v>-8.0000000000000002E-3</v>
      </c>
      <c r="CI195">
        <v>-0.316</v>
      </c>
      <c r="CJ195">
        <v>0.28199999999999997</v>
      </c>
      <c r="CK195">
        <v>800</v>
      </c>
      <c r="CL195">
        <v>24</v>
      </c>
      <c r="CM195">
        <v>0.25</v>
      </c>
      <c r="CN195">
        <v>0.13</v>
      </c>
      <c r="CO195">
        <v>-393.06414999999998</v>
      </c>
      <c r="CP195">
        <v>-3.4585666041269292</v>
      </c>
      <c r="CQ195">
        <v>0.3358718170671659</v>
      </c>
      <c r="CR195">
        <v>-1</v>
      </c>
      <c r="CS195">
        <v>25.9254</v>
      </c>
      <c r="CT195">
        <v>0.14482401500936809</v>
      </c>
      <c r="CU195">
        <v>1.4079151252827909E-2</v>
      </c>
      <c r="CV195">
        <v>-1</v>
      </c>
      <c r="CW195">
        <v>0</v>
      </c>
      <c r="CX195">
        <v>0</v>
      </c>
      <c r="CY195" t="s">
        <v>333</v>
      </c>
      <c r="CZ195">
        <v>2.3644799999999999</v>
      </c>
      <c r="DA195">
        <v>2.71373</v>
      </c>
      <c r="DB195">
        <v>9.0822799999999995E-2</v>
      </c>
      <c r="DC195">
        <v>0.14636099999999999</v>
      </c>
      <c r="DD195">
        <v>0.120921</v>
      </c>
      <c r="DE195">
        <v>1.5028000000000001E-3</v>
      </c>
      <c r="DF195">
        <v>33213.1</v>
      </c>
      <c r="DG195">
        <v>27534.799999999999</v>
      </c>
      <c r="DH195">
        <v>31186</v>
      </c>
      <c r="DI195">
        <v>28106.7</v>
      </c>
      <c r="DJ195">
        <v>37213.300000000003</v>
      </c>
      <c r="DK195">
        <v>39917</v>
      </c>
      <c r="DL195">
        <v>44384.3</v>
      </c>
      <c r="DM195">
        <v>42602.400000000001</v>
      </c>
      <c r="DN195">
        <v>1.4854700000000001</v>
      </c>
      <c r="DO195">
        <v>2.0330499999999998</v>
      </c>
      <c r="DP195">
        <v>8.8572499999999998E-2</v>
      </c>
      <c r="DQ195">
        <v>0.16553000000000001</v>
      </c>
      <c r="DR195">
        <v>25.564900000000002</v>
      </c>
      <c r="DS195">
        <v>25.403700000000001</v>
      </c>
      <c r="DT195">
        <v>24.7</v>
      </c>
      <c r="DU195">
        <v>29.2</v>
      </c>
      <c r="DV195">
        <v>10.117100000000001</v>
      </c>
      <c r="DW195">
        <v>61.751100000000001</v>
      </c>
      <c r="DX195">
        <v>36.514400000000002</v>
      </c>
      <c r="DY195">
        <v>1</v>
      </c>
      <c r="DZ195">
        <v>-0.10342700000000001</v>
      </c>
      <c r="EA195">
        <v>-9.0514700000000003E-2</v>
      </c>
      <c r="EB195">
        <v>20.189299999999999</v>
      </c>
      <c r="EC195">
        <v>5.2411000000000003</v>
      </c>
      <c r="ED195">
        <v>12.039899999999999</v>
      </c>
      <c r="EE195">
        <v>5.01715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1.8689100000000001</v>
      </c>
      <c r="EL195">
        <v>1.8646199999999999</v>
      </c>
      <c r="EM195">
        <v>1.8692</v>
      </c>
      <c r="EN195">
        <v>1.8672200000000001</v>
      </c>
      <c r="EO195">
        <v>1.86338</v>
      </c>
      <c r="EP195">
        <v>1.8644700000000001</v>
      </c>
      <c r="EQ195">
        <v>1.8701300000000001</v>
      </c>
      <c r="ER195">
        <v>1.86937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-3.7999999999999999E-2</v>
      </c>
      <c r="FG195">
        <v>0.28149999999999997</v>
      </c>
      <c r="FH195">
        <v>0.23539598422606861</v>
      </c>
      <c r="FI195">
        <v>-6.1462078757559423E-4</v>
      </c>
      <c r="FJ195">
        <v>-1.8861989874597051E-7</v>
      </c>
      <c r="FK195">
        <v>1.1980462299894961E-10</v>
      </c>
      <c r="FL195">
        <v>0.28151999999999688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</v>
      </c>
      <c r="FU195">
        <v>39.200000000000003</v>
      </c>
      <c r="FV195">
        <v>1.7626999999999999</v>
      </c>
      <c r="FW195">
        <v>2.5891099999999998</v>
      </c>
      <c r="FX195">
        <v>1.5490699999999999</v>
      </c>
      <c r="FY195">
        <v>2.3303199999999999</v>
      </c>
      <c r="FZ195">
        <v>1.50146</v>
      </c>
      <c r="GA195">
        <v>2.31934</v>
      </c>
      <c r="GB195">
        <v>33.625399999999999</v>
      </c>
      <c r="GC195">
        <v>23.982399999999998</v>
      </c>
      <c r="GD195">
        <v>19</v>
      </c>
      <c r="GE195">
        <v>286.19799999999998</v>
      </c>
      <c r="GF195">
        <v>578.62800000000004</v>
      </c>
      <c r="GG195">
        <v>25.261800000000001</v>
      </c>
      <c r="GH195">
        <v>26.1008</v>
      </c>
      <c r="GI195">
        <v>30.0001</v>
      </c>
      <c r="GJ195">
        <v>26.204899999999999</v>
      </c>
      <c r="GK195">
        <v>26.178899999999999</v>
      </c>
      <c r="GL195">
        <v>35.232300000000002</v>
      </c>
      <c r="GM195">
        <v>100</v>
      </c>
      <c r="GN195">
        <v>13.311500000000001</v>
      </c>
      <c r="GO195">
        <v>25.253599999999999</v>
      </c>
      <c r="GP195">
        <v>800</v>
      </c>
      <c r="GQ195">
        <v>0</v>
      </c>
      <c r="GR195">
        <v>99.786699999999996</v>
      </c>
      <c r="GS195">
        <v>99.659599999999998</v>
      </c>
    </row>
    <row r="196" spans="1:201" x14ac:dyDescent="0.25">
      <c r="A196">
        <v>180</v>
      </c>
      <c r="B196">
        <v>1690302829.5999999</v>
      </c>
      <c r="C196">
        <v>1925.599999904633</v>
      </c>
      <c r="D196" t="s">
        <v>691</v>
      </c>
      <c r="E196" t="s">
        <v>692</v>
      </c>
      <c r="F196" t="s">
        <v>330</v>
      </c>
      <c r="H196">
        <v>1690302829.5999999</v>
      </c>
      <c r="I196">
        <f t="shared" si="60"/>
        <v>2.4460927934366922E-3</v>
      </c>
      <c r="J196">
        <f t="shared" si="61"/>
        <v>2.4460927934366921</v>
      </c>
      <c r="K196">
        <f t="shared" si="62"/>
        <v>35.155068468573994</v>
      </c>
      <c r="L196">
        <f t="shared" si="63"/>
        <v>406.00599999999997</v>
      </c>
      <c r="M196">
        <f t="shared" si="64"/>
        <v>108.54989100228143</v>
      </c>
      <c r="N196">
        <f t="shared" si="65"/>
        <v>10.7906092453736</v>
      </c>
      <c r="O196">
        <f t="shared" si="66"/>
        <v>40.359801901459996</v>
      </c>
      <c r="P196">
        <f t="shared" si="67"/>
        <v>0.20114909488425911</v>
      </c>
      <c r="Q196">
        <f t="shared" si="68"/>
        <v>2.1176772437474431</v>
      </c>
      <c r="R196">
        <f t="shared" si="69"/>
        <v>0.19110534429566103</v>
      </c>
      <c r="S196">
        <f t="shared" si="70"/>
        <v>0.1203014263769886</v>
      </c>
      <c r="T196">
        <f t="shared" si="71"/>
        <v>276.11426649599997</v>
      </c>
      <c r="U196">
        <f t="shared" si="72"/>
        <v>28.156364938360287</v>
      </c>
      <c r="V196">
        <f t="shared" si="73"/>
        <v>28.156364938360287</v>
      </c>
      <c r="W196">
        <f t="shared" si="74"/>
        <v>3.8295695485695762</v>
      </c>
      <c r="X196">
        <f t="shared" si="75"/>
        <v>73.373268690699206</v>
      </c>
      <c r="Y196">
        <f t="shared" si="76"/>
        <v>2.5983276356529998</v>
      </c>
      <c r="Z196">
        <f t="shared" si="77"/>
        <v>3.5412455816928374</v>
      </c>
      <c r="AA196">
        <f t="shared" si="78"/>
        <v>1.2312419129165764</v>
      </c>
      <c r="AB196">
        <f t="shared" si="79"/>
        <v>-107.87269219055813</v>
      </c>
      <c r="AC196">
        <f t="shared" si="80"/>
        <v>-152.70740221478576</v>
      </c>
      <c r="AD196">
        <f t="shared" si="81"/>
        <v>-15.638434214517794</v>
      </c>
      <c r="AE196">
        <f t="shared" si="82"/>
        <v>-0.10426212386173006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52564.587666698942</v>
      </c>
      <c r="AK196">
        <f t="shared" si="86"/>
        <v>1800</v>
      </c>
      <c r="AL196">
        <f t="shared" si="87"/>
        <v>1499.1143615999999</v>
      </c>
      <c r="AM196">
        <f t="shared" si="88"/>
        <v>0.832841312</v>
      </c>
      <c r="AN196">
        <f t="shared" si="89"/>
        <v>0.15339681472</v>
      </c>
      <c r="AO196">
        <v>32.700000000000003</v>
      </c>
      <c r="AP196">
        <v>0.5</v>
      </c>
      <c r="AQ196" t="s">
        <v>331</v>
      </c>
      <c r="AR196">
        <v>2</v>
      </c>
      <c r="AS196">
        <v>1690302829.5999999</v>
      </c>
      <c r="AT196">
        <v>406.00599999999997</v>
      </c>
      <c r="AU196">
        <v>799.95699999999999</v>
      </c>
      <c r="AV196">
        <v>26.138300000000001</v>
      </c>
      <c r="AW196">
        <v>0.177039</v>
      </c>
      <c r="AX196">
        <v>406.04300000000001</v>
      </c>
      <c r="AY196">
        <v>25.8568</v>
      </c>
      <c r="AZ196">
        <v>300.04899999999998</v>
      </c>
      <c r="BA196">
        <v>99.306899999999999</v>
      </c>
      <c r="BB196">
        <v>0.10001</v>
      </c>
      <c r="BC196">
        <v>26.8188</v>
      </c>
      <c r="BD196">
        <v>26.998200000000001</v>
      </c>
      <c r="BE196">
        <v>28.107800000000001</v>
      </c>
      <c r="BF196">
        <v>0</v>
      </c>
      <c r="BG196">
        <v>0</v>
      </c>
      <c r="BH196">
        <v>10004.4</v>
      </c>
      <c r="BI196">
        <v>1078.3</v>
      </c>
      <c r="BJ196">
        <v>1.7380500000000001</v>
      </c>
      <c r="BK196">
        <v>-393.95100000000002</v>
      </c>
      <c r="BL196">
        <v>416.90300000000002</v>
      </c>
      <c r="BM196">
        <v>800.09900000000005</v>
      </c>
      <c r="BN196">
        <v>25.961300000000001</v>
      </c>
      <c r="BO196">
        <v>799.95699999999999</v>
      </c>
      <c r="BP196">
        <v>0.177039</v>
      </c>
      <c r="BQ196">
        <v>2.59572</v>
      </c>
      <c r="BR196">
        <v>1.7581200000000002E-2</v>
      </c>
      <c r="BS196">
        <v>21.639399999999998</v>
      </c>
      <c r="BT196">
        <v>-40.659500000000001</v>
      </c>
      <c r="BU196">
        <v>1800</v>
      </c>
      <c r="BV196">
        <v>0.910022</v>
      </c>
      <c r="BW196">
        <v>3.3998E-2</v>
      </c>
      <c r="BX196">
        <v>2.1993599999999999E-2</v>
      </c>
      <c r="BY196">
        <v>3.39864E-2</v>
      </c>
      <c r="BZ196">
        <v>26</v>
      </c>
      <c r="CA196">
        <v>33528.5</v>
      </c>
      <c r="CB196">
        <v>1690300477.5</v>
      </c>
      <c r="CC196" t="s">
        <v>332</v>
      </c>
      <c r="CD196">
        <v>1690300477.5</v>
      </c>
      <c r="CE196">
        <v>1690300465.5</v>
      </c>
      <c r="CF196">
        <v>7</v>
      </c>
      <c r="CG196">
        <v>5.0999999999999997E-2</v>
      </c>
      <c r="CH196">
        <v>-8.0000000000000002E-3</v>
      </c>
      <c r="CI196">
        <v>-0.316</v>
      </c>
      <c r="CJ196">
        <v>0.28199999999999997</v>
      </c>
      <c r="CK196">
        <v>800</v>
      </c>
      <c r="CL196">
        <v>24</v>
      </c>
      <c r="CM196">
        <v>0.25</v>
      </c>
      <c r="CN196">
        <v>0.13</v>
      </c>
      <c r="CO196">
        <v>-393.56326829268289</v>
      </c>
      <c r="CP196">
        <v>-2.9359651567946061</v>
      </c>
      <c r="CQ196">
        <v>0.29390873184235528</v>
      </c>
      <c r="CR196">
        <v>-1</v>
      </c>
      <c r="CS196">
        <v>25.945382926829271</v>
      </c>
      <c r="CT196">
        <v>0.1101867595818825</v>
      </c>
      <c r="CU196">
        <v>1.0951242327098669E-2</v>
      </c>
      <c r="CV196">
        <v>-1</v>
      </c>
      <c r="CW196">
        <v>0</v>
      </c>
      <c r="CX196">
        <v>0</v>
      </c>
      <c r="CY196" t="s">
        <v>333</v>
      </c>
      <c r="CZ196">
        <v>2.3643999999999998</v>
      </c>
      <c r="DA196">
        <v>2.7138</v>
      </c>
      <c r="DB196">
        <v>9.0745900000000004E-2</v>
      </c>
      <c r="DC196">
        <v>0.146346</v>
      </c>
      <c r="DD196">
        <v>0.12095400000000001</v>
      </c>
      <c r="DE196">
        <v>1.49274E-3</v>
      </c>
      <c r="DF196">
        <v>33216</v>
      </c>
      <c r="DG196">
        <v>27535.7</v>
      </c>
      <c r="DH196">
        <v>31186.1</v>
      </c>
      <c r="DI196">
        <v>28107.1</v>
      </c>
      <c r="DJ196">
        <v>37212</v>
      </c>
      <c r="DK196">
        <v>39918.199999999997</v>
      </c>
      <c r="DL196">
        <v>44384.4</v>
      </c>
      <c r="DM196">
        <v>42603.3</v>
      </c>
      <c r="DN196">
        <v>1.4854000000000001</v>
      </c>
      <c r="DO196">
        <v>2.0329700000000002</v>
      </c>
      <c r="DP196">
        <v>8.7410199999999993E-2</v>
      </c>
      <c r="DQ196">
        <v>0.16527600000000001</v>
      </c>
      <c r="DR196">
        <v>25.567</v>
      </c>
      <c r="DS196">
        <v>25.403700000000001</v>
      </c>
      <c r="DT196">
        <v>24.5</v>
      </c>
      <c r="DU196">
        <v>29.2</v>
      </c>
      <c r="DV196">
        <v>10.0375</v>
      </c>
      <c r="DW196">
        <v>61.6511</v>
      </c>
      <c r="DX196">
        <v>36.610599999999998</v>
      </c>
      <c r="DY196">
        <v>1</v>
      </c>
      <c r="DZ196">
        <v>-0.10351100000000001</v>
      </c>
      <c r="EA196">
        <v>-0.10316400000000001</v>
      </c>
      <c r="EB196">
        <v>20.1892</v>
      </c>
      <c r="EC196">
        <v>5.2411000000000003</v>
      </c>
      <c r="ED196">
        <v>12.039899999999999</v>
      </c>
      <c r="EE196">
        <v>5.01715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1.8689100000000001</v>
      </c>
      <c r="EL196">
        <v>1.8646199999999999</v>
      </c>
      <c r="EM196">
        <v>1.8691899999999999</v>
      </c>
      <c r="EN196">
        <v>1.8672200000000001</v>
      </c>
      <c r="EO196">
        <v>1.86337</v>
      </c>
      <c r="EP196">
        <v>1.86446</v>
      </c>
      <c r="EQ196">
        <v>1.8701300000000001</v>
      </c>
      <c r="ER196">
        <v>1.86937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-3.6999999999999998E-2</v>
      </c>
      <c r="FG196">
        <v>0.28149999999999997</v>
      </c>
      <c r="FH196">
        <v>0.23539598422606861</v>
      </c>
      <c r="FI196">
        <v>-6.1462078757559423E-4</v>
      </c>
      <c r="FJ196">
        <v>-1.8861989874597051E-7</v>
      </c>
      <c r="FK196">
        <v>1.1980462299894961E-10</v>
      </c>
      <c r="FL196">
        <v>0.28151999999999688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39.200000000000003</v>
      </c>
      <c r="FU196">
        <v>39.4</v>
      </c>
      <c r="FV196">
        <v>1.7626999999999999</v>
      </c>
      <c r="FW196">
        <v>2.5915499999999998</v>
      </c>
      <c r="FX196">
        <v>1.5490699999999999</v>
      </c>
      <c r="FY196">
        <v>2.3303199999999999</v>
      </c>
      <c r="FZ196">
        <v>1.50146</v>
      </c>
      <c r="GA196">
        <v>2.34009</v>
      </c>
      <c r="GB196">
        <v>33.625399999999999</v>
      </c>
      <c r="GC196">
        <v>23.982399999999998</v>
      </c>
      <c r="GD196">
        <v>19</v>
      </c>
      <c r="GE196">
        <v>286.173</v>
      </c>
      <c r="GF196">
        <v>578.56600000000003</v>
      </c>
      <c r="GG196">
        <v>25.235099999999999</v>
      </c>
      <c r="GH196">
        <v>26.103000000000002</v>
      </c>
      <c r="GI196">
        <v>30</v>
      </c>
      <c r="GJ196">
        <v>26.206700000000001</v>
      </c>
      <c r="GK196">
        <v>26.178899999999999</v>
      </c>
      <c r="GL196">
        <v>35.231099999999998</v>
      </c>
      <c r="GM196">
        <v>100</v>
      </c>
      <c r="GN196">
        <v>12.9404</v>
      </c>
      <c r="GO196">
        <v>25.2349</v>
      </c>
      <c r="GP196">
        <v>800</v>
      </c>
      <c r="GQ196">
        <v>0</v>
      </c>
      <c r="GR196">
        <v>99.787000000000006</v>
      </c>
      <c r="GS196">
        <v>99.661500000000004</v>
      </c>
    </row>
    <row r="197" spans="1:201" x14ac:dyDescent="0.25">
      <c r="A197">
        <v>181</v>
      </c>
      <c r="B197">
        <v>1690302839.5999999</v>
      </c>
      <c r="C197">
        <v>1935.599999904633</v>
      </c>
      <c r="D197" t="s">
        <v>693</v>
      </c>
      <c r="E197" t="s">
        <v>694</v>
      </c>
      <c r="F197" t="s">
        <v>330</v>
      </c>
      <c r="H197">
        <v>1690302839.5999999</v>
      </c>
      <c r="I197">
        <f t="shared" si="60"/>
        <v>2.4483694131774585E-3</v>
      </c>
      <c r="J197">
        <f t="shared" si="61"/>
        <v>2.4483694131774585</v>
      </c>
      <c r="K197">
        <f t="shared" si="62"/>
        <v>35.216468938775662</v>
      </c>
      <c r="L197">
        <f t="shared" si="63"/>
        <v>405.529</v>
      </c>
      <c r="M197">
        <f t="shared" si="64"/>
        <v>108.37762844401739</v>
      </c>
      <c r="N197">
        <f t="shared" si="65"/>
        <v>10.774047528261871</v>
      </c>
      <c r="O197">
        <f t="shared" si="66"/>
        <v>40.314489095371002</v>
      </c>
      <c r="P197">
        <f t="shared" si="67"/>
        <v>0.20173564577597863</v>
      </c>
      <c r="Q197">
        <f t="shared" si="68"/>
        <v>2.1150735753156287</v>
      </c>
      <c r="R197">
        <f t="shared" si="69"/>
        <v>0.19162304988546741</v>
      </c>
      <c r="S197">
        <f t="shared" si="70"/>
        <v>0.12063072563398278</v>
      </c>
      <c r="T197">
        <f t="shared" si="71"/>
        <v>276.11419624200005</v>
      </c>
      <c r="U197">
        <f t="shared" si="72"/>
        <v>28.153164467239176</v>
      </c>
      <c r="V197">
        <f t="shared" si="73"/>
        <v>28.153164467239176</v>
      </c>
      <c r="W197">
        <f t="shared" si="74"/>
        <v>3.8288559290225352</v>
      </c>
      <c r="X197">
        <f t="shared" si="75"/>
        <v>73.429872404099299</v>
      </c>
      <c r="Y197">
        <f t="shared" si="76"/>
        <v>2.5997357421589</v>
      </c>
      <c r="Z197">
        <f t="shared" si="77"/>
        <v>3.5404334190478139</v>
      </c>
      <c r="AA197">
        <f t="shared" si="78"/>
        <v>1.2291201868636352</v>
      </c>
      <c r="AB197">
        <f t="shared" si="79"/>
        <v>-107.97309112112592</v>
      </c>
      <c r="AC197">
        <f t="shared" si="80"/>
        <v>-152.59941537043011</v>
      </c>
      <c r="AD197">
        <f t="shared" si="81"/>
        <v>-15.646058409245057</v>
      </c>
      <c r="AE197">
        <f t="shared" si="82"/>
        <v>-0.10436865880100754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52451.274904686885</v>
      </c>
      <c r="AK197">
        <f t="shared" si="86"/>
        <v>1800</v>
      </c>
      <c r="AL197">
        <f t="shared" si="87"/>
        <v>1499.1140321999999</v>
      </c>
      <c r="AM197">
        <f t="shared" si="88"/>
        <v>0.83284112899999996</v>
      </c>
      <c r="AN197">
        <f t="shared" si="89"/>
        <v>0.15339677569000001</v>
      </c>
      <c r="AO197">
        <v>32.700000000000003</v>
      </c>
      <c r="AP197">
        <v>0.5</v>
      </c>
      <c r="AQ197" t="s">
        <v>331</v>
      </c>
      <c r="AR197">
        <v>2</v>
      </c>
      <c r="AS197">
        <v>1690302839.5999999</v>
      </c>
      <c r="AT197">
        <v>405.529</v>
      </c>
      <c r="AU197">
        <v>799.99400000000003</v>
      </c>
      <c r="AV197">
        <v>26.1511</v>
      </c>
      <c r="AW197">
        <v>0.17605999999999999</v>
      </c>
      <c r="AX197">
        <v>405.56599999999997</v>
      </c>
      <c r="AY197">
        <v>25.869599999999998</v>
      </c>
      <c r="AZ197">
        <v>300.16500000000002</v>
      </c>
      <c r="BA197">
        <v>99.311999999999998</v>
      </c>
      <c r="BB197">
        <v>0.10009899999999999</v>
      </c>
      <c r="BC197">
        <v>26.814900000000002</v>
      </c>
      <c r="BD197">
        <v>27.003900000000002</v>
      </c>
      <c r="BE197">
        <v>28.1174</v>
      </c>
      <c r="BF197">
        <v>0</v>
      </c>
      <c r="BG197">
        <v>0</v>
      </c>
      <c r="BH197">
        <v>9981.25</v>
      </c>
      <c r="BI197">
        <v>1078.33</v>
      </c>
      <c r="BJ197">
        <v>1.7380500000000001</v>
      </c>
      <c r="BK197">
        <v>-394.46499999999997</v>
      </c>
      <c r="BL197">
        <v>416.41899999999998</v>
      </c>
      <c r="BM197">
        <v>800.13499999999999</v>
      </c>
      <c r="BN197">
        <v>25.975000000000001</v>
      </c>
      <c r="BO197">
        <v>799.99400000000003</v>
      </c>
      <c r="BP197">
        <v>0.17605999999999999</v>
      </c>
      <c r="BQ197">
        <v>2.5971199999999999</v>
      </c>
      <c r="BR197">
        <v>1.7484900000000001E-2</v>
      </c>
      <c r="BS197">
        <v>21.648299999999999</v>
      </c>
      <c r="BT197">
        <v>-40.7117</v>
      </c>
      <c r="BU197">
        <v>1800</v>
      </c>
      <c r="BV197">
        <v>0.91002099999999997</v>
      </c>
      <c r="BW197">
        <v>3.3997399999999997E-2</v>
      </c>
      <c r="BX197">
        <v>2.1993200000000001E-2</v>
      </c>
      <c r="BY197">
        <v>3.3988299999999999E-2</v>
      </c>
      <c r="BZ197">
        <v>26</v>
      </c>
      <c r="CA197">
        <v>33528.6</v>
      </c>
      <c r="CB197">
        <v>1690300477.5</v>
      </c>
      <c r="CC197" t="s">
        <v>332</v>
      </c>
      <c r="CD197">
        <v>1690300477.5</v>
      </c>
      <c r="CE197">
        <v>1690300465.5</v>
      </c>
      <c r="CF197">
        <v>7</v>
      </c>
      <c r="CG197">
        <v>5.0999999999999997E-2</v>
      </c>
      <c r="CH197">
        <v>-8.0000000000000002E-3</v>
      </c>
      <c r="CI197">
        <v>-0.316</v>
      </c>
      <c r="CJ197">
        <v>0.28199999999999997</v>
      </c>
      <c r="CK197">
        <v>800</v>
      </c>
      <c r="CL197">
        <v>24</v>
      </c>
      <c r="CM197">
        <v>0.25</v>
      </c>
      <c r="CN197">
        <v>0.13</v>
      </c>
      <c r="CO197">
        <v>-394.03302500000001</v>
      </c>
      <c r="CP197">
        <v>-2.4594258911821911</v>
      </c>
      <c r="CQ197">
        <v>0.24236155713108151</v>
      </c>
      <c r="CR197">
        <v>-1</v>
      </c>
      <c r="CS197">
        <v>25.961252500000001</v>
      </c>
      <c r="CT197">
        <v>7.2613508442642249E-2</v>
      </c>
      <c r="CU197">
        <v>7.0322822575605562E-3</v>
      </c>
      <c r="CV197">
        <v>-1</v>
      </c>
      <c r="CW197">
        <v>0</v>
      </c>
      <c r="CX197">
        <v>0</v>
      </c>
      <c r="CY197" t="s">
        <v>333</v>
      </c>
      <c r="CZ197">
        <v>2.3647499999999999</v>
      </c>
      <c r="DA197">
        <v>2.71387</v>
      </c>
      <c r="DB197">
        <v>9.0669100000000002E-2</v>
      </c>
      <c r="DC197">
        <v>0.14635799999999999</v>
      </c>
      <c r="DD197">
        <v>0.121002</v>
      </c>
      <c r="DE197">
        <v>1.48464E-3</v>
      </c>
      <c r="DF197">
        <v>33219.1</v>
      </c>
      <c r="DG197">
        <v>27534.799999999999</v>
      </c>
      <c r="DH197">
        <v>31186.400000000001</v>
      </c>
      <c r="DI197">
        <v>28106.6</v>
      </c>
      <c r="DJ197">
        <v>37210.300000000003</v>
      </c>
      <c r="DK197">
        <v>39917.599999999999</v>
      </c>
      <c r="DL197">
        <v>44384.800000000003</v>
      </c>
      <c r="DM197">
        <v>42602.3</v>
      </c>
      <c r="DN197">
        <v>1.4862500000000001</v>
      </c>
      <c r="DO197">
        <v>2.0327500000000001</v>
      </c>
      <c r="DP197">
        <v>8.7760400000000002E-2</v>
      </c>
      <c r="DQ197">
        <v>0.16586500000000001</v>
      </c>
      <c r="DR197">
        <v>25.567</v>
      </c>
      <c r="DS197">
        <v>25.403700000000001</v>
      </c>
      <c r="DT197">
        <v>24.3</v>
      </c>
      <c r="DU197">
        <v>29.2</v>
      </c>
      <c r="DV197">
        <v>9.9545700000000004</v>
      </c>
      <c r="DW197">
        <v>61.911099999999998</v>
      </c>
      <c r="DX197">
        <v>36.5625</v>
      </c>
      <c r="DY197">
        <v>1</v>
      </c>
      <c r="DZ197">
        <v>-0.103397</v>
      </c>
      <c r="EA197">
        <v>-0.239616</v>
      </c>
      <c r="EB197">
        <v>20.1891</v>
      </c>
      <c r="EC197">
        <v>5.2409499999999998</v>
      </c>
      <c r="ED197">
        <v>12.039899999999999</v>
      </c>
      <c r="EE197">
        <v>5.0171999999999999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1.8689100000000001</v>
      </c>
      <c r="EL197">
        <v>1.8646199999999999</v>
      </c>
      <c r="EM197">
        <v>1.8692</v>
      </c>
      <c r="EN197">
        <v>1.8672500000000001</v>
      </c>
      <c r="EO197">
        <v>1.8633900000000001</v>
      </c>
      <c r="EP197">
        <v>1.8644700000000001</v>
      </c>
      <c r="EQ197">
        <v>1.8701300000000001</v>
      </c>
      <c r="ER197">
        <v>1.8693900000000001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-3.6999999999999998E-2</v>
      </c>
      <c r="FG197">
        <v>0.28149999999999997</v>
      </c>
      <c r="FH197">
        <v>0.23539598422606861</v>
      </c>
      <c r="FI197">
        <v>-6.1462078757559423E-4</v>
      </c>
      <c r="FJ197">
        <v>-1.8861989874597051E-7</v>
      </c>
      <c r="FK197">
        <v>1.1980462299894961E-10</v>
      </c>
      <c r="FL197">
        <v>0.28151999999999688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39.4</v>
      </c>
      <c r="FU197">
        <v>39.6</v>
      </c>
      <c r="FV197">
        <v>1.7614700000000001</v>
      </c>
      <c r="FW197">
        <v>2.5903299999999998</v>
      </c>
      <c r="FX197">
        <v>1.5490699999999999</v>
      </c>
      <c r="FY197">
        <v>2.3303199999999999</v>
      </c>
      <c r="FZ197">
        <v>1.50146</v>
      </c>
      <c r="GA197">
        <v>2.32666</v>
      </c>
      <c r="GB197">
        <v>33.625399999999999</v>
      </c>
      <c r="GC197">
        <v>23.982399999999998</v>
      </c>
      <c r="GD197">
        <v>19</v>
      </c>
      <c r="GE197">
        <v>286.54000000000002</v>
      </c>
      <c r="GF197">
        <v>578.40599999999995</v>
      </c>
      <c r="GG197">
        <v>25.2638</v>
      </c>
      <c r="GH197">
        <v>26.105</v>
      </c>
      <c r="GI197">
        <v>30.0001</v>
      </c>
      <c r="GJ197">
        <v>26.207000000000001</v>
      </c>
      <c r="GK197">
        <v>26.181100000000001</v>
      </c>
      <c r="GL197">
        <v>35.2331</v>
      </c>
      <c r="GM197">
        <v>100</v>
      </c>
      <c r="GN197">
        <v>12.1732</v>
      </c>
      <c r="GO197">
        <v>25.275099999999998</v>
      </c>
      <c r="GP197">
        <v>800</v>
      </c>
      <c r="GQ197">
        <v>0</v>
      </c>
      <c r="GR197">
        <v>99.787899999999993</v>
      </c>
      <c r="GS197">
        <v>99.659400000000005</v>
      </c>
    </row>
    <row r="198" spans="1:201" x14ac:dyDescent="0.25">
      <c r="A198">
        <v>182</v>
      </c>
      <c r="B198">
        <v>1690302849.5999999</v>
      </c>
      <c r="C198">
        <v>1945.599999904633</v>
      </c>
      <c r="D198" t="s">
        <v>695</v>
      </c>
      <c r="E198" t="s">
        <v>696</v>
      </c>
      <c r="F198" t="s">
        <v>330</v>
      </c>
      <c r="H198">
        <v>1690302849.5999999</v>
      </c>
      <c r="I198">
        <f t="shared" si="60"/>
        <v>2.450706303650171E-3</v>
      </c>
      <c r="J198">
        <f t="shared" si="61"/>
        <v>2.4507063036501711</v>
      </c>
      <c r="K198">
        <f t="shared" si="62"/>
        <v>35.254935481109612</v>
      </c>
      <c r="L198">
        <f t="shared" si="63"/>
        <v>405.09699999999998</v>
      </c>
      <c r="M198">
        <f t="shared" si="64"/>
        <v>108.42566851445039</v>
      </c>
      <c r="N198">
        <f t="shared" si="65"/>
        <v>10.778363784516561</v>
      </c>
      <c r="O198">
        <f t="shared" si="66"/>
        <v>40.269826267516997</v>
      </c>
      <c r="P198">
        <f t="shared" si="67"/>
        <v>0.20228181483673663</v>
      </c>
      <c r="Q198">
        <f t="shared" si="68"/>
        <v>2.1202712234467445</v>
      </c>
      <c r="R198">
        <f t="shared" si="69"/>
        <v>0.19213944880715783</v>
      </c>
      <c r="S198">
        <f t="shared" si="70"/>
        <v>0.1209560152705732</v>
      </c>
      <c r="T198">
        <f t="shared" si="71"/>
        <v>276.11417300400007</v>
      </c>
      <c r="U198">
        <f t="shared" si="72"/>
        <v>28.154062003003677</v>
      </c>
      <c r="V198">
        <f t="shared" si="73"/>
        <v>28.154062003003677</v>
      </c>
      <c r="W198">
        <f t="shared" si="74"/>
        <v>3.829056043811137</v>
      </c>
      <c r="X198">
        <f t="shared" si="75"/>
        <v>73.477465662528147</v>
      </c>
      <c r="Y198">
        <f t="shared" si="76"/>
        <v>2.6021399326803998</v>
      </c>
      <c r="Z198">
        <f t="shared" si="77"/>
        <v>3.541412199260749</v>
      </c>
      <c r="AA198">
        <f t="shared" si="78"/>
        <v>1.2269161111307372</v>
      </c>
      <c r="AB198">
        <f t="shared" si="79"/>
        <v>-108.07614799097254</v>
      </c>
      <c r="AC198">
        <f t="shared" si="80"/>
        <v>-152.53976564082689</v>
      </c>
      <c r="AD198">
        <f t="shared" si="81"/>
        <v>-15.60203815197753</v>
      </c>
      <c r="AE198">
        <f t="shared" si="82"/>
        <v>-0.10377877977688854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52678.314226241884</v>
      </c>
      <c r="AK198">
        <f t="shared" si="86"/>
        <v>1800</v>
      </c>
      <c r="AL198">
        <f t="shared" si="87"/>
        <v>1499.1132293999999</v>
      </c>
      <c r="AM198">
        <f t="shared" si="88"/>
        <v>0.83284068299999992</v>
      </c>
      <c r="AN198">
        <f t="shared" si="89"/>
        <v>0.15339676278000003</v>
      </c>
      <c r="AO198">
        <v>32.700000000000003</v>
      </c>
      <c r="AP198">
        <v>0.5</v>
      </c>
      <c r="AQ198" t="s">
        <v>331</v>
      </c>
      <c r="AR198">
        <v>2</v>
      </c>
      <c r="AS198">
        <v>1690302849.5999999</v>
      </c>
      <c r="AT198">
        <v>405.09699999999998</v>
      </c>
      <c r="AU198">
        <v>800.01800000000003</v>
      </c>
      <c r="AV198">
        <v>26.176400000000001</v>
      </c>
      <c r="AW198">
        <v>0.174731</v>
      </c>
      <c r="AX198">
        <v>405.13400000000001</v>
      </c>
      <c r="AY198">
        <v>25.8949</v>
      </c>
      <c r="AZ198">
        <v>300.13600000000002</v>
      </c>
      <c r="BA198">
        <v>99.307900000000004</v>
      </c>
      <c r="BB198">
        <v>9.9960999999999994E-2</v>
      </c>
      <c r="BC198">
        <v>26.819600000000001</v>
      </c>
      <c r="BD198">
        <v>27.0121</v>
      </c>
      <c r="BE198">
        <v>28.116599999999998</v>
      </c>
      <c r="BF198">
        <v>0</v>
      </c>
      <c r="BG198">
        <v>0</v>
      </c>
      <c r="BH198">
        <v>10026.9</v>
      </c>
      <c r="BI198">
        <v>1078.26</v>
      </c>
      <c r="BJ198">
        <v>1.7380500000000001</v>
      </c>
      <c r="BK198">
        <v>-394.92</v>
      </c>
      <c r="BL198">
        <v>415.98599999999999</v>
      </c>
      <c r="BM198">
        <v>800.15700000000004</v>
      </c>
      <c r="BN198">
        <v>26.0017</v>
      </c>
      <c r="BO198">
        <v>800.01800000000003</v>
      </c>
      <c r="BP198">
        <v>0.174731</v>
      </c>
      <c r="BQ198">
        <v>2.5995200000000001</v>
      </c>
      <c r="BR198">
        <v>1.7352200000000002E-2</v>
      </c>
      <c r="BS198">
        <v>21.663399999999999</v>
      </c>
      <c r="BT198">
        <v>-40.784100000000002</v>
      </c>
      <c r="BU198">
        <v>1800</v>
      </c>
      <c r="BV198">
        <v>0.91001699999999996</v>
      </c>
      <c r="BW198">
        <v>3.3996899999999997E-2</v>
      </c>
      <c r="BX198">
        <v>2.1992899999999999E-2</v>
      </c>
      <c r="BY198">
        <v>3.3993000000000002E-2</v>
      </c>
      <c r="BZ198">
        <v>26</v>
      </c>
      <c r="CA198">
        <v>33528.5</v>
      </c>
      <c r="CB198">
        <v>1690300477.5</v>
      </c>
      <c r="CC198" t="s">
        <v>332</v>
      </c>
      <c r="CD198">
        <v>1690300477.5</v>
      </c>
      <c r="CE198">
        <v>1690300465.5</v>
      </c>
      <c r="CF198">
        <v>7</v>
      </c>
      <c r="CG198">
        <v>5.0999999999999997E-2</v>
      </c>
      <c r="CH198">
        <v>-8.0000000000000002E-3</v>
      </c>
      <c r="CI198">
        <v>-0.316</v>
      </c>
      <c r="CJ198">
        <v>0.28199999999999997</v>
      </c>
      <c r="CK198">
        <v>800</v>
      </c>
      <c r="CL198">
        <v>24</v>
      </c>
      <c r="CM198">
        <v>0.25</v>
      </c>
      <c r="CN198">
        <v>0.13</v>
      </c>
      <c r="CO198">
        <v>-394.47992499999998</v>
      </c>
      <c r="CP198">
        <v>-2.942105065665622</v>
      </c>
      <c r="CQ198">
        <v>0.28449757358367389</v>
      </c>
      <c r="CR198">
        <v>-1</v>
      </c>
      <c r="CS198">
        <v>25.978124999999999</v>
      </c>
      <c r="CT198">
        <v>0.1311309568479839</v>
      </c>
      <c r="CU198">
        <v>1.279749487204416E-2</v>
      </c>
      <c r="CV198">
        <v>-1</v>
      </c>
      <c r="CW198">
        <v>0</v>
      </c>
      <c r="CX198">
        <v>0</v>
      </c>
      <c r="CY198" t="s">
        <v>333</v>
      </c>
      <c r="CZ198">
        <v>2.3646600000000002</v>
      </c>
      <c r="DA198">
        <v>2.7137799999999999</v>
      </c>
      <c r="DB198">
        <v>9.05913E-2</v>
      </c>
      <c r="DC198">
        <v>0.14635400000000001</v>
      </c>
      <c r="DD198">
        <v>0.12107800000000001</v>
      </c>
      <c r="DE198">
        <v>1.4734800000000001E-3</v>
      </c>
      <c r="DF198">
        <v>33221</v>
      </c>
      <c r="DG198">
        <v>27534.6</v>
      </c>
      <c r="DH198">
        <v>31185.5</v>
      </c>
      <c r="DI198">
        <v>28106.3</v>
      </c>
      <c r="DJ198">
        <v>37205.699999999997</v>
      </c>
      <c r="DK198">
        <v>39917.800000000003</v>
      </c>
      <c r="DL198">
        <v>44383.3</v>
      </c>
      <c r="DM198">
        <v>42602</v>
      </c>
      <c r="DN198">
        <v>1.48567</v>
      </c>
      <c r="DO198">
        <v>2.03288</v>
      </c>
      <c r="DP198">
        <v>8.8259599999999994E-2</v>
      </c>
      <c r="DQ198">
        <v>0.16582</v>
      </c>
      <c r="DR198">
        <v>25.567</v>
      </c>
      <c r="DS198">
        <v>25.403700000000001</v>
      </c>
      <c r="DT198">
        <v>24.1</v>
      </c>
      <c r="DU198">
        <v>29.2</v>
      </c>
      <c r="DV198">
        <v>9.8740299999999994</v>
      </c>
      <c r="DW198">
        <v>61.5411</v>
      </c>
      <c r="DX198">
        <v>36.622599999999998</v>
      </c>
      <c r="DY198">
        <v>1</v>
      </c>
      <c r="DZ198">
        <v>-0.102879</v>
      </c>
      <c r="EA198">
        <v>-0.121337</v>
      </c>
      <c r="EB198">
        <v>20.189499999999999</v>
      </c>
      <c r="EC198">
        <v>5.2406499999999996</v>
      </c>
      <c r="ED198">
        <v>12.039899999999999</v>
      </c>
      <c r="EE198">
        <v>5.0172499999999998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1.8689199999999999</v>
      </c>
      <c r="EL198">
        <v>1.8646199999999999</v>
      </c>
      <c r="EM198">
        <v>1.8692</v>
      </c>
      <c r="EN198">
        <v>1.86724</v>
      </c>
      <c r="EO198">
        <v>1.8633900000000001</v>
      </c>
      <c r="EP198">
        <v>1.8644700000000001</v>
      </c>
      <c r="EQ198">
        <v>1.8701300000000001</v>
      </c>
      <c r="ER198">
        <v>1.86941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-3.6999999999999998E-2</v>
      </c>
      <c r="FG198">
        <v>0.28149999999999997</v>
      </c>
      <c r="FH198">
        <v>0.23539598422606861</v>
      </c>
      <c r="FI198">
        <v>-6.1462078757559423E-4</v>
      </c>
      <c r="FJ198">
        <v>-1.8861989874597051E-7</v>
      </c>
      <c r="FK198">
        <v>1.1980462299894961E-10</v>
      </c>
      <c r="FL198">
        <v>0.28151999999999688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39.5</v>
      </c>
      <c r="FU198">
        <v>39.700000000000003</v>
      </c>
      <c r="FV198">
        <v>1.7614700000000001</v>
      </c>
      <c r="FW198">
        <v>2.5891099999999998</v>
      </c>
      <c r="FX198">
        <v>1.5490699999999999</v>
      </c>
      <c r="FY198">
        <v>2.3303199999999999</v>
      </c>
      <c r="FZ198">
        <v>1.50024</v>
      </c>
      <c r="GA198">
        <v>2.2900399999999999</v>
      </c>
      <c r="GB198">
        <v>33.625399999999999</v>
      </c>
      <c r="GC198">
        <v>23.982399999999998</v>
      </c>
      <c r="GD198">
        <v>19</v>
      </c>
      <c r="GE198">
        <v>286.303</v>
      </c>
      <c r="GF198">
        <v>578.53300000000002</v>
      </c>
      <c r="GG198">
        <v>25.2715</v>
      </c>
      <c r="GH198">
        <v>26.1066</v>
      </c>
      <c r="GI198">
        <v>30.0001</v>
      </c>
      <c r="GJ198">
        <v>26.209199999999999</v>
      </c>
      <c r="GK198">
        <v>26.183299999999999</v>
      </c>
      <c r="GL198">
        <v>35.230200000000004</v>
      </c>
      <c r="GM198">
        <v>100</v>
      </c>
      <c r="GN198">
        <v>11.7768</v>
      </c>
      <c r="GO198">
        <v>25.254100000000001</v>
      </c>
      <c r="GP198">
        <v>800</v>
      </c>
      <c r="GQ198">
        <v>0</v>
      </c>
      <c r="GR198">
        <v>99.784700000000001</v>
      </c>
      <c r="GS198">
        <v>99.658500000000004</v>
      </c>
    </row>
    <row r="199" spans="1:201" x14ac:dyDescent="0.25">
      <c r="A199">
        <v>183</v>
      </c>
      <c r="B199">
        <v>1690302859.5999999</v>
      </c>
      <c r="C199">
        <v>1955.599999904633</v>
      </c>
      <c r="D199" t="s">
        <v>697</v>
      </c>
      <c r="E199" t="s">
        <v>698</v>
      </c>
      <c r="F199" t="s">
        <v>330</v>
      </c>
      <c r="H199">
        <v>1690302859.5999999</v>
      </c>
      <c r="I199">
        <f t="shared" si="60"/>
        <v>2.4526263716560422E-3</v>
      </c>
      <c r="J199">
        <f t="shared" si="61"/>
        <v>2.4526263716560424</v>
      </c>
      <c r="K199">
        <f t="shared" si="62"/>
        <v>35.298455224021488</v>
      </c>
      <c r="L199">
        <f t="shared" si="63"/>
        <v>404.57100000000003</v>
      </c>
      <c r="M199">
        <f t="shared" si="64"/>
        <v>108.27788612993616</v>
      </c>
      <c r="N199">
        <f t="shared" si="65"/>
        <v>10.763830619758417</v>
      </c>
      <c r="O199">
        <f t="shared" si="66"/>
        <v>40.218126464350199</v>
      </c>
      <c r="P199">
        <f t="shared" si="67"/>
        <v>0.20282443023570026</v>
      </c>
      <c r="Q199">
        <f t="shared" si="68"/>
        <v>2.1161219105748357</v>
      </c>
      <c r="R199">
        <f t="shared" si="69"/>
        <v>0.19261014129776935</v>
      </c>
      <c r="S199">
        <f t="shared" si="70"/>
        <v>0.12125617131681096</v>
      </c>
      <c r="T199">
        <f t="shared" si="71"/>
        <v>276.11426827800011</v>
      </c>
      <c r="U199">
        <f t="shared" si="72"/>
        <v>28.154865099217311</v>
      </c>
      <c r="V199">
        <f t="shared" si="73"/>
        <v>28.154865099217311</v>
      </c>
      <c r="W199">
        <f t="shared" si="74"/>
        <v>3.829235110069436</v>
      </c>
      <c r="X199">
        <f t="shared" si="75"/>
        <v>73.543908359428769</v>
      </c>
      <c r="Y199">
        <f t="shared" si="76"/>
        <v>2.6043550886024596</v>
      </c>
      <c r="Z199">
        <f t="shared" si="77"/>
        <v>3.5412247549780456</v>
      </c>
      <c r="AA199">
        <f t="shared" si="78"/>
        <v>1.2248800214669764</v>
      </c>
      <c r="AB199">
        <f t="shared" si="79"/>
        <v>-108.16082299003146</v>
      </c>
      <c r="AC199">
        <f t="shared" si="80"/>
        <v>-152.43554613500544</v>
      </c>
      <c r="AD199">
        <f t="shared" si="81"/>
        <v>-15.621942765413912</v>
      </c>
      <c r="AE199">
        <f t="shared" si="82"/>
        <v>-0.10404361245070959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52496.477542956076</v>
      </c>
      <c r="AK199">
        <f t="shared" si="86"/>
        <v>1800</v>
      </c>
      <c r="AL199">
        <f t="shared" si="87"/>
        <v>1499.1112187999997</v>
      </c>
      <c r="AM199">
        <f t="shared" si="88"/>
        <v>0.83283956599999986</v>
      </c>
      <c r="AN199">
        <f t="shared" si="89"/>
        <v>0.15339681571000005</v>
      </c>
      <c r="AO199">
        <v>32.700000000000003</v>
      </c>
      <c r="AP199">
        <v>0.5</v>
      </c>
      <c r="AQ199" t="s">
        <v>331</v>
      </c>
      <c r="AR199">
        <v>2</v>
      </c>
      <c r="AS199">
        <v>1690302859.5999999</v>
      </c>
      <c r="AT199">
        <v>404.57100000000003</v>
      </c>
      <c r="AU199">
        <v>800.00800000000004</v>
      </c>
      <c r="AV199">
        <v>26.1983</v>
      </c>
      <c r="AW199">
        <v>0.17372299999999999</v>
      </c>
      <c r="AX199">
        <v>404.60700000000003</v>
      </c>
      <c r="AY199">
        <v>25.916699999999999</v>
      </c>
      <c r="AZ199">
        <v>300.10000000000002</v>
      </c>
      <c r="BA199">
        <v>99.309399999999997</v>
      </c>
      <c r="BB199">
        <v>9.9916199999999997E-2</v>
      </c>
      <c r="BC199">
        <v>26.8187</v>
      </c>
      <c r="BD199">
        <v>26.9908</v>
      </c>
      <c r="BE199">
        <v>28.1158</v>
      </c>
      <c r="BF199">
        <v>0</v>
      </c>
      <c r="BG199">
        <v>0</v>
      </c>
      <c r="BH199">
        <v>9990.6200000000008</v>
      </c>
      <c r="BI199">
        <v>1078.24</v>
      </c>
      <c r="BJ199">
        <v>1.7380500000000001</v>
      </c>
      <c r="BK199">
        <v>-395.43700000000001</v>
      </c>
      <c r="BL199">
        <v>415.45499999999998</v>
      </c>
      <c r="BM199">
        <v>800.14700000000005</v>
      </c>
      <c r="BN199">
        <v>26.0245</v>
      </c>
      <c r="BO199">
        <v>800.00800000000004</v>
      </c>
      <c r="BP199">
        <v>0.17372299999999999</v>
      </c>
      <c r="BQ199">
        <v>2.6017299999999999</v>
      </c>
      <c r="BR199">
        <v>1.7252400000000001E-2</v>
      </c>
      <c r="BS199">
        <v>21.677299999999999</v>
      </c>
      <c r="BT199">
        <v>-40.838900000000002</v>
      </c>
      <c r="BU199">
        <v>1800</v>
      </c>
      <c r="BV199">
        <v>0.91000400000000004</v>
      </c>
      <c r="BW199">
        <v>3.3995900000000003E-2</v>
      </c>
      <c r="BX199">
        <v>2.1992299999999999E-2</v>
      </c>
      <c r="BY199">
        <v>3.4007700000000002E-2</v>
      </c>
      <c r="BZ199">
        <v>26</v>
      </c>
      <c r="CA199">
        <v>33528.6</v>
      </c>
      <c r="CB199">
        <v>1690300477.5</v>
      </c>
      <c r="CC199" t="s">
        <v>332</v>
      </c>
      <c r="CD199">
        <v>1690300477.5</v>
      </c>
      <c r="CE199">
        <v>1690300465.5</v>
      </c>
      <c r="CF199">
        <v>7</v>
      </c>
      <c r="CG199">
        <v>5.0999999999999997E-2</v>
      </c>
      <c r="CH199">
        <v>-8.0000000000000002E-3</v>
      </c>
      <c r="CI199">
        <v>-0.316</v>
      </c>
      <c r="CJ199">
        <v>0.28199999999999997</v>
      </c>
      <c r="CK199">
        <v>800</v>
      </c>
      <c r="CL199">
        <v>24</v>
      </c>
      <c r="CM199">
        <v>0.25</v>
      </c>
      <c r="CN199">
        <v>0.13</v>
      </c>
      <c r="CO199">
        <v>-394.88526829268301</v>
      </c>
      <c r="CP199">
        <v>-2.4638048780486308</v>
      </c>
      <c r="CQ199">
        <v>0.24737332549282659</v>
      </c>
      <c r="CR199">
        <v>-1</v>
      </c>
      <c r="CS199">
        <v>25.99920975609756</v>
      </c>
      <c r="CT199">
        <v>0.14656097560976589</v>
      </c>
      <c r="CU199">
        <v>1.4497784605831669E-2</v>
      </c>
      <c r="CV199">
        <v>-1</v>
      </c>
      <c r="CW199">
        <v>0</v>
      </c>
      <c r="CX199">
        <v>0</v>
      </c>
      <c r="CY199" t="s">
        <v>333</v>
      </c>
      <c r="CZ199">
        <v>2.3645499999999999</v>
      </c>
      <c r="DA199">
        <v>2.7136999999999998</v>
      </c>
      <c r="DB199">
        <v>9.0502399999999997E-2</v>
      </c>
      <c r="DC199">
        <v>0.14635400000000001</v>
      </c>
      <c r="DD199">
        <v>0.12115099999999999</v>
      </c>
      <c r="DE199">
        <v>1.4650900000000001E-3</v>
      </c>
      <c r="DF199">
        <v>33224.300000000003</v>
      </c>
      <c r="DG199">
        <v>27534.5</v>
      </c>
      <c r="DH199">
        <v>31185.599999999999</v>
      </c>
      <c r="DI199">
        <v>28106.2</v>
      </c>
      <c r="DJ199">
        <v>37202.800000000003</v>
      </c>
      <c r="DK199">
        <v>39917.9</v>
      </c>
      <c r="DL199">
        <v>44383.5</v>
      </c>
      <c r="DM199">
        <v>42601.8</v>
      </c>
      <c r="DN199">
        <v>1.4857</v>
      </c>
      <c r="DO199">
        <v>2.0329000000000002</v>
      </c>
      <c r="DP199">
        <v>8.6829100000000006E-2</v>
      </c>
      <c r="DQ199">
        <v>0.165768</v>
      </c>
      <c r="DR199">
        <v>25.569199999999999</v>
      </c>
      <c r="DS199">
        <v>25.403700000000001</v>
      </c>
      <c r="DT199">
        <v>24</v>
      </c>
      <c r="DU199">
        <v>29.2</v>
      </c>
      <c r="DV199">
        <v>9.8339800000000004</v>
      </c>
      <c r="DW199">
        <v>61.8611</v>
      </c>
      <c r="DX199">
        <v>36.8309</v>
      </c>
      <c r="DY199">
        <v>1</v>
      </c>
      <c r="DZ199">
        <v>-0.101966</v>
      </c>
      <c r="EA199">
        <v>-0.16111400000000001</v>
      </c>
      <c r="EB199">
        <v>20.189399999999999</v>
      </c>
      <c r="EC199">
        <v>5.2408000000000001</v>
      </c>
      <c r="ED199">
        <v>12.039899999999999</v>
      </c>
      <c r="EE199">
        <v>5.0175000000000001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1.8689100000000001</v>
      </c>
      <c r="EL199">
        <v>1.8646199999999999</v>
      </c>
      <c r="EM199">
        <v>1.8692</v>
      </c>
      <c r="EN199">
        <v>1.8672299999999999</v>
      </c>
      <c r="EO199">
        <v>1.8633900000000001</v>
      </c>
      <c r="EP199">
        <v>1.8644700000000001</v>
      </c>
      <c r="EQ199">
        <v>1.8701399999999999</v>
      </c>
      <c r="ER199">
        <v>1.8694299999999999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-3.5999999999999997E-2</v>
      </c>
      <c r="FG199">
        <v>0.28160000000000002</v>
      </c>
      <c r="FH199">
        <v>0.23539598422606861</v>
      </c>
      <c r="FI199">
        <v>-6.1462078757559423E-4</v>
      </c>
      <c r="FJ199">
        <v>-1.8861989874597051E-7</v>
      </c>
      <c r="FK199">
        <v>1.1980462299894961E-10</v>
      </c>
      <c r="FL199">
        <v>0.28151999999999688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39.700000000000003</v>
      </c>
      <c r="FU199">
        <v>39.9</v>
      </c>
      <c r="FV199">
        <v>1.7614700000000001</v>
      </c>
      <c r="FW199">
        <v>2.5903299999999998</v>
      </c>
      <c r="FX199">
        <v>1.5490699999999999</v>
      </c>
      <c r="FY199">
        <v>2.3303199999999999</v>
      </c>
      <c r="FZ199">
        <v>1.50146</v>
      </c>
      <c r="GA199">
        <v>2.2973599999999998</v>
      </c>
      <c r="GB199">
        <v>33.625399999999999</v>
      </c>
      <c r="GC199">
        <v>23.982399999999998</v>
      </c>
      <c r="GD199">
        <v>19</v>
      </c>
      <c r="GE199">
        <v>286.32400000000001</v>
      </c>
      <c r="GF199">
        <v>578.56700000000001</v>
      </c>
      <c r="GG199">
        <v>25.244800000000001</v>
      </c>
      <c r="GH199">
        <v>26.109400000000001</v>
      </c>
      <c r="GI199">
        <v>30.000800000000002</v>
      </c>
      <c r="GJ199">
        <v>26.211400000000001</v>
      </c>
      <c r="GK199">
        <v>26.1845</v>
      </c>
      <c r="GL199">
        <v>35.231999999999999</v>
      </c>
      <c r="GM199">
        <v>100</v>
      </c>
      <c r="GN199">
        <v>11.383800000000001</v>
      </c>
      <c r="GO199">
        <v>25.258400000000002</v>
      </c>
      <c r="GP199">
        <v>800</v>
      </c>
      <c r="GQ199">
        <v>0</v>
      </c>
      <c r="GR199">
        <v>99.7851</v>
      </c>
      <c r="GS199">
        <v>99.658000000000001</v>
      </c>
    </row>
    <row r="200" spans="1:201" x14ac:dyDescent="0.25">
      <c r="A200">
        <v>184</v>
      </c>
      <c r="B200">
        <v>1690302869.5999999</v>
      </c>
      <c r="C200">
        <v>1965.599999904633</v>
      </c>
      <c r="D200" t="s">
        <v>699</v>
      </c>
      <c r="E200" t="s">
        <v>700</v>
      </c>
      <c r="F200" t="s">
        <v>330</v>
      </c>
      <c r="H200">
        <v>1690302869.5999999</v>
      </c>
      <c r="I200">
        <f t="shared" si="60"/>
        <v>2.4544248682818928E-3</v>
      </c>
      <c r="J200">
        <f t="shared" si="61"/>
        <v>2.4544248682818925</v>
      </c>
      <c r="K200">
        <f t="shared" si="62"/>
        <v>35.33333068729452</v>
      </c>
      <c r="L200">
        <f t="shared" si="63"/>
        <v>404.21</v>
      </c>
      <c r="M200">
        <f t="shared" si="64"/>
        <v>108.27730430217166</v>
      </c>
      <c r="N200">
        <f t="shared" si="65"/>
        <v>10.763762797490747</v>
      </c>
      <c r="O200">
        <f t="shared" si="66"/>
        <v>40.182202433040004</v>
      </c>
      <c r="P200">
        <f t="shared" si="67"/>
        <v>0.20327694766056933</v>
      </c>
      <c r="Q200">
        <f t="shared" si="68"/>
        <v>2.1188522740459774</v>
      </c>
      <c r="R200">
        <f t="shared" si="69"/>
        <v>0.19303077188552523</v>
      </c>
      <c r="S200">
        <f t="shared" si="70"/>
        <v>0.12152175816420756</v>
      </c>
      <c r="T200">
        <f t="shared" si="71"/>
        <v>276.11437206599999</v>
      </c>
      <c r="U200">
        <f t="shared" si="72"/>
        <v>28.153771429486458</v>
      </c>
      <c r="V200">
        <f t="shared" si="73"/>
        <v>28.153771429486458</v>
      </c>
      <c r="W200">
        <f t="shared" si="74"/>
        <v>3.8289912564715056</v>
      </c>
      <c r="X200">
        <f t="shared" si="75"/>
        <v>73.582591302624962</v>
      </c>
      <c r="Y200">
        <f t="shared" si="76"/>
        <v>2.6058935160912</v>
      </c>
      <c r="Z200">
        <f t="shared" si="77"/>
        <v>3.541453854722072</v>
      </c>
      <c r="AA200">
        <f t="shared" si="78"/>
        <v>1.2230977403803056</v>
      </c>
      <c r="AB200">
        <f t="shared" si="79"/>
        <v>-108.24013669123147</v>
      </c>
      <c r="AC200">
        <f t="shared" si="80"/>
        <v>-152.38164245258071</v>
      </c>
      <c r="AD200">
        <f t="shared" si="81"/>
        <v>-15.596295439010387</v>
      </c>
      <c r="AE200">
        <f t="shared" si="82"/>
        <v>-0.10370251682255116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52616.011803209782</v>
      </c>
      <c r="AK200">
        <f t="shared" si="86"/>
        <v>1800</v>
      </c>
      <c r="AL200">
        <f t="shared" si="87"/>
        <v>1499.1109595999999</v>
      </c>
      <c r="AM200">
        <f t="shared" si="88"/>
        <v>0.83283942199999994</v>
      </c>
      <c r="AN200">
        <f t="shared" si="89"/>
        <v>0.15339687336999999</v>
      </c>
      <c r="AO200">
        <v>32.700000000000003</v>
      </c>
      <c r="AP200">
        <v>0.5</v>
      </c>
      <c r="AQ200" t="s">
        <v>331</v>
      </c>
      <c r="AR200">
        <v>2</v>
      </c>
      <c r="AS200">
        <v>1690302869.5999999</v>
      </c>
      <c r="AT200">
        <v>404.21</v>
      </c>
      <c r="AU200">
        <v>799.99099999999999</v>
      </c>
      <c r="AV200">
        <v>26.213799999999999</v>
      </c>
      <c r="AW200">
        <v>0.17280999999999999</v>
      </c>
      <c r="AX200">
        <v>404.245</v>
      </c>
      <c r="AY200">
        <v>25.932300000000001</v>
      </c>
      <c r="AZ200">
        <v>300.12599999999998</v>
      </c>
      <c r="BA200">
        <v>99.309200000000004</v>
      </c>
      <c r="BB200">
        <v>0.100024</v>
      </c>
      <c r="BC200">
        <v>26.819800000000001</v>
      </c>
      <c r="BD200">
        <v>26.9998</v>
      </c>
      <c r="BE200">
        <v>28.110700000000001</v>
      </c>
      <c r="BF200">
        <v>0</v>
      </c>
      <c r="BG200">
        <v>0</v>
      </c>
      <c r="BH200">
        <v>10014.4</v>
      </c>
      <c r="BI200">
        <v>1078.21</v>
      </c>
      <c r="BJ200">
        <v>1.7380500000000001</v>
      </c>
      <c r="BK200">
        <v>-395.78100000000001</v>
      </c>
      <c r="BL200">
        <v>415.09100000000001</v>
      </c>
      <c r="BM200">
        <v>800.12900000000002</v>
      </c>
      <c r="BN200">
        <v>26.041</v>
      </c>
      <c r="BO200">
        <v>799.99099999999999</v>
      </c>
      <c r="BP200">
        <v>0.17280999999999999</v>
      </c>
      <c r="BQ200">
        <v>2.6032799999999998</v>
      </c>
      <c r="BR200">
        <v>1.7161599999999999E-2</v>
      </c>
      <c r="BS200">
        <v>21.687000000000001</v>
      </c>
      <c r="BT200">
        <v>-40.889000000000003</v>
      </c>
      <c r="BU200">
        <v>1800</v>
      </c>
      <c r="BV200">
        <v>0.91</v>
      </c>
      <c r="BW200">
        <v>3.3995600000000001E-2</v>
      </c>
      <c r="BX200">
        <v>2.1992100000000001E-2</v>
      </c>
      <c r="BY200">
        <v>3.4012500000000001E-2</v>
      </c>
      <c r="BZ200">
        <v>26</v>
      </c>
      <c r="CA200">
        <v>33528.5</v>
      </c>
      <c r="CB200">
        <v>1690300477.5</v>
      </c>
      <c r="CC200" t="s">
        <v>332</v>
      </c>
      <c r="CD200">
        <v>1690300477.5</v>
      </c>
      <c r="CE200">
        <v>1690300465.5</v>
      </c>
      <c r="CF200">
        <v>7</v>
      </c>
      <c r="CG200">
        <v>5.0999999999999997E-2</v>
      </c>
      <c r="CH200">
        <v>-8.0000000000000002E-3</v>
      </c>
      <c r="CI200">
        <v>-0.316</v>
      </c>
      <c r="CJ200">
        <v>0.28199999999999997</v>
      </c>
      <c r="CK200">
        <v>800</v>
      </c>
      <c r="CL200">
        <v>24</v>
      </c>
      <c r="CM200">
        <v>0.25</v>
      </c>
      <c r="CN200">
        <v>0.13</v>
      </c>
      <c r="CO200">
        <v>-395.31109756097561</v>
      </c>
      <c r="CP200">
        <v>-2.727909407665968</v>
      </c>
      <c r="CQ200">
        <v>0.27434345617359002</v>
      </c>
      <c r="CR200">
        <v>-1</v>
      </c>
      <c r="CS200">
        <v>26.020773170731701</v>
      </c>
      <c r="CT200">
        <v>0.11537979094076919</v>
      </c>
      <c r="CU200">
        <v>1.148899843626125E-2</v>
      </c>
      <c r="CV200">
        <v>-1</v>
      </c>
      <c r="CW200">
        <v>0</v>
      </c>
      <c r="CX200">
        <v>0</v>
      </c>
      <c r="CY200" t="s">
        <v>333</v>
      </c>
      <c r="CZ200">
        <v>2.36463</v>
      </c>
      <c r="DA200">
        <v>2.7138300000000002</v>
      </c>
      <c r="DB200">
        <v>9.0440199999999998E-2</v>
      </c>
      <c r="DC200">
        <v>0.14635200000000001</v>
      </c>
      <c r="DD200">
        <v>0.1212</v>
      </c>
      <c r="DE200">
        <v>1.45746E-3</v>
      </c>
      <c r="DF200">
        <v>33226.6</v>
      </c>
      <c r="DG200">
        <v>27534.7</v>
      </c>
      <c r="DH200">
        <v>31185.599999999999</v>
      </c>
      <c r="DI200">
        <v>28106.3</v>
      </c>
      <c r="DJ200">
        <v>37200.800000000003</v>
      </c>
      <c r="DK200">
        <v>39918.199999999997</v>
      </c>
      <c r="DL200">
        <v>44383.6</v>
      </c>
      <c r="DM200">
        <v>42601.7</v>
      </c>
      <c r="DN200">
        <v>1.48567</v>
      </c>
      <c r="DO200">
        <v>2.0329700000000002</v>
      </c>
      <c r="DP200">
        <v>8.7380399999999997E-2</v>
      </c>
      <c r="DQ200">
        <v>0.16545499999999999</v>
      </c>
      <c r="DR200">
        <v>25.569199999999999</v>
      </c>
      <c r="DS200">
        <v>25.403700000000001</v>
      </c>
      <c r="DT200">
        <v>23.8</v>
      </c>
      <c r="DU200">
        <v>29.2</v>
      </c>
      <c r="DV200">
        <v>9.7492599999999996</v>
      </c>
      <c r="DW200">
        <v>61.761099999999999</v>
      </c>
      <c r="DX200">
        <v>36.6907</v>
      </c>
      <c r="DY200">
        <v>1</v>
      </c>
      <c r="DZ200">
        <v>-0.10240299999999999</v>
      </c>
      <c r="EA200">
        <v>-0.19895699999999999</v>
      </c>
      <c r="EB200">
        <v>20.189599999999999</v>
      </c>
      <c r="EC200">
        <v>5.2409499999999998</v>
      </c>
      <c r="ED200">
        <v>12.039899999999999</v>
      </c>
      <c r="EE200">
        <v>5.0173500000000004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1.8689100000000001</v>
      </c>
      <c r="EL200">
        <v>1.8646199999999999</v>
      </c>
      <c r="EM200">
        <v>1.8692</v>
      </c>
      <c r="EN200">
        <v>1.86724</v>
      </c>
      <c r="EO200">
        <v>1.86338</v>
      </c>
      <c r="EP200">
        <v>1.8644700000000001</v>
      </c>
      <c r="EQ200">
        <v>1.8701399999999999</v>
      </c>
      <c r="ER200">
        <v>1.8694299999999999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-3.5000000000000003E-2</v>
      </c>
      <c r="FG200">
        <v>0.28149999999999997</v>
      </c>
      <c r="FH200">
        <v>0.23539598422606861</v>
      </c>
      <c r="FI200">
        <v>-6.1462078757559423E-4</v>
      </c>
      <c r="FJ200">
        <v>-1.8861989874597051E-7</v>
      </c>
      <c r="FK200">
        <v>1.1980462299894961E-10</v>
      </c>
      <c r="FL200">
        <v>0.28151999999999688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39.9</v>
      </c>
      <c r="FU200">
        <v>40.1</v>
      </c>
      <c r="FV200">
        <v>1.7626999999999999</v>
      </c>
      <c r="FW200">
        <v>2.5903299999999998</v>
      </c>
      <c r="FX200">
        <v>1.5490699999999999</v>
      </c>
      <c r="FY200">
        <v>2.3303199999999999</v>
      </c>
      <c r="FZ200">
        <v>1.50146</v>
      </c>
      <c r="GA200">
        <v>2.3022499999999999</v>
      </c>
      <c r="GB200">
        <v>33.625399999999999</v>
      </c>
      <c r="GC200">
        <v>23.982399999999998</v>
      </c>
      <c r="GD200">
        <v>19</v>
      </c>
      <c r="GE200">
        <v>286.31799999999998</v>
      </c>
      <c r="GF200">
        <v>578.64</v>
      </c>
      <c r="GG200">
        <v>25.265999999999998</v>
      </c>
      <c r="GH200">
        <v>26.111000000000001</v>
      </c>
      <c r="GI200">
        <v>30</v>
      </c>
      <c r="GJ200">
        <v>26.212800000000001</v>
      </c>
      <c r="GK200">
        <v>26.185500000000001</v>
      </c>
      <c r="GL200">
        <v>35.233600000000003</v>
      </c>
      <c r="GM200">
        <v>100</v>
      </c>
      <c r="GN200">
        <v>10.6166</v>
      </c>
      <c r="GO200">
        <v>25.270700000000001</v>
      </c>
      <c r="GP200">
        <v>800</v>
      </c>
      <c r="GQ200">
        <v>0</v>
      </c>
      <c r="GR200">
        <v>99.785200000000003</v>
      </c>
      <c r="GS200">
        <v>99.658100000000005</v>
      </c>
    </row>
    <row r="201" spans="1:201" x14ac:dyDescent="0.25">
      <c r="A201">
        <v>185</v>
      </c>
      <c r="B201">
        <v>1690302879.5999999</v>
      </c>
      <c r="C201">
        <v>1975.599999904633</v>
      </c>
      <c r="D201" t="s">
        <v>701</v>
      </c>
      <c r="E201" t="s">
        <v>702</v>
      </c>
      <c r="F201" t="s">
        <v>330</v>
      </c>
      <c r="H201">
        <v>1690302879.5999999</v>
      </c>
      <c r="I201">
        <f t="shared" si="60"/>
        <v>2.4563258778799156E-3</v>
      </c>
      <c r="J201">
        <f t="shared" si="61"/>
        <v>2.4563258778799155</v>
      </c>
      <c r="K201">
        <f t="shared" si="62"/>
        <v>35.357793503442075</v>
      </c>
      <c r="L201">
        <f t="shared" si="63"/>
        <v>403.90300000000002</v>
      </c>
      <c r="M201">
        <f t="shared" si="64"/>
        <v>108.36671023150915</v>
      </c>
      <c r="N201">
        <f t="shared" si="65"/>
        <v>10.772346126111461</v>
      </c>
      <c r="O201">
        <f t="shared" si="66"/>
        <v>40.1505490761838</v>
      </c>
      <c r="P201">
        <f t="shared" si="67"/>
        <v>0.20370787253981895</v>
      </c>
      <c r="Q201">
        <f t="shared" si="68"/>
        <v>2.1188898908115572</v>
      </c>
      <c r="R201">
        <f t="shared" si="69"/>
        <v>0.1934195628374428</v>
      </c>
      <c r="S201">
        <f t="shared" si="70"/>
        <v>0.12176827490282291</v>
      </c>
      <c r="T201">
        <f t="shared" si="71"/>
        <v>276.11287550105851</v>
      </c>
      <c r="U201">
        <f t="shared" si="72"/>
        <v>28.156667449100354</v>
      </c>
      <c r="V201">
        <f t="shared" si="73"/>
        <v>28.156667449100354</v>
      </c>
      <c r="W201">
        <f t="shared" si="74"/>
        <v>3.8296370063833725</v>
      </c>
      <c r="X201">
        <f t="shared" si="75"/>
        <v>73.629480972693074</v>
      </c>
      <c r="Y201">
        <f t="shared" si="76"/>
        <v>2.6081062185772796</v>
      </c>
      <c r="Z201">
        <f t="shared" si="77"/>
        <v>3.5422037261739585</v>
      </c>
      <c r="AA201">
        <f t="shared" si="78"/>
        <v>1.2215307878060928</v>
      </c>
      <c r="AB201">
        <f t="shared" si="79"/>
        <v>-108.32397121450427</v>
      </c>
      <c r="AC201">
        <f t="shared" si="80"/>
        <v>-152.30392953200118</v>
      </c>
      <c r="AD201">
        <f t="shared" si="81"/>
        <v>-15.588570167848426</v>
      </c>
      <c r="AE201">
        <f t="shared" si="82"/>
        <v>-0.10359541329538047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52616.971878247925</v>
      </c>
      <c r="AK201">
        <f t="shared" si="86"/>
        <v>1799.99</v>
      </c>
      <c r="AL201">
        <f t="shared" si="87"/>
        <v>1499.10243860685</v>
      </c>
      <c r="AM201">
        <f t="shared" si="88"/>
        <v>0.83283931499999997</v>
      </c>
      <c r="AN201">
        <f t="shared" si="89"/>
        <v>0.15339689415000002</v>
      </c>
      <c r="AO201">
        <v>32.700000000000003</v>
      </c>
      <c r="AP201">
        <v>0.5</v>
      </c>
      <c r="AQ201" t="s">
        <v>331</v>
      </c>
      <c r="AR201">
        <v>2</v>
      </c>
      <c r="AS201">
        <v>1690302879.5999999</v>
      </c>
      <c r="AT201">
        <v>403.90300000000002</v>
      </c>
      <c r="AU201">
        <v>800.01800000000003</v>
      </c>
      <c r="AV201">
        <v>26.236799999999999</v>
      </c>
      <c r="AW201">
        <v>0.17182700000000001</v>
      </c>
      <c r="AX201">
        <v>403.93900000000002</v>
      </c>
      <c r="AY201">
        <v>25.955300000000001</v>
      </c>
      <c r="AZ201">
        <v>300.07499999999999</v>
      </c>
      <c r="BA201">
        <v>99.3065</v>
      </c>
      <c r="BB201">
        <v>9.9914600000000006E-2</v>
      </c>
      <c r="BC201">
        <v>26.823399999999999</v>
      </c>
      <c r="BD201">
        <v>26.992699999999999</v>
      </c>
      <c r="BE201">
        <v>28.120899999999999</v>
      </c>
      <c r="BF201">
        <v>0</v>
      </c>
      <c r="BG201">
        <v>0</v>
      </c>
      <c r="BH201">
        <v>10015</v>
      </c>
      <c r="BI201">
        <v>1078.17</v>
      </c>
      <c r="BJ201">
        <v>1.7296400000000001</v>
      </c>
      <c r="BK201">
        <v>-396.11500000000001</v>
      </c>
      <c r="BL201">
        <v>414.786</v>
      </c>
      <c r="BM201">
        <v>800.15599999999995</v>
      </c>
      <c r="BN201">
        <v>26.064900000000002</v>
      </c>
      <c r="BO201">
        <v>800.01800000000003</v>
      </c>
      <c r="BP201">
        <v>0.17182700000000001</v>
      </c>
      <c r="BQ201">
        <v>2.60548</v>
      </c>
      <c r="BR201">
        <v>1.7063499999999999E-2</v>
      </c>
      <c r="BS201">
        <v>21.700900000000001</v>
      </c>
      <c r="BT201">
        <v>-40.943399999999997</v>
      </c>
      <c r="BU201">
        <v>1799.99</v>
      </c>
      <c r="BV201">
        <v>0.90999799999999997</v>
      </c>
      <c r="BW201">
        <v>3.3995400000000002E-2</v>
      </c>
      <c r="BX201">
        <v>2.1992000000000001E-2</v>
      </c>
      <c r="BY201">
        <v>3.4014900000000001E-2</v>
      </c>
      <c r="BZ201">
        <v>26</v>
      </c>
      <c r="CA201">
        <v>33528.400000000001</v>
      </c>
      <c r="CB201">
        <v>1690300477.5</v>
      </c>
      <c r="CC201" t="s">
        <v>332</v>
      </c>
      <c r="CD201">
        <v>1690300477.5</v>
      </c>
      <c r="CE201">
        <v>1690300465.5</v>
      </c>
      <c r="CF201">
        <v>7</v>
      </c>
      <c r="CG201">
        <v>5.0999999999999997E-2</v>
      </c>
      <c r="CH201">
        <v>-8.0000000000000002E-3</v>
      </c>
      <c r="CI201">
        <v>-0.316</v>
      </c>
      <c r="CJ201">
        <v>0.28199999999999997</v>
      </c>
      <c r="CK201">
        <v>800</v>
      </c>
      <c r="CL201">
        <v>24</v>
      </c>
      <c r="CM201">
        <v>0.25</v>
      </c>
      <c r="CN201">
        <v>0.13</v>
      </c>
      <c r="CO201">
        <v>-395.75607317073172</v>
      </c>
      <c r="CP201">
        <v>-2.402362369338741</v>
      </c>
      <c r="CQ201">
        <v>0.24000471440937429</v>
      </c>
      <c r="CR201">
        <v>-1</v>
      </c>
      <c r="CS201">
        <v>26.042443902439029</v>
      </c>
      <c r="CT201">
        <v>0.13778885017428039</v>
      </c>
      <c r="CU201">
        <v>1.386925092989282E-2</v>
      </c>
      <c r="CV201">
        <v>-1</v>
      </c>
      <c r="CW201">
        <v>0</v>
      </c>
      <c r="CX201">
        <v>0</v>
      </c>
      <c r="CY201" t="s">
        <v>333</v>
      </c>
      <c r="CZ201">
        <v>2.3644500000000002</v>
      </c>
      <c r="DA201">
        <v>2.7137199999999999</v>
      </c>
      <c r="DB201">
        <v>9.0385300000000002E-2</v>
      </c>
      <c r="DC201">
        <v>0.14635000000000001</v>
      </c>
      <c r="DD201">
        <v>0.121271</v>
      </c>
      <c r="DE201">
        <v>1.44921E-3</v>
      </c>
      <c r="DF201">
        <v>33228.699999999997</v>
      </c>
      <c r="DG201">
        <v>27534.7</v>
      </c>
      <c r="DH201">
        <v>31185.7</v>
      </c>
      <c r="DI201">
        <v>28106.3</v>
      </c>
      <c r="DJ201">
        <v>37197.699999999997</v>
      </c>
      <c r="DK201">
        <v>39918.800000000003</v>
      </c>
      <c r="DL201">
        <v>44383.6</v>
      </c>
      <c r="DM201">
        <v>42602</v>
      </c>
      <c r="DN201">
        <v>1.4856499999999999</v>
      </c>
      <c r="DO201">
        <v>2.0327500000000001</v>
      </c>
      <c r="DP201">
        <v>8.6933399999999994E-2</v>
      </c>
      <c r="DQ201">
        <v>0.16587199999999999</v>
      </c>
      <c r="DR201">
        <v>25.569400000000002</v>
      </c>
      <c r="DS201">
        <v>25.4072</v>
      </c>
      <c r="DT201">
        <v>23.6</v>
      </c>
      <c r="DU201">
        <v>29.2</v>
      </c>
      <c r="DV201">
        <v>9.6691299999999991</v>
      </c>
      <c r="DW201">
        <v>61.661099999999998</v>
      </c>
      <c r="DX201">
        <v>36.834899999999998</v>
      </c>
      <c r="DY201">
        <v>1</v>
      </c>
      <c r="DZ201">
        <v>-0.10222299999999999</v>
      </c>
      <c r="EA201">
        <v>-0.19034300000000001</v>
      </c>
      <c r="EB201">
        <v>20.189399999999999</v>
      </c>
      <c r="EC201">
        <v>5.2403500000000003</v>
      </c>
      <c r="ED201">
        <v>12.039899999999999</v>
      </c>
      <c r="EE201">
        <v>5.0170500000000002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1.8689100000000001</v>
      </c>
      <c r="EL201">
        <v>1.8646199999999999</v>
      </c>
      <c r="EM201">
        <v>1.8692</v>
      </c>
      <c r="EN201">
        <v>1.8672200000000001</v>
      </c>
      <c r="EO201">
        <v>1.8633900000000001</v>
      </c>
      <c r="EP201">
        <v>1.8644700000000001</v>
      </c>
      <c r="EQ201">
        <v>1.87015</v>
      </c>
      <c r="ER201">
        <v>1.8694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-3.5999999999999997E-2</v>
      </c>
      <c r="FG201">
        <v>0.28149999999999997</v>
      </c>
      <c r="FH201">
        <v>0.23539598422606861</v>
      </c>
      <c r="FI201">
        <v>-6.1462078757559423E-4</v>
      </c>
      <c r="FJ201">
        <v>-1.8861989874597051E-7</v>
      </c>
      <c r="FK201">
        <v>1.1980462299894961E-10</v>
      </c>
      <c r="FL201">
        <v>0.28151999999999688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</v>
      </c>
      <c r="FU201">
        <v>40.200000000000003</v>
      </c>
      <c r="FV201">
        <v>1.7626999999999999</v>
      </c>
      <c r="FW201">
        <v>2.5927699999999998</v>
      </c>
      <c r="FX201">
        <v>1.5490699999999999</v>
      </c>
      <c r="FY201">
        <v>2.3303199999999999</v>
      </c>
      <c r="FZ201">
        <v>1.50146</v>
      </c>
      <c r="GA201">
        <v>2.31812</v>
      </c>
      <c r="GB201">
        <v>33.625399999999999</v>
      </c>
      <c r="GC201">
        <v>23.991199999999999</v>
      </c>
      <c r="GD201">
        <v>19</v>
      </c>
      <c r="GE201">
        <v>286.315</v>
      </c>
      <c r="GF201">
        <v>578.48</v>
      </c>
      <c r="GG201">
        <v>25.276399999999999</v>
      </c>
      <c r="GH201">
        <v>26.113299999999999</v>
      </c>
      <c r="GI201">
        <v>30.0002</v>
      </c>
      <c r="GJ201">
        <v>26.214400000000001</v>
      </c>
      <c r="GK201">
        <v>26.1876</v>
      </c>
      <c r="GL201">
        <v>35.231999999999999</v>
      </c>
      <c r="GM201">
        <v>100</v>
      </c>
      <c r="GN201">
        <v>10.233499999999999</v>
      </c>
      <c r="GO201">
        <v>25.279499999999999</v>
      </c>
      <c r="GP201">
        <v>800</v>
      </c>
      <c r="GQ201">
        <v>0</v>
      </c>
      <c r="GR201">
        <v>99.785399999999996</v>
      </c>
      <c r="GS201">
        <v>99.658500000000004</v>
      </c>
    </row>
    <row r="202" spans="1:201" x14ac:dyDescent="0.25">
      <c r="A202">
        <v>186</v>
      </c>
      <c r="B202">
        <v>1690302889.5999999</v>
      </c>
      <c r="C202">
        <v>1985.599999904633</v>
      </c>
      <c r="D202" t="s">
        <v>703</v>
      </c>
      <c r="E202" t="s">
        <v>704</v>
      </c>
      <c r="F202" t="s">
        <v>330</v>
      </c>
      <c r="H202">
        <v>1690302889.5999999</v>
      </c>
      <c r="I202">
        <f t="shared" si="60"/>
        <v>2.4576944344628635E-3</v>
      </c>
      <c r="J202">
        <f t="shared" si="61"/>
        <v>2.4576944344628635</v>
      </c>
      <c r="K202">
        <f t="shared" si="62"/>
        <v>35.391329067166275</v>
      </c>
      <c r="L202">
        <f t="shared" si="63"/>
        <v>403.50799999999998</v>
      </c>
      <c r="M202">
        <f t="shared" si="64"/>
        <v>108.29636817722823</v>
      </c>
      <c r="N202">
        <f t="shared" si="65"/>
        <v>10.765469248583916</v>
      </c>
      <c r="O202">
        <f t="shared" si="66"/>
        <v>40.1117141661544</v>
      </c>
      <c r="P202">
        <f t="shared" si="67"/>
        <v>0.20414981784565669</v>
      </c>
      <c r="Q202">
        <f t="shared" si="68"/>
        <v>2.1165324055175025</v>
      </c>
      <c r="R202">
        <f t="shared" si="69"/>
        <v>0.19380715295144044</v>
      </c>
      <c r="S202">
        <f t="shared" si="70"/>
        <v>0.12201503788438887</v>
      </c>
      <c r="T202">
        <f t="shared" si="71"/>
        <v>276.11430118200002</v>
      </c>
      <c r="U202">
        <f t="shared" si="72"/>
        <v>28.154450412950428</v>
      </c>
      <c r="V202">
        <f t="shared" si="73"/>
        <v>28.154450412950428</v>
      </c>
      <c r="W202">
        <f t="shared" si="74"/>
        <v>3.8291426466142795</v>
      </c>
      <c r="X202">
        <f t="shared" si="75"/>
        <v>73.678501799678699</v>
      </c>
      <c r="Y202">
        <f t="shared" si="76"/>
        <v>2.6093668712645597</v>
      </c>
      <c r="Z202">
        <f t="shared" si="77"/>
        <v>3.5415579952467748</v>
      </c>
      <c r="AA202">
        <f t="shared" si="78"/>
        <v>1.2197757753497198</v>
      </c>
      <c r="AB202">
        <f t="shared" si="79"/>
        <v>-108.38432455981228</v>
      </c>
      <c r="AC202">
        <f t="shared" si="80"/>
        <v>-152.2352274862933</v>
      </c>
      <c r="AD202">
        <f t="shared" si="81"/>
        <v>-15.598479869534572</v>
      </c>
      <c r="AE202">
        <f t="shared" si="82"/>
        <v>-0.10373073364013408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52514.145667759098</v>
      </c>
      <c r="AK202">
        <f t="shared" si="86"/>
        <v>1800</v>
      </c>
      <c r="AL202">
        <f t="shared" si="87"/>
        <v>1499.1106391999999</v>
      </c>
      <c r="AM202">
        <f t="shared" si="88"/>
        <v>0.83283924399999998</v>
      </c>
      <c r="AN202">
        <f t="shared" si="89"/>
        <v>0.15339683399000001</v>
      </c>
      <c r="AO202">
        <v>32.700000000000003</v>
      </c>
      <c r="AP202">
        <v>0.5</v>
      </c>
      <c r="AQ202" t="s">
        <v>331</v>
      </c>
      <c r="AR202">
        <v>2</v>
      </c>
      <c r="AS202">
        <v>1690302889.5999999</v>
      </c>
      <c r="AT202">
        <v>403.50799999999998</v>
      </c>
      <c r="AU202">
        <v>799.97199999999998</v>
      </c>
      <c r="AV202">
        <v>26.249199999999998</v>
      </c>
      <c r="AW202">
        <v>0.170819</v>
      </c>
      <c r="AX202">
        <v>403.54399999999998</v>
      </c>
      <c r="AY202">
        <v>25.967700000000001</v>
      </c>
      <c r="AZ202">
        <v>300.084</v>
      </c>
      <c r="BA202">
        <v>99.307500000000005</v>
      </c>
      <c r="BB202">
        <v>9.9981799999999996E-2</v>
      </c>
      <c r="BC202">
        <v>26.8203</v>
      </c>
      <c r="BD202">
        <v>27.0093</v>
      </c>
      <c r="BE202">
        <v>28.108799999999999</v>
      </c>
      <c r="BF202">
        <v>0</v>
      </c>
      <c r="BG202">
        <v>0</v>
      </c>
      <c r="BH202">
        <v>9994.3799999999992</v>
      </c>
      <c r="BI202">
        <v>1078.1300000000001</v>
      </c>
      <c r="BJ202">
        <v>1.68198</v>
      </c>
      <c r="BK202">
        <v>-396.464</v>
      </c>
      <c r="BL202">
        <v>414.38600000000002</v>
      </c>
      <c r="BM202">
        <v>800.10900000000004</v>
      </c>
      <c r="BN202">
        <v>26.078399999999998</v>
      </c>
      <c r="BO202">
        <v>799.97199999999998</v>
      </c>
      <c r="BP202">
        <v>0.170819</v>
      </c>
      <c r="BQ202">
        <v>2.6067499999999999</v>
      </c>
      <c r="BR202">
        <v>1.6963599999999999E-2</v>
      </c>
      <c r="BS202">
        <v>21.7088</v>
      </c>
      <c r="BT202">
        <v>-40.999099999999999</v>
      </c>
      <c r="BU202">
        <v>1800</v>
      </c>
      <c r="BV202">
        <v>0.909999</v>
      </c>
      <c r="BW202">
        <v>3.3994900000000002E-2</v>
      </c>
      <c r="BX202">
        <v>2.1991699999999999E-2</v>
      </c>
      <c r="BY202">
        <v>3.4014500000000003E-2</v>
      </c>
      <c r="BZ202">
        <v>26</v>
      </c>
      <c r="CA202">
        <v>33528.5</v>
      </c>
      <c r="CB202">
        <v>1690300477.5</v>
      </c>
      <c r="CC202" t="s">
        <v>332</v>
      </c>
      <c r="CD202">
        <v>1690300477.5</v>
      </c>
      <c r="CE202">
        <v>1690300465.5</v>
      </c>
      <c r="CF202">
        <v>7</v>
      </c>
      <c r="CG202">
        <v>5.0999999999999997E-2</v>
      </c>
      <c r="CH202">
        <v>-8.0000000000000002E-3</v>
      </c>
      <c r="CI202">
        <v>-0.316</v>
      </c>
      <c r="CJ202">
        <v>0.28199999999999997</v>
      </c>
      <c r="CK202">
        <v>800</v>
      </c>
      <c r="CL202">
        <v>24</v>
      </c>
      <c r="CM202">
        <v>0.25</v>
      </c>
      <c r="CN202">
        <v>0.13</v>
      </c>
      <c r="CO202">
        <v>-396.14442500000001</v>
      </c>
      <c r="CP202">
        <v>-1.886127579736933</v>
      </c>
      <c r="CQ202">
        <v>0.18405052125707391</v>
      </c>
      <c r="CR202">
        <v>-1</v>
      </c>
      <c r="CS202">
        <v>26.063012499999999</v>
      </c>
      <c r="CT202">
        <v>9.0829643527144871E-2</v>
      </c>
      <c r="CU202">
        <v>9.211411061829676E-3</v>
      </c>
      <c r="CV202">
        <v>-1</v>
      </c>
      <c r="CW202">
        <v>0</v>
      </c>
      <c r="CX202">
        <v>0</v>
      </c>
      <c r="CY202" t="s">
        <v>333</v>
      </c>
      <c r="CZ202">
        <v>2.3645</v>
      </c>
      <c r="DA202">
        <v>2.7137699999999998</v>
      </c>
      <c r="DB202">
        <v>9.0318399999999993E-2</v>
      </c>
      <c r="DC202">
        <v>0.146345</v>
      </c>
      <c r="DD202">
        <v>0.121312</v>
      </c>
      <c r="DE202">
        <v>1.4407999999999999E-3</v>
      </c>
      <c r="DF202">
        <v>33231.1</v>
      </c>
      <c r="DG202">
        <v>27534.9</v>
      </c>
      <c r="DH202">
        <v>31185.7</v>
      </c>
      <c r="DI202">
        <v>28106.3</v>
      </c>
      <c r="DJ202">
        <v>37195.9</v>
      </c>
      <c r="DK202">
        <v>39919.1</v>
      </c>
      <c r="DL202">
        <v>44383.4</v>
      </c>
      <c r="DM202">
        <v>42602.1</v>
      </c>
      <c r="DN202">
        <v>1.4859199999999999</v>
      </c>
      <c r="DO202">
        <v>2.03247</v>
      </c>
      <c r="DP202">
        <v>8.78274E-2</v>
      </c>
      <c r="DQ202">
        <v>0.16494800000000001</v>
      </c>
      <c r="DR202">
        <v>25.571300000000001</v>
      </c>
      <c r="DS202">
        <v>25.4102</v>
      </c>
      <c r="DT202">
        <v>23.4</v>
      </c>
      <c r="DU202">
        <v>29.2</v>
      </c>
      <c r="DV202">
        <v>9.5865100000000005</v>
      </c>
      <c r="DW202">
        <v>61.681100000000001</v>
      </c>
      <c r="DX202">
        <v>36.814900000000002</v>
      </c>
      <c r="DY202">
        <v>1</v>
      </c>
      <c r="DZ202">
        <v>-0.101933</v>
      </c>
      <c r="EA202">
        <v>-0.14308599999999999</v>
      </c>
      <c r="EB202">
        <v>20.189599999999999</v>
      </c>
      <c r="EC202">
        <v>5.2406499999999996</v>
      </c>
      <c r="ED202">
        <v>12.039899999999999</v>
      </c>
      <c r="EE202">
        <v>5.0170000000000003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1.8689100000000001</v>
      </c>
      <c r="EL202">
        <v>1.8646199999999999</v>
      </c>
      <c r="EM202">
        <v>1.8692</v>
      </c>
      <c r="EN202">
        <v>1.8672299999999999</v>
      </c>
      <c r="EO202">
        <v>1.8633999999999999</v>
      </c>
      <c r="EP202">
        <v>1.8644700000000001</v>
      </c>
      <c r="EQ202">
        <v>1.8701700000000001</v>
      </c>
      <c r="ER202">
        <v>1.8694299999999999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-3.5999999999999997E-2</v>
      </c>
      <c r="FG202">
        <v>0.28149999999999997</v>
      </c>
      <c r="FH202">
        <v>0.23539598422606861</v>
      </c>
      <c r="FI202">
        <v>-6.1462078757559423E-4</v>
      </c>
      <c r="FJ202">
        <v>-1.8861989874597051E-7</v>
      </c>
      <c r="FK202">
        <v>1.1980462299894961E-10</v>
      </c>
      <c r="FL202">
        <v>0.28151999999999688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40.200000000000003</v>
      </c>
      <c r="FU202">
        <v>40.4</v>
      </c>
      <c r="FV202">
        <v>1.7614700000000001</v>
      </c>
      <c r="FW202">
        <v>2.5878899999999998</v>
      </c>
      <c r="FX202">
        <v>1.5490699999999999</v>
      </c>
      <c r="FY202">
        <v>2.3303199999999999</v>
      </c>
      <c r="FZ202">
        <v>1.50146</v>
      </c>
      <c r="GA202">
        <v>2.3083499999999999</v>
      </c>
      <c r="GB202">
        <v>33.625399999999999</v>
      </c>
      <c r="GC202">
        <v>23.991199999999999</v>
      </c>
      <c r="GD202">
        <v>19</v>
      </c>
      <c r="GE202">
        <v>286.44099999999997</v>
      </c>
      <c r="GF202">
        <v>578.279</v>
      </c>
      <c r="GG202">
        <v>25.2837</v>
      </c>
      <c r="GH202">
        <v>26.114899999999999</v>
      </c>
      <c r="GI202">
        <v>30.000299999999999</v>
      </c>
      <c r="GJ202">
        <v>26.215900000000001</v>
      </c>
      <c r="GK202">
        <v>26.189800000000002</v>
      </c>
      <c r="GL202">
        <v>35.231499999999997</v>
      </c>
      <c r="GM202">
        <v>100</v>
      </c>
      <c r="GN202">
        <v>9.8616700000000002</v>
      </c>
      <c r="GO202">
        <v>25.2713</v>
      </c>
      <c r="GP202">
        <v>800</v>
      </c>
      <c r="GQ202">
        <v>0</v>
      </c>
      <c r="GR202">
        <v>99.785200000000003</v>
      </c>
      <c r="GS202">
        <v>99.658500000000004</v>
      </c>
    </row>
    <row r="203" spans="1:201" x14ac:dyDescent="0.25">
      <c r="A203">
        <v>187</v>
      </c>
      <c r="B203">
        <v>1690302899.5999999</v>
      </c>
      <c r="C203">
        <v>1995.599999904633</v>
      </c>
      <c r="D203" t="s">
        <v>705</v>
      </c>
      <c r="E203" t="s">
        <v>706</v>
      </c>
      <c r="F203" t="s">
        <v>330</v>
      </c>
      <c r="H203">
        <v>1690302899.5999999</v>
      </c>
      <c r="I203">
        <f t="shared" si="60"/>
        <v>2.4603320153337859E-3</v>
      </c>
      <c r="J203">
        <f t="shared" si="61"/>
        <v>2.460332015333786</v>
      </c>
      <c r="K203">
        <f t="shared" si="62"/>
        <v>35.438349139455696</v>
      </c>
      <c r="L203">
        <f t="shared" si="63"/>
        <v>403.178</v>
      </c>
      <c r="M203">
        <f t="shared" si="64"/>
        <v>107.98507394001386</v>
      </c>
      <c r="N203">
        <f t="shared" si="65"/>
        <v>10.73401978769515</v>
      </c>
      <c r="O203">
        <f t="shared" si="66"/>
        <v>40.077026130179995</v>
      </c>
      <c r="P203">
        <f t="shared" si="67"/>
        <v>0.20444284466024765</v>
      </c>
      <c r="Q203">
        <f t="shared" si="68"/>
        <v>2.1161904684658714</v>
      </c>
      <c r="R203">
        <f t="shared" si="69"/>
        <v>0.19406969334833962</v>
      </c>
      <c r="S203">
        <f t="shared" si="70"/>
        <v>0.12218166965851349</v>
      </c>
      <c r="T203">
        <f t="shared" si="71"/>
        <v>276.11405688600001</v>
      </c>
      <c r="U203">
        <f t="shared" si="72"/>
        <v>28.160610278278121</v>
      </c>
      <c r="V203">
        <f t="shared" si="73"/>
        <v>28.160610278278121</v>
      </c>
      <c r="W203">
        <f t="shared" si="74"/>
        <v>3.8305163249725034</v>
      </c>
      <c r="X203">
        <f t="shared" si="75"/>
        <v>73.699297180498064</v>
      </c>
      <c r="Y203">
        <f t="shared" si="76"/>
        <v>2.6111627144849998</v>
      </c>
      <c r="Z203">
        <f t="shared" si="77"/>
        <v>3.5429954075273771</v>
      </c>
      <c r="AA203">
        <f t="shared" si="78"/>
        <v>1.2193536104875036</v>
      </c>
      <c r="AB203">
        <f t="shared" si="79"/>
        <v>-108.50064187621996</v>
      </c>
      <c r="AC203">
        <f t="shared" si="80"/>
        <v>-152.12619254742813</v>
      </c>
      <c r="AD203">
        <f t="shared" si="81"/>
        <v>-15.590842728139092</v>
      </c>
      <c r="AE203">
        <f t="shared" si="82"/>
        <v>-0.103620265787157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52497.851457725905</v>
      </c>
      <c r="AK203">
        <f t="shared" si="86"/>
        <v>1800</v>
      </c>
      <c r="AL203">
        <f t="shared" si="87"/>
        <v>1499.1102396000001</v>
      </c>
      <c r="AM203">
        <f t="shared" si="88"/>
        <v>0.83283902200000004</v>
      </c>
      <c r="AN203">
        <f t="shared" si="89"/>
        <v>0.15339669826999999</v>
      </c>
      <c r="AO203">
        <v>32.700000000000003</v>
      </c>
      <c r="AP203">
        <v>0.5</v>
      </c>
      <c r="AQ203" t="s">
        <v>331</v>
      </c>
      <c r="AR203">
        <v>2</v>
      </c>
      <c r="AS203">
        <v>1690302899.5999999</v>
      </c>
      <c r="AT203">
        <v>403.178</v>
      </c>
      <c r="AU203">
        <v>800.05</v>
      </c>
      <c r="AV203">
        <v>26.2685</v>
      </c>
      <c r="AW203">
        <v>0.16969400000000001</v>
      </c>
      <c r="AX203">
        <v>403.214</v>
      </c>
      <c r="AY203">
        <v>25.986899999999999</v>
      </c>
      <c r="AZ203">
        <v>300.16500000000002</v>
      </c>
      <c r="BA203">
        <v>99.302800000000005</v>
      </c>
      <c r="BB203">
        <v>0.10001</v>
      </c>
      <c r="BC203">
        <v>26.827200000000001</v>
      </c>
      <c r="BD203">
        <v>27.004999999999999</v>
      </c>
      <c r="BE203">
        <v>28.1142</v>
      </c>
      <c r="BF203">
        <v>0</v>
      </c>
      <c r="BG203">
        <v>0</v>
      </c>
      <c r="BH203">
        <v>9991.8799999999992</v>
      </c>
      <c r="BI203">
        <v>1078.0899999999999</v>
      </c>
      <c r="BJ203">
        <v>1.696</v>
      </c>
      <c r="BK203">
        <v>-396.87200000000001</v>
      </c>
      <c r="BL203">
        <v>414.05500000000001</v>
      </c>
      <c r="BM203">
        <v>800.18600000000004</v>
      </c>
      <c r="BN203">
        <v>26.098800000000001</v>
      </c>
      <c r="BO203">
        <v>800.05</v>
      </c>
      <c r="BP203">
        <v>0.16969400000000001</v>
      </c>
      <c r="BQ203">
        <v>2.60853</v>
      </c>
      <c r="BR203">
        <v>1.6851100000000001E-2</v>
      </c>
      <c r="BS203">
        <v>21.72</v>
      </c>
      <c r="BT203">
        <v>-41.062199999999997</v>
      </c>
      <c r="BU203">
        <v>1800</v>
      </c>
      <c r="BV203">
        <v>0.91000099999999995</v>
      </c>
      <c r="BW203">
        <v>3.3994000000000003E-2</v>
      </c>
      <c r="BX203">
        <v>2.19911E-2</v>
      </c>
      <c r="BY203">
        <v>3.4013500000000002E-2</v>
      </c>
      <c r="BZ203">
        <v>26</v>
      </c>
      <c r="CA203">
        <v>33528.5</v>
      </c>
      <c r="CB203">
        <v>1690300477.5</v>
      </c>
      <c r="CC203" t="s">
        <v>332</v>
      </c>
      <c r="CD203">
        <v>1690300477.5</v>
      </c>
      <c r="CE203">
        <v>1690300465.5</v>
      </c>
      <c r="CF203">
        <v>7</v>
      </c>
      <c r="CG203">
        <v>5.0999999999999997E-2</v>
      </c>
      <c r="CH203">
        <v>-8.0000000000000002E-3</v>
      </c>
      <c r="CI203">
        <v>-0.316</v>
      </c>
      <c r="CJ203">
        <v>0.28199999999999997</v>
      </c>
      <c r="CK203">
        <v>800</v>
      </c>
      <c r="CL203">
        <v>24</v>
      </c>
      <c r="CM203">
        <v>0.25</v>
      </c>
      <c r="CN203">
        <v>0.13</v>
      </c>
      <c r="CO203">
        <v>-396.444075</v>
      </c>
      <c r="CP203">
        <v>-2.0894296435269091</v>
      </c>
      <c r="CQ203">
        <v>0.20535571424968779</v>
      </c>
      <c r="CR203">
        <v>-1</v>
      </c>
      <c r="CS203">
        <v>26.078602499999999</v>
      </c>
      <c r="CT203">
        <v>0.11623001876169251</v>
      </c>
      <c r="CU203">
        <v>1.137876283916677E-2</v>
      </c>
      <c r="CV203">
        <v>-1</v>
      </c>
      <c r="CW203">
        <v>0</v>
      </c>
      <c r="CX203">
        <v>0</v>
      </c>
      <c r="CY203" t="s">
        <v>333</v>
      </c>
      <c r="CZ203">
        <v>2.3647399999999998</v>
      </c>
      <c r="DA203">
        <v>2.7137899999999999</v>
      </c>
      <c r="DB203">
        <v>9.0257500000000004E-2</v>
      </c>
      <c r="DC203">
        <v>0.14634800000000001</v>
      </c>
      <c r="DD203">
        <v>0.121369</v>
      </c>
      <c r="DE203">
        <v>1.4313399999999999E-3</v>
      </c>
      <c r="DF203">
        <v>33234</v>
      </c>
      <c r="DG203">
        <v>27535</v>
      </c>
      <c r="DH203">
        <v>31186.3</v>
      </c>
      <c r="DI203">
        <v>28106.5</v>
      </c>
      <c r="DJ203">
        <v>37194.199999999997</v>
      </c>
      <c r="DK203">
        <v>39919.599999999999</v>
      </c>
      <c r="DL203">
        <v>44384.3</v>
      </c>
      <c r="DM203">
        <v>42602.2</v>
      </c>
      <c r="DN203">
        <v>1.4859800000000001</v>
      </c>
      <c r="DO203">
        <v>2.0326200000000001</v>
      </c>
      <c r="DP203">
        <v>8.7387900000000004E-2</v>
      </c>
      <c r="DQ203">
        <v>0.16514999999999999</v>
      </c>
      <c r="DR203">
        <v>25.574300000000001</v>
      </c>
      <c r="DS203">
        <v>25.412299999999998</v>
      </c>
      <c r="DT203">
        <v>23.3</v>
      </c>
      <c r="DU203">
        <v>29.2</v>
      </c>
      <c r="DV203">
        <v>9.5465300000000006</v>
      </c>
      <c r="DW203">
        <v>61.881100000000004</v>
      </c>
      <c r="DX203">
        <v>36.887</v>
      </c>
      <c r="DY203">
        <v>1</v>
      </c>
      <c r="DZ203">
        <v>-0.101941</v>
      </c>
      <c r="EA203">
        <v>-0.11504399999999999</v>
      </c>
      <c r="EB203">
        <v>20.189499999999999</v>
      </c>
      <c r="EC203">
        <v>5.2406499999999996</v>
      </c>
      <c r="ED203">
        <v>12.039899999999999</v>
      </c>
      <c r="EE203">
        <v>5.0164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1.8689100000000001</v>
      </c>
      <c r="EL203">
        <v>1.8646199999999999</v>
      </c>
      <c r="EM203">
        <v>1.8692</v>
      </c>
      <c r="EN203">
        <v>1.8672299999999999</v>
      </c>
      <c r="EO203">
        <v>1.86338</v>
      </c>
      <c r="EP203">
        <v>1.8644700000000001</v>
      </c>
      <c r="EQ203">
        <v>1.87015</v>
      </c>
      <c r="ER203">
        <v>1.86941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-3.5999999999999997E-2</v>
      </c>
      <c r="FG203">
        <v>0.28160000000000002</v>
      </c>
      <c r="FH203">
        <v>0.23539598422606861</v>
      </c>
      <c r="FI203">
        <v>-6.1462078757559423E-4</v>
      </c>
      <c r="FJ203">
        <v>-1.8861989874597051E-7</v>
      </c>
      <c r="FK203">
        <v>1.1980462299894961E-10</v>
      </c>
      <c r="FL203">
        <v>0.28151999999999688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40.4</v>
      </c>
      <c r="FU203">
        <v>40.6</v>
      </c>
      <c r="FV203">
        <v>1.7626999999999999</v>
      </c>
      <c r="FW203">
        <v>2.5830099999999998</v>
      </c>
      <c r="FX203">
        <v>1.5490699999999999</v>
      </c>
      <c r="FY203">
        <v>2.3303199999999999</v>
      </c>
      <c r="FZ203">
        <v>1.50146</v>
      </c>
      <c r="GA203">
        <v>2.31812</v>
      </c>
      <c r="GB203">
        <v>33.625399999999999</v>
      </c>
      <c r="GC203">
        <v>23.982399999999998</v>
      </c>
      <c r="GD203">
        <v>19</v>
      </c>
      <c r="GE203">
        <v>286.47199999999998</v>
      </c>
      <c r="GF203">
        <v>578.42700000000002</v>
      </c>
      <c r="GG203">
        <v>25.2623</v>
      </c>
      <c r="GH203">
        <v>26.117699999999999</v>
      </c>
      <c r="GI203">
        <v>30</v>
      </c>
      <c r="GJ203">
        <v>26.218</v>
      </c>
      <c r="GK203">
        <v>26.192</v>
      </c>
      <c r="GL203">
        <v>35.232599999999998</v>
      </c>
      <c r="GM203">
        <v>100</v>
      </c>
      <c r="GN203">
        <v>9.1110500000000005</v>
      </c>
      <c r="GO203">
        <v>25.257000000000001</v>
      </c>
      <c r="GP203">
        <v>800</v>
      </c>
      <c r="GQ203">
        <v>0</v>
      </c>
      <c r="GR203">
        <v>99.787199999999999</v>
      </c>
      <c r="GS203">
        <v>99.659000000000006</v>
      </c>
    </row>
    <row r="204" spans="1:201" x14ac:dyDescent="0.25">
      <c r="A204">
        <v>188</v>
      </c>
      <c r="B204">
        <v>1690302909.5999999</v>
      </c>
      <c r="C204">
        <v>2005.599999904633</v>
      </c>
      <c r="D204" t="s">
        <v>707</v>
      </c>
      <c r="E204" t="s">
        <v>708</v>
      </c>
      <c r="F204" t="s">
        <v>330</v>
      </c>
      <c r="H204">
        <v>1690302909.5999999</v>
      </c>
      <c r="I204">
        <f t="shared" si="60"/>
        <v>2.4608852156117688E-3</v>
      </c>
      <c r="J204">
        <f t="shared" si="61"/>
        <v>2.4608852156117687</v>
      </c>
      <c r="K204">
        <f t="shared" si="62"/>
        <v>35.462460031557455</v>
      </c>
      <c r="L204">
        <f t="shared" si="63"/>
        <v>402.73399999999998</v>
      </c>
      <c r="M204">
        <f t="shared" si="64"/>
        <v>107.77356890108692</v>
      </c>
      <c r="N204">
        <f t="shared" si="65"/>
        <v>10.713272904666791</v>
      </c>
      <c r="O204">
        <f t="shared" si="66"/>
        <v>40.033927557395401</v>
      </c>
      <c r="P204">
        <f t="shared" si="67"/>
        <v>0.20473447809569018</v>
      </c>
      <c r="Q204">
        <f t="shared" si="68"/>
        <v>2.1198065258383809</v>
      </c>
      <c r="R204">
        <f t="shared" si="69"/>
        <v>0.19434929749860752</v>
      </c>
      <c r="S204">
        <f t="shared" si="70"/>
        <v>0.12235746388585254</v>
      </c>
      <c r="T204">
        <f t="shared" si="71"/>
        <v>276.11403490799995</v>
      </c>
      <c r="U204">
        <f t="shared" si="72"/>
        <v>28.158551334940256</v>
      </c>
      <c r="V204">
        <f t="shared" si="73"/>
        <v>28.158551334940256</v>
      </c>
      <c r="W204">
        <f t="shared" si="74"/>
        <v>3.830057123293884</v>
      </c>
      <c r="X204">
        <f t="shared" si="75"/>
        <v>73.726430675158099</v>
      </c>
      <c r="Y204">
        <f t="shared" si="76"/>
        <v>2.61215477602518</v>
      </c>
      <c r="Z204">
        <f t="shared" si="77"/>
        <v>3.5430370792456354</v>
      </c>
      <c r="AA204">
        <f t="shared" si="78"/>
        <v>1.2179023472687041</v>
      </c>
      <c r="AB204">
        <f t="shared" si="79"/>
        <v>-108.525038008479</v>
      </c>
      <c r="AC204">
        <f t="shared" si="80"/>
        <v>-152.12798055175233</v>
      </c>
      <c r="AD204">
        <f t="shared" si="81"/>
        <v>-15.564285441999678</v>
      </c>
      <c r="AE204">
        <f t="shared" si="82"/>
        <v>-0.10326909423105235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52656.482457350925</v>
      </c>
      <c r="AK204">
        <f t="shared" si="86"/>
        <v>1800</v>
      </c>
      <c r="AL204">
        <f t="shared" si="87"/>
        <v>1499.1104988</v>
      </c>
      <c r="AM204">
        <f t="shared" si="88"/>
        <v>0.83283916599999996</v>
      </c>
      <c r="AN204">
        <f t="shared" si="89"/>
        <v>0.15339668605999998</v>
      </c>
      <c r="AO204">
        <v>32.700000000000003</v>
      </c>
      <c r="AP204">
        <v>0.5</v>
      </c>
      <c r="AQ204" t="s">
        <v>331</v>
      </c>
      <c r="AR204">
        <v>2</v>
      </c>
      <c r="AS204">
        <v>1690302909.5999999</v>
      </c>
      <c r="AT204">
        <v>402.73399999999998</v>
      </c>
      <c r="AU204">
        <v>799.928</v>
      </c>
      <c r="AV204">
        <v>26.277799999999999</v>
      </c>
      <c r="AW204">
        <v>0.168852</v>
      </c>
      <c r="AX204">
        <v>402.76900000000001</v>
      </c>
      <c r="AY204">
        <v>25.996300000000002</v>
      </c>
      <c r="AZ204">
        <v>300.113</v>
      </c>
      <c r="BA204">
        <v>99.305400000000006</v>
      </c>
      <c r="BB204">
        <v>9.9983100000000005E-2</v>
      </c>
      <c r="BC204">
        <v>26.827400000000001</v>
      </c>
      <c r="BD204">
        <v>26.996200000000002</v>
      </c>
      <c r="BE204">
        <v>28.108899999999998</v>
      </c>
      <c r="BF204">
        <v>0</v>
      </c>
      <c r="BG204">
        <v>0</v>
      </c>
      <c r="BH204">
        <v>10023.1</v>
      </c>
      <c r="BI204">
        <v>1078.18</v>
      </c>
      <c r="BJ204">
        <v>1.7184299999999999</v>
      </c>
      <c r="BK204">
        <v>-397.19400000000002</v>
      </c>
      <c r="BL204">
        <v>413.60300000000001</v>
      </c>
      <c r="BM204">
        <v>800.06299999999999</v>
      </c>
      <c r="BN204">
        <v>26.109000000000002</v>
      </c>
      <c r="BO204">
        <v>799.928</v>
      </c>
      <c r="BP204">
        <v>0.168852</v>
      </c>
      <c r="BQ204">
        <v>2.6095299999999999</v>
      </c>
      <c r="BR204">
        <v>1.6767899999999999E-2</v>
      </c>
      <c r="BS204">
        <v>21.726299999999998</v>
      </c>
      <c r="BT204">
        <v>-41.109099999999998</v>
      </c>
      <c r="BU204">
        <v>1800</v>
      </c>
      <c r="BV204">
        <v>0.91000199999999998</v>
      </c>
      <c r="BW204">
        <v>3.3993700000000002E-2</v>
      </c>
      <c r="BX204">
        <v>2.1990800000000001E-2</v>
      </c>
      <c r="BY204">
        <v>3.40132E-2</v>
      </c>
      <c r="BZ204">
        <v>26</v>
      </c>
      <c r="CA204">
        <v>33528.5</v>
      </c>
      <c r="CB204">
        <v>1690300477.5</v>
      </c>
      <c r="CC204" t="s">
        <v>332</v>
      </c>
      <c r="CD204">
        <v>1690300477.5</v>
      </c>
      <c r="CE204">
        <v>1690300465.5</v>
      </c>
      <c r="CF204">
        <v>7</v>
      </c>
      <c r="CG204">
        <v>5.0999999999999997E-2</v>
      </c>
      <c r="CH204">
        <v>-8.0000000000000002E-3</v>
      </c>
      <c r="CI204">
        <v>-0.316</v>
      </c>
      <c r="CJ204">
        <v>0.28199999999999997</v>
      </c>
      <c r="CK204">
        <v>800</v>
      </c>
      <c r="CL204">
        <v>24</v>
      </c>
      <c r="CM204">
        <v>0.25</v>
      </c>
      <c r="CN204">
        <v>0.13</v>
      </c>
      <c r="CO204">
        <v>-396.82021951219519</v>
      </c>
      <c r="CP204">
        <v>-2.2040905923352629</v>
      </c>
      <c r="CQ204">
        <v>0.22107117408092369</v>
      </c>
      <c r="CR204">
        <v>-1</v>
      </c>
      <c r="CS204">
        <v>26.09636585365854</v>
      </c>
      <c r="CT204">
        <v>9.0562369338056253E-2</v>
      </c>
      <c r="CU204">
        <v>9.1642893822175085E-3</v>
      </c>
      <c r="CV204">
        <v>-1</v>
      </c>
      <c r="CW204">
        <v>0</v>
      </c>
      <c r="CX204">
        <v>0</v>
      </c>
      <c r="CY204" t="s">
        <v>333</v>
      </c>
      <c r="CZ204">
        <v>2.36456</v>
      </c>
      <c r="DA204">
        <v>2.7137899999999999</v>
      </c>
      <c r="DB204">
        <v>9.0183200000000005E-2</v>
      </c>
      <c r="DC204">
        <v>0.14633599999999999</v>
      </c>
      <c r="DD204">
        <v>0.121401</v>
      </c>
      <c r="DE204">
        <v>1.4243400000000001E-3</v>
      </c>
      <c r="DF204">
        <v>33236.300000000003</v>
      </c>
      <c r="DG204">
        <v>27535.1</v>
      </c>
      <c r="DH204">
        <v>31185.9</v>
      </c>
      <c r="DI204">
        <v>28106.2</v>
      </c>
      <c r="DJ204">
        <v>37192.5</v>
      </c>
      <c r="DK204">
        <v>39919.699999999997</v>
      </c>
      <c r="DL204">
        <v>44384</v>
      </c>
      <c r="DM204">
        <v>42601.9</v>
      </c>
      <c r="DN204">
        <v>1.48573</v>
      </c>
      <c r="DO204">
        <v>2.03295</v>
      </c>
      <c r="DP204">
        <v>8.66503E-2</v>
      </c>
      <c r="DQ204">
        <v>0.16469500000000001</v>
      </c>
      <c r="DR204">
        <v>25.577500000000001</v>
      </c>
      <c r="DS204">
        <v>25.4145</v>
      </c>
      <c r="DT204">
        <v>23.1</v>
      </c>
      <c r="DU204">
        <v>29.2</v>
      </c>
      <c r="DV204">
        <v>9.4655900000000006</v>
      </c>
      <c r="DW204">
        <v>61.5411</v>
      </c>
      <c r="DX204">
        <v>37.031199999999998</v>
      </c>
      <c r="DY204">
        <v>1</v>
      </c>
      <c r="DZ204">
        <v>-0.10179100000000001</v>
      </c>
      <c r="EA204">
        <v>-5.3499499999999998E-2</v>
      </c>
      <c r="EB204">
        <v>20.189299999999999</v>
      </c>
      <c r="EC204">
        <v>5.2406499999999996</v>
      </c>
      <c r="ED204">
        <v>12.039899999999999</v>
      </c>
      <c r="EE204">
        <v>5.0160499999999999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1.8646199999999999</v>
      </c>
      <c r="EM204">
        <v>1.8692</v>
      </c>
      <c r="EN204">
        <v>1.8672500000000001</v>
      </c>
      <c r="EO204">
        <v>1.86338</v>
      </c>
      <c r="EP204">
        <v>1.8644700000000001</v>
      </c>
      <c r="EQ204">
        <v>1.87015</v>
      </c>
      <c r="ER204">
        <v>1.8694200000000001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-3.5000000000000003E-2</v>
      </c>
      <c r="FG204">
        <v>0.28149999999999997</v>
      </c>
      <c r="FH204">
        <v>0.23539598422606861</v>
      </c>
      <c r="FI204">
        <v>-6.1462078757559423E-4</v>
      </c>
      <c r="FJ204">
        <v>-1.8861989874597051E-7</v>
      </c>
      <c r="FK204">
        <v>1.1980462299894961E-10</v>
      </c>
      <c r="FL204">
        <v>0.28151999999999688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40.5</v>
      </c>
      <c r="FU204">
        <v>40.700000000000003</v>
      </c>
      <c r="FV204">
        <v>1.7626999999999999</v>
      </c>
      <c r="FW204">
        <v>2.5891099999999998</v>
      </c>
      <c r="FX204">
        <v>1.5490699999999999</v>
      </c>
      <c r="FY204">
        <v>2.3315399999999999</v>
      </c>
      <c r="FZ204">
        <v>1.50146</v>
      </c>
      <c r="GA204">
        <v>2.3645</v>
      </c>
      <c r="GB204">
        <v>33.625399999999999</v>
      </c>
      <c r="GC204">
        <v>23.991199999999999</v>
      </c>
      <c r="GD204">
        <v>19</v>
      </c>
      <c r="GE204">
        <v>286.37400000000002</v>
      </c>
      <c r="GF204">
        <v>578.70600000000002</v>
      </c>
      <c r="GG204">
        <v>25.239599999999999</v>
      </c>
      <c r="GH204">
        <v>26.119299999999999</v>
      </c>
      <c r="GI204">
        <v>30.000399999999999</v>
      </c>
      <c r="GJ204">
        <v>26.220199999999998</v>
      </c>
      <c r="GK204">
        <v>26.193200000000001</v>
      </c>
      <c r="GL204">
        <v>35.237099999999998</v>
      </c>
      <c r="GM204">
        <v>100</v>
      </c>
      <c r="GN204">
        <v>8.7402300000000004</v>
      </c>
      <c r="GO204">
        <v>25.222000000000001</v>
      </c>
      <c r="GP204">
        <v>800</v>
      </c>
      <c r="GQ204">
        <v>0</v>
      </c>
      <c r="GR204">
        <v>99.786199999999994</v>
      </c>
      <c r="GS204">
        <v>99.658299999999997</v>
      </c>
    </row>
    <row r="205" spans="1:201" x14ac:dyDescent="0.25">
      <c r="A205">
        <v>189</v>
      </c>
      <c r="B205">
        <v>1690302919.5999999</v>
      </c>
      <c r="C205">
        <v>2015.599999904633</v>
      </c>
      <c r="D205" t="s">
        <v>709</v>
      </c>
      <c r="E205" t="s">
        <v>710</v>
      </c>
      <c r="F205" t="s">
        <v>330</v>
      </c>
      <c r="H205">
        <v>1690302919.5999999</v>
      </c>
      <c r="I205">
        <f t="shared" si="60"/>
        <v>2.4624453086187791E-3</v>
      </c>
      <c r="J205">
        <f t="shared" si="61"/>
        <v>2.4624453086187792</v>
      </c>
      <c r="K205">
        <f t="shared" si="62"/>
        <v>35.507437801044119</v>
      </c>
      <c r="L205">
        <f t="shared" si="63"/>
        <v>402.31400000000002</v>
      </c>
      <c r="M205">
        <f t="shared" si="64"/>
        <v>107.87450519548887</v>
      </c>
      <c r="N205">
        <f t="shared" si="65"/>
        <v>10.722995718443592</v>
      </c>
      <c r="O205">
        <f t="shared" si="66"/>
        <v>39.991018189628008</v>
      </c>
      <c r="P205">
        <f t="shared" si="67"/>
        <v>0.20537217859012707</v>
      </c>
      <c r="Q205">
        <f t="shared" si="68"/>
        <v>2.1217097311988082</v>
      </c>
      <c r="R205">
        <f t="shared" si="69"/>
        <v>0.19493283603466624</v>
      </c>
      <c r="S205">
        <f t="shared" si="70"/>
        <v>0.12272672003666069</v>
      </c>
      <c r="T205">
        <f t="shared" si="71"/>
        <v>276.11404340400003</v>
      </c>
      <c r="U205">
        <f t="shared" si="72"/>
        <v>28.151927509285123</v>
      </c>
      <c r="V205">
        <f t="shared" si="73"/>
        <v>28.151927509285123</v>
      </c>
      <c r="W205">
        <f t="shared" si="74"/>
        <v>3.8285801515330165</v>
      </c>
      <c r="X205">
        <f t="shared" si="75"/>
        <v>73.788632652637389</v>
      </c>
      <c r="Y205">
        <f t="shared" si="76"/>
        <v>2.613589985086</v>
      </c>
      <c r="Z205">
        <f t="shared" si="77"/>
        <v>3.5419954146454615</v>
      </c>
      <c r="AA205">
        <f t="shared" si="78"/>
        <v>1.2149901664470164</v>
      </c>
      <c r="AB205">
        <f t="shared" si="79"/>
        <v>-108.59383811008816</v>
      </c>
      <c r="AC205">
        <f t="shared" si="80"/>
        <v>-152.07882184674273</v>
      </c>
      <c r="AD205">
        <f t="shared" si="81"/>
        <v>-15.544396943803909</v>
      </c>
      <c r="AE205">
        <f t="shared" si="82"/>
        <v>-0.10301349663475889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52740.906986877904</v>
      </c>
      <c r="AK205">
        <f t="shared" si="86"/>
        <v>1800</v>
      </c>
      <c r="AL205">
        <f t="shared" si="87"/>
        <v>1499.1112043999999</v>
      </c>
      <c r="AM205">
        <f t="shared" si="88"/>
        <v>0.83283955799999998</v>
      </c>
      <c r="AN205">
        <f t="shared" si="89"/>
        <v>0.15339669078000001</v>
      </c>
      <c r="AO205">
        <v>32.700000000000003</v>
      </c>
      <c r="AP205">
        <v>0.5</v>
      </c>
      <c r="AQ205" t="s">
        <v>331</v>
      </c>
      <c r="AR205">
        <v>2</v>
      </c>
      <c r="AS205">
        <v>1690302919.5999999</v>
      </c>
      <c r="AT205">
        <v>402.31400000000002</v>
      </c>
      <c r="AU205">
        <v>799.99099999999999</v>
      </c>
      <c r="AV205">
        <v>26.292999999999999</v>
      </c>
      <c r="AW205">
        <v>0.16808200000000001</v>
      </c>
      <c r="AX205">
        <v>402.34899999999999</v>
      </c>
      <c r="AY205">
        <v>26.011500000000002</v>
      </c>
      <c r="AZ205">
        <v>300.11500000000001</v>
      </c>
      <c r="BA205">
        <v>99.302499999999995</v>
      </c>
      <c r="BB205">
        <v>0.10000199999999999</v>
      </c>
      <c r="BC205">
        <v>26.822399999999998</v>
      </c>
      <c r="BD205">
        <v>27.0366</v>
      </c>
      <c r="BE205">
        <v>28.098800000000001</v>
      </c>
      <c r="BF205">
        <v>0</v>
      </c>
      <c r="BG205">
        <v>0</v>
      </c>
      <c r="BH205">
        <v>10040</v>
      </c>
      <c r="BI205">
        <v>1078.21</v>
      </c>
      <c r="BJ205">
        <v>1.62592</v>
      </c>
      <c r="BK205">
        <v>-397.67700000000002</v>
      </c>
      <c r="BL205">
        <v>413.178</v>
      </c>
      <c r="BM205">
        <v>800.125</v>
      </c>
      <c r="BN205">
        <v>26.1249</v>
      </c>
      <c r="BO205">
        <v>799.99099999999999</v>
      </c>
      <c r="BP205">
        <v>0.16808200000000001</v>
      </c>
      <c r="BQ205">
        <v>2.6109599999999999</v>
      </c>
      <c r="BR205">
        <v>1.6690900000000002E-2</v>
      </c>
      <c r="BS205">
        <v>21.735199999999999</v>
      </c>
      <c r="BT205">
        <v>-41.1526</v>
      </c>
      <c r="BU205">
        <v>1800</v>
      </c>
      <c r="BV205">
        <v>0.91000400000000004</v>
      </c>
      <c r="BW205">
        <v>3.3993000000000002E-2</v>
      </c>
      <c r="BX205">
        <v>2.19904E-2</v>
      </c>
      <c r="BY205">
        <v>3.4012599999999997E-2</v>
      </c>
      <c r="BZ205">
        <v>26</v>
      </c>
      <c r="CA205">
        <v>33528.5</v>
      </c>
      <c r="CB205">
        <v>1690300477.5</v>
      </c>
      <c r="CC205" t="s">
        <v>332</v>
      </c>
      <c r="CD205">
        <v>1690300477.5</v>
      </c>
      <c r="CE205">
        <v>1690300465.5</v>
      </c>
      <c r="CF205">
        <v>7</v>
      </c>
      <c r="CG205">
        <v>5.0999999999999997E-2</v>
      </c>
      <c r="CH205">
        <v>-8.0000000000000002E-3</v>
      </c>
      <c r="CI205">
        <v>-0.316</v>
      </c>
      <c r="CJ205">
        <v>0.28199999999999997</v>
      </c>
      <c r="CK205">
        <v>800</v>
      </c>
      <c r="CL205">
        <v>24</v>
      </c>
      <c r="CM205">
        <v>0.25</v>
      </c>
      <c r="CN205">
        <v>0.13</v>
      </c>
      <c r="CO205">
        <v>-397.21329268292692</v>
      </c>
      <c r="CP205">
        <v>-2.428766550522349</v>
      </c>
      <c r="CQ205">
        <v>0.2414833472925807</v>
      </c>
      <c r="CR205">
        <v>-1</v>
      </c>
      <c r="CS205">
        <v>26.109436585365849</v>
      </c>
      <c r="CT205">
        <v>7.0839721254296092E-2</v>
      </c>
      <c r="CU205">
        <v>7.0224988984904577E-3</v>
      </c>
      <c r="CV205">
        <v>-1</v>
      </c>
      <c r="CW205">
        <v>0</v>
      </c>
      <c r="CX205">
        <v>0</v>
      </c>
      <c r="CY205" t="s">
        <v>333</v>
      </c>
      <c r="CZ205">
        <v>2.3645800000000001</v>
      </c>
      <c r="DA205">
        <v>2.7138300000000002</v>
      </c>
      <c r="DB205">
        <v>9.0108300000000002E-2</v>
      </c>
      <c r="DC205">
        <v>0.146339</v>
      </c>
      <c r="DD205">
        <v>0.121447</v>
      </c>
      <c r="DE205">
        <v>1.4178699999999999E-3</v>
      </c>
      <c r="DF205">
        <v>33238.9</v>
      </c>
      <c r="DG205">
        <v>27535.200000000001</v>
      </c>
      <c r="DH205">
        <v>31185.8</v>
      </c>
      <c r="DI205">
        <v>28106.400000000001</v>
      </c>
      <c r="DJ205">
        <v>37190.300000000003</v>
      </c>
      <c r="DK205">
        <v>39920.300000000003</v>
      </c>
      <c r="DL205">
        <v>44383.7</v>
      </c>
      <c r="DM205">
        <v>42602.3</v>
      </c>
      <c r="DN205">
        <v>1.4859</v>
      </c>
      <c r="DO205">
        <v>2.0327500000000001</v>
      </c>
      <c r="DP205">
        <v>8.8922699999999993E-2</v>
      </c>
      <c r="DQ205">
        <v>0.16389799999999999</v>
      </c>
      <c r="DR205">
        <v>25.5807</v>
      </c>
      <c r="DS205">
        <v>25.417300000000001</v>
      </c>
      <c r="DT205">
        <v>22.9</v>
      </c>
      <c r="DU205">
        <v>29.2</v>
      </c>
      <c r="DV205">
        <v>9.3828099999999992</v>
      </c>
      <c r="DW205">
        <v>61.321100000000001</v>
      </c>
      <c r="DX205">
        <v>37.1755</v>
      </c>
      <c r="DY205">
        <v>1</v>
      </c>
      <c r="DZ205">
        <v>-0.101781</v>
      </c>
      <c r="EA205">
        <v>-0.15731500000000001</v>
      </c>
      <c r="EB205">
        <v>20.189499999999999</v>
      </c>
      <c r="EC205">
        <v>5.2408000000000001</v>
      </c>
      <c r="ED205">
        <v>12.039899999999999</v>
      </c>
      <c r="EE205">
        <v>5.0160499999999999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</v>
      </c>
      <c r="EL205">
        <v>1.8646199999999999</v>
      </c>
      <c r="EM205">
        <v>1.8692</v>
      </c>
      <c r="EN205">
        <v>1.8672500000000001</v>
      </c>
      <c r="EO205">
        <v>1.8633900000000001</v>
      </c>
      <c r="EP205">
        <v>1.8644700000000001</v>
      </c>
      <c r="EQ205">
        <v>1.8701399999999999</v>
      </c>
      <c r="ER205">
        <v>1.8693900000000001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-3.5000000000000003E-2</v>
      </c>
      <c r="FG205">
        <v>0.28149999999999997</v>
      </c>
      <c r="FH205">
        <v>0.23539598422606861</v>
      </c>
      <c r="FI205">
        <v>-6.1462078757559423E-4</v>
      </c>
      <c r="FJ205">
        <v>-1.8861989874597051E-7</v>
      </c>
      <c r="FK205">
        <v>1.1980462299894961E-10</v>
      </c>
      <c r="FL205">
        <v>0.28151999999999688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40.700000000000003</v>
      </c>
      <c r="FU205">
        <v>40.9</v>
      </c>
      <c r="FV205">
        <v>1.7626999999999999</v>
      </c>
      <c r="FW205">
        <v>2.5891099999999998</v>
      </c>
      <c r="FX205">
        <v>1.5490699999999999</v>
      </c>
      <c r="FY205">
        <v>2.3315399999999999</v>
      </c>
      <c r="FZ205">
        <v>1.50146</v>
      </c>
      <c r="GA205">
        <v>2.34863</v>
      </c>
      <c r="GB205">
        <v>33.625399999999999</v>
      </c>
      <c r="GC205">
        <v>23.991199999999999</v>
      </c>
      <c r="GD205">
        <v>19</v>
      </c>
      <c r="GE205">
        <v>286.45999999999998</v>
      </c>
      <c r="GF205">
        <v>578.553</v>
      </c>
      <c r="GG205">
        <v>25.242999999999999</v>
      </c>
      <c r="GH205">
        <v>26.1221</v>
      </c>
      <c r="GI205">
        <v>30.000299999999999</v>
      </c>
      <c r="GJ205">
        <v>26.2224</v>
      </c>
      <c r="GK205">
        <v>26.194199999999999</v>
      </c>
      <c r="GL205">
        <v>35.234400000000001</v>
      </c>
      <c r="GM205">
        <v>100</v>
      </c>
      <c r="GN205">
        <v>8.3557100000000002</v>
      </c>
      <c r="GO205">
        <v>25.241800000000001</v>
      </c>
      <c r="GP205">
        <v>800</v>
      </c>
      <c r="GQ205">
        <v>0</v>
      </c>
      <c r="GR205">
        <v>99.785600000000002</v>
      </c>
      <c r="GS205">
        <v>99.659099999999995</v>
      </c>
    </row>
    <row r="206" spans="1:201" x14ac:dyDescent="0.25">
      <c r="A206">
        <v>190</v>
      </c>
      <c r="B206">
        <v>1690302929.5999999</v>
      </c>
      <c r="C206">
        <v>2025.599999904633</v>
      </c>
      <c r="D206" t="s">
        <v>711</v>
      </c>
      <c r="E206" t="s">
        <v>712</v>
      </c>
      <c r="F206" t="s">
        <v>330</v>
      </c>
      <c r="H206">
        <v>1690302929.5999999</v>
      </c>
      <c r="I206">
        <f t="shared" si="60"/>
        <v>2.4640269235707011E-3</v>
      </c>
      <c r="J206">
        <f t="shared" si="61"/>
        <v>2.4640269235707009</v>
      </c>
      <c r="K206">
        <f t="shared" si="62"/>
        <v>35.536396988593459</v>
      </c>
      <c r="L206">
        <f t="shared" si="63"/>
        <v>401.91899999999998</v>
      </c>
      <c r="M206">
        <f t="shared" si="64"/>
        <v>107.71587356009761</v>
      </c>
      <c r="N206">
        <f t="shared" si="65"/>
        <v>10.707396278565442</v>
      </c>
      <c r="O206">
        <f t="shared" si="66"/>
        <v>39.952384571097603</v>
      </c>
      <c r="P206">
        <f t="shared" si="67"/>
        <v>0.20573372921195801</v>
      </c>
      <c r="Q206">
        <f t="shared" si="68"/>
        <v>2.1175758955812052</v>
      </c>
      <c r="R206">
        <f t="shared" si="69"/>
        <v>0.19523927635363089</v>
      </c>
      <c r="S206">
        <f t="shared" si="70"/>
        <v>0.12292280660315194</v>
      </c>
      <c r="T206">
        <f t="shared" si="71"/>
        <v>276.11400481199996</v>
      </c>
      <c r="U206">
        <f t="shared" si="72"/>
        <v>28.156724746439924</v>
      </c>
      <c r="V206">
        <f t="shared" si="73"/>
        <v>28.156724746439924</v>
      </c>
      <c r="W206">
        <f t="shared" si="74"/>
        <v>3.8296497834126617</v>
      </c>
      <c r="X206">
        <f t="shared" si="75"/>
        <v>73.837668443102885</v>
      </c>
      <c r="Y206">
        <f t="shared" si="76"/>
        <v>2.61578829135488</v>
      </c>
      <c r="Z206">
        <f t="shared" si="77"/>
        <v>3.5426203813173336</v>
      </c>
      <c r="AA206">
        <f t="shared" si="78"/>
        <v>1.2138614920577817</v>
      </c>
      <c r="AB206">
        <f t="shared" si="79"/>
        <v>-108.66358732946792</v>
      </c>
      <c r="AC206">
        <f t="shared" si="80"/>
        <v>-151.98769643668692</v>
      </c>
      <c r="AD206">
        <f t="shared" si="81"/>
        <v>-15.566015711701594</v>
      </c>
      <c r="AE206">
        <f t="shared" si="82"/>
        <v>-0.10329466585648106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52558.92534601927</v>
      </c>
      <c r="AK206">
        <f t="shared" si="86"/>
        <v>1800</v>
      </c>
      <c r="AL206">
        <f t="shared" si="87"/>
        <v>1499.1113591999999</v>
      </c>
      <c r="AM206">
        <f t="shared" si="88"/>
        <v>0.83283964399999999</v>
      </c>
      <c r="AN206">
        <f t="shared" si="89"/>
        <v>0.15339666933999999</v>
      </c>
      <c r="AO206">
        <v>32.700000000000003</v>
      </c>
      <c r="AP206">
        <v>0.5</v>
      </c>
      <c r="AQ206" t="s">
        <v>331</v>
      </c>
      <c r="AR206">
        <v>2</v>
      </c>
      <c r="AS206">
        <v>1690302929.5999999</v>
      </c>
      <c r="AT206">
        <v>401.91899999999998</v>
      </c>
      <c r="AU206">
        <v>800.01</v>
      </c>
      <c r="AV206">
        <v>26.314699999999998</v>
      </c>
      <c r="AW206">
        <v>0.166876</v>
      </c>
      <c r="AX206">
        <v>401.95299999999997</v>
      </c>
      <c r="AY206">
        <v>26.033200000000001</v>
      </c>
      <c r="AZ206">
        <v>300.03800000000001</v>
      </c>
      <c r="BA206">
        <v>99.304100000000005</v>
      </c>
      <c r="BB206">
        <v>9.9970400000000001E-2</v>
      </c>
      <c r="BC206">
        <v>26.825399999999998</v>
      </c>
      <c r="BD206">
        <v>27.018899999999999</v>
      </c>
      <c r="BE206">
        <v>28.110299999999999</v>
      </c>
      <c r="BF206">
        <v>0</v>
      </c>
      <c r="BG206">
        <v>0</v>
      </c>
      <c r="BH206">
        <v>10003.799999999999</v>
      </c>
      <c r="BI206">
        <v>1078.1099999999999</v>
      </c>
      <c r="BJ206">
        <v>1.7380500000000001</v>
      </c>
      <c r="BK206">
        <v>-398.09100000000001</v>
      </c>
      <c r="BL206">
        <v>412.78100000000001</v>
      </c>
      <c r="BM206">
        <v>800.14300000000003</v>
      </c>
      <c r="BN206">
        <v>26.1479</v>
      </c>
      <c r="BO206">
        <v>800.01</v>
      </c>
      <c r="BP206">
        <v>0.166876</v>
      </c>
      <c r="BQ206">
        <v>2.6131600000000001</v>
      </c>
      <c r="BR206">
        <v>1.65714E-2</v>
      </c>
      <c r="BS206">
        <v>21.748999999999999</v>
      </c>
      <c r="BT206">
        <v>-41.220599999999997</v>
      </c>
      <c r="BU206">
        <v>1800</v>
      </c>
      <c r="BV206">
        <v>0.91000499999999995</v>
      </c>
      <c r="BW206">
        <v>3.3992599999999998E-2</v>
      </c>
      <c r="BX206">
        <v>2.1990200000000001E-2</v>
      </c>
      <c r="BY206">
        <v>3.4012199999999999E-2</v>
      </c>
      <c r="BZ206">
        <v>26</v>
      </c>
      <c r="CA206">
        <v>33528.5</v>
      </c>
      <c r="CB206">
        <v>1690300477.5</v>
      </c>
      <c r="CC206" t="s">
        <v>332</v>
      </c>
      <c r="CD206">
        <v>1690300477.5</v>
      </c>
      <c r="CE206">
        <v>1690300465.5</v>
      </c>
      <c r="CF206">
        <v>7</v>
      </c>
      <c r="CG206">
        <v>5.0999999999999997E-2</v>
      </c>
      <c r="CH206">
        <v>-8.0000000000000002E-3</v>
      </c>
      <c r="CI206">
        <v>-0.316</v>
      </c>
      <c r="CJ206">
        <v>0.28199999999999997</v>
      </c>
      <c r="CK206">
        <v>800</v>
      </c>
      <c r="CL206">
        <v>24</v>
      </c>
      <c r="CM206">
        <v>0.25</v>
      </c>
      <c r="CN206">
        <v>0.13</v>
      </c>
      <c r="CO206">
        <v>-397.61278048780491</v>
      </c>
      <c r="CP206">
        <v>-2.312926829268434</v>
      </c>
      <c r="CQ206">
        <v>0.23566755338152731</v>
      </c>
      <c r="CR206">
        <v>-1</v>
      </c>
      <c r="CS206">
        <v>26.1258487804878</v>
      </c>
      <c r="CT206">
        <v>0.1234912891985798</v>
      </c>
      <c r="CU206">
        <v>1.233417069792171E-2</v>
      </c>
      <c r="CV206">
        <v>-1</v>
      </c>
      <c r="CW206">
        <v>0</v>
      </c>
      <c r="CX206">
        <v>0</v>
      </c>
      <c r="CY206" t="s">
        <v>333</v>
      </c>
      <c r="CZ206">
        <v>2.36435</v>
      </c>
      <c r="DA206">
        <v>2.7137600000000002</v>
      </c>
      <c r="DB206">
        <v>9.0041599999999999E-2</v>
      </c>
      <c r="DC206">
        <v>0.146343</v>
      </c>
      <c r="DD206">
        <v>0.121518</v>
      </c>
      <c r="DE206">
        <v>1.40781E-3</v>
      </c>
      <c r="DF206">
        <v>33241</v>
      </c>
      <c r="DG206">
        <v>27533.9</v>
      </c>
      <c r="DH206">
        <v>31185.5</v>
      </c>
      <c r="DI206">
        <v>28105.200000000001</v>
      </c>
      <c r="DJ206">
        <v>37187</v>
      </c>
      <c r="DK206">
        <v>39919</v>
      </c>
      <c r="DL206">
        <v>44383.3</v>
      </c>
      <c r="DM206">
        <v>42600.5</v>
      </c>
      <c r="DN206">
        <v>1.4861200000000001</v>
      </c>
      <c r="DO206">
        <v>2.0331999999999999</v>
      </c>
      <c r="DP206">
        <v>8.7626300000000004E-2</v>
      </c>
      <c r="DQ206">
        <v>0.16447200000000001</v>
      </c>
      <c r="DR206">
        <v>25.584299999999999</v>
      </c>
      <c r="DS206">
        <v>25.419499999999999</v>
      </c>
      <c r="DT206">
        <v>22.8</v>
      </c>
      <c r="DU206">
        <v>29.2</v>
      </c>
      <c r="DV206">
        <v>9.3409399999999998</v>
      </c>
      <c r="DW206">
        <v>62.061100000000003</v>
      </c>
      <c r="DX206">
        <v>37.147399999999998</v>
      </c>
      <c r="DY206">
        <v>1</v>
      </c>
      <c r="DZ206">
        <v>-0.101519</v>
      </c>
      <c r="EA206">
        <v>-2.9733099999999998E-2</v>
      </c>
      <c r="EB206">
        <v>20.189399999999999</v>
      </c>
      <c r="EC206">
        <v>5.2408000000000001</v>
      </c>
      <c r="ED206">
        <v>12.039899999999999</v>
      </c>
      <c r="EE206">
        <v>5.0164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1.8689100000000001</v>
      </c>
      <c r="EL206">
        <v>1.8646199999999999</v>
      </c>
      <c r="EM206">
        <v>1.8692</v>
      </c>
      <c r="EN206">
        <v>1.8672299999999999</v>
      </c>
      <c r="EO206">
        <v>1.8633999999999999</v>
      </c>
      <c r="EP206">
        <v>1.8644700000000001</v>
      </c>
      <c r="EQ206">
        <v>1.87015</v>
      </c>
      <c r="ER206">
        <v>1.86941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-3.4000000000000002E-2</v>
      </c>
      <c r="FG206">
        <v>0.28149999999999997</v>
      </c>
      <c r="FH206">
        <v>0.23539598422606861</v>
      </c>
      <c r="FI206">
        <v>-6.1462078757559423E-4</v>
      </c>
      <c r="FJ206">
        <v>-1.8861989874597051E-7</v>
      </c>
      <c r="FK206">
        <v>1.1980462299894961E-10</v>
      </c>
      <c r="FL206">
        <v>0.28151999999999688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40.9</v>
      </c>
      <c r="FU206">
        <v>41.1</v>
      </c>
      <c r="FV206">
        <v>1.7626999999999999</v>
      </c>
      <c r="FW206">
        <v>2.5878899999999998</v>
      </c>
      <c r="FX206">
        <v>1.5490699999999999</v>
      </c>
      <c r="FY206">
        <v>2.3315399999999999</v>
      </c>
      <c r="FZ206">
        <v>1.50146</v>
      </c>
      <c r="GA206">
        <v>2.3339799999999999</v>
      </c>
      <c r="GB206">
        <v>33.625399999999999</v>
      </c>
      <c r="GC206">
        <v>23.991199999999999</v>
      </c>
      <c r="GD206">
        <v>19</v>
      </c>
      <c r="GE206">
        <v>286.56599999999997</v>
      </c>
      <c r="GF206">
        <v>578.94799999999998</v>
      </c>
      <c r="GG206">
        <v>25.2089</v>
      </c>
      <c r="GH206">
        <v>26.124300000000002</v>
      </c>
      <c r="GI206">
        <v>30.000299999999999</v>
      </c>
      <c r="GJ206">
        <v>26.224599999999999</v>
      </c>
      <c r="GK206">
        <v>26.1965</v>
      </c>
      <c r="GL206">
        <v>35.237000000000002</v>
      </c>
      <c r="GM206">
        <v>100</v>
      </c>
      <c r="GN206">
        <v>7.9667599999999998</v>
      </c>
      <c r="GO206">
        <v>25.1951</v>
      </c>
      <c r="GP206">
        <v>800</v>
      </c>
      <c r="GQ206">
        <v>0</v>
      </c>
      <c r="GR206">
        <v>99.784899999999993</v>
      </c>
      <c r="GS206">
        <v>99.655000000000001</v>
      </c>
    </row>
    <row r="207" spans="1:201" x14ac:dyDescent="0.25">
      <c r="A207">
        <v>191</v>
      </c>
      <c r="B207">
        <v>1690302939.5999999</v>
      </c>
      <c r="C207">
        <v>2035.599999904633</v>
      </c>
      <c r="D207" t="s">
        <v>713</v>
      </c>
      <c r="E207" t="s">
        <v>714</v>
      </c>
      <c r="F207" t="s">
        <v>330</v>
      </c>
      <c r="H207">
        <v>1690302939.5999999</v>
      </c>
      <c r="I207">
        <f t="shared" si="60"/>
        <v>2.4661522513004653E-3</v>
      </c>
      <c r="J207">
        <f t="shared" si="61"/>
        <v>2.4661522513004654</v>
      </c>
      <c r="K207">
        <f t="shared" si="62"/>
        <v>35.562448072898178</v>
      </c>
      <c r="L207">
        <f t="shared" si="63"/>
        <v>401.66399999999999</v>
      </c>
      <c r="M207">
        <f t="shared" si="64"/>
        <v>107.96231320311799</v>
      </c>
      <c r="N207">
        <f t="shared" si="65"/>
        <v>10.731552501981882</v>
      </c>
      <c r="O207">
        <f t="shared" si="66"/>
        <v>39.925768319231999</v>
      </c>
      <c r="P207">
        <f t="shared" si="67"/>
        <v>0.2062424627911365</v>
      </c>
      <c r="Q207">
        <f t="shared" si="68"/>
        <v>2.1214048951368674</v>
      </c>
      <c r="R207">
        <f t="shared" si="69"/>
        <v>0.19571546311830754</v>
      </c>
      <c r="S207">
        <f t="shared" si="70"/>
        <v>0.12322318100182017</v>
      </c>
      <c r="T207">
        <f t="shared" si="71"/>
        <v>276.11573943600001</v>
      </c>
      <c r="U207">
        <f t="shared" si="72"/>
        <v>28.155111535941728</v>
      </c>
      <c r="V207">
        <f t="shared" si="73"/>
        <v>28.155111535941728</v>
      </c>
      <c r="W207">
        <f t="shared" si="74"/>
        <v>3.8292900594985957</v>
      </c>
      <c r="X207">
        <f t="shared" si="75"/>
        <v>73.877093897522258</v>
      </c>
      <c r="Y207">
        <f t="shared" si="76"/>
        <v>2.6173850807508003</v>
      </c>
      <c r="Z207">
        <f t="shared" si="77"/>
        <v>3.5428912301037112</v>
      </c>
      <c r="AA207">
        <f t="shared" si="78"/>
        <v>1.2119049787477953</v>
      </c>
      <c r="AB207">
        <f t="shared" si="79"/>
        <v>-108.75731428235052</v>
      </c>
      <c r="AC207">
        <f t="shared" si="80"/>
        <v>-151.92933900687666</v>
      </c>
      <c r="AD207">
        <f t="shared" si="81"/>
        <v>-15.531929472398206</v>
      </c>
      <c r="AE207">
        <f t="shared" si="82"/>
        <v>-0.10284332562537202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52726.717442362613</v>
      </c>
      <c r="AK207">
        <f t="shared" si="86"/>
        <v>1800</v>
      </c>
      <c r="AL207">
        <f t="shared" si="87"/>
        <v>1499.1119766000002</v>
      </c>
      <c r="AM207">
        <f t="shared" si="88"/>
        <v>0.83283998700000006</v>
      </c>
      <c r="AN207">
        <f t="shared" si="89"/>
        <v>0.15339763302000001</v>
      </c>
      <c r="AO207">
        <v>32.700000000000003</v>
      </c>
      <c r="AP207">
        <v>0.5</v>
      </c>
      <c r="AQ207" t="s">
        <v>331</v>
      </c>
      <c r="AR207">
        <v>2</v>
      </c>
      <c r="AS207">
        <v>1690302939.5999999</v>
      </c>
      <c r="AT207">
        <v>401.66399999999999</v>
      </c>
      <c r="AU207">
        <v>799.97500000000002</v>
      </c>
      <c r="AV207">
        <v>26.331600000000002</v>
      </c>
      <c r="AW207">
        <v>0.16603699999999999</v>
      </c>
      <c r="AX207">
        <v>401.69799999999998</v>
      </c>
      <c r="AY207">
        <v>26.0501</v>
      </c>
      <c r="AZ207">
        <v>300.08800000000002</v>
      </c>
      <c r="BA207">
        <v>99.300899999999999</v>
      </c>
      <c r="BB207">
        <v>0.100013</v>
      </c>
      <c r="BC207">
        <v>26.826699999999999</v>
      </c>
      <c r="BD207">
        <v>27.000399999999999</v>
      </c>
      <c r="BE207">
        <v>28.103899999999999</v>
      </c>
      <c r="BF207">
        <v>0</v>
      </c>
      <c r="BG207">
        <v>0</v>
      </c>
      <c r="BH207">
        <v>10037.5</v>
      </c>
      <c r="BI207">
        <v>1078.04</v>
      </c>
      <c r="BJ207">
        <v>1.72403</v>
      </c>
      <c r="BK207">
        <v>-398.31099999999998</v>
      </c>
      <c r="BL207">
        <v>412.52699999999999</v>
      </c>
      <c r="BM207">
        <v>800.10799999999995</v>
      </c>
      <c r="BN207">
        <v>26.165600000000001</v>
      </c>
      <c r="BO207">
        <v>799.97500000000002</v>
      </c>
      <c r="BP207">
        <v>0.16603699999999999</v>
      </c>
      <c r="BQ207">
        <v>2.6147499999999999</v>
      </c>
      <c r="BR207">
        <v>1.6487600000000002E-2</v>
      </c>
      <c r="BS207">
        <v>21.759</v>
      </c>
      <c r="BT207">
        <v>-41.268599999999999</v>
      </c>
      <c r="BU207">
        <v>1800</v>
      </c>
      <c r="BV207">
        <v>0.90999300000000005</v>
      </c>
      <c r="BW207">
        <v>3.3991500000000001E-2</v>
      </c>
      <c r="BX207">
        <v>2.2004099999999999E-2</v>
      </c>
      <c r="BY207">
        <v>3.4011E-2</v>
      </c>
      <c r="BZ207">
        <v>26</v>
      </c>
      <c r="CA207">
        <v>33528.400000000001</v>
      </c>
      <c r="CB207">
        <v>1690300477.5</v>
      </c>
      <c r="CC207" t="s">
        <v>332</v>
      </c>
      <c r="CD207">
        <v>1690300477.5</v>
      </c>
      <c r="CE207">
        <v>1690300465.5</v>
      </c>
      <c r="CF207">
        <v>7</v>
      </c>
      <c r="CG207">
        <v>5.0999999999999997E-2</v>
      </c>
      <c r="CH207">
        <v>-8.0000000000000002E-3</v>
      </c>
      <c r="CI207">
        <v>-0.316</v>
      </c>
      <c r="CJ207">
        <v>0.28199999999999997</v>
      </c>
      <c r="CK207">
        <v>800</v>
      </c>
      <c r="CL207">
        <v>24</v>
      </c>
      <c r="CM207">
        <v>0.25</v>
      </c>
      <c r="CN207">
        <v>0.13</v>
      </c>
      <c r="CO207">
        <v>-398.033525</v>
      </c>
      <c r="CP207">
        <v>-2.0739174484039249</v>
      </c>
      <c r="CQ207">
        <v>0.20788903139655551</v>
      </c>
      <c r="CR207">
        <v>-1</v>
      </c>
      <c r="CS207">
        <v>26.146797500000002</v>
      </c>
      <c r="CT207">
        <v>0.10484915572229229</v>
      </c>
      <c r="CU207">
        <v>1.0201065814413889E-2</v>
      </c>
      <c r="CV207">
        <v>-1</v>
      </c>
      <c r="CW207">
        <v>0</v>
      </c>
      <c r="CX207">
        <v>0</v>
      </c>
      <c r="CY207" t="s">
        <v>333</v>
      </c>
      <c r="CZ207">
        <v>2.3645</v>
      </c>
      <c r="DA207">
        <v>2.7138399999999998</v>
      </c>
      <c r="DB207">
        <v>8.9995000000000006E-2</v>
      </c>
      <c r="DC207">
        <v>0.14633299999999999</v>
      </c>
      <c r="DD207">
        <v>0.121569</v>
      </c>
      <c r="DE207">
        <v>1.4007500000000001E-3</v>
      </c>
      <c r="DF207">
        <v>33242.5</v>
      </c>
      <c r="DG207">
        <v>27534.1</v>
      </c>
      <c r="DH207">
        <v>31185.3</v>
      </c>
      <c r="DI207">
        <v>28105.200000000001</v>
      </c>
      <c r="DJ207">
        <v>37184.5</v>
      </c>
      <c r="DK207">
        <v>39919</v>
      </c>
      <c r="DL207">
        <v>44383</v>
      </c>
      <c r="DM207">
        <v>42600.3</v>
      </c>
      <c r="DN207">
        <v>1.4859199999999999</v>
      </c>
      <c r="DO207">
        <v>2.0326499999999998</v>
      </c>
      <c r="DP207">
        <v>8.6285200000000006E-2</v>
      </c>
      <c r="DQ207">
        <v>0.163853</v>
      </c>
      <c r="DR207">
        <v>25.587700000000002</v>
      </c>
      <c r="DS207">
        <v>25.423200000000001</v>
      </c>
      <c r="DT207">
        <v>22.7</v>
      </c>
      <c r="DU207">
        <v>29.2</v>
      </c>
      <c r="DV207">
        <v>9.3003</v>
      </c>
      <c r="DW207">
        <v>61.1511</v>
      </c>
      <c r="DX207">
        <v>37.263599999999997</v>
      </c>
      <c r="DY207">
        <v>1</v>
      </c>
      <c r="DZ207">
        <v>-0.10173</v>
      </c>
      <c r="EA207">
        <v>-0.16156300000000001</v>
      </c>
      <c r="EB207">
        <v>20.189499999999999</v>
      </c>
      <c r="EC207">
        <v>5.2413999999999996</v>
      </c>
      <c r="ED207">
        <v>12.039899999999999</v>
      </c>
      <c r="EE207">
        <v>5.0164499999999999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1.8689100000000001</v>
      </c>
      <c r="EL207">
        <v>1.8646199999999999</v>
      </c>
      <c r="EM207">
        <v>1.8691899999999999</v>
      </c>
      <c r="EN207">
        <v>1.8672200000000001</v>
      </c>
      <c r="EO207">
        <v>1.86337</v>
      </c>
      <c r="EP207">
        <v>1.8644700000000001</v>
      </c>
      <c r="EQ207">
        <v>1.87015</v>
      </c>
      <c r="ER207">
        <v>1.86941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-3.4000000000000002E-2</v>
      </c>
      <c r="FG207">
        <v>0.28149999999999997</v>
      </c>
      <c r="FH207">
        <v>0.23539598422606861</v>
      </c>
      <c r="FI207">
        <v>-6.1462078757559423E-4</v>
      </c>
      <c r="FJ207">
        <v>-1.8861989874597051E-7</v>
      </c>
      <c r="FK207">
        <v>1.1980462299894961E-10</v>
      </c>
      <c r="FL207">
        <v>0.28151999999999688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</v>
      </c>
      <c r="FU207">
        <v>41.2</v>
      </c>
      <c r="FV207">
        <v>1.7626999999999999</v>
      </c>
      <c r="FW207">
        <v>2.5878899999999998</v>
      </c>
      <c r="FX207">
        <v>1.5490699999999999</v>
      </c>
      <c r="FY207">
        <v>2.3315399999999999</v>
      </c>
      <c r="FZ207">
        <v>1.50146</v>
      </c>
      <c r="GA207">
        <v>2.3718300000000001</v>
      </c>
      <c r="GB207">
        <v>33.6479</v>
      </c>
      <c r="GC207">
        <v>23.991199999999999</v>
      </c>
      <c r="GD207">
        <v>19</v>
      </c>
      <c r="GE207">
        <v>286.48599999999999</v>
      </c>
      <c r="GF207">
        <v>578.52099999999996</v>
      </c>
      <c r="GG207">
        <v>25.177099999999999</v>
      </c>
      <c r="GH207">
        <v>26.1265</v>
      </c>
      <c r="GI207">
        <v>30</v>
      </c>
      <c r="GJ207">
        <v>26.225999999999999</v>
      </c>
      <c r="GK207">
        <v>26.198599999999999</v>
      </c>
      <c r="GL207">
        <v>35.236499999999999</v>
      </c>
      <c r="GM207">
        <v>100</v>
      </c>
      <c r="GN207">
        <v>7.19787</v>
      </c>
      <c r="GO207">
        <v>25.210100000000001</v>
      </c>
      <c r="GP207">
        <v>800</v>
      </c>
      <c r="GQ207">
        <v>0</v>
      </c>
      <c r="GR207">
        <v>99.784099999999995</v>
      </c>
      <c r="GS207">
        <v>99.654399999999995</v>
      </c>
    </row>
    <row r="208" spans="1:201" x14ac:dyDescent="0.25">
      <c r="A208">
        <v>192</v>
      </c>
      <c r="B208">
        <v>1690302949.5999999</v>
      </c>
      <c r="C208">
        <v>2045.599999904633</v>
      </c>
      <c r="D208" t="s">
        <v>715</v>
      </c>
      <c r="E208" t="s">
        <v>716</v>
      </c>
      <c r="F208" t="s">
        <v>330</v>
      </c>
      <c r="H208">
        <v>1690302949.5999999</v>
      </c>
      <c r="I208">
        <f t="shared" si="60"/>
        <v>2.46837095092887E-3</v>
      </c>
      <c r="J208">
        <f t="shared" si="61"/>
        <v>2.46837095092887</v>
      </c>
      <c r="K208">
        <f t="shared" si="62"/>
        <v>35.604087863358394</v>
      </c>
      <c r="L208">
        <f t="shared" si="63"/>
        <v>401.267</v>
      </c>
      <c r="M208">
        <f t="shared" si="64"/>
        <v>108.48664480545243</v>
      </c>
      <c r="N208">
        <f t="shared" si="65"/>
        <v>10.783591218456866</v>
      </c>
      <c r="O208">
        <f t="shared" si="66"/>
        <v>39.886009058684195</v>
      </c>
      <c r="P208">
        <f t="shared" si="67"/>
        <v>0.20717705641469364</v>
      </c>
      <c r="Q208">
        <f t="shared" si="68"/>
        <v>2.1208927192369824</v>
      </c>
      <c r="R208">
        <f t="shared" si="69"/>
        <v>0.19655464880210158</v>
      </c>
      <c r="S208">
        <f t="shared" si="70"/>
        <v>0.1237556337540679</v>
      </c>
      <c r="T208">
        <f t="shared" si="71"/>
        <v>276.11437957270249</v>
      </c>
      <c r="U208">
        <f t="shared" si="72"/>
        <v>28.144727271825285</v>
      </c>
      <c r="V208">
        <f t="shared" si="73"/>
        <v>28.144727271825285</v>
      </c>
      <c r="W208">
        <f t="shared" si="74"/>
        <v>3.8269752158734236</v>
      </c>
      <c r="X208">
        <f t="shared" si="75"/>
        <v>73.970380322527348</v>
      </c>
      <c r="Y208">
        <f t="shared" si="76"/>
        <v>2.61916472795822</v>
      </c>
      <c r="Z208">
        <f t="shared" si="77"/>
        <v>3.5408290677134251</v>
      </c>
      <c r="AA208">
        <f t="shared" si="78"/>
        <v>1.2078104879152036</v>
      </c>
      <c r="AB208">
        <f t="shared" si="79"/>
        <v>-108.85515893596317</v>
      </c>
      <c r="AC208">
        <f t="shared" si="80"/>
        <v>-151.83728682162655</v>
      </c>
      <c r="AD208">
        <f t="shared" si="81"/>
        <v>-15.524695285546359</v>
      </c>
      <c r="AE208">
        <f t="shared" si="82"/>
        <v>-0.10276147043362016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52705.937227309609</v>
      </c>
      <c r="AK208">
        <f t="shared" si="86"/>
        <v>1799.99</v>
      </c>
      <c r="AL208">
        <f t="shared" si="87"/>
        <v>1499.1047425940499</v>
      </c>
      <c r="AM208">
        <f t="shared" si="88"/>
        <v>0.83284059499999996</v>
      </c>
      <c r="AN208">
        <f t="shared" si="89"/>
        <v>0.15339772974999999</v>
      </c>
      <c r="AO208">
        <v>32.700000000000003</v>
      </c>
      <c r="AP208">
        <v>0.5</v>
      </c>
      <c r="AQ208" t="s">
        <v>331</v>
      </c>
      <c r="AR208">
        <v>2</v>
      </c>
      <c r="AS208">
        <v>1690302949.5999999</v>
      </c>
      <c r="AT208">
        <v>401.267</v>
      </c>
      <c r="AU208">
        <v>799.96699999999998</v>
      </c>
      <c r="AV208">
        <v>26.349699999999999</v>
      </c>
      <c r="AW208">
        <v>0.165272</v>
      </c>
      <c r="AX208">
        <v>401.30099999999999</v>
      </c>
      <c r="AY208">
        <v>26.068200000000001</v>
      </c>
      <c r="AZ208">
        <v>300.13600000000002</v>
      </c>
      <c r="BA208">
        <v>99.300200000000004</v>
      </c>
      <c r="BB208">
        <v>9.9972599999999995E-2</v>
      </c>
      <c r="BC208">
        <v>26.816800000000001</v>
      </c>
      <c r="BD208">
        <v>26.996500000000001</v>
      </c>
      <c r="BE208">
        <v>28.112400000000001</v>
      </c>
      <c r="BF208">
        <v>0</v>
      </c>
      <c r="BG208">
        <v>0</v>
      </c>
      <c r="BH208">
        <v>10033.1</v>
      </c>
      <c r="BI208">
        <v>1077.97</v>
      </c>
      <c r="BJ208">
        <v>1.7380500000000001</v>
      </c>
      <c r="BK208">
        <v>-398.7</v>
      </c>
      <c r="BL208">
        <v>412.12700000000001</v>
      </c>
      <c r="BM208">
        <v>800.09900000000005</v>
      </c>
      <c r="BN208">
        <v>26.1845</v>
      </c>
      <c r="BO208">
        <v>799.96699999999998</v>
      </c>
      <c r="BP208">
        <v>0.165272</v>
      </c>
      <c r="BQ208">
        <v>2.6165400000000001</v>
      </c>
      <c r="BR208">
        <v>1.6411499999999999E-2</v>
      </c>
      <c r="BS208">
        <v>21.770099999999999</v>
      </c>
      <c r="BT208">
        <v>-41.3123</v>
      </c>
      <c r="BU208">
        <v>1799.99</v>
      </c>
      <c r="BV208">
        <v>0.90999399999999997</v>
      </c>
      <c r="BW208">
        <v>3.3991399999999998E-2</v>
      </c>
      <c r="BX208">
        <v>2.2003999999999999E-2</v>
      </c>
      <c r="BY208">
        <v>3.4010899999999997E-2</v>
      </c>
      <c r="BZ208">
        <v>26</v>
      </c>
      <c r="CA208">
        <v>33528.199999999997</v>
      </c>
      <c r="CB208">
        <v>1690300477.5</v>
      </c>
      <c r="CC208" t="s">
        <v>332</v>
      </c>
      <c r="CD208">
        <v>1690300477.5</v>
      </c>
      <c r="CE208">
        <v>1690300465.5</v>
      </c>
      <c r="CF208">
        <v>7</v>
      </c>
      <c r="CG208">
        <v>5.0999999999999997E-2</v>
      </c>
      <c r="CH208">
        <v>-8.0000000000000002E-3</v>
      </c>
      <c r="CI208">
        <v>-0.316</v>
      </c>
      <c r="CJ208">
        <v>0.28199999999999997</v>
      </c>
      <c r="CK208">
        <v>800</v>
      </c>
      <c r="CL208">
        <v>24</v>
      </c>
      <c r="CM208">
        <v>0.25</v>
      </c>
      <c r="CN208">
        <v>0.13</v>
      </c>
      <c r="CO208">
        <v>-398.38447500000001</v>
      </c>
      <c r="CP208">
        <v>-2.035666041275118</v>
      </c>
      <c r="CQ208">
        <v>0.20870852731740619</v>
      </c>
      <c r="CR208">
        <v>-1</v>
      </c>
      <c r="CS208">
        <v>26.163342499999999</v>
      </c>
      <c r="CT208">
        <v>9.7959849906144855E-2</v>
      </c>
      <c r="CU208">
        <v>9.5602533308484072E-3</v>
      </c>
      <c r="CV208">
        <v>-1</v>
      </c>
      <c r="CW208">
        <v>0</v>
      </c>
      <c r="CX208">
        <v>0</v>
      </c>
      <c r="CY208" t="s">
        <v>333</v>
      </c>
      <c r="CZ208">
        <v>2.3646400000000001</v>
      </c>
      <c r="DA208">
        <v>2.7137899999999999</v>
      </c>
      <c r="DB208">
        <v>8.9926300000000001E-2</v>
      </c>
      <c r="DC208">
        <v>0.14633099999999999</v>
      </c>
      <c r="DD208">
        <v>0.121626</v>
      </c>
      <c r="DE208">
        <v>1.39434E-3</v>
      </c>
      <c r="DF208">
        <v>33244.699999999997</v>
      </c>
      <c r="DG208">
        <v>27534.1</v>
      </c>
      <c r="DH208">
        <v>31185.1</v>
      </c>
      <c r="DI208">
        <v>28105.1</v>
      </c>
      <c r="DJ208">
        <v>37181.599999999999</v>
      </c>
      <c r="DK208">
        <v>39919.1</v>
      </c>
      <c r="DL208">
        <v>44382.5</v>
      </c>
      <c r="DM208">
        <v>42600</v>
      </c>
      <c r="DN208">
        <v>1.48573</v>
      </c>
      <c r="DO208">
        <v>2.0327500000000001</v>
      </c>
      <c r="DP208">
        <v>8.5942400000000002E-2</v>
      </c>
      <c r="DQ208">
        <v>0.164077</v>
      </c>
      <c r="DR208">
        <v>25.589400000000001</v>
      </c>
      <c r="DS208">
        <v>25.428100000000001</v>
      </c>
      <c r="DT208">
        <v>22.5</v>
      </c>
      <c r="DU208">
        <v>29.2</v>
      </c>
      <c r="DV208">
        <v>9.2183299999999999</v>
      </c>
      <c r="DW208">
        <v>61.2911</v>
      </c>
      <c r="DX208">
        <v>36.883000000000003</v>
      </c>
      <c r="DY208">
        <v>1</v>
      </c>
      <c r="DZ208">
        <v>-0.10109</v>
      </c>
      <c r="EA208">
        <v>-0.12620100000000001</v>
      </c>
      <c r="EB208">
        <v>20.189599999999999</v>
      </c>
      <c r="EC208">
        <v>5.24125</v>
      </c>
      <c r="ED208">
        <v>12.039899999999999</v>
      </c>
      <c r="EE208">
        <v>5.0164499999999999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1.8689100000000001</v>
      </c>
      <c r="EL208">
        <v>1.8646199999999999</v>
      </c>
      <c r="EM208">
        <v>1.8691899999999999</v>
      </c>
      <c r="EN208">
        <v>1.8672200000000001</v>
      </c>
      <c r="EO208">
        <v>1.8633599999999999</v>
      </c>
      <c r="EP208">
        <v>1.8644700000000001</v>
      </c>
      <c r="EQ208">
        <v>1.87015</v>
      </c>
      <c r="ER208">
        <v>1.8693900000000001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-3.4000000000000002E-2</v>
      </c>
      <c r="FG208">
        <v>0.28149999999999997</v>
      </c>
      <c r="FH208">
        <v>0.23539598422606861</v>
      </c>
      <c r="FI208">
        <v>-6.1462078757559423E-4</v>
      </c>
      <c r="FJ208">
        <v>-1.8861989874597051E-7</v>
      </c>
      <c r="FK208">
        <v>1.1980462299894961E-10</v>
      </c>
      <c r="FL208">
        <v>0.28151999999999688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41.2</v>
      </c>
      <c r="FU208">
        <v>41.4</v>
      </c>
      <c r="FV208">
        <v>1.7626999999999999</v>
      </c>
      <c r="FW208">
        <v>2.5878899999999998</v>
      </c>
      <c r="FX208">
        <v>1.5490699999999999</v>
      </c>
      <c r="FY208">
        <v>2.3315399999999999</v>
      </c>
      <c r="FZ208">
        <v>1.50146</v>
      </c>
      <c r="GA208">
        <v>2.4011200000000001</v>
      </c>
      <c r="GB208">
        <v>33.6479</v>
      </c>
      <c r="GC208">
        <v>23.982399999999998</v>
      </c>
      <c r="GD208">
        <v>19</v>
      </c>
      <c r="GE208">
        <v>286.404</v>
      </c>
      <c r="GF208">
        <v>578.62800000000004</v>
      </c>
      <c r="GG208">
        <v>25.2026</v>
      </c>
      <c r="GH208">
        <v>26.1281</v>
      </c>
      <c r="GI208">
        <v>30.0002</v>
      </c>
      <c r="GJ208">
        <v>26.226800000000001</v>
      </c>
      <c r="GK208">
        <v>26.200800000000001</v>
      </c>
      <c r="GL208">
        <v>35.237400000000001</v>
      </c>
      <c r="GM208">
        <v>100</v>
      </c>
      <c r="GN208">
        <v>6.8204500000000001</v>
      </c>
      <c r="GO208">
        <v>25.202500000000001</v>
      </c>
      <c r="GP208">
        <v>800</v>
      </c>
      <c r="GQ208">
        <v>0</v>
      </c>
      <c r="GR208">
        <v>99.783199999999994</v>
      </c>
      <c r="GS208">
        <v>99.653999999999996</v>
      </c>
    </row>
    <row r="209" spans="1:201" x14ac:dyDescent="0.25">
      <c r="A209">
        <v>193</v>
      </c>
      <c r="B209">
        <v>1690302959.5999999</v>
      </c>
      <c r="C209">
        <v>2055.599999904633</v>
      </c>
      <c r="D209" t="s">
        <v>717</v>
      </c>
      <c r="E209" t="s">
        <v>718</v>
      </c>
      <c r="F209" t="s">
        <v>330</v>
      </c>
      <c r="H209">
        <v>1690302959.5999999</v>
      </c>
      <c r="I209">
        <f t="shared" ref="I209:I272" si="90">(J209)/1000</f>
        <v>2.4695779056297558E-3</v>
      </c>
      <c r="J209">
        <f t="shared" ref="J209:J227" si="91">1000*AZ209*AH209*(AV209-AW209)/(100*AO209*(1000-AH209*AV209))</f>
        <v>2.4695779056297558</v>
      </c>
      <c r="K209">
        <f t="shared" ref="K209:K227" si="92">AZ209*AH209*(AU209-AT209*(1000-AH209*AW209)/(1000-AH209*AV209))/(100*AO209)</f>
        <v>35.630191218262432</v>
      </c>
      <c r="L209">
        <f t="shared" ref="L209:L272" si="93">AT209 - IF(AH209&gt;1, K209*AO209*100/(AJ209*BH209), 0)</f>
        <v>400.97300000000001</v>
      </c>
      <c r="M209">
        <f t="shared" ref="M209:M272" si="94">((S209-I209/2)*L209-K209)/(S209+I209/2)</f>
        <v>108.11549923386978</v>
      </c>
      <c r="N209">
        <f t="shared" ref="N209:N272" si="95">M209*(BA209+BB209)/1000</f>
        <v>10.746941830892805</v>
      </c>
      <c r="O209">
        <f t="shared" ref="O209:O227" si="96">(AT209 - IF(AH209&gt;1, K209*AO209*100/(AJ209*BH209), 0))*(BA209+BB209)/1000</f>
        <v>39.857684950768004</v>
      </c>
      <c r="P209">
        <f t="shared" ref="P209:P272" si="97">2/((1/R209-1/Q209)+SIGN(R209)*SQRT((1/R209-1/Q209)*(1/R209-1/Q209) + 4*AP209/((AP209+1)*(AP209+1))*(2*1/R209*1/Q209-1/Q209*1/Q209)))</f>
        <v>0.20728775612643949</v>
      </c>
      <c r="Q209">
        <f t="shared" ref="Q209:Q227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2.1176251563670774</v>
      </c>
      <c r="R209">
        <f t="shared" ref="R209:R227" si="99">I209*(1000-(1000*0.61365*EXP(17.502*V209/(240.97+V209))/(BA209+BB209)+AV209)/2)/(1000*0.61365*EXP(17.502*V209/(240.97+V209))/(BA209+BB209)-AV209)</f>
        <v>0.19663880437327527</v>
      </c>
      <c r="S209">
        <f t="shared" ref="S209:S227" si="100">1/((AP209+1)/(P209/1.6)+1/(Q209/1.37)) + AP209/((AP209+1)/(P209/1.6) + AP209/(Q209/1.37))</f>
        <v>0.12381041283991916</v>
      </c>
      <c r="T209">
        <f t="shared" ref="T209:T227" si="101">(AK209*AN209)</f>
        <v>276.11664636599994</v>
      </c>
      <c r="U209">
        <f t="shared" ref="U209:U272" si="102">(BC209+(T209+2*0.95*0.0000000567*(((BC209+$B$7)+273)^4-(BC209+273)^4)-44100*I209)/(1.84*29.3*Q209+8*0.95*0.0000000567*(BC209+273)^3))</f>
        <v>28.151475448372299</v>
      </c>
      <c r="V209">
        <f t="shared" ref="V209:V272" si="103">($C$7*BD209+$D$7*BE209+$E$7*U209)</f>
        <v>28.151475448372299</v>
      </c>
      <c r="W209">
        <f t="shared" ref="W209:W272" si="104">0.61365*EXP(17.502*V209/(240.97+V209))</f>
        <v>3.8284793697117498</v>
      </c>
      <c r="X209">
        <f t="shared" ref="X209:X272" si="105">(Y209/Z209*100)</f>
        <v>73.987444447514093</v>
      </c>
      <c r="Y209">
        <f t="shared" ref="Y209:Y227" si="106">AV209*(BA209+BB209)/1000</f>
        <v>2.6205856539744001</v>
      </c>
      <c r="Z209">
        <f t="shared" ref="Z209:Z227" si="107">0.61365*EXP(17.502*BC209/(240.97+BC209))</f>
        <v>3.5419329232724284</v>
      </c>
      <c r="AA209">
        <f t="shared" ref="AA209:AA227" si="108">(W209-AV209*(BA209+BB209)/1000)</f>
        <v>1.2078937157373497</v>
      </c>
      <c r="AB209">
        <f t="shared" ref="AB209:AB227" si="109">(-I209*44100)</f>
        <v>-108.90838563827224</v>
      </c>
      <c r="AC209">
        <f t="shared" ref="AC209:AC227" si="110">2*29.3*Q209*0.92*(BC209-V209)</f>
        <v>-151.76868969094483</v>
      </c>
      <c r="AD209">
        <f t="shared" ref="AD209:AD227" si="111">2*0.95*0.0000000567*(((BC209+$B$7)+273)^4-(V209+273)^4)</f>
        <v>-15.542560730422473</v>
      </c>
      <c r="AE209">
        <f t="shared" ref="AE209:AE272" si="112">T209+AD209+AB209+AC209</f>
        <v>-0.10298969363958577</v>
      </c>
      <c r="AF209">
        <v>0</v>
      </c>
      <c r="AG209">
        <v>0</v>
      </c>
      <c r="AH209">
        <f t="shared" ref="AH209:AH227" si="113">IF(AF209*$H$13&gt;=AJ209,1,(AJ209/(AJ209-AF209*$H$13)))</f>
        <v>1</v>
      </c>
      <c r="AI209">
        <f t="shared" ref="AI209:AI272" si="114">(AH209-1)*100</f>
        <v>0</v>
      </c>
      <c r="AJ209">
        <f t="shared" ref="AJ209:AJ227" si="115">MAX(0,($B$13+$C$13*BH209)/(1+$D$13*BH209)*BA209/(BC209+273)*$E$13)</f>
        <v>52561.627223867639</v>
      </c>
      <c r="AK209">
        <f t="shared" ref="AK209:AK227" si="116">$B$11*BI209+$C$11*BJ209+$D$11*BU209</f>
        <v>1800</v>
      </c>
      <c r="AL209">
        <f t="shared" ref="AL209:AL272" si="117">AK209*AM209</f>
        <v>1499.1137045999999</v>
      </c>
      <c r="AM209">
        <f t="shared" ref="AM209:AM227" si="118">($B$11*$D$9+$C$11*$D$9+$D$11*(BV209*$E$9+BW209*$F$9+BX209*$G$9+BY209*$H$9))/($B$11+$C$11+$D$11)</f>
        <v>0.83284094699999989</v>
      </c>
      <c r="AN209">
        <f t="shared" ref="AN209:AN227" si="119">($B$11*$K$9+$C$11*$K$9+$D$11*(BV209*$L$9+BW209*$M$9+BX209*$N$9+BY209*$O$9))/($B$11+$C$11+$D$11)</f>
        <v>0.15339813686999998</v>
      </c>
      <c r="AO209">
        <v>32.700000000000003</v>
      </c>
      <c r="AP209">
        <v>0.5</v>
      </c>
      <c r="AQ209" t="s">
        <v>331</v>
      </c>
      <c r="AR209">
        <v>2</v>
      </c>
      <c r="AS209">
        <v>1690302959.5999999</v>
      </c>
      <c r="AT209">
        <v>400.97300000000001</v>
      </c>
      <c r="AU209">
        <v>799.98800000000006</v>
      </c>
      <c r="AV209">
        <v>26.363399999999999</v>
      </c>
      <c r="AW209">
        <v>0.164355</v>
      </c>
      <c r="AX209">
        <v>401.00700000000001</v>
      </c>
      <c r="AY209">
        <v>26.081900000000001</v>
      </c>
      <c r="AZ209">
        <v>300.11099999999999</v>
      </c>
      <c r="BA209">
        <v>99.302400000000006</v>
      </c>
      <c r="BB209">
        <v>0.10001599999999999</v>
      </c>
      <c r="BC209">
        <v>26.822099999999999</v>
      </c>
      <c r="BD209">
        <v>27.0031</v>
      </c>
      <c r="BE209">
        <v>28.118200000000002</v>
      </c>
      <c r="BF209">
        <v>0</v>
      </c>
      <c r="BG209">
        <v>0</v>
      </c>
      <c r="BH209">
        <v>10004.4</v>
      </c>
      <c r="BI209">
        <v>1077.93</v>
      </c>
      <c r="BJ209">
        <v>1.7184299999999999</v>
      </c>
      <c r="BK209">
        <v>-399.01499999999999</v>
      </c>
      <c r="BL209">
        <v>411.83</v>
      </c>
      <c r="BM209">
        <v>800.12</v>
      </c>
      <c r="BN209">
        <v>26.199100000000001</v>
      </c>
      <c r="BO209">
        <v>799.98800000000006</v>
      </c>
      <c r="BP209">
        <v>0.164355</v>
      </c>
      <c r="BQ209">
        <v>2.61795</v>
      </c>
      <c r="BR209">
        <v>1.6320899999999999E-2</v>
      </c>
      <c r="BS209">
        <v>21.779</v>
      </c>
      <c r="BT209">
        <v>-41.364699999999999</v>
      </c>
      <c r="BU209">
        <v>1800</v>
      </c>
      <c r="BV209">
        <v>0.90998999999999997</v>
      </c>
      <c r="BW209">
        <v>3.3990600000000003E-2</v>
      </c>
      <c r="BX209">
        <v>2.2009600000000001E-2</v>
      </c>
      <c r="BY209">
        <v>3.4010100000000001E-2</v>
      </c>
      <c r="BZ209">
        <v>26</v>
      </c>
      <c r="CA209">
        <v>33528.300000000003</v>
      </c>
      <c r="CB209">
        <v>1690300477.5</v>
      </c>
      <c r="CC209" t="s">
        <v>332</v>
      </c>
      <c r="CD209">
        <v>1690300477.5</v>
      </c>
      <c r="CE209">
        <v>1690300465.5</v>
      </c>
      <c r="CF209">
        <v>7</v>
      </c>
      <c r="CG209">
        <v>5.0999999999999997E-2</v>
      </c>
      <c r="CH209">
        <v>-8.0000000000000002E-3</v>
      </c>
      <c r="CI209">
        <v>-0.316</v>
      </c>
      <c r="CJ209">
        <v>0.28199999999999997</v>
      </c>
      <c r="CK209">
        <v>800</v>
      </c>
      <c r="CL209">
        <v>24</v>
      </c>
      <c r="CM209">
        <v>0.25</v>
      </c>
      <c r="CN209">
        <v>0.13</v>
      </c>
      <c r="CO209">
        <v>-398.67627499999998</v>
      </c>
      <c r="CP209">
        <v>-2.2148330206376419</v>
      </c>
      <c r="CQ209">
        <v>0.22395791875930751</v>
      </c>
      <c r="CR209">
        <v>-1</v>
      </c>
      <c r="CS209">
        <v>26.1797225</v>
      </c>
      <c r="CT209">
        <v>0.1136093808629843</v>
      </c>
      <c r="CU209">
        <v>1.1126241222892869E-2</v>
      </c>
      <c r="CV209">
        <v>-1</v>
      </c>
      <c r="CW209">
        <v>0</v>
      </c>
      <c r="CX209">
        <v>0</v>
      </c>
      <c r="CY209" t="s">
        <v>333</v>
      </c>
      <c r="CZ209">
        <v>2.36456</v>
      </c>
      <c r="DA209">
        <v>2.7138100000000001</v>
      </c>
      <c r="DB209">
        <v>8.9877299999999993E-2</v>
      </c>
      <c r="DC209">
        <v>0.14633599999999999</v>
      </c>
      <c r="DD209">
        <v>0.121673</v>
      </c>
      <c r="DE209">
        <v>1.38671E-3</v>
      </c>
      <c r="DF209">
        <v>33246.300000000003</v>
      </c>
      <c r="DG209">
        <v>27533.9</v>
      </c>
      <c r="DH209">
        <v>31184.9</v>
      </c>
      <c r="DI209">
        <v>28105</v>
      </c>
      <c r="DJ209">
        <v>37179.599999999999</v>
      </c>
      <c r="DK209">
        <v>39919.300000000003</v>
      </c>
      <c r="DL209">
        <v>44382.5</v>
      </c>
      <c r="DM209">
        <v>42600</v>
      </c>
      <c r="DN209">
        <v>1.4859800000000001</v>
      </c>
      <c r="DO209">
        <v>2.0325500000000001</v>
      </c>
      <c r="DP209">
        <v>8.6262800000000001E-2</v>
      </c>
      <c r="DQ209">
        <v>0.164218</v>
      </c>
      <c r="DR209">
        <v>25.590800000000002</v>
      </c>
      <c r="DS209">
        <v>25.4315</v>
      </c>
      <c r="DT209">
        <v>22.4</v>
      </c>
      <c r="DU209">
        <v>29.2</v>
      </c>
      <c r="DV209">
        <v>9.1771799999999999</v>
      </c>
      <c r="DW209">
        <v>61.671100000000003</v>
      </c>
      <c r="DX209">
        <v>36.7468</v>
      </c>
      <c r="DY209">
        <v>1</v>
      </c>
      <c r="DZ209">
        <v>-0.10105699999999999</v>
      </c>
      <c r="EA209">
        <v>-0.11755400000000001</v>
      </c>
      <c r="EB209">
        <v>20.189800000000002</v>
      </c>
      <c r="EC209">
        <v>5.2404999999999999</v>
      </c>
      <c r="ED209">
        <v>12.039899999999999</v>
      </c>
      <c r="EE209">
        <v>5.0166000000000004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1.8689100000000001</v>
      </c>
      <c r="EL209">
        <v>1.8646100000000001</v>
      </c>
      <c r="EM209">
        <v>1.8691899999999999</v>
      </c>
      <c r="EN209">
        <v>1.8672299999999999</v>
      </c>
      <c r="EO209">
        <v>1.86338</v>
      </c>
      <c r="EP209">
        <v>1.8644700000000001</v>
      </c>
      <c r="EQ209">
        <v>1.8701399999999999</v>
      </c>
      <c r="ER209">
        <v>1.8693900000000001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-3.4000000000000002E-2</v>
      </c>
      <c r="FG209">
        <v>0.28149999999999997</v>
      </c>
      <c r="FH209">
        <v>0.23539598422606861</v>
      </c>
      <c r="FI209">
        <v>-6.1462078757559423E-4</v>
      </c>
      <c r="FJ209">
        <v>-1.8861989874597051E-7</v>
      </c>
      <c r="FK209">
        <v>1.1980462299894961E-10</v>
      </c>
      <c r="FL209">
        <v>0.28151999999999688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41.4</v>
      </c>
      <c r="FU209">
        <v>41.6</v>
      </c>
      <c r="FV209">
        <v>1.7626999999999999</v>
      </c>
      <c r="FW209">
        <v>2.5866699999999998</v>
      </c>
      <c r="FX209">
        <v>1.5490699999999999</v>
      </c>
      <c r="FY209">
        <v>2.3315399999999999</v>
      </c>
      <c r="FZ209">
        <v>1.50146</v>
      </c>
      <c r="GA209">
        <v>2.3974600000000001</v>
      </c>
      <c r="GB209">
        <v>33.625399999999999</v>
      </c>
      <c r="GC209">
        <v>23.982399999999998</v>
      </c>
      <c r="GD209">
        <v>19</v>
      </c>
      <c r="GE209">
        <v>286.52100000000002</v>
      </c>
      <c r="GF209">
        <v>578.48299999999995</v>
      </c>
      <c r="GG209">
        <v>25.204499999999999</v>
      </c>
      <c r="GH209">
        <v>26.129799999999999</v>
      </c>
      <c r="GI209">
        <v>30.0001</v>
      </c>
      <c r="GJ209">
        <v>26.228999999999999</v>
      </c>
      <c r="GK209">
        <v>26.202500000000001</v>
      </c>
      <c r="GL209">
        <v>35.2376</v>
      </c>
      <c r="GM209">
        <v>100</v>
      </c>
      <c r="GN209">
        <v>6.4488000000000003</v>
      </c>
      <c r="GO209">
        <v>25.203399999999998</v>
      </c>
      <c r="GP209">
        <v>800</v>
      </c>
      <c r="GQ209">
        <v>0</v>
      </c>
      <c r="GR209">
        <v>99.782899999999998</v>
      </c>
      <c r="GS209">
        <v>99.653800000000004</v>
      </c>
    </row>
    <row r="210" spans="1:201" x14ac:dyDescent="0.25">
      <c r="A210">
        <v>194</v>
      </c>
      <c r="B210">
        <v>1690302969.5999999</v>
      </c>
      <c r="C210">
        <v>2065.599999904633</v>
      </c>
      <c r="D210" t="s">
        <v>719</v>
      </c>
      <c r="E210" t="s">
        <v>720</v>
      </c>
      <c r="F210" t="s">
        <v>330</v>
      </c>
      <c r="H210">
        <v>1690302969.5999999</v>
      </c>
      <c r="I210">
        <f t="shared" si="90"/>
        <v>2.4710483986448962E-3</v>
      </c>
      <c r="J210">
        <f t="shared" si="91"/>
        <v>2.4710483986448963</v>
      </c>
      <c r="K210">
        <f t="shared" si="92"/>
        <v>35.652360128954584</v>
      </c>
      <c r="L210">
        <f t="shared" si="93"/>
        <v>400.67899999999997</v>
      </c>
      <c r="M210">
        <f t="shared" si="94"/>
        <v>108.58350114468665</v>
      </c>
      <c r="N210">
        <f t="shared" si="95"/>
        <v>10.793603292905106</v>
      </c>
      <c r="O210">
        <f t="shared" si="96"/>
        <v>39.828980721806005</v>
      </c>
      <c r="P210">
        <f t="shared" si="97"/>
        <v>0.2079798929955203</v>
      </c>
      <c r="Q210">
        <f t="shared" si="98"/>
        <v>2.1198671286539166</v>
      </c>
      <c r="R210">
        <f t="shared" si="99"/>
        <v>0.1972723920004501</v>
      </c>
      <c r="S210">
        <f t="shared" si="100"/>
        <v>0.12421131587138233</v>
      </c>
      <c r="T210">
        <f t="shared" si="101"/>
        <v>276.11664636599994</v>
      </c>
      <c r="U210">
        <f t="shared" si="102"/>
        <v>28.144690244662385</v>
      </c>
      <c r="V210">
        <f t="shared" si="103"/>
        <v>28.144690244662385</v>
      </c>
      <c r="W210">
        <f t="shared" si="104"/>
        <v>3.8269669640219051</v>
      </c>
      <c r="X210">
        <f t="shared" si="105"/>
        <v>74.055368324551722</v>
      </c>
      <c r="Y210">
        <f t="shared" si="106"/>
        <v>2.6222202734629998</v>
      </c>
      <c r="Z210">
        <f t="shared" si="107"/>
        <v>3.5408915420837217</v>
      </c>
      <c r="AA210">
        <f t="shared" si="108"/>
        <v>1.2047466905589053</v>
      </c>
      <c r="AB210">
        <f t="shared" si="109"/>
        <v>-108.97323438023992</v>
      </c>
      <c r="AC210">
        <f t="shared" si="110"/>
        <v>-151.72534596603734</v>
      </c>
      <c r="AD210">
        <f t="shared" si="111"/>
        <v>-15.520775463500925</v>
      </c>
      <c r="AE210">
        <f t="shared" si="112"/>
        <v>-0.10270944377822389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52660.915113666153</v>
      </c>
      <c r="AK210">
        <f t="shared" si="116"/>
        <v>1800</v>
      </c>
      <c r="AL210">
        <f t="shared" si="117"/>
        <v>1499.1137045999999</v>
      </c>
      <c r="AM210">
        <f t="shared" si="118"/>
        <v>0.83284094699999989</v>
      </c>
      <c r="AN210">
        <f t="shared" si="119"/>
        <v>0.15339813686999998</v>
      </c>
      <c r="AO210">
        <v>32.700000000000003</v>
      </c>
      <c r="AP210">
        <v>0.5</v>
      </c>
      <c r="AQ210" t="s">
        <v>331</v>
      </c>
      <c r="AR210">
        <v>2</v>
      </c>
      <c r="AS210">
        <v>1690302969.5999999</v>
      </c>
      <c r="AT210">
        <v>400.67899999999997</v>
      </c>
      <c r="AU210">
        <v>799.96199999999999</v>
      </c>
      <c r="AV210">
        <v>26.3795</v>
      </c>
      <c r="AW210">
        <v>0.16345399999999999</v>
      </c>
      <c r="AX210">
        <v>400.71199999999999</v>
      </c>
      <c r="AY210">
        <v>26.097999999999999</v>
      </c>
      <c r="AZ210">
        <v>300.08999999999997</v>
      </c>
      <c r="BA210">
        <v>99.303700000000006</v>
      </c>
      <c r="BB210">
        <v>0.10001400000000001</v>
      </c>
      <c r="BC210">
        <v>26.8171</v>
      </c>
      <c r="BD210">
        <v>26.995899999999999</v>
      </c>
      <c r="BE210">
        <v>28.111999999999998</v>
      </c>
      <c r="BF210">
        <v>0</v>
      </c>
      <c r="BG210">
        <v>0</v>
      </c>
      <c r="BH210">
        <v>10023.799999999999</v>
      </c>
      <c r="BI210">
        <v>1078</v>
      </c>
      <c r="BJ210">
        <v>1.7296400000000001</v>
      </c>
      <c r="BK210">
        <v>-399.28300000000002</v>
      </c>
      <c r="BL210">
        <v>411.53500000000003</v>
      </c>
      <c r="BM210">
        <v>800.09199999999998</v>
      </c>
      <c r="BN210">
        <v>26.216100000000001</v>
      </c>
      <c r="BO210">
        <v>799.96199999999999</v>
      </c>
      <c r="BP210">
        <v>0.16345399999999999</v>
      </c>
      <c r="BQ210">
        <v>2.6195900000000001</v>
      </c>
      <c r="BR210">
        <v>1.6231599999999999E-2</v>
      </c>
      <c r="BS210">
        <v>21.789200000000001</v>
      </c>
      <c r="BT210">
        <v>-41.416499999999999</v>
      </c>
      <c r="BU210">
        <v>1800</v>
      </c>
      <c r="BV210">
        <v>0.90998999999999997</v>
      </c>
      <c r="BW210">
        <v>3.3990600000000003E-2</v>
      </c>
      <c r="BX210">
        <v>2.2009600000000001E-2</v>
      </c>
      <c r="BY210">
        <v>3.4010100000000001E-2</v>
      </c>
      <c r="BZ210">
        <v>26</v>
      </c>
      <c r="CA210">
        <v>33528.199999999997</v>
      </c>
      <c r="CB210">
        <v>1690300477.5</v>
      </c>
      <c r="CC210" t="s">
        <v>332</v>
      </c>
      <c r="CD210">
        <v>1690300477.5</v>
      </c>
      <c r="CE210">
        <v>1690300465.5</v>
      </c>
      <c r="CF210">
        <v>7</v>
      </c>
      <c r="CG210">
        <v>5.0999999999999997E-2</v>
      </c>
      <c r="CH210">
        <v>-8.0000000000000002E-3</v>
      </c>
      <c r="CI210">
        <v>-0.316</v>
      </c>
      <c r="CJ210">
        <v>0.28199999999999997</v>
      </c>
      <c r="CK210">
        <v>800</v>
      </c>
      <c r="CL210">
        <v>24</v>
      </c>
      <c r="CM210">
        <v>0.25</v>
      </c>
      <c r="CN210">
        <v>0.13</v>
      </c>
      <c r="CO210">
        <v>-399.00356097560979</v>
      </c>
      <c r="CP210">
        <v>-1.7564738675956439</v>
      </c>
      <c r="CQ210">
        <v>0.17734217288049689</v>
      </c>
      <c r="CR210">
        <v>-1</v>
      </c>
      <c r="CS210">
        <v>26.199431707317071</v>
      </c>
      <c r="CT210">
        <v>0.1074648083623564</v>
      </c>
      <c r="CU210">
        <v>1.0726726116697061E-2</v>
      </c>
      <c r="CV210">
        <v>-1</v>
      </c>
      <c r="CW210">
        <v>0</v>
      </c>
      <c r="CX210">
        <v>0</v>
      </c>
      <c r="CY210" t="s">
        <v>333</v>
      </c>
      <c r="CZ210">
        <v>2.3644799999999999</v>
      </c>
      <c r="DA210">
        <v>2.7138300000000002</v>
      </c>
      <c r="DB210">
        <v>8.9827500000000005E-2</v>
      </c>
      <c r="DC210">
        <v>0.14633399999999999</v>
      </c>
      <c r="DD210">
        <v>0.121726</v>
      </c>
      <c r="DE210">
        <v>1.37919E-3</v>
      </c>
      <c r="DF210">
        <v>33248</v>
      </c>
      <c r="DG210">
        <v>27534</v>
      </c>
      <c r="DH210">
        <v>31184.799999999999</v>
      </c>
      <c r="DI210">
        <v>28105</v>
      </c>
      <c r="DJ210">
        <v>37177.1</v>
      </c>
      <c r="DK210">
        <v>39919.5</v>
      </c>
      <c r="DL210">
        <v>44382.2</v>
      </c>
      <c r="DM210">
        <v>42599.9</v>
      </c>
      <c r="DN210">
        <v>1.48573</v>
      </c>
      <c r="DO210">
        <v>2.0327199999999999</v>
      </c>
      <c r="DP210">
        <v>8.5741300000000006E-2</v>
      </c>
      <c r="DQ210">
        <v>0.163577</v>
      </c>
      <c r="DR210">
        <v>25.592099999999999</v>
      </c>
      <c r="DS210">
        <v>25.4359</v>
      </c>
      <c r="DT210">
        <v>22.3</v>
      </c>
      <c r="DU210">
        <v>29.2</v>
      </c>
      <c r="DV210">
        <v>9.13626</v>
      </c>
      <c r="DW210">
        <v>61.421100000000003</v>
      </c>
      <c r="DX210">
        <v>36.670699999999997</v>
      </c>
      <c r="DY210">
        <v>1</v>
      </c>
      <c r="DZ210">
        <v>-0.10073699999999999</v>
      </c>
      <c r="EA210">
        <v>-0.112219</v>
      </c>
      <c r="EB210">
        <v>20.189499999999999</v>
      </c>
      <c r="EC210">
        <v>5.2406499999999996</v>
      </c>
      <c r="ED210">
        <v>12.039899999999999</v>
      </c>
      <c r="EE210">
        <v>5.01675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1.8689199999999999</v>
      </c>
      <c r="EL210">
        <v>1.8646199999999999</v>
      </c>
      <c r="EM210">
        <v>1.8691899999999999</v>
      </c>
      <c r="EN210">
        <v>1.8672200000000001</v>
      </c>
      <c r="EO210">
        <v>1.86337</v>
      </c>
      <c r="EP210">
        <v>1.8644700000000001</v>
      </c>
      <c r="EQ210">
        <v>1.8701700000000001</v>
      </c>
      <c r="ER210">
        <v>1.86941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-3.3000000000000002E-2</v>
      </c>
      <c r="FG210">
        <v>0.28149999999999997</v>
      </c>
      <c r="FH210">
        <v>0.23539598422606861</v>
      </c>
      <c r="FI210">
        <v>-6.1462078757559423E-4</v>
      </c>
      <c r="FJ210">
        <v>-1.8861989874597051E-7</v>
      </c>
      <c r="FK210">
        <v>1.1980462299894961E-10</v>
      </c>
      <c r="FL210">
        <v>0.28151999999999688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41.5</v>
      </c>
      <c r="FU210">
        <v>41.7</v>
      </c>
      <c r="FV210">
        <v>1.7626999999999999</v>
      </c>
      <c r="FW210">
        <v>2.5878899999999998</v>
      </c>
      <c r="FX210">
        <v>1.5490699999999999</v>
      </c>
      <c r="FY210">
        <v>2.3315399999999999</v>
      </c>
      <c r="FZ210">
        <v>1.50146</v>
      </c>
      <c r="GA210">
        <v>2.36328</v>
      </c>
      <c r="GB210">
        <v>33.625399999999999</v>
      </c>
      <c r="GC210">
        <v>23.982399999999998</v>
      </c>
      <c r="GD210">
        <v>19</v>
      </c>
      <c r="GE210">
        <v>286.42399999999998</v>
      </c>
      <c r="GF210">
        <v>578.64400000000001</v>
      </c>
      <c r="GG210">
        <v>25.202500000000001</v>
      </c>
      <c r="GH210">
        <v>26.133099999999999</v>
      </c>
      <c r="GI210">
        <v>30.000399999999999</v>
      </c>
      <c r="GJ210">
        <v>26.231200000000001</v>
      </c>
      <c r="GK210">
        <v>26.2042</v>
      </c>
      <c r="GL210">
        <v>35.238700000000001</v>
      </c>
      <c r="GM210">
        <v>100</v>
      </c>
      <c r="GN210">
        <v>6.0660600000000002</v>
      </c>
      <c r="GO210">
        <v>25.203199999999999</v>
      </c>
      <c r="GP210">
        <v>800</v>
      </c>
      <c r="GQ210">
        <v>0</v>
      </c>
      <c r="GR210">
        <v>99.782399999999996</v>
      </c>
      <c r="GS210">
        <v>99.653700000000001</v>
      </c>
    </row>
    <row r="211" spans="1:201" x14ac:dyDescent="0.25">
      <c r="A211">
        <v>195</v>
      </c>
      <c r="B211">
        <v>1690302979.5999999</v>
      </c>
      <c r="C211">
        <v>2075.599999904633</v>
      </c>
      <c r="D211" t="s">
        <v>721</v>
      </c>
      <c r="E211" t="s">
        <v>722</v>
      </c>
      <c r="F211" t="s">
        <v>330</v>
      </c>
      <c r="H211">
        <v>1690302979.5999999</v>
      </c>
      <c r="I211">
        <f t="shared" si="90"/>
        <v>2.4725113515064287E-3</v>
      </c>
      <c r="J211">
        <f t="shared" si="91"/>
        <v>2.4725113515064288</v>
      </c>
      <c r="K211">
        <f t="shared" si="92"/>
        <v>35.68914600529888</v>
      </c>
      <c r="L211">
        <f t="shared" si="93"/>
        <v>400.45400000000001</v>
      </c>
      <c r="M211">
        <f t="shared" si="94"/>
        <v>107.96017024539324</v>
      </c>
      <c r="N211">
        <f t="shared" si="95"/>
        <v>10.731197436035515</v>
      </c>
      <c r="O211">
        <f t="shared" si="96"/>
        <v>39.804966297128807</v>
      </c>
      <c r="P211">
        <f t="shared" si="97"/>
        <v>0.2079196785240077</v>
      </c>
      <c r="Q211">
        <f t="shared" si="98"/>
        <v>2.1155056490341595</v>
      </c>
      <c r="R211">
        <f t="shared" si="99"/>
        <v>0.19719736450553169</v>
      </c>
      <c r="S211">
        <f t="shared" si="100"/>
        <v>0.12416561381608462</v>
      </c>
      <c r="T211">
        <f t="shared" si="101"/>
        <v>276.11516553833599</v>
      </c>
      <c r="U211">
        <f t="shared" si="102"/>
        <v>28.152242281140278</v>
      </c>
      <c r="V211">
        <f t="shared" si="103"/>
        <v>28.152242281140278</v>
      </c>
      <c r="W211">
        <f t="shared" si="104"/>
        <v>3.8286503276925425</v>
      </c>
      <c r="X211">
        <f t="shared" si="105"/>
        <v>74.047279870518651</v>
      </c>
      <c r="Y211">
        <f t="shared" si="106"/>
        <v>2.6227975315580796</v>
      </c>
      <c r="Z211">
        <f t="shared" si="107"/>
        <v>3.5420579069810314</v>
      </c>
      <c r="AA211">
        <f t="shared" si="108"/>
        <v>1.2058527961344629</v>
      </c>
      <c r="AB211">
        <f t="shared" si="109"/>
        <v>-109.0377506014335</v>
      </c>
      <c r="AC211">
        <f t="shared" si="110"/>
        <v>-151.63581357446742</v>
      </c>
      <c r="AD211">
        <f t="shared" si="111"/>
        <v>-15.544617357397547</v>
      </c>
      <c r="AE211">
        <f t="shared" si="112"/>
        <v>-0.10301599496250446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52468.568728007936</v>
      </c>
      <c r="AK211">
        <f t="shared" si="116"/>
        <v>1799.99</v>
      </c>
      <c r="AL211">
        <f t="shared" si="117"/>
        <v>1499.1049585928499</v>
      </c>
      <c r="AM211">
        <f t="shared" si="118"/>
        <v>0.83284071500000001</v>
      </c>
      <c r="AN211">
        <f t="shared" si="119"/>
        <v>0.15339816639999998</v>
      </c>
      <c r="AO211">
        <v>32.700000000000003</v>
      </c>
      <c r="AP211">
        <v>0.5</v>
      </c>
      <c r="AQ211" t="s">
        <v>331</v>
      </c>
      <c r="AR211">
        <v>2</v>
      </c>
      <c r="AS211">
        <v>1690302979.5999999</v>
      </c>
      <c r="AT211">
        <v>400.45400000000001</v>
      </c>
      <c r="AU211">
        <v>800.02099999999996</v>
      </c>
      <c r="AV211">
        <v>26.386399999999998</v>
      </c>
      <c r="AW211">
        <v>0.16270899999999999</v>
      </c>
      <c r="AX211">
        <v>400.488</v>
      </c>
      <c r="AY211">
        <v>26.104900000000001</v>
      </c>
      <c r="AZ211">
        <v>300.178</v>
      </c>
      <c r="BA211">
        <v>99.299599999999998</v>
      </c>
      <c r="BB211">
        <v>9.9997199999999994E-2</v>
      </c>
      <c r="BC211">
        <v>26.822700000000001</v>
      </c>
      <c r="BD211">
        <v>27.013300000000001</v>
      </c>
      <c r="BE211">
        <v>28.103899999999999</v>
      </c>
      <c r="BF211">
        <v>0</v>
      </c>
      <c r="BG211">
        <v>0</v>
      </c>
      <c r="BH211">
        <v>9986.25</v>
      </c>
      <c r="BI211">
        <v>1077.97</v>
      </c>
      <c r="BJ211">
        <v>1.6315200000000001</v>
      </c>
      <c r="BK211">
        <v>-399.56599999999997</v>
      </c>
      <c r="BL211">
        <v>411.30700000000002</v>
      </c>
      <c r="BM211">
        <v>800.15099999999995</v>
      </c>
      <c r="BN211">
        <v>26.223700000000001</v>
      </c>
      <c r="BO211">
        <v>800.02099999999996</v>
      </c>
      <c r="BP211">
        <v>0.16270899999999999</v>
      </c>
      <c r="BQ211">
        <v>2.6201599999999998</v>
      </c>
      <c r="BR211">
        <v>1.6157000000000001E-2</v>
      </c>
      <c r="BS211">
        <v>21.7928</v>
      </c>
      <c r="BT211">
        <v>-41.46</v>
      </c>
      <c r="BU211">
        <v>1799.99</v>
      </c>
      <c r="BV211">
        <v>0.90998800000000002</v>
      </c>
      <c r="BW211">
        <v>3.39929E-2</v>
      </c>
      <c r="BX211">
        <v>2.2009500000000001E-2</v>
      </c>
      <c r="BY211">
        <v>3.4009999999999999E-2</v>
      </c>
      <c r="BZ211">
        <v>26</v>
      </c>
      <c r="CA211">
        <v>33528.1</v>
      </c>
      <c r="CB211">
        <v>1690300477.5</v>
      </c>
      <c r="CC211" t="s">
        <v>332</v>
      </c>
      <c r="CD211">
        <v>1690300477.5</v>
      </c>
      <c r="CE211">
        <v>1690300465.5</v>
      </c>
      <c r="CF211">
        <v>7</v>
      </c>
      <c r="CG211">
        <v>5.0999999999999997E-2</v>
      </c>
      <c r="CH211">
        <v>-8.0000000000000002E-3</v>
      </c>
      <c r="CI211">
        <v>-0.316</v>
      </c>
      <c r="CJ211">
        <v>0.28199999999999997</v>
      </c>
      <c r="CK211">
        <v>800</v>
      </c>
      <c r="CL211">
        <v>24</v>
      </c>
      <c r="CM211">
        <v>0.25</v>
      </c>
      <c r="CN211">
        <v>0.13</v>
      </c>
      <c r="CO211">
        <v>-399.27648780487812</v>
      </c>
      <c r="CP211">
        <v>-1.404418118466501</v>
      </c>
      <c r="CQ211">
        <v>0.14878682113669089</v>
      </c>
      <c r="CR211">
        <v>-1</v>
      </c>
      <c r="CS211">
        <v>26.214329268292691</v>
      </c>
      <c r="CT211">
        <v>7.5811149825760316E-2</v>
      </c>
      <c r="CU211">
        <v>7.8506250769442756E-3</v>
      </c>
      <c r="CV211">
        <v>-1</v>
      </c>
      <c r="CW211">
        <v>0</v>
      </c>
      <c r="CX211">
        <v>0</v>
      </c>
      <c r="CY211" t="s">
        <v>333</v>
      </c>
      <c r="CZ211">
        <v>2.36477</v>
      </c>
      <c r="DA211">
        <v>2.7137799999999999</v>
      </c>
      <c r="DB211">
        <v>8.9785000000000004E-2</v>
      </c>
      <c r="DC211">
        <v>0.14633499999999999</v>
      </c>
      <c r="DD211">
        <v>0.121742</v>
      </c>
      <c r="DE211">
        <v>1.37291E-3</v>
      </c>
      <c r="DF211">
        <v>33249.9</v>
      </c>
      <c r="DG211">
        <v>27533.599999999999</v>
      </c>
      <c r="DH211">
        <v>31185.1</v>
      </c>
      <c r="DI211">
        <v>28104.7</v>
      </c>
      <c r="DJ211">
        <v>37176.699999999997</v>
      </c>
      <c r="DK211">
        <v>39919.4</v>
      </c>
      <c r="DL211">
        <v>44382.6</v>
      </c>
      <c r="DM211">
        <v>42599.5</v>
      </c>
      <c r="DN211">
        <v>1.4856</v>
      </c>
      <c r="DO211">
        <v>2.0327000000000002</v>
      </c>
      <c r="DP211">
        <v>8.6754600000000001E-2</v>
      </c>
      <c r="DQ211">
        <v>0.16284000000000001</v>
      </c>
      <c r="DR211">
        <v>25.5929</v>
      </c>
      <c r="DS211">
        <v>25.439800000000002</v>
      </c>
      <c r="DT211">
        <v>22.2</v>
      </c>
      <c r="DU211">
        <v>29.2</v>
      </c>
      <c r="DV211">
        <v>9.0962700000000005</v>
      </c>
      <c r="DW211">
        <v>61.621099999999998</v>
      </c>
      <c r="DX211">
        <v>36.414299999999997</v>
      </c>
      <c r="DY211">
        <v>1</v>
      </c>
      <c r="DZ211">
        <v>-0.10034</v>
      </c>
      <c r="EA211">
        <v>-0.115686</v>
      </c>
      <c r="EB211">
        <v>20.189499999999999</v>
      </c>
      <c r="EC211">
        <v>5.2406499999999996</v>
      </c>
      <c r="ED211">
        <v>12.039899999999999</v>
      </c>
      <c r="EE211">
        <v>5.0164499999999999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1.8689100000000001</v>
      </c>
      <c r="EL211">
        <v>1.8646199999999999</v>
      </c>
      <c r="EM211">
        <v>1.8692</v>
      </c>
      <c r="EN211">
        <v>1.8672299999999999</v>
      </c>
      <c r="EO211">
        <v>1.86338</v>
      </c>
      <c r="EP211">
        <v>1.8644700000000001</v>
      </c>
      <c r="EQ211">
        <v>1.8702000000000001</v>
      </c>
      <c r="ER211">
        <v>1.86944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-3.4000000000000002E-2</v>
      </c>
      <c r="FG211">
        <v>0.28149999999999997</v>
      </c>
      <c r="FH211">
        <v>0.23539598422606861</v>
      </c>
      <c r="FI211">
        <v>-6.1462078757559423E-4</v>
      </c>
      <c r="FJ211">
        <v>-1.8861989874597051E-7</v>
      </c>
      <c r="FK211">
        <v>1.1980462299894961E-10</v>
      </c>
      <c r="FL211">
        <v>0.28151999999999688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41.7</v>
      </c>
      <c r="FU211">
        <v>41.9</v>
      </c>
      <c r="FV211">
        <v>1.7626999999999999</v>
      </c>
      <c r="FW211">
        <v>2.5891099999999998</v>
      </c>
      <c r="FX211">
        <v>1.5490699999999999</v>
      </c>
      <c r="FY211">
        <v>2.3315399999999999</v>
      </c>
      <c r="FZ211">
        <v>1.50146</v>
      </c>
      <c r="GA211">
        <v>2.35229</v>
      </c>
      <c r="GB211">
        <v>33.6479</v>
      </c>
      <c r="GC211">
        <v>23.982399999999998</v>
      </c>
      <c r="GD211">
        <v>19</v>
      </c>
      <c r="GE211">
        <v>286.38</v>
      </c>
      <c r="GF211">
        <v>578.63699999999994</v>
      </c>
      <c r="GG211">
        <v>25.2041</v>
      </c>
      <c r="GH211">
        <v>26.135300000000001</v>
      </c>
      <c r="GI211">
        <v>30.000299999999999</v>
      </c>
      <c r="GJ211">
        <v>26.2334</v>
      </c>
      <c r="GK211">
        <v>26.205300000000001</v>
      </c>
      <c r="GL211">
        <v>35.238</v>
      </c>
      <c r="GM211">
        <v>100</v>
      </c>
      <c r="GN211">
        <v>5.3004300000000004</v>
      </c>
      <c r="GO211">
        <v>25.204899999999999</v>
      </c>
      <c r="GP211">
        <v>800</v>
      </c>
      <c r="GQ211">
        <v>0</v>
      </c>
      <c r="GR211">
        <v>99.783299999999997</v>
      </c>
      <c r="GS211">
        <v>99.652699999999996</v>
      </c>
    </row>
    <row r="212" spans="1:201" x14ac:dyDescent="0.25">
      <c r="A212">
        <v>196</v>
      </c>
      <c r="B212">
        <v>1690302989.5999999</v>
      </c>
      <c r="C212">
        <v>2085.599999904633</v>
      </c>
      <c r="D212" t="s">
        <v>723</v>
      </c>
      <c r="E212" t="s">
        <v>724</v>
      </c>
      <c r="F212" t="s">
        <v>330</v>
      </c>
      <c r="H212">
        <v>1690302989.5999999</v>
      </c>
      <c r="I212">
        <f t="shared" si="90"/>
        <v>2.473678185847076E-3</v>
      </c>
      <c r="J212">
        <f t="shared" si="91"/>
        <v>2.473678185847076</v>
      </c>
      <c r="K212">
        <f t="shared" si="92"/>
        <v>35.719607018145851</v>
      </c>
      <c r="L212">
        <f t="shared" si="93"/>
        <v>400.07499999999999</v>
      </c>
      <c r="M212">
        <f t="shared" si="94"/>
        <v>108.11395183480481</v>
      </c>
      <c r="N212">
        <f t="shared" si="95"/>
        <v>10.746557343759596</v>
      </c>
      <c r="O212">
        <f t="shared" si="96"/>
        <v>39.767567981180001</v>
      </c>
      <c r="P212">
        <f t="shared" si="97"/>
        <v>0.20849966884694998</v>
      </c>
      <c r="Q212">
        <f t="shared" si="98"/>
        <v>2.1155137509142823</v>
      </c>
      <c r="R212">
        <f t="shared" si="99"/>
        <v>0.1977191564225822</v>
      </c>
      <c r="S212">
        <f t="shared" si="100"/>
        <v>0.12449659024309551</v>
      </c>
      <c r="T212">
        <f t="shared" si="101"/>
        <v>276.11654034599997</v>
      </c>
      <c r="U212">
        <f t="shared" si="102"/>
        <v>28.147045021794199</v>
      </c>
      <c r="V212">
        <f t="shared" si="103"/>
        <v>28.147045021794199</v>
      </c>
      <c r="W212">
        <f t="shared" si="104"/>
        <v>3.8274917791509364</v>
      </c>
      <c r="X212">
        <f t="shared" si="105"/>
        <v>74.109118462526425</v>
      </c>
      <c r="Y212">
        <f t="shared" si="106"/>
        <v>2.6242469755859199</v>
      </c>
      <c r="Z212">
        <f t="shared" si="107"/>
        <v>3.5410581451092025</v>
      </c>
      <c r="AA212">
        <f t="shared" si="108"/>
        <v>1.2032448035650165</v>
      </c>
      <c r="AB212">
        <f t="shared" si="109"/>
        <v>-109.08920799585606</v>
      </c>
      <c r="AC212">
        <f t="shared" si="110"/>
        <v>-151.59108624829423</v>
      </c>
      <c r="AD212">
        <f t="shared" si="111"/>
        <v>-15.539197162404509</v>
      </c>
      <c r="AE212">
        <f t="shared" si="112"/>
        <v>-0.10295106055480119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52469.778611467787</v>
      </c>
      <c r="AK212">
        <f t="shared" si="116"/>
        <v>1800</v>
      </c>
      <c r="AL212">
        <f t="shared" si="117"/>
        <v>1499.1099966000002</v>
      </c>
      <c r="AM212">
        <f t="shared" si="118"/>
        <v>0.83283888700000008</v>
      </c>
      <c r="AN212">
        <f t="shared" si="119"/>
        <v>0.15339807796999999</v>
      </c>
      <c r="AO212">
        <v>32.700000000000003</v>
      </c>
      <c r="AP212">
        <v>0.5</v>
      </c>
      <c r="AQ212" t="s">
        <v>331</v>
      </c>
      <c r="AR212">
        <v>2</v>
      </c>
      <c r="AS212">
        <v>1690302989.5999999</v>
      </c>
      <c r="AT212">
        <v>400.07499999999999</v>
      </c>
      <c r="AU212">
        <v>800.02200000000005</v>
      </c>
      <c r="AV212">
        <v>26.4008</v>
      </c>
      <c r="AW212">
        <v>0.16162499999999999</v>
      </c>
      <c r="AX212">
        <v>400.108</v>
      </c>
      <c r="AY212">
        <v>26.119299999999999</v>
      </c>
      <c r="AZ212">
        <v>300.13799999999998</v>
      </c>
      <c r="BA212">
        <v>99.300299999999993</v>
      </c>
      <c r="BB212">
        <v>9.9982399999999999E-2</v>
      </c>
      <c r="BC212">
        <v>26.817900000000002</v>
      </c>
      <c r="BD212">
        <v>26.997800000000002</v>
      </c>
      <c r="BE212">
        <v>28.104199999999999</v>
      </c>
      <c r="BF212">
        <v>0</v>
      </c>
      <c r="BG212">
        <v>0</v>
      </c>
      <c r="BH212">
        <v>9986.25</v>
      </c>
      <c r="BI212">
        <v>1077.8599999999999</v>
      </c>
      <c r="BJ212">
        <v>1.7380500000000001</v>
      </c>
      <c r="BK212">
        <v>-399.947</v>
      </c>
      <c r="BL212">
        <v>410.923</v>
      </c>
      <c r="BM212">
        <v>800.15099999999995</v>
      </c>
      <c r="BN212">
        <v>26.2392</v>
      </c>
      <c r="BO212">
        <v>800.02200000000005</v>
      </c>
      <c r="BP212">
        <v>0.16162499999999999</v>
      </c>
      <c r="BQ212">
        <v>2.62161</v>
      </c>
      <c r="BR212">
        <v>1.6049399999999998E-2</v>
      </c>
      <c r="BS212">
        <v>21.8019</v>
      </c>
      <c r="BT212">
        <v>-41.523000000000003</v>
      </c>
      <c r="BU212">
        <v>1800</v>
      </c>
      <c r="BV212">
        <v>0.90998000000000001</v>
      </c>
      <c r="BW212">
        <v>3.4002400000000002E-2</v>
      </c>
      <c r="BX212">
        <v>2.20086E-2</v>
      </c>
      <c r="BY212">
        <v>3.4008700000000003E-2</v>
      </c>
      <c r="BZ212">
        <v>26</v>
      </c>
      <c r="CA212">
        <v>33528.199999999997</v>
      </c>
      <c r="CB212">
        <v>1690300477.5</v>
      </c>
      <c r="CC212" t="s">
        <v>332</v>
      </c>
      <c r="CD212">
        <v>1690300477.5</v>
      </c>
      <c r="CE212">
        <v>1690300465.5</v>
      </c>
      <c r="CF212">
        <v>7</v>
      </c>
      <c r="CG212">
        <v>5.0999999999999997E-2</v>
      </c>
      <c r="CH212">
        <v>-8.0000000000000002E-3</v>
      </c>
      <c r="CI212">
        <v>-0.316</v>
      </c>
      <c r="CJ212">
        <v>0.28199999999999997</v>
      </c>
      <c r="CK212">
        <v>800</v>
      </c>
      <c r="CL212">
        <v>24</v>
      </c>
      <c r="CM212">
        <v>0.25</v>
      </c>
      <c r="CN212">
        <v>0.13</v>
      </c>
      <c r="CO212">
        <v>-399.56051219512187</v>
      </c>
      <c r="CP212">
        <v>-1.9359303135888719</v>
      </c>
      <c r="CQ212">
        <v>0.20140592695413251</v>
      </c>
      <c r="CR212">
        <v>-1</v>
      </c>
      <c r="CS212">
        <v>26.2246243902439</v>
      </c>
      <c r="CT212">
        <v>5.771707317071112E-2</v>
      </c>
      <c r="CU212">
        <v>5.9461313714661681E-3</v>
      </c>
      <c r="CV212">
        <v>-1</v>
      </c>
      <c r="CW212">
        <v>0</v>
      </c>
      <c r="CX212">
        <v>0</v>
      </c>
      <c r="CY212" t="s">
        <v>333</v>
      </c>
      <c r="CZ212">
        <v>2.3646500000000001</v>
      </c>
      <c r="DA212">
        <v>2.7137600000000002</v>
      </c>
      <c r="DB212">
        <v>8.9720099999999997E-2</v>
      </c>
      <c r="DC212">
        <v>0.14633499999999999</v>
      </c>
      <c r="DD212">
        <v>0.12178899999999999</v>
      </c>
      <c r="DE212">
        <v>1.3638599999999999E-3</v>
      </c>
      <c r="DF212">
        <v>33252.300000000003</v>
      </c>
      <c r="DG212">
        <v>27533.9</v>
      </c>
      <c r="DH212">
        <v>31185.1</v>
      </c>
      <c r="DI212">
        <v>28105</v>
      </c>
      <c r="DJ212">
        <v>37174.699999999997</v>
      </c>
      <c r="DK212">
        <v>39920.1</v>
      </c>
      <c r="DL212">
        <v>44382.6</v>
      </c>
      <c r="DM212">
        <v>42599.8</v>
      </c>
      <c r="DN212">
        <v>1.4854000000000001</v>
      </c>
      <c r="DO212">
        <v>2.0327000000000002</v>
      </c>
      <c r="DP212">
        <v>8.5674200000000006E-2</v>
      </c>
      <c r="DQ212">
        <v>0.16284000000000001</v>
      </c>
      <c r="DR212">
        <v>25.595099999999999</v>
      </c>
      <c r="DS212">
        <v>25.440200000000001</v>
      </c>
      <c r="DT212">
        <v>22.1</v>
      </c>
      <c r="DU212">
        <v>29.2</v>
      </c>
      <c r="DV212">
        <v>9.0549099999999996</v>
      </c>
      <c r="DW212">
        <v>61.671100000000003</v>
      </c>
      <c r="DX212">
        <v>36.5184</v>
      </c>
      <c r="DY212">
        <v>1</v>
      </c>
      <c r="DZ212">
        <v>-0.10068100000000001</v>
      </c>
      <c r="EA212">
        <v>-8.0204200000000003E-2</v>
      </c>
      <c r="EB212">
        <v>20.189699999999998</v>
      </c>
      <c r="EC212">
        <v>5.2409499999999998</v>
      </c>
      <c r="ED212">
        <v>12.039899999999999</v>
      </c>
      <c r="EE212">
        <v>5.0166000000000004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1.8689100000000001</v>
      </c>
      <c r="EL212">
        <v>1.8646199999999999</v>
      </c>
      <c r="EM212">
        <v>1.8691899999999999</v>
      </c>
      <c r="EN212">
        <v>1.8672299999999999</v>
      </c>
      <c r="EO212">
        <v>1.8633500000000001</v>
      </c>
      <c r="EP212">
        <v>1.8644700000000001</v>
      </c>
      <c r="EQ212">
        <v>1.87015</v>
      </c>
      <c r="ER212">
        <v>1.86941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-3.3000000000000002E-2</v>
      </c>
      <c r="FG212">
        <v>0.28149999999999997</v>
      </c>
      <c r="FH212">
        <v>0.23539598422606861</v>
      </c>
      <c r="FI212">
        <v>-6.1462078757559423E-4</v>
      </c>
      <c r="FJ212">
        <v>-1.8861989874597051E-7</v>
      </c>
      <c r="FK212">
        <v>1.1980462299894961E-10</v>
      </c>
      <c r="FL212">
        <v>0.28151999999999688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41.9</v>
      </c>
      <c r="FU212">
        <v>42.1</v>
      </c>
      <c r="FV212">
        <v>1.7626999999999999</v>
      </c>
      <c r="FW212">
        <v>2.5927699999999998</v>
      </c>
      <c r="FX212">
        <v>1.5490699999999999</v>
      </c>
      <c r="FY212">
        <v>2.3315399999999999</v>
      </c>
      <c r="FZ212">
        <v>1.50146</v>
      </c>
      <c r="GA212">
        <v>2.36206</v>
      </c>
      <c r="GB212">
        <v>33.6479</v>
      </c>
      <c r="GC212">
        <v>23.982399999999998</v>
      </c>
      <c r="GD212">
        <v>19</v>
      </c>
      <c r="GE212">
        <v>286.30399999999997</v>
      </c>
      <c r="GF212">
        <v>578.66099999999994</v>
      </c>
      <c r="GG212">
        <v>25.202300000000001</v>
      </c>
      <c r="GH212">
        <v>26.136900000000001</v>
      </c>
      <c r="GI212">
        <v>30.0001</v>
      </c>
      <c r="GJ212">
        <v>26.235700000000001</v>
      </c>
      <c r="GK212">
        <v>26.2074</v>
      </c>
      <c r="GL212">
        <v>35.238500000000002</v>
      </c>
      <c r="GM212">
        <v>100</v>
      </c>
      <c r="GN212">
        <v>4.9245299999999999</v>
      </c>
      <c r="GO212">
        <v>25.192900000000002</v>
      </c>
      <c r="GP212">
        <v>800</v>
      </c>
      <c r="GQ212">
        <v>0</v>
      </c>
      <c r="GR212">
        <v>99.783199999999994</v>
      </c>
      <c r="GS212">
        <v>99.653599999999997</v>
      </c>
    </row>
    <row r="213" spans="1:201" x14ac:dyDescent="0.25">
      <c r="A213">
        <v>197</v>
      </c>
      <c r="B213">
        <v>1690302999.5999999</v>
      </c>
      <c r="C213">
        <v>2095.599999904633</v>
      </c>
      <c r="D213" t="s">
        <v>725</v>
      </c>
      <c r="E213" t="s">
        <v>726</v>
      </c>
      <c r="F213" t="s">
        <v>330</v>
      </c>
      <c r="H213">
        <v>1690302999.5999999</v>
      </c>
      <c r="I213">
        <f t="shared" si="90"/>
        <v>2.4755350537604142E-3</v>
      </c>
      <c r="J213">
        <f t="shared" si="91"/>
        <v>2.4755350537604142</v>
      </c>
      <c r="K213">
        <f t="shared" si="92"/>
        <v>35.73731185125903</v>
      </c>
      <c r="L213">
        <f t="shared" si="93"/>
        <v>399.82799999999997</v>
      </c>
      <c r="M213">
        <f t="shared" si="94"/>
        <v>108.41966757579782</v>
      </c>
      <c r="N213">
        <f t="shared" si="95"/>
        <v>10.776864346733479</v>
      </c>
      <c r="O213">
        <f t="shared" si="96"/>
        <v>39.742716560289601</v>
      </c>
      <c r="P213">
        <f t="shared" si="97"/>
        <v>0.20900128533316487</v>
      </c>
      <c r="Q213">
        <f t="shared" si="98"/>
        <v>2.1203127117182481</v>
      </c>
      <c r="R213">
        <f t="shared" si="99"/>
        <v>0.19819343780773133</v>
      </c>
      <c r="S213">
        <f t="shared" si="100"/>
        <v>0.12479534818811736</v>
      </c>
      <c r="T213">
        <f t="shared" si="101"/>
        <v>276.11653530599995</v>
      </c>
      <c r="U213">
        <f t="shared" si="102"/>
        <v>28.145361763350589</v>
      </c>
      <c r="V213">
        <f t="shared" si="103"/>
        <v>28.145361763350589</v>
      </c>
      <c r="W213">
        <f t="shared" si="104"/>
        <v>3.8271166206896581</v>
      </c>
      <c r="X213">
        <f t="shared" si="105"/>
        <v>74.147462669058854</v>
      </c>
      <c r="Y213">
        <f t="shared" si="106"/>
        <v>2.6258672884043599</v>
      </c>
      <c r="Z213">
        <f t="shared" si="107"/>
        <v>3.541412199260749</v>
      </c>
      <c r="AA213">
        <f t="shared" si="108"/>
        <v>1.2012493322852982</v>
      </c>
      <c r="AB213">
        <f t="shared" si="109"/>
        <v>-109.17109587083426</v>
      </c>
      <c r="AC213">
        <f t="shared" si="110"/>
        <v>-151.54822345756187</v>
      </c>
      <c r="AD213">
        <f t="shared" si="111"/>
        <v>-15.499643983635165</v>
      </c>
      <c r="AE213">
        <f t="shared" si="112"/>
        <v>-0.10242800603137425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52679.953526285004</v>
      </c>
      <c r="AK213">
        <f t="shared" si="116"/>
        <v>1800</v>
      </c>
      <c r="AL213">
        <f t="shared" si="117"/>
        <v>1499.1106085999998</v>
      </c>
      <c r="AM213">
        <f t="shared" si="118"/>
        <v>0.8328392269999999</v>
      </c>
      <c r="AN213">
        <f t="shared" si="119"/>
        <v>0.15339807516999998</v>
      </c>
      <c r="AO213">
        <v>32.700000000000003</v>
      </c>
      <c r="AP213">
        <v>0.5</v>
      </c>
      <c r="AQ213" t="s">
        <v>331</v>
      </c>
      <c r="AR213">
        <v>2</v>
      </c>
      <c r="AS213">
        <v>1690302999.5999999</v>
      </c>
      <c r="AT213">
        <v>399.82799999999997</v>
      </c>
      <c r="AU213">
        <v>799.93200000000002</v>
      </c>
      <c r="AV213">
        <v>26.417300000000001</v>
      </c>
      <c r="AW213">
        <v>0.16132299999999999</v>
      </c>
      <c r="AX213">
        <v>399.86099999999999</v>
      </c>
      <c r="AY213">
        <v>26.1358</v>
      </c>
      <c r="AZ213">
        <v>300.166</v>
      </c>
      <c r="BA213">
        <v>99.299599999999998</v>
      </c>
      <c r="BB213">
        <v>9.99332E-2</v>
      </c>
      <c r="BC213">
        <v>26.819600000000001</v>
      </c>
      <c r="BD213">
        <v>26.9999</v>
      </c>
      <c r="BE213">
        <v>28.102499999999999</v>
      </c>
      <c r="BF213">
        <v>0</v>
      </c>
      <c r="BG213">
        <v>0</v>
      </c>
      <c r="BH213">
        <v>10028.1</v>
      </c>
      <c r="BI213">
        <v>1077.92</v>
      </c>
      <c r="BJ213">
        <v>1.7380500000000001</v>
      </c>
      <c r="BK213">
        <v>-400.10300000000001</v>
      </c>
      <c r="BL213">
        <v>410.67700000000002</v>
      </c>
      <c r="BM213">
        <v>800.06100000000004</v>
      </c>
      <c r="BN213">
        <v>26.256</v>
      </c>
      <c r="BO213">
        <v>799.93200000000002</v>
      </c>
      <c r="BP213">
        <v>0.16132299999999999</v>
      </c>
      <c r="BQ213">
        <v>2.62323</v>
      </c>
      <c r="BR213">
        <v>1.60193E-2</v>
      </c>
      <c r="BS213">
        <v>21.811900000000001</v>
      </c>
      <c r="BT213">
        <v>-41.540700000000001</v>
      </c>
      <c r="BU213">
        <v>1800</v>
      </c>
      <c r="BV213">
        <v>0.90998199999999996</v>
      </c>
      <c r="BW213">
        <v>3.4000700000000002E-2</v>
      </c>
      <c r="BX213">
        <v>2.20086E-2</v>
      </c>
      <c r="BY213">
        <v>3.4008499999999997E-2</v>
      </c>
      <c r="BZ213">
        <v>26</v>
      </c>
      <c r="CA213">
        <v>33528.199999999997</v>
      </c>
      <c r="CB213">
        <v>1690300477.5</v>
      </c>
      <c r="CC213" t="s">
        <v>332</v>
      </c>
      <c r="CD213">
        <v>1690300477.5</v>
      </c>
      <c r="CE213">
        <v>1690300465.5</v>
      </c>
      <c r="CF213">
        <v>7</v>
      </c>
      <c r="CG213">
        <v>5.0999999999999997E-2</v>
      </c>
      <c r="CH213">
        <v>-8.0000000000000002E-3</v>
      </c>
      <c r="CI213">
        <v>-0.316</v>
      </c>
      <c r="CJ213">
        <v>0.28199999999999997</v>
      </c>
      <c r="CK213">
        <v>800</v>
      </c>
      <c r="CL213">
        <v>24</v>
      </c>
      <c r="CM213">
        <v>0.25</v>
      </c>
      <c r="CN213">
        <v>0.13</v>
      </c>
      <c r="CO213">
        <v>-399.90104878048783</v>
      </c>
      <c r="CP213">
        <v>-2.1892264808361288</v>
      </c>
      <c r="CQ213">
        <v>0.22220984931514681</v>
      </c>
      <c r="CR213">
        <v>-1</v>
      </c>
      <c r="CS213">
        <v>26.237817073170731</v>
      </c>
      <c r="CT213">
        <v>0.1065595818815594</v>
      </c>
      <c r="CU213">
        <v>1.054675773642026E-2</v>
      </c>
      <c r="CV213">
        <v>-1</v>
      </c>
      <c r="CW213">
        <v>0</v>
      </c>
      <c r="CX213">
        <v>0</v>
      </c>
      <c r="CY213" t="s">
        <v>333</v>
      </c>
      <c r="CZ213">
        <v>2.3647300000000002</v>
      </c>
      <c r="DA213">
        <v>2.7137500000000001</v>
      </c>
      <c r="DB213">
        <v>8.9676699999999998E-2</v>
      </c>
      <c r="DC213">
        <v>0.14632200000000001</v>
      </c>
      <c r="DD213">
        <v>0.121841</v>
      </c>
      <c r="DE213">
        <v>1.3613099999999999E-3</v>
      </c>
      <c r="DF213">
        <v>33253.599999999999</v>
      </c>
      <c r="DG213">
        <v>27534</v>
      </c>
      <c r="DH213">
        <v>31184.9</v>
      </c>
      <c r="DI213">
        <v>28104.7</v>
      </c>
      <c r="DJ213">
        <v>37172.199999999997</v>
      </c>
      <c r="DK213">
        <v>39920</v>
      </c>
      <c r="DL213">
        <v>44382.3</v>
      </c>
      <c r="DM213">
        <v>42599.6</v>
      </c>
      <c r="DN213">
        <v>1.4856</v>
      </c>
      <c r="DO213">
        <v>2.0326200000000001</v>
      </c>
      <c r="DP213">
        <v>8.5629499999999997E-2</v>
      </c>
      <c r="DQ213">
        <v>0.162601</v>
      </c>
      <c r="DR213">
        <v>25.597999999999999</v>
      </c>
      <c r="DS213">
        <v>25.442299999999999</v>
      </c>
      <c r="DT213">
        <v>22</v>
      </c>
      <c r="DU213">
        <v>29.3</v>
      </c>
      <c r="DV213">
        <v>9.0663999999999998</v>
      </c>
      <c r="DW213">
        <v>61.421100000000003</v>
      </c>
      <c r="DX213">
        <v>36.161900000000003</v>
      </c>
      <c r="DY213">
        <v>1</v>
      </c>
      <c r="DZ213">
        <v>-0.10041899999999999</v>
      </c>
      <c r="EA213">
        <v>-0.12548999999999999</v>
      </c>
      <c r="EB213">
        <v>20.189499999999999</v>
      </c>
      <c r="EC213">
        <v>5.2406499999999996</v>
      </c>
      <c r="ED213">
        <v>12.039899999999999</v>
      </c>
      <c r="EE213">
        <v>5.0166500000000003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1.8646199999999999</v>
      </c>
      <c r="EM213">
        <v>1.8691899999999999</v>
      </c>
      <c r="EN213">
        <v>1.8672200000000001</v>
      </c>
      <c r="EO213">
        <v>1.8633900000000001</v>
      </c>
      <c r="EP213">
        <v>1.8644700000000001</v>
      </c>
      <c r="EQ213">
        <v>1.8701399999999999</v>
      </c>
      <c r="ER213">
        <v>1.8694200000000001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-3.3000000000000002E-2</v>
      </c>
      <c r="FG213">
        <v>0.28149999999999997</v>
      </c>
      <c r="FH213">
        <v>0.23539598422606861</v>
      </c>
      <c r="FI213">
        <v>-6.1462078757559423E-4</v>
      </c>
      <c r="FJ213">
        <v>-1.8861989874597051E-7</v>
      </c>
      <c r="FK213">
        <v>1.1980462299894961E-10</v>
      </c>
      <c r="FL213">
        <v>0.28151999999999688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</v>
      </c>
      <c r="FU213">
        <v>42.2</v>
      </c>
      <c r="FV213">
        <v>1.7626999999999999</v>
      </c>
      <c r="FW213">
        <v>2.5939899999999998</v>
      </c>
      <c r="FX213">
        <v>1.5490699999999999</v>
      </c>
      <c r="FY213">
        <v>2.3315399999999999</v>
      </c>
      <c r="FZ213">
        <v>1.50146</v>
      </c>
      <c r="GA213">
        <v>2.3010299999999999</v>
      </c>
      <c r="GB213">
        <v>33.6479</v>
      </c>
      <c r="GC213">
        <v>23.982399999999998</v>
      </c>
      <c r="GD213">
        <v>19</v>
      </c>
      <c r="GE213">
        <v>286.399</v>
      </c>
      <c r="GF213">
        <v>578.62400000000002</v>
      </c>
      <c r="GG213">
        <v>25.199000000000002</v>
      </c>
      <c r="GH213">
        <v>26.139700000000001</v>
      </c>
      <c r="GI213">
        <v>30.0002</v>
      </c>
      <c r="GJ213">
        <v>26.2379</v>
      </c>
      <c r="GK213">
        <v>26.209599999999998</v>
      </c>
      <c r="GL213">
        <v>35.239899999999999</v>
      </c>
      <c r="GM213">
        <v>100</v>
      </c>
      <c r="GN213">
        <v>4.5532599999999999</v>
      </c>
      <c r="GO213">
        <v>25.203099999999999</v>
      </c>
      <c r="GP213">
        <v>800</v>
      </c>
      <c r="GQ213">
        <v>0</v>
      </c>
      <c r="GR213">
        <v>99.782600000000002</v>
      </c>
      <c r="GS213">
        <v>99.652900000000002</v>
      </c>
    </row>
    <row r="214" spans="1:201" x14ac:dyDescent="0.25">
      <c r="A214">
        <v>198</v>
      </c>
      <c r="B214">
        <v>1690303009.5999999</v>
      </c>
      <c r="C214">
        <v>2105.599999904633</v>
      </c>
      <c r="D214" t="s">
        <v>727</v>
      </c>
      <c r="E214" t="s">
        <v>728</v>
      </c>
      <c r="F214" t="s">
        <v>330</v>
      </c>
      <c r="H214">
        <v>1690303009.5999999</v>
      </c>
      <c r="I214">
        <f t="shared" si="90"/>
        <v>2.476755395191679E-3</v>
      </c>
      <c r="J214">
        <f t="shared" si="91"/>
        <v>2.4767553951916792</v>
      </c>
      <c r="K214">
        <f t="shared" si="92"/>
        <v>35.767265664630983</v>
      </c>
      <c r="L214">
        <f t="shared" si="93"/>
        <v>399.62</v>
      </c>
      <c r="M214">
        <f t="shared" si="94"/>
        <v>108.14117679512404</v>
      </c>
      <c r="N214">
        <f t="shared" si="95"/>
        <v>10.749136835929157</v>
      </c>
      <c r="O214">
        <f t="shared" si="96"/>
        <v>39.72187273782</v>
      </c>
      <c r="P214">
        <f t="shared" si="97"/>
        <v>0.20913468913730371</v>
      </c>
      <c r="Q214">
        <f t="shared" si="98"/>
        <v>2.1185861275746749</v>
      </c>
      <c r="R214">
        <f t="shared" si="99"/>
        <v>0.19830509519421016</v>
      </c>
      <c r="S214">
        <f t="shared" si="100"/>
        <v>0.12486692989046702</v>
      </c>
      <c r="T214">
        <f t="shared" si="101"/>
        <v>276.11505203096664</v>
      </c>
      <c r="U214">
        <f t="shared" si="102"/>
        <v>28.148699585894256</v>
      </c>
      <c r="V214">
        <f t="shared" si="103"/>
        <v>28.148699585894256</v>
      </c>
      <c r="W214">
        <f t="shared" si="104"/>
        <v>3.8278605735883229</v>
      </c>
      <c r="X214">
        <f t="shared" si="105"/>
        <v>74.159073061302138</v>
      </c>
      <c r="Y214">
        <f t="shared" si="106"/>
        <v>2.6267109673748994</v>
      </c>
      <c r="Z214">
        <f t="shared" si="107"/>
        <v>3.5419954146454615</v>
      </c>
      <c r="AA214">
        <f t="shared" si="108"/>
        <v>1.2011496062134235</v>
      </c>
      <c r="AB214">
        <f t="shared" si="109"/>
        <v>-109.22491292795304</v>
      </c>
      <c r="AC214">
        <f t="shared" si="110"/>
        <v>-151.48624536739086</v>
      </c>
      <c r="AD214">
        <f t="shared" si="111"/>
        <v>-15.506406896949819</v>
      </c>
      <c r="AE214">
        <f t="shared" si="112"/>
        <v>-0.10251316132709576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52603.656280344541</v>
      </c>
      <c r="AK214">
        <f t="shared" si="116"/>
        <v>1799.99</v>
      </c>
      <c r="AL214">
        <f t="shared" si="117"/>
        <v>1499.1002228191599</v>
      </c>
      <c r="AM214">
        <f t="shared" si="118"/>
        <v>0.83283808399999992</v>
      </c>
      <c r="AN214">
        <f t="shared" si="119"/>
        <v>0.15339810334000001</v>
      </c>
      <c r="AO214">
        <v>32.700000000000003</v>
      </c>
      <c r="AP214">
        <v>0.5</v>
      </c>
      <c r="AQ214" t="s">
        <v>331</v>
      </c>
      <c r="AR214">
        <v>2</v>
      </c>
      <c r="AS214">
        <v>1690303009.5999999</v>
      </c>
      <c r="AT214">
        <v>399.62</v>
      </c>
      <c r="AU214">
        <v>800.00199999999995</v>
      </c>
      <c r="AV214">
        <v>26.425899999999999</v>
      </c>
      <c r="AW214">
        <v>0.160362</v>
      </c>
      <c r="AX214">
        <v>399.65300000000002</v>
      </c>
      <c r="AY214">
        <v>26.144300000000001</v>
      </c>
      <c r="AZ214">
        <v>300.202</v>
      </c>
      <c r="BA214">
        <v>99.299099999999996</v>
      </c>
      <c r="BB214">
        <v>0.100011</v>
      </c>
      <c r="BC214">
        <v>26.822399999999998</v>
      </c>
      <c r="BD214">
        <v>26.988499999999998</v>
      </c>
      <c r="BE214">
        <v>28.109400000000001</v>
      </c>
      <c r="BF214">
        <v>0</v>
      </c>
      <c r="BG214">
        <v>0</v>
      </c>
      <c r="BH214">
        <v>10013.1</v>
      </c>
      <c r="BI214">
        <v>1077.76</v>
      </c>
      <c r="BJ214">
        <v>1.7380500000000001</v>
      </c>
      <c r="BK214">
        <v>-400.38200000000001</v>
      </c>
      <c r="BL214">
        <v>410.46699999999998</v>
      </c>
      <c r="BM214">
        <v>800.13</v>
      </c>
      <c r="BN214">
        <v>26.265499999999999</v>
      </c>
      <c r="BO214">
        <v>800.00199999999995</v>
      </c>
      <c r="BP214">
        <v>0.160362</v>
      </c>
      <c r="BQ214">
        <v>2.6240600000000001</v>
      </c>
      <c r="BR214">
        <v>1.5923799999999998E-2</v>
      </c>
      <c r="BS214">
        <v>21.8172</v>
      </c>
      <c r="BT214">
        <v>-41.597099999999998</v>
      </c>
      <c r="BU214">
        <v>1799.99</v>
      </c>
      <c r="BV214">
        <v>0.90997499999999998</v>
      </c>
      <c r="BW214">
        <v>3.4008499999999997E-2</v>
      </c>
      <c r="BX214">
        <v>2.2008199999999999E-2</v>
      </c>
      <c r="BY214">
        <v>3.4007999999999997E-2</v>
      </c>
      <c r="BZ214">
        <v>26</v>
      </c>
      <c r="CA214">
        <v>33528</v>
      </c>
      <c r="CB214">
        <v>1690300477.5</v>
      </c>
      <c r="CC214" t="s">
        <v>332</v>
      </c>
      <c r="CD214">
        <v>1690300477.5</v>
      </c>
      <c r="CE214">
        <v>1690300465.5</v>
      </c>
      <c r="CF214">
        <v>7</v>
      </c>
      <c r="CG214">
        <v>5.0999999999999997E-2</v>
      </c>
      <c r="CH214">
        <v>-8.0000000000000002E-3</v>
      </c>
      <c r="CI214">
        <v>-0.316</v>
      </c>
      <c r="CJ214">
        <v>0.28199999999999997</v>
      </c>
      <c r="CK214">
        <v>800</v>
      </c>
      <c r="CL214">
        <v>24</v>
      </c>
      <c r="CM214">
        <v>0.25</v>
      </c>
      <c r="CN214">
        <v>0.13</v>
      </c>
      <c r="CO214">
        <v>-400.18095121951222</v>
      </c>
      <c r="CP214">
        <v>-1.1985156794421581</v>
      </c>
      <c r="CQ214">
        <v>0.14041366607444311</v>
      </c>
      <c r="CR214">
        <v>-1</v>
      </c>
      <c r="CS214">
        <v>26.253734146341461</v>
      </c>
      <c r="CT214">
        <v>8.4662717770049481E-2</v>
      </c>
      <c r="CU214">
        <v>8.5130490870822303E-3</v>
      </c>
      <c r="CV214">
        <v>-1</v>
      </c>
      <c r="CW214">
        <v>0</v>
      </c>
      <c r="CX214">
        <v>0</v>
      </c>
      <c r="CY214" t="s">
        <v>333</v>
      </c>
      <c r="CZ214">
        <v>2.3648500000000001</v>
      </c>
      <c r="DA214">
        <v>2.7138100000000001</v>
      </c>
      <c r="DB214">
        <v>8.96401E-2</v>
      </c>
      <c r="DC214">
        <v>0.14632999999999999</v>
      </c>
      <c r="DD214">
        <v>0.121867</v>
      </c>
      <c r="DE214">
        <v>1.35326E-3</v>
      </c>
      <c r="DF214">
        <v>33255.1</v>
      </c>
      <c r="DG214">
        <v>27533.4</v>
      </c>
      <c r="DH214">
        <v>31185</v>
      </c>
      <c r="DI214">
        <v>28104.3</v>
      </c>
      <c r="DJ214">
        <v>37171.300000000003</v>
      </c>
      <c r="DK214">
        <v>39919.800000000003</v>
      </c>
      <c r="DL214">
        <v>44382.5</v>
      </c>
      <c r="DM214">
        <v>42599.1</v>
      </c>
      <c r="DN214">
        <v>1.48587</v>
      </c>
      <c r="DO214">
        <v>2.0325500000000001</v>
      </c>
      <c r="DP214">
        <v>8.47131E-2</v>
      </c>
      <c r="DQ214">
        <v>0.16289200000000001</v>
      </c>
      <c r="DR214">
        <v>25.601500000000001</v>
      </c>
      <c r="DS214">
        <v>25.444500000000001</v>
      </c>
      <c r="DT214">
        <v>21.9</v>
      </c>
      <c r="DU214">
        <v>29.3</v>
      </c>
      <c r="DV214">
        <v>9.0258000000000003</v>
      </c>
      <c r="DW214">
        <v>61.231099999999998</v>
      </c>
      <c r="DX214">
        <v>36.338099999999997</v>
      </c>
      <c r="DY214">
        <v>1</v>
      </c>
      <c r="DZ214">
        <v>-0.100257</v>
      </c>
      <c r="EA214">
        <v>-0.110196</v>
      </c>
      <c r="EB214">
        <v>20.189499999999999</v>
      </c>
      <c r="EC214">
        <v>5.2404999999999999</v>
      </c>
      <c r="ED214">
        <v>12.039899999999999</v>
      </c>
      <c r="EE214">
        <v>5.0166500000000003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1.8689100000000001</v>
      </c>
      <c r="EL214">
        <v>1.8646199999999999</v>
      </c>
      <c r="EM214">
        <v>1.8692</v>
      </c>
      <c r="EN214">
        <v>1.8672299999999999</v>
      </c>
      <c r="EO214">
        <v>1.86337</v>
      </c>
      <c r="EP214">
        <v>1.8644700000000001</v>
      </c>
      <c r="EQ214">
        <v>1.87015</v>
      </c>
      <c r="ER214">
        <v>1.8694299999999999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-3.3000000000000002E-2</v>
      </c>
      <c r="FG214">
        <v>0.28160000000000002</v>
      </c>
      <c r="FH214">
        <v>0.23539598422606861</v>
      </c>
      <c r="FI214">
        <v>-6.1462078757559423E-4</v>
      </c>
      <c r="FJ214">
        <v>-1.8861989874597051E-7</v>
      </c>
      <c r="FK214">
        <v>1.1980462299894961E-10</v>
      </c>
      <c r="FL214">
        <v>0.28151999999999688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42.2</v>
      </c>
      <c r="FU214">
        <v>42.4</v>
      </c>
      <c r="FV214">
        <v>1.7626999999999999</v>
      </c>
      <c r="FW214">
        <v>2.5891099999999998</v>
      </c>
      <c r="FX214">
        <v>1.5490699999999999</v>
      </c>
      <c r="FY214">
        <v>2.3315399999999999</v>
      </c>
      <c r="FZ214">
        <v>1.50146</v>
      </c>
      <c r="GA214">
        <v>2.31934</v>
      </c>
      <c r="GB214">
        <v>33.6479</v>
      </c>
      <c r="GC214">
        <v>23.982399999999998</v>
      </c>
      <c r="GD214">
        <v>19</v>
      </c>
      <c r="GE214">
        <v>286.52800000000002</v>
      </c>
      <c r="GF214">
        <v>578.58600000000001</v>
      </c>
      <c r="GG214">
        <v>25.201000000000001</v>
      </c>
      <c r="GH214">
        <v>26.1419</v>
      </c>
      <c r="GI214">
        <v>30.0002</v>
      </c>
      <c r="GJ214">
        <v>26.24</v>
      </c>
      <c r="GK214">
        <v>26.2117</v>
      </c>
      <c r="GL214">
        <v>35.240499999999997</v>
      </c>
      <c r="GM214">
        <v>100</v>
      </c>
      <c r="GN214">
        <v>4.1637000000000004</v>
      </c>
      <c r="GO214">
        <v>25.200299999999999</v>
      </c>
      <c r="GP214">
        <v>800</v>
      </c>
      <c r="GQ214">
        <v>0</v>
      </c>
      <c r="GR214">
        <v>99.783199999999994</v>
      </c>
      <c r="GS214">
        <v>99.651600000000002</v>
      </c>
    </row>
    <row r="215" spans="1:201" x14ac:dyDescent="0.25">
      <c r="A215">
        <v>199</v>
      </c>
      <c r="B215">
        <v>1690303019.5999999</v>
      </c>
      <c r="C215">
        <v>2115.599999904633</v>
      </c>
      <c r="D215" t="s">
        <v>729</v>
      </c>
      <c r="E215" t="s">
        <v>730</v>
      </c>
      <c r="F215" t="s">
        <v>330</v>
      </c>
      <c r="H215">
        <v>1690303019.5999999</v>
      </c>
      <c r="I215">
        <f t="shared" si="90"/>
        <v>2.4781006668381385E-3</v>
      </c>
      <c r="J215">
        <f t="shared" si="91"/>
        <v>2.4781006668381385</v>
      </c>
      <c r="K215">
        <f t="shared" si="92"/>
        <v>35.797926238564038</v>
      </c>
      <c r="L215">
        <f t="shared" si="93"/>
        <v>399.25400000000002</v>
      </c>
      <c r="M215">
        <f t="shared" si="94"/>
        <v>108.17145429254091</v>
      </c>
      <c r="N215">
        <f t="shared" si="95"/>
        <v>10.752245801822195</v>
      </c>
      <c r="O215">
        <f t="shared" si="96"/>
        <v>39.68585957762</v>
      </c>
      <c r="P215">
        <f t="shared" si="97"/>
        <v>0.20963750185639635</v>
      </c>
      <c r="Q215">
        <f t="shared" si="98"/>
        <v>2.1141434129010124</v>
      </c>
      <c r="R215">
        <f t="shared" si="99"/>
        <v>0.19873563894120622</v>
      </c>
      <c r="S215">
        <f t="shared" si="100"/>
        <v>0.12514199993805086</v>
      </c>
      <c r="T215">
        <f t="shared" si="101"/>
        <v>276.11658489599995</v>
      </c>
      <c r="U215">
        <f t="shared" si="102"/>
        <v>28.147073342730678</v>
      </c>
      <c r="V215">
        <f t="shared" si="103"/>
        <v>28.147073342730678</v>
      </c>
      <c r="W215">
        <f t="shared" si="104"/>
        <v>3.8274980914916923</v>
      </c>
      <c r="X215">
        <f t="shared" si="105"/>
        <v>74.21996668111214</v>
      </c>
      <c r="Y215">
        <f t="shared" si="106"/>
        <v>2.6282958332480004</v>
      </c>
      <c r="Z215">
        <f t="shared" si="107"/>
        <v>3.5412247549780456</v>
      </c>
      <c r="AA215">
        <f t="shared" si="108"/>
        <v>1.1992022582436919</v>
      </c>
      <c r="AB215">
        <f t="shared" si="109"/>
        <v>-109.28423940756191</v>
      </c>
      <c r="AC215">
        <f t="shared" si="110"/>
        <v>-151.40493791578575</v>
      </c>
      <c r="AD215">
        <f t="shared" si="111"/>
        <v>-15.530239496271314</v>
      </c>
      <c r="AE215">
        <f t="shared" si="112"/>
        <v>-0.10283192361902138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52409.631135705211</v>
      </c>
      <c r="AK215">
        <f t="shared" si="116"/>
        <v>1800</v>
      </c>
      <c r="AL215">
        <f t="shared" si="117"/>
        <v>1499.1095375999998</v>
      </c>
      <c r="AM215">
        <f t="shared" si="118"/>
        <v>0.83283863199999997</v>
      </c>
      <c r="AN215">
        <f t="shared" si="119"/>
        <v>0.15339810271999998</v>
      </c>
      <c r="AO215">
        <v>32.700000000000003</v>
      </c>
      <c r="AP215">
        <v>0.5</v>
      </c>
      <c r="AQ215" t="s">
        <v>331</v>
      </c>
      <c r="AR215">
        <v>2</v>
      </c>
      <c r="AS215">
        <v>1690303019.5999999</v>
      </c>
      <c r="AT215">
        <v>399.25400000000002</v>
      </c>
      <c r="AU215">
        <v>800.00599999999997</v>
      </c>
      <c r="AV215">
        <v>26.441600000000001</v>
      </c>
      <c r="AW215">
        <v>0.15959300000000001</v>
      </c>
      <c r="AX215">
        <v>399.28699999999998</v>
      </c>
      <c r="AY215">
        <v>26.1601</v>
      </c>
      <c r="AZ215">
        <v>300.17200000000003</v>
      </c>
      <c r="BA215">
        <v>99.3</v>
      </c>
      <c r="BB215">
        <v>0.10002999999999999</v>
      </c>
      <c r="BC215">
        <v>26.8187</v>
      </c>
      <c r="BD215">
        <v>27.010300000000001</v>
      </c>
      <c r="BE215">
        <v>28.096299999999999</v>
      </c>
      <c r="BF215">
        <v>0</v>
      </c>
      <c r="BG215">
        <v>0</v>
      </c>
      <c r="BH215">
        <v>9974.3799999999992</v>
      </c>
      <c r="BI215">
        <v>1077.82</v>
      </c>
      <c r="BJ215">
        <v>1.7380500000000001</v>
      </c>
      <c r="BK215">
        <v>-400.75099999999998</v>
      </c>
      <c r="BL215">
        <v>410.09800000000001</v>
      </c>
      <c r="BM215">
        <v>800.13400000000001</v>
      </c>
      <c r="BN215">
        <v>26.282</v>
      </c>
      <c r="BO215">
        <v>800.00599999999997</v>
      </c>
      <c r="BP215">
        <v>0.15959300000000001</v>
      </c>
      <c r="BQ215">
        <v>2.6256499999999998</v>
      </c>
      <c r="BR215">
        <v>1.58476E-2</v>
      </c>
      <c r="BS215">
        <v>21.827100000000002</v>
      </c>
      <c r="BT215">
        <v>-41.642299999999999</v>
      </c>
      <c r="BU215">
        <v>1800</v>
      </c>
      <c r="BV215">
        <v>0.90997799999999995</v>
      </c>
      <c r="BW215">
        <v>3.4007500000000003E-2</v>
      </c>
      <c r="BX215">
        <v>2.2007599999999999E-2</v>
      </c>
      <c r="BY215">
        <v>3.4007000000000003E-2</v>
      </c>
      <c r="BZ215">
        <v>26</v>
      </c>
      <c r="CA215">
        <v>33528.199999999997</v>
      </c>
      <c r="CB215">
        <v>1690300477.5</v>
      </c>
      <c r="CC215" t="s">
        <v>332</v>
      </c>
      <c r="CD215">
        <v>1690300477.5</v>
      </c>
      <c r="CE215">
        <v>1690300465.5</v>
      </c>
      <c r="CF215">
        <v>7</v>
      </c>
      <c r="CG215">
        <v>5.0999999999999997E-2</v>
      </c>
      <c r="CH215">
        <v>-8.0000000000000002E-3</v>
      </c>
      <c r="CI215">
        <v>-0.316</v>
      </c>
      <c r="CJ215">
        <v>0.28199999999999997</v>
      </c>
      <c r="CK215">
        <v>800</v>
      </c>
      <c r="CL215">
        <v>24</v>
      </c>
      <c r="CM215">
        <v>0.25</v>
      </c>
      <c r="CN215">
        <v>0.13</v>
      </c>
      <c r="CO215">
        <v>-400.39927499999999</v>
      </c>
      <c r="CP215">
        <v>-1.5569493433387041</v>
      </c>
      <c r="CQ215">
        <v>0.1666608813579214</v>
      </c>
      <c r="CR215">
        <v>-1</v>
      </c>
      <c r="CS215">
        <v>26.266212500000002</v>
      </c>
      <c r="CT215">
        <v>7.1679174483997313E-2</v>
      </c>
      <c r="CU215">
        <v>7.1272079912122529E-3</v>
      </c>
      <c r="CV215">
        <v>-1</v>
      </c>
      <c r="CW215">
        <v>0</v>
      </c>
      <c r="CX215">
        <v>0</v>
      </c>
      <c r="CY215" t="s">
        <v>333</v>
      </c>
      <c r="CZ215">
        <v>2.3647399999999998</v>
      </c>
      <c r="DA215">
        <v>2.7138</v>
      </c>
      <c r="DB215">
        <v>8.9577599999999993E-2</v>
      </c>
      <c r="DC215">
        <v>0.14633099999999999</v>
      </c>
      <c r="DD215">
        <v>0.121919</v>
      </c>
      <c r="DE215">
        <v>1.34684E-3</v>
      </c>
      <c r="DF215">
        <v>33257.199999999997</v>
      </c>
      <c r="DG215">
        <v>27532.9</v>
      </c>
      <c r="DH215">
        <v>31184.799999999999</v>
      </c>
      <c r="DI215">
        <v>28103.9</v>
      </c>
      <c r="DJ215">
        <v>37168.800000000003</v>
      </c>
      <c r="DK215">
        <v>39919.4</v>
      </c>
      <c r="DL215">
        <v>44382.2</v>
      </c>
      <c r="DM215">
        <v>42598.400000000001</v>
      </c>
      <c r="DN215">
        <v>1.4858</v>
      </c>
      <c r="DO215">
        <v>2.0324200000000001</v>
      </c>
      <c r="DP215">
        <v>8.5912600000000006E-2</v>
      </c>
      <c r="DQ215">
        <v>0.16196099999999999</v>
      </c>
      <c r="DR215">
        <v>25.6037</v>
      </c>
      <c r="DS215">
        <v>25.4466</v>
      </c>
      <c r="DT215">
        <v>21.8</v>
      </c>
      <c r="DU215">
        <v>29.3</v>
      </c>
      <c r="DV215">
        <v>8.9847900000000003</v>
      </c>
      <c r="DW215">
        <v>61.731099999999998</v>
      </c>
      <c r="DX215">
        <v>36.778799999999997</v>
      </c>
      <c r="DY215">
        <v>1</v>
      </c>
      <c r="DZ215">
        <v>-9.9735799999999999E-2</v>
      </c>
      <c r="EA215">
        <v>-0.133355</v>
      </c>
      <c r="EB215">
        <v>20.189399999999999</v>
      </c>
      <c r="EC215">
        <v>5.2409499999999998</v>
      </c>
      <c r="ED215">
        <v>12.039899999999999</v>
      </c>
      <c r="EE215">
        <v>5.0166500000000003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1.8689100000000001</v>
      </c>
      <c r="EL215">
        <v>1.8646199999999999</v>
      </c>
      <c r="EM215">
        <v>1.8692</v>
      </c>
      <c r="EN215">
        <v>1.8672200000000001</v>
      </c>
      <c r="EO215">
        <v>1.8633900000000001</v>
      </c>
      <c r="EP215">
        <v>1.8644700000000001</v>
      </c>
      <c r="EQ215">
        <v>1.87015</v>
      </c>
      <c r="ER215">
        <v>1.8694299999999999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-3.3000000000000002E-2</v>
      </c>
      <c r="FG215">
        <v>0.28149999999999997</v>
      </c>
      <c r="FH215">
        <v>0.23539598422606861</v>
      </c>
      <c r="FI215">
        <v>-6.1462078757559423E-4</v>
      </c>
      <c r="FJ215">
        <v>-1.8861989874597051E-7</v>
      </c>
      <c r="FK215">
        <v>1.1980462299894961E-10</v>
      </c>
      <c r="FL215">
        <v>0.28151999999999688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42.4</v>
      </c>
      <c r="FU215">
        <v>42.6</v>
      </c>
      <c r="FV215">
        <v>1.7626999999999999</v>
      </c>
      <c r="FW215">
        <v>2.5878899999999998</v>
      </c>
      <c r="FX215">
        <v>1.5490699999999999</v>
      </c>
      <c r="FY215">
        <v>2.3315399999999999</v>
      </c>
      <c r="FZ215">
        <v>1.50146</v>
      </c>
      <c r="GA215">
        <v>2.32544</v>
      </c>
      <c r="GB215">
        <v>33.6479</v>
      </c>
      <c r="GC215">
        <v>23.982399999999998</v>
      </c>
      <c r="GD215">
        <v>19</v>
      </c>
      <c r="GE215">
        <v>286.505</v>
      </c>
      <c r="GF215">
        <v>578.50800000000004</v>
      </c>
      <c r="GG215">
        <v>25.201699999999999</v>
      </c>
      <c r="GH215">
        <v>26.144600000000001</v>
      </c>
      <c r="GI215">
        <v>30.000299999999999</v>
      </c>
      <c r="GJ215">
        <v>26.2423</v>
      </c>
      <c r="GK215">
        <v>26.213899999999999</v>
      </c>
      <c r="GL215">
        <v>35.239600000000003</v>
      </c>
      <c r="GM215">
        <v>100</v>
      </c>
      <c r="GN215">
        <v>3.7762600000000002</v>
      </c>
      <c r="GO215">
        <v>25.208300000000001</v>
      </c>
      <c r="GP215">
        <v>800</v>
      </c>
      <c r="GQ215">
        <v>0</v>
      </c>
      <c r="GR215">
        <v>99.782399999999996</v>
      </c>
      <c r="GS215">
        <v>99.649900000000002</v>
      </c>
    </row>
    <row r="216" spans="1:201" x14ac:dyDescent="0.25">
      <c r="A216">
        <v>200</v>
      </c>
      <c r="B216">
        <v>1690303029.5999999</v>
      </c>
      <c r="C216">
        <v>2125.599999904633</v>
      </c>
      <c r="D216" t="s">
        <v>731</v>
      </c>
      <c r="E216" t="s">
        <v>732</v>
      </c>
      <c r="F216" t="s">
        <v>330</v>
      </c>
      <c r="H216">
        <v>1690303029.5999999</v>
      </c>
      <c r="I216">
        <f t="shared" si="90"/>
        <v>2.4778513549746544E-3</v>
      </c>
      <c r="J216">
        <f t="shared" si="91"/>
        <v>2.4778513549746544</v>
      </c>
      <c r="K216">
        <f t="shared" si="92"/>
        <v>35.812200662611247</v>
      </c>
      <c r="L216">
        <f t="shared" si="93"/>
        <v>398.89699999999999</v>
      </c>
      <c r="M216">
        <f t="shared" si="94"/>
        <v>107.90844231301821</v>
      </c>
      <c r="N216">
        <f t="shared" si="95"/>
        <v>10.726019043895594</v>
      </c>
      <c r="O216">
        <f t="shared" si="96"/>
        <v>39.650065618977507</v>
      </c>
      <c r="P216">
        <f t="shared" si="97"/>
        <v>0.20978509460668079</v>
      </c>
      <c r="Q216">
        <f t="shared" si="98"/>
        <v>2.1150705170639186</v>
      </c>
      <c r="R216">
        <f t="shared" si="99"/>
        <v>0.19887282276271748</v>
      </c>
      <c r="S216">
        <f t="shared" si="100"/>
        <v>0.12522861801934496</v>
      </c>
      <c r="T216">
        <f t="shared" si="101"/>
        <v>276.11668294200001</v>
      </c>
      <c r="U216">
        <f t="shared" si="102"/>
        <v>28.148131342186737</v>
      </c>
      <c r="V216">
        <f t="shared" si="103"/>
        <v>28.148131342186737</v>
      </c>
      <c r="W216">
        <f t="shared" si="104"/>
        <v>3.827733911284362</v>
      </c>
      <c r="X216">
        <f t="shared" si="105"/>
        <v>74.247364746990911</v>
      </c>
      <c r="Y216">
        <f t="shared" si="106"/>
        <v>2.62949801797925</v>
      </c>
      <c r="Z216">
        <f t="shared" si="107"/>
        <v>3.5415371669279585</v>
      </c>
      <c r="AA216">
        <f t="shared" si="108"/>
        <v>1.198235893305112</v>
      </c>
      <c r="AB216">
        <f t="shared" si="109"/>
        <v>-109.27324475438226</v>
      </c>
      <c r="AC216">
        <f t="shared" si="110"/>
        <v>-151.42093242750352</v>
      </c>
      <c r="AD216">
        <f t="shared" si="111"/>
        <v>-15.525270188719125</v>
      </c>
      <c r="AE216">
        <f t="shared" si="112"/>
        <v>-0.10276442860487123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52449.942549615153</v>
      </c>
      <c r="AK216">
        <f t="shared" si="116"/>
        <v>1800</v>
      </c>
      <c r="AL216">
        <f t="shared" si="117"/>
        <v>1499.1099551999998</v>
      </c>
      <c r="AM216">
        <f t="shared" si="118"/>
        <v>0.83283886399999996</v>
      </c>
      <c r="AN216">
        <f t="shared" si="119"/>
        <v>0.15339815719</v>
      </c>
      <c r="AO216">
        <v>32.700000000000003</v>
      </c>
      <c r="AP216">
        <v>0.5</v>
      </c>
      <c r="AQ216" t="s">
        <v>331</v>
      </c>
      <c r="AR216">
        <v>2</v>
      </c>
      <c r="AS216">
        <v>1690303029.5999999</v>
      </c>
      <c r="AT216">
        <v>398.89699999999999</v>
      </c>
      <c r="AU216">
        <v>800.03700000000003</v>
      </c>
      <c r="AV216">
        <v>26.453900000000001</v>
      </c>
      <c r="AW216">
        <v>0.15892600000000001</v>
      </c>
      <c r="AX216">
        <v>398.93</v>
      </c>
      <c r="AY216">
        <v>26.1724</v>
      </c>
      <c r="AZ216">
        <v>299.99</v>
      </c>
      <c r="BA216">
        <v>99.299300000000002</v>
      </c>
      <c r="BB216">
        <v>9.9957500000000005E-2</v>
      </c>
      <c r="BC216">
        <v>26.8202</v>
      </c>
      <c r="BD216">
        <v>26.998200000000001</v>
      </c>
      <c r="BE216">
        <v>28.108799999999999</v>
      </c>
      <c r="BF216">
        <v>0</v>
      </c>
      <c r="BG216">
        <v>0</v>
      </c>
      <c r="BH216">
        <v>9982.5</v>
      </c>
      <c r="BI216">
        <v>1077.76</v>
      </c>
      <c r="BJ216">
        <v>1.7380500000000001</v>
      </c>
      <c r="BK216">
        <v>-401.13900000000001</v>
      </c>
      <c r="BL216">
        <v>409.73700000000002</v>
      </c>
      <c r="BM216">
        <v>800.16399999999999</v>
      </c>
      <c r="BN216">
        <v>26.295000000000002</v>
      </c>
      <c r="BO216">
        <v>800.03700000000003</v>
      </c>
      <c r="BP216">
        <v>0.15892600000000001</v>
      </c>
      <c r="BQ216">
        <v>2.6268600000000002</v>
      </c>
      <c r="BR216">
        <v>1.5781300000000002E-2</v>
      </c>
      <c r="BS216">
        <v>21.834599999999998</v>
      </c>
      <c r="BT216">
        <v>-41.681800000000003</v>
      </c>
      <c r="BU216">
        <v>1800</v>
      </c>
      <c r="BV216">
        <v>0.90997799999999995</v>
      </c>
      <c r="BW216">
        <v>3.4007599999999999E-2</v>
      </c>
      <c r="BX216">
        <v>2.2007700000000002E-2</v>
      </c>
      <c r="BY216">
        <v>3.4007099999999998E-2</v>
      </c>
      <c r="BZ216">
        <v>26</v>
      </c>
      <c r="CA216">
        <v>33528.1</v>
      </c>
      <c r="CB216">
        <v>1690300477.5</v>
      </c>
      <c r="CC216" t="s">
        <v>332</v>
      </c>
      <c r="CD216">
        <v>1690300477.5</v>
      </c>
      <c r="CE216">
        <v>1690300465.5</v>
      </c>
      <c r="CF216">
        <v>7</v>
      </c>
      <c r="CG216">
        <v>5.0999999999999997E-2</v>
      </c>
      <c r="CH216">
        <v>-8.0000000000000002E-3</v>
      </c>
      <c r="CI216">
        <v>-0.316</v>
      </c>
      <c r="CJ216">
        <v>0.28199999999999997</v>
      </c>
      <c r="CK216">
        <v>800</v>
      </c>
      <c r="CL216">
        <v>24</v>
      </c>
      <c r="CM216">
        <v>0.25</v>
      </c>
      <c r="CN216">
        <v>0.13</v>
      </c>
      <c r="CO216">
        <v>-400.70712500000002</v>
      </c>
      <c r="CP216">
        <v>-1.7149080675408961</v>
      </c>
      <c r="CQ216">
        <v>0.17573690385061019</v>
      </c>
      <c r="CR216">
        <v>-1</v>
      </c>
      <c r="CS216">
        <v>26.281124999999999</v>
      </c>
      <c r="CT216">
        <v>9.3106941838607113E-2</v>
      </c>
      <c r="CU216">
        <v>9.0367790168844504E-3</v>
      </c>
      <c r="CV216">
        <v>-1</v>
      </c>
      <c r="CW216">
        <v>0</v>
      </c>
      <c r="CX216">
        <v>0</v>
      </c>
      <c r="CY216" t="s">
        <v>333</v>
      </c>
      <c r="CZ216">
        <v>2.36415</v>
      </c>
      <c r="DA216">
        <v>2.71373</v>
      </c>
      <c r="DB216">
        <v>8.9515300000000006E-2</v>
      </c>
      <c r="DC216">
        <v>0.14633299999999999</v>
      </c>
      <c r="DD216">
        <v>0.121957</v>
      </c>
      <c r="DE216">
        <v>1.34125E-3</v>
      </c>
      <c r="DF216">
        <v>33259</v>
      </c>
      <c r="DG216">
        <v>27533.1</v>
      </c>
      <c r="DH216">
        <v>31184.400000000001</v>
      </c>
      <c r="DI216">
        <v>28104.1</v>
      </c>
      <c r="DJ216">
        <v>37166.699999999997</v>
      </c>
      <c r="DK216">
        <v>39919.9</v>
      </c>
      <c r="DL216">
        <v>44381.599999999999</v>
      </c>
      <c r="DM216">
        <v>42598.7</v>
      </c>
      <c r="DN216">
        <v>1.4857</v>
      </c>
      <c r="DO216">
        <v>2.0326200000000001</v>
      </c>
      <c r="DP216">
        <v>8.5175000000000001E-2</v>
      </c>
      <c r="DQ216">
        <v>0.16272800000000001</v>
      </c>
      <c r="DR216">
        <v>25.6037</v>
      </c>
      <c r="DS216">
        <v>25.4466</v>
      </c>
      <c r="DT216">
        <v>21.7</v>
      </c>
      <c r="DU216">
        <v>29.3</v>
      </c>
      <c r="DV216">
        <v>8.9429300000000005</v>
      </c>
      <c r="DW216">
        <v>61.9011</v>
      </c>
      <c r="DX216">
        <v>37.311700000000002</v>
      </c>
      <c r="DY216">
        <v>1</v>
      </c>
      <c r="DZ216">
        <v>-9.9692600000000006E-2</v>
      </c>
      <c r="EA216">
        <v>-0.111163</v>
      </c>
      <c r="EB216">
        <v>20.189399999999999</v>
      </c>
      <c r="EC216">
        <v>5.24125</v>
      </c>
      <c r="ED216">
        <v>12.039899999999999</v>
      </c>
      <c r="EE216">
        <v>5.0168499999999998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1.8689199999999999</v>
      </c>
      <c r="EL216">
        <v>1.8646199999999999</v>
      </c>
      <c r="EM216">
        <v>1.8691899999999999</v>
      </c>
      <c r="EN216">
        <v>1.8672299999999999</v>
      </c>
      <c r="EO216">
        <v>1.86338</v>
      </c>
      <c r="EP216">
        <v>1.8644700000000001</v>
      </c>
      <c r="EQ216">
        <v>1.87015</v>
      </c>
      <c r="ER216">
        <v>1.8694299999999999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-3.3000000000000002E-2</v>
      </c>
      <c r="FG216">
        <v>0.28149999999999997</v>
      </c>
      <c r="FH216">
        <v>0.23539598422606861</v>
      </c>
      <c r="FI216">
        <v>-6.1462078757559423E-4</v>
      </c>
      <c r="FJ216">
        <v>-1.8861989874597051E-7</v>
      </c>
      <c r="FK216">
        <v>1.1980462299894961E-10</v>
      </c>
      <c r="FL216">
        <v>0.28151999999999688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42.5</v>
      </c>
      <c r="FU216">
        <v>42.7</v>
      </c>
      <c r="FV216">
        <v>1.7626999999999999</v>
      </c>
      <c r="FW216">
        <v>2.5842299999999998</v>
      </c>
      <c r="FX216">
        <v>1.5490699999999999</v>
      </c>
      <c r="FY216">
        <v>2.3315399999999999</v>
      </c>
      <c r="FZ216">
        <v>1.50146</v>
      </c>
      <c r="GA216">
        <v>2.3742700000000001</v>
      </c>
      <c r="GB216">
        <v>33.6479</v>
      </c>
      <c r="GC216">
        <v>23.991199999999999</v>
      </c>
      <c r="GD216">
        <v>19</v>
      </c>
      <c r="GE216">
        <v>286.471</v>
      </c>
      <c r="GF216">
        <v>578.697</v>
      </c>
      <c r="GG216">
        <v>25.2043</v>
      </c>
      <c r="GH216">
        <v>26.147099999999998</v>
      </c>
      <c r="GI216">
        <v>30.0002</v>
      </c>
      <c r="GJ216">
        <v>26.2441</v>
      </c>
      <c r="GK216">
        <v>26.216100000000001</v>
      </c>
      <c r="GL216">
        <v>35.239199999999997</v>
      </c>
      <c r="GM216">
        <v>100</v>
      </c>
      <c r="GN216">
        <v>3.02332</v>
      </c>
      <c r="GO216">
        <v>25.2044</v>
      </c>
      <c r="GP216">
        <v>800</v>
      </c>
      <c r="GQ216">
        <v>0</v>
      </c>
      <c r="GR216">
        <v>99.781099999999995</v>
      </c>
      <c r="GS216">
        <v>99.650700000000001</v>
      </c>
    </row>
    <row r="217" spans="1:201" x14ac:dyDescent="0.25">
      <c r="A217">
        <v>201</v>
      </c>
      <c r="B217">
        <v>1690303039.5999999</v>
      </c>
      <c r="C217">
        <v>2135.599999904633</v>
      </c>
      <c r="D217" t="s">
        <v>733</v>
      </c>
      <c r="E217" t="s">
        <v>734</v>
      </c>
      <c r="F217" t="s">
        <v>330</v>
      </c>
      <c r="H217">
        <v>1690303039.5999999</v>
      </c>
      <c r="I217">
        <f t="shared" si="90"/>
        <v>2.4799208787954358E-3</v>
      </c>
      <c r="J217">
        <f t="shared" si="91"/>
        <v>2.4799208787954359</v>
      </c>
      <c r="K217">
        <f t="shared" si="92"/>
        <v>35.835345112887964</v>
      </c>
      <c r="L217">
        <f t="shared" si="93"/>
        <v>398.70600000000002</v>
      </c>
      <c r="M217">
        <f t="shared" si="94"/>
        <v>108.19120781251286</v>
      </c>
      <c r="N217">
        <f t="shared" si="95"/>
        <v>10.754041367907247</v>
      </c>
      <c r="O217">
        <f t="shared" si="96"/>
        <v>39.630769489726809</v>
      </c>
      <c r="P217">
        <f t="shared" si="97"/>
        <v>0.21028655801018964</v>
      </c>
      <c r="Q217">
        <f t="shared" si="98"/>
        <v>2.1151326360504545</v>
      </c>
      <c r="R217">
        <f t="shared" si="99"/>
        <v>0.1993238230900847</v>
      </c>
      <c r="S217">
        <f t="shared" si="100"/>
        <v>0.12551470210124188</v>
      </c>
      <c r="T217">
        <f t="shared" si="101"/>
        <v>276.11635021199999</v>
      </c>
      <c r="U217">
        <f t="shared" si="102"/>
        <v>28.145469251277795</v>
      </c>
      <c r="V217">
        <f t="shared" si="103"/>
        <v>28.145469251277795</v>
      </c>
      <c r="W217">
        <f t="shared" si="104"/>
        <v>3.8271405762453297</v>
      </c>
      <c r="X217">
        <f t="shared" si="105"/>
        <v>74.287640072072691</v>
      </c>
      <c r="Y217">
        <f t="shared" si="106"/>
        <v>2.6306304142159003</v>
      </c>
      <c r="Z217">
        <f t="shared" si="107"/>
        <v>3.5411414491881885</v>
      </c>
      <c r="AA217">
        <f t="shared" si="108"/>
        <v>1.1965101620294294</v>
      </c>
      <c r="AB217">
        <f t="shared" si="109"/>
        <v>-109.36451075487872</v>
      </c>
      <c r="AC217">
        <f t="shared" si="110"/>
        <v>-151.33847760304599</v>
      </c>
      <c r="AD217">
        <f t="shared" si="111"/>
        <v>-15.516006892035522</v>
      </c>
      <c r="AE217">
        <f t="shared" si="112"/>
        <v>-0.10264503796025792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52452.978161605206</v>
      </c>
      <c r="AK217">
        <f t="shared" si="116"/>
        <v>1800</v>
      </c>
      <c r="AL217">
        <f t="shared" si="117"/>
        <v>1499.1088571999999</v>
      </c>
      <c r="AM217">
        <f t="shared" si="118"/>
        <v>0.83283825399999989</v>
      </c>
      <c r="AN217">
        <f t="shared" si="119"/>
        <v>0.15339797233999999</v>
      </c>
      <c r="AO217">
        <v>32.700000000000003</v>
      </c>
      <c r="AP217">
        <v>0.5</v>
      </c>
      <c r="AQ217" t="s">
        <v>331</v>
      </c>
      <c r="AR217">
        <v>2</v>
      </c>
      <c r="AS217">
        <v>1690303039.5999999</v>
      </c>
      <c r="AT217">
        <v>398.70600000000002</v>
      </c>
      <c r="AU217">
        <v>799.95899999999995</v>
      </c>
      <c r="AV217">
        <v>26.465499999999999</v>
      </c>
      <c r="AW217">
        <v>0.15826100000000001</v>
      </c>
      <c r="AX217">
        <v>398.738</v>
      </c>
      <c r="AY217">
        <v>26.184000000000001</v>
      </c>
      <c r="AZ217">
        <v>300.09699999999998</v>
      </c>
      <c r="BA217">
        <v>99.298500000000004</v>
      </c>
      <c r="BB217">
        <v>9.9977800000000006E-2</v>
      </c>
      <c r="BC217">
        <v>26.818300000000001</v>
      </c>
      <c r="BD217">
        <v>26.9925</v>
      </c>
      <c r="BE217">
        <v>28.105699999999999</v>
      </c>
      <c r="BF217">
        <v>0</v>
      </c>
      <c r="BG217">
        <v>0</v>
      </c>
      <c r="BH217">
        <v>9983.1200000000008</v>
      </c>
      <c r="BI217">
        <v>1077.78</v>
      </c>
      <c r="BJ217">
        <v>1.7380500000000001</v>
      </c>
      <c r="BK217">
        <v>-401.25299999999999</v>
      </c>
      <c r="BL217">
        <v>409.54500000000002</v>
      </c>
      <c r="BM217">
        <v>800.08600000000001</v>
      </c>
      <c r="BN217">
        <v>26.307200000000002</v>
      </c>
      <c r="BO217">
        <v>799.95899999999995</v>
      </c>
      <c r="BP217">
        <v>0.15826100000000001</v>
      </c>
      <c r="BQ217">
        <v>2.62799</v>
      </c>
      <c r="BR217">
        <v>1.5715099999999999E-2</v>
      </c>
      <c r="BS217">
        <v>21.8416</v>
      </c>
      <c r="BT217">
        <v>-41.721299999999999</v>
      </c>
      <c r="BU217">
        <v>1800</v>
      </c>
      <c r="BV217">
        <v>0.90997899999999998</v>
      </c>
      <c r="BW217">
        <v>3.40069E-2</v>
      </c>
      <c r="BX217">
        <v>2.2007200000000001E-2</v>
      </c>
      <c r="BY217">
        <v>3.4006399999999999E-2</v>
      </c>
      <c r="BZ217">
        <v>26</v>
      </c>
      <c r="CA217">
        <v>33528.199999999997</v>
      </c>
      <c r="CB217">
        <v>1690300477.5</v>
      </c>
      <c r="CC217" t="s">
        <v>332</v>
      </c>
      <c r="CD217">
        <v>1690300477.5</v>
      </c>
      <c r="CE217">
        <v>1690300465.5</v>
      </c>
      <c r="CF217">
        <v>7</v>
      </c>
      <c r="CG217">
        <v>5.0999999999999997E-2</v>
      </c>
      <c r="CH217">
        <v>-8.0000000000000002E-3</v>
      </c>
      <c r="CI217">
        <v>-0.316</v>
      </c>
      <c r="CJ217">
        <v>0.28199999999999997</v>
      </c>
      <c r="CK217">
        <v>800</v>
      </c>
      <c r="CL217">
        <v>24</v>
      </c>
      <c r="CM217">
        <v>0.25</v>
      </c>
      <c r="CN217">
        <v>0.13</v>
      </c>
      <c r="CO217">
        <v>-400.98132500000003</v>
      </c>
      <c r="CP217">
        <v>-1.6550431519685489</v>
      </c>
      <c r="CQ217">
        <v>0.17378469257964449</v>
      </c>
      <c r="CR217">
        <v>-1</v>
      </c>
      <c r="CS217">
        <v>26.294170000000001</v>
      </c>
      <c r="CT217">
        <v>8.0487804878025815E-2</v>
      </c>
      <c r="CU217">
        <v>7.7755771489966428E-3</v>
      </c>
      <c r="CV217">
        <v>-1</v>
      </c>
      <c r="CW217">
        <v>0</v>
      </c>
      <c r="CX217">
        <v>0</v>
      </c>
      <c r="CY217" t="s">
        <v>333</v>
      </c>
      <c r="CZ217">
        <v>2.36449</v>
      </c>
      <c r="DA217">
        <v>2.7137500000000001</v>
      </c>
      <c r="DB217">
        <v>8.94813E-2</v>
      </c>
      <c r="DC217">
        <v>0.14632100000000001</v>
      </c>
      <c r="DD217">
        <v>0.121993</v>
      </c>
      <c r="DE217">
        <v>1.33567E-3</v>
      </c>
      <c r="DF217">
        <v>33259.5</v>
      </c>
      <c r="DG217">
        <v>27533.200000000001</v>
      </c>
      <c r="DH217">
        <v>31183.7</v>
      </c>
      <c r="DI217">
        <v>28103.9</v>
      </c>
      <c r="DJ217">
        <v>37164.199999999997</v>
      </c>
      <c r="DK217">
        <v>39919.9</v>
      </c>
      <c r="DL217">
        <v>44380.4</v>
      </c>
      <c r="DM217">
        <v>42598.5</v>
      </c>
      <c r="DN217">
        <v>1.48577</v>
      </c>
      <c r="DO217">
        <v>2.0323699999999998</v>
      </c>
      <c r="DP217">
        <v>8.4824899999999995E-2</v>
      </c>
      <c r="DQ217">
        <v>0.16266900000000001</v>
      </c>
      <c r="DR217">
        <v>25.6037</v>
      </c>
      <c r="DS217">
        <v>25.444500000000001</v>
      </c>
      <c r="DT217">
        <v>21.6</v>
      </c>
      <c r="DU217">
        <v>29.3</v>
      </c>
      <c r="DV217">
        <v>8.90151</v>
      </c>
      <c r="DW217">
        <v>61.771099999999997</v>
      </c>
      <c r="DX217">
        <v>37.115400000000001</v>
      </c>
      <c r="DY217">
        <v>1</v>
      </c>
      <c r="DZ217">
        <v>-9.9740899999999993E-2</v>
      </c>
      <c r="EA217">
        <v>-0.10959199999999999</v>
      </c>
      <c r="EB217">
        <v>20.189499999999999</v>
      </c>
      <c r="EC217">
        <v>5.24125</v>
      </c>
      <c r="ED217">
        <v>12.039899999999999</v>
      </c>
      <c r="EE217">
        <v>5.0163500000000001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1.8689100000000001</v>
      </c>
      <c r="EL217">
        <v>1.8646199999999999</v>
      </c>
      <c r="EM217">
        <v>1.8692</v>
      </c>
      <c r="EN217">
        <v>1.8672299999999999</v>
      </c>
      <c r="EO217">
        <v>1.86338</v>
      </c>
      <c r="EP217">
        <v>1.8644700000000001</v>
      </c>
      <c r="EQ217">
        <v>1.87015</v>
      </c>
      <c r="ER217">
        <v>1.86941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-3.2000000000000001E-2</v>
      </c>
      <c r="FG217">
        <v>0.28149999999999997</v>
      </c>
      <c r="FH217">
        <v>0.23539598422606861</v>
      </c>
      <c r="FI217">
        <v>-6.1462078757559423E-4</v>
      </c>
      <c r="FJ217">
        <v>-1.8861989874597051E-7</v>
      </c>
      <c r="FK217">
        <v>1.1980462299894961E-10</v>
      </c>
      <c r="FL217">
        <v>0.28151999999999688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42.7</v>
      </c>
      <c r="FU217">
        <v>42.9</v>
      </c>
      <c r="FV217">
        <v>1.7626999999999999</v>
      </c>
      <c r="FW217">
        <v>2.5903299999999998</v>
      </c>
      <c r="FX217">
        <v>1.5490699999999999</v>
      </c>
      <c r="FY217">
        <v>2.3315399999999999</v>
      </c>
      <c r="FZ217">
        <v>1.50146</v>
      </c>
      <c r="GA217">
        <v>2.3730500000000001</v>
      </c>
      <c r="GB217">
        <v>33.6479</v>
      </c>
      <c r="GC217">
        <v>23.991199999999999</v>
      </c>
      <c r="GD217">
        <v>19</v>
      </c>
      <c r="GE217">
        <v>286.51299999999998</v>
      </c>
      <c r="GF217">
        <v>578.51700000000005</v>
      </c>
      <c r="GG217">
        <v>25.206700000000001</v>
      </c>
      <c r="GH217">
        <v>26.1493</v>
      </c>
      <c r="GI217">
        <v>30.0001</v>
      </c>
      <c r="GJ217">
        <v>26.246300000000002</v>
      </c>
      <c r="GK217">
        <v>26.218299999999999</v>
      </c>
      <c r="GL217">
        <v>35.242199999999997</v>
      </c>
      <c r="GM217">
        <v>100</v>
      </c>
      <c r="GN217">
        <v>2.64181</v>
      </c>
      <c r="GO217">
        <v>25.205300000000001</v>
      </c>
      <c r="GP217">
        <v>800</v>
      </c>
      <c r="GQ217">
        <v>0</v>
      </c>
      <c r="GR217">
        <v>99.778599999999997</v>
      </c>
      <c r="GS217">
        <v>99.650199999999998</v>
      </c>
    </row>
    <row r="218" spans="1:201" x14ac:dyDescent="0.25">
      <c r="A218">
        <v>202</v>
      </c>
      <c r="B218">
        <v>1690303049.5999999</v>
      </c>
      <c r="C218">
        <v>2145.599999904633</v>
      </c>
      <c r="D218" t="s">
        <v>735</v>
      </c>
      <c r="E218" t="s">
        <v>736</v>
      </c>
      <c r="F218" t="s">
        <v>330</v>
      </c>
      <c r="H218">
        <v>1690303049.5999999</v>
      </c>
      <c r="I218">
        <f t="shared" si="90"/>
        <v>2.4813236273451989E-3</v>
      </c>
      <c r="J218">
        <f t="shared" si="91"/>
        <v>2.4813236273451991</v>
      </c>
      <c r="K218">
        <f t="shared" si="92"/>
        <v>35.868241799703711</v>
      </c>
      <c r="L218">
        <f t="shared" si="93"/>
        <v>398.47500000000002</v>
      </c>
      <c r="M218">
        <f t="shared" si="94"/>
        <v>108.27733158992305</v>
      </c>
      <c r="N218">
        <f t="shared" si="95"/>
        <v>10.762682628551705</v>
      </c>
      <c r="O218">
        <f t="shared" si="96"/>
        <v>39.608105384925004</v>
      </c>
      <c r="P218">
        <f t="shared" si="97"/>
        <v>0.21072536014560217</v>
      </c>
      <c r="Q218">
        <f t="shared" si="98"/>
        <v>2.1155010193644488</v>
      </c>
      <c r="R218">
        <f t="shared" si="99"/>
        <v>0.19971992115585188</v>
      </c>
      <c r="S218">
        <f t="shared" si="100"/>
        <v>0.12576582805249564</v>
      </c>
      <c r="T218">
        <f t="shared" si="101"/>
        <v>276.11648573400004</v>
      </c>
      <c r="U218">
        <f t="shared" si="102"/>
        <v>28.141771988819148</v>
      </c>
      <c r="V218">
        <f t="shared" si="103"/>
        <v>28.141771988819148</v>
      </c>
      <c r="W218">
        <f t="shared" si="104"/>
        <v>3.8263166520776983</v>
      </c>
      <c r="X218">
        <f t="shared" si="105"/>
        <v>74.325169036748818</v>
      </c>
      <c r="Y218">
        <f t="shared" si="106"/>
        <v>2.6314950297020001</v>
      </c>
      <c r="Z218">
        <f t="shared" si="107"/>
        <v>3.540516710296215</v>
      </c>
      <c r="AA218">
        <f t="shared" si="108"/>
        <v>1.1948216223756982</v>
      </c>
      <c r="AB218">
        <f t="shared" si="109"/>
        <v>-109.42637196592327</v>
      </c>
      <c r="AC218">
        <f t="shared" si="110"/>
        <v>-151.2853121529694</v>
      </c>
      <c r="AD218">
        <f t="shared" si="111"/>
        <v>-15.507336619177511</v>
      </c>
      <c r="AE218">
        <f t="shared" si="112"/>
        <v>-0.10253500407014826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52469.652390185918</v>
      </c>
      <c r="AK218">
        <f t="shared" si="116"/>
        <v>1800</v>
      </c>
      <c r="AL218">
        <f t="shared" si="117"/>
        <v>1499.1101063999999</v>
      </c>
      <c r="AM218">
        <f t="shared" si="118"/>
        <v>0.83283894800000002</v>
      </c>
      <c r="AN218">
        <f t="shared" si="119"/>
        <v>0.15339804763000001</v>
      </c>
      <c r="AO218">
        <v>32.700000000000003</v>
      </c>
      <c r="AP218">
        <v>0.5</v>
      </c>
      <c r="AQ218" t="s">
        <v>331</v>
      </c>
      <c r="AR218">
        <v>2</v>
      </c>
      <c r="AS218">
        <v>1690303049.5999999</v>
      </c>
      <c r="AT218">
        <v>398.47500000000002</v>
      </c>
      <c r="AU218">
        <v>799.99800000000005</v>
      </c>
      <c r="AV218">
        <v>26.474</v>
      </c>
      <c r="AW218">
        <v>0.15789800000000001</v>
      </c>
      <c r="AX218">
        <v>398.50700000000001</v>
      </c>
      <c r="AY218">
        <v>26.192499999999999</v>
      </c>
      <c r="AZ218">
        <v>300.16300000000001</v>
      </c>
      <c r="BA218">
        <v>99.299199999999999</v>
      </c>
      <c r="BB218">
        <v>0.100023</v>
      </c>
      <c r="BC218">
        <v>26.815300000000001</v>
      </c>
      <c r="BD218">
        <v>26.988900000000001</v>
      </c>
      <c r="BE218">
        <v>28.1191</v>
      </c>
      <c r="BF218">
        <v>0</v>
      </c>
      <c r="BG218">
        <v>0</v>
      </c>
      <c r="BH218">
        <v>9986.25</v>
      </c>
      <c r="BI218">
        <v>1077.72</v>
      </c>
      <c r="BJ218">
        <v>1.7380500000000001</v>
      </c>
      <c r="BK218">
        <v>-401.52300000000002</v>
      </c>
      <c r="BL218">
        <v>409.31099999999998</v>
      </c>
      <c r="BM218">
        <v>800.125</v>
      </c>
      <c r="BN218">
        <v>26.316099999999999</v>
      </c>
      <c r="BO218">
        <v>799.99800000000005</v>
      </c>
      <c r="BP218">
        <v>0.15789800000000001</v>
      </c>
      <c r="BQ218">
        <v>2.6288499999999999</v>
      </c>
      <c r="BR218">
        <v>1.5679200000000001E-2</v>
      </c>
      <c r="BS218">
        <v>21.847000000000001</v>
      </c>
      <c r="BT218">
        <v>-41.742899999999999</v>
      </c>
      <c r="BU218">
        <v>1800</v>
      </c>
      <c r="BV218">
        <v>0.90998100000000004</v>
      </c>
      <c r="BW218">
        <v>3.4006399999999999E-2</v>
      </c>
      <c r="BX218">
        <v>2.2006899999999999E-2</v>
      </c>
      <c r="BY218">
        <v>3.4005899999999999E-2</v>
      </c>
      <c r="BZ218">
        <v>26</v>
      </c>
      <c r="CA218">
        <v>33528.199999999997</v>
      </c>
      <c r="CB218">
        <v>1690300477.5</v>
      </c>
      <c r="CC218" t="s">
        <v>332</v>
      </c>
      <c r="CD218">
        <v>1690300477.5</v>
      </c>
      <c r="CE218">
        <v>1690300465.5</v>
      </c>
      <c r="CF218">
        <v>7</v>
      </c>
      <c r="CG218">
        <v>5.0999999999999997E-2</v>
      </c>
      <c r="CH218">
        <v>-8.0000000000000002E-3</v>
      </c>
      <c r="CI218">
        <v>-0.316</v>
      </c>
      <c r="CJ218">
        <v>0.28199999999999997</v>
      </c>
      <c r="CK218">
        <v>800</v>
      </c>
      <c r="CL218">
        <v>24</v>
      </c>
      <c r="CM218">
        <v>0.25</v>
      </c>
      <c r="CN218">
        <v>0.13</v>
      </c>
      <c r="CO218">
        <v>-401.26321951219512</v>
      </c>
      <c r="CP218">
        <v>-1.2898118466902679</v>
      </c>
      <c r="CQ218">
        <v>0.1323685748932629</v>
      </c>
      <c r="CR218">
        <v>-1</v>
      </c>
      <c r="CS218">
        <v>26.306019512195121</v>
      </c>
      <c r="CT218">
        <v>5.9504529616639809E-2</v>
      </c>
      <c r="CU218">
        <v>6.0037069651191271E-3</v>
      </c>
      <c r="CV218">
        <v>-1</v>
      </c>
      <c r="CW218">
        <v>0</v>
      </c>
      <c r="CX218">
        <v>0</v>
      </c>
      <c r="CY218" t="s">
        <v>333</v>
      </c>
      <c r="CZ218">
        <v>2.3647</v>
      </c>
      <c r="DA218">
        <v>2.7138</v>
      </c>
      <c r="DB218">
        <v>8.9441999999999994E-2</v>
      </c>
      <c r="DC218">
        <v>0.14632700000000001</v>
      </c>
      <c r="DD218">
        <v>0.122021</v>
      </c>
      <c r="DE218">
        <v>1.33264E-3</v>
      </c>
      <c r="DF218">
        <v>33260.800000000003</v>
      </c>
      <c r="DG218">
        <v>27532.799999999999</v>
      </c>
      <c r="DH218">
        <v>31183.599999999999</v>
      </c>
      <c r="DI218">
        <v>28103.599999999999</v>
      </c>
      <c r="DJ218">
        <v>37163</v>
      </c>
      <c r="DK218">
        <v>39919.699999999997</v>
      </c>
      <c r="DL218">
        <v>44380.4</v>
      </c>
      <c r="DM218">
        <v>42598.1</v>
      </c>
      <c r="DN218">
        <v>1.4861500000000001</v>
      </c>
      <c r="DO218">
        <v>2.0323500000000001</v>
      </c>
      <c r="DP218">
        <v>8.4735500000000005E-2</v>
      </c>
      <c r="DQ218">
        <v>0.16348799999999999</v>
      </c>
      <c r="DR218">
        <v>25.601500000000001</v>
      </c>
      <c r="DS218">
        <v>25.444500000000001</v>
      </c>
      <c r="DT218">
        <v>21.5</v>
      </c>
      <c r="DU218">
        <v>29.3</v>
      </c>
      <c r="DV218">
        <v>8.8603900000000007</v>
      </c>
      <c r="DW218">
        <v>61.851100000000002</v>
      </c>
      <c r="DX218">
        <v>36.662700000000001</v>
      </c>
      <c r="DY218">
        <v>1</v>
      </c>
      <c r="DZ218">
        <v>-9.9186999999999997E-2</v>
      </c>
      <c r="EA218">
        <v>-0.13162299999999999</v>
      </c>
      <c r="EB218">
        <v>20.189499999999999</v>
      </c>
      <c r="EC218">
        <v>5.2411000000000003</v>
      </c>
      <c r="ED218">
        <v>12.039899999999999</v>
      </c>
      <c r="EE218">
        <v>5.0164999999999997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1.8689100000000001</v>
      </c>
      <c r="EL218">
        <v>1.8646199999999999</v>
      </c>
      <c r="EM218">
        <v>1.8692</v>
      </c>
      <c r="EN218">
        <v>1.8672299999999999</v>
      </c>
      <c r="EO218">
        <v>1.86338</v>
      </c>
      <c r="EP218">
        <v>1.8644700000000001</v>
      </c>
      <c r="EQ218">
        <v>1.87016</v>
      </c>
      <c r="ER218">
        <v>1.86941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-3.2000000000000001E-2</v>
      </c>
      <c r="FG218">
        <v>0.28149999999999997</v>
      </c>
      <c r="FH218">
        <v>0.23539598422606861</v>
      </c>
      <c r="FI218">
        <v>-6.1462078757559423E-4</v>
      </c>
      <c r="FJ218">
        <v>-1.8861989874597051E-7</v>
      </c>
      <c r="FK218">
        <v>1.1980462299894961E-10</v>
      </c>
      <c r="FL218">
        <v>0.28151999999999688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42.9</v>
      </c>
      <c r="FU218">
        <v>43.1</v>
      </c>
      <c r="FV218">
        <v>1.7626999999999999</v>
      </c>
      <c r="FW218">
        <v>2.5952099999999998</v>
      </c>
      <c r="FX218">
        <v>1.5490699999999999</v>
      </c>
      <c r="FY218">
        <v>2.3315399999999999</v>
      </c>
      <c r="FZ218">
        <v>1.50146</v>
      </c>
      <c r="GA218">
        <v>2.33643</v>
      </c>
      <c r="GB218">
        <v>33.670499999999997</v>
      </c>
      <c r="GC218">
        <v>23.982399999999998</v>
      </c>
      <c r="GD218">
        <v>19</v>
      </c>
      <c r="GE218">
        <v>286.67899999999997</v>
      </c>
      <c r="GF218">
        <v>578.52099999999996</v>
      </c>
      <c r="GG218">
        <v>25.206800000000001</v>
      </c>
      <c r="GH218">
        <v>26.151499999999999</v>
      </c>
      <c r="GI218">
        <v>30.0002</v>
      </c>
      <c r="GJ218">
        <v>26.247399999999999</v>
      </c>
      <c r="GK218">
        <v>26.220500000000001</v>
      </c>
      <c r="GL218">
        <v>35.242899999999999</v>
      </c>
      <c r="GM218">
        <v>100</v>
      </c>
      <c r="GN218">
        <v>2.2542599999999999</v>
      </c>
      <c r="GO218">
        <v>25.2133</v>
      </c>
      <c r="GP218">
        <v>800</v>
      </c>
      <c r="GQ218">
        <v>0</v>
      </c>
      <c r="GR218">
        <v>99.778400000000005</v>
      </c>
      <c r="GS218">
        <v>99.649199999999993</v>
      </c>
    </row>
    <row r="219" spans="1:201" x14ac:dyDescent="0.25">
      <c r="A219">
        <v>203</v>
      </c>
      <c r="B219">
        <v>1690303059.5999999</v>
      </c>
      <c r="C219">
        <v>2155.599999904633</v>
      </c>
      <c r="D219" t="s">
        <v>737</v>
      </c>
      <c r="E219" t="s">
        <v>738</v>
      </c>
      <c r="F219" t="s">
        <v>330</v>
      </c>
      <c r="H219">
        <v>1690303059.5999999</v>
      </c>
      <c r="I219">
        <f t="shared" si="90"/>
        <v>2.4820276901895127E-3</v>
      </c>
      <c r="J219">
        <f t="shared" si="91"/>
        <v>2.4820276901895126</v>
      </c>
      <c r="K219">
        <f t="shared" si="92"/>
        <v>35.888397744109106</v>
      </c>
      <c r="L219">
        <f t="shared" si="93"/>
        <v>398.291</v>
      </c>
      <c r="M219">
        <f t="shared" si="94"/>
        <v>107.84112750732207</v>
      </c>
      <c r="N219">
        <f t="shared" si="95"/>
        <v>10.719394518598085</v>
      </c>
      <c r="O219">
        <f t="shared" si="96"/>
        <v>39.590075334821293</v>
      </c>
      <c r="P219">
        <f t="shared" si="97"/>
        <v>0.21065123840851555</v>
      </c>
      <c r="Q219">
        <f t="shared" si="98"/>
        <v>2.1156529743018373</v>
      </c>
      <c r="R219">
        <f t="shared" si="99"/>
        <v>0.19965406893045839</v>
      </c>
      <c r="S219">
        <f t="shared" si="100"/>
        <v>0.1257239826218671</v>
      </c>
      <c r="T219">
        <f t="shared" si="101"/>
        <v>276.11487244596429</v>
      </c>
      <c r="U219">
        <f t="shared" si="102"/>
        <v>28.148017525521734</v>
      </c>
      <c r="V219">
        <f t="shared" si="103"/>
        <v>28.148017525521734</v>
      </c>
      <c r="W219">
        <f t="shared" si="104"/>
        <v>3.827708541832711</v>
      </c>
      <c r="X219">
        <f t="shared" si="105"/>
        <v>74.315053061569742</v>
      </c>
      <c r="Y219">
        <f t="shared" si="106"/>
        <v>2.6321583714011498</v>
      </c>
      <c r="Z219">
        <f t="shared" si="107"/>
        <v>3.541891262891808</v>
      </c>
      <c r="AA219">
        <f t="shared" si="108"/>
        <v>1.1955501704315612</v>
      </c>
      <c r="AB219">
        <f t="shared" si="109"/>
        <v>-109.45742113735751</v>
      </c>
      <c r="AC219">
        <f t="shared" si="110"/>
        <v>-151.25574911089927</v>
      </c>
      <c r="AD219">
        <f t="shared" si="111"/>
        <v>-15.504186834349746</v>
      </c>
      <c r="AE219">
        <f t="shared" si="112"/>
        <v>-0.10248463664225937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52475.168506520335</v>
      </c>
      <c r="AK219">
        <f t="shared" si="116"/>
        <v>1799.99</v>
      </c>
      <c r="AL219">
        <f t="shared" si="117"/>
        <v>1499.1017762105298</v>
      </c>
      <c r="AM219">
        <f t="shared" si="118"/>
        <v>0.83283894699999994</v>
      </c>
      <c r="AN219">
        <f t="shared" si="119"/>
        <v>0.15339800357</v>
      </c>
      <c r="AO219">
        <v>32.700000000000003</v>
      </c>
      <c r="AP219">
        <v>0.5</v>
      </c>
      <c r="AQ219" t="s">
        <v>331</v>
      </c>
      <c r="AR219">
        <v>2</v>
      </c>
      <c r="AS219">
        <v>1690303059.5999999</v>
      </c>
      <c r="AT219">
        <v>398.291</v>
      </c>
      <c r="AU219">
        <v>800.03300000000002</v>
      </c>
      <c r="AV219">
        <v>26.480499999999999</v>
      </c>
      <c r="AW219">
        <v>0.15701899999999999</v>
      </c>
      <c r="AX219">
        <v>398.32299999999998</v>
      </c>
      <c r="AY219">
        <v>26.199000000000002</v>
      </c>
      <c r="AZ219">
        <v>300.16199999999998</v>
      </c>
      <c r="BA219">
        <v>99.299899999999994</v>
      </c>
      <c r="BB219">
        <v>9.9974300000000002E-2</v>
      </c>
      <c r="BC219">
        <v>26.821899999999999</v>
      </c>
      <c r="BD219">
        <v>26.9999</v>
      </c>
      <c r="BE219">
        <v>28.096900000000002</v>
      </c>
      <c r="BF219">
        <v>0</v>
      </c>
      <c r="BG219">
        <v>0</v>
      </c>
      <c r="BH219">
        <v>9987.5</v>
      </c>
      <c r="BI219">
        <v>1077.73</v>
      </c>
      <c r="BJ219">
        <v>1.7380500000000001</v>
      </c>
      <c r="BK219">
        <v>-401.74099999999999</v>
      </c>
      <c r="BL219">
        <v>409.125</v>
      </c>
      <c r="BM219">
        <v>800.15800000000002</v>
      </c>
      <c r="BN219">
        <v>26.323499999999999</v>
      </c>
      <c r="BO219">
        <v>800.03300000000002</v>
      </c>
      <c r="BP219">
        <v>0.15701899999999999</v>
      </c>
      <c r="BQ219">
        <v>2.6295099999999998</v>
      </c>
      <c r="BR219">
        <v>1.5592E-2</v>
      </c>
      <c r="BS219">
        <v>21.851099999999999</v>
      </c>
      <c r="BT219">
        <v>-41.795299999999997</v>
      </c>
      <c r="BU219">
        <v>1799.99</v>
      </c>
      <c r="BV219">
        <v>0.90998199999999996</v>
      </c>
      <c r="BW219">
        <v>3.4006000000000002E-2</v>
      </c>
      <c r="BX219">
        <v>2.2006600000000001E-2</v>
      </c>
      <c r="BY219">
        <v>3.4005500000000001E-2</v>
      </c>
      <c r="BZ219">
        <v>26</v>
      </c>
      <c r="CA219">
        <v>33528.1</v>
      </c>
      <c r="CB219">
        <v>1690300477.5</v>
      </c>
      <c r="CC219" t="s">
        <v>332</v>
      </c>
      <c r="CD219">
        <v>1690300477.5</v>
      </c>
      <c r="CE219">
        <v>1690300465.5</v>
      </c>
      <c r="CF219">
        <v>7</v>
      </c>
      <c r="CG219">
        <v>5.0999999999999997E-2</v>
      </c>
      <c r="CH219">
        <v>-8.0000000000000002E-3</v>
      </c>
      <c r="CI219">
        <v>-0.316</v>
      </c>
      <c r="CJ219">
        <v>0.28199999999999997</v>
      </c>
      <c r="CK219">
        <v>800</v>
      </c>
      <c r="CL219">
        <v>24</v>
      </c>
      <c r="CM219">
        <v>0.25</v>
      </c>
      <c r="CN219">
        <v>0.13</v>
      </c>
      <c r="CO219">
        <v>-401.47717073170742</v>
      </c>
      <c r="CP219">
        <v>-1.2748641114988719</v>
      </c>
      <c r="CQ219">
        <v>0.1284019797809253</v>
      </c>
      <c r="CR219">
        <v>-1</v>
      </c>
      <c r="CS219">
        <v>26.314575609756101</v>
      </c>
      <c r="CT219">
        <v>4.2275958188134753E-2</v>
      </c>
      <c r="CU219">
        <v>4.235781408475997E-3</v>
      </c>
      <c r="CV219">
        <v>-1</v>
      </c>
      <c r="CW219">
        <v>0</v>
      </c>
      <c r="CX219">
        <v>0</v>
      </c>
      <c r="CY219" t="s">
        <v>333</v>
      </c>
      <c r="CZ219">
        <v>2.3647</v>
      </c>
      <c r="DA219">
        <v>2.7137500000000001</v>
      </c>
      <c r="DB219">
        <v>8.9410600000000007E-2</v>
      </c>
      <c r="DC219">
        <v>0.14633099999999999</v>
      </c>
      <c r="DD219">
        <v>0.122042</v>
      </c>
      <c r="DE219">
        <v>1.32529E-3</v>
      </c>
      <c r="DF219">
        <v>33261.800000000003</v>
      </c>
      <c r="DG219">
        <v>27533</v>
      </c>
      <c r="DH219">
        <v>31183.5</v>
      </c>
      <c r="DI219">
        <v>28104</v>
      </c>
      <c r="DJ219">
        <v>37161.9</v>
      </c>
      <c r="DK219">
        <v>39920.6</v>
      </c>
      <c r="DL219">
        <v>44380.2</v>
      </c>
      <c r="DM219">
        <v>42598.7</v>
      </c>
      <c r="DN219">
        <v>1.48552</v>
      </c>
      <c r="DO219">
        <v>2.0323500000000001</v>
      </c>
      <c r="DP219">
        <v>8.5540099999999994E-2</v>
      </c>
      <c r="DQ219">
        <v>0.16225899999999999</v>
      </c>
      <c r="DR219">
        <v>25.599399999999999</v>
      </c>
      <c r="DS219">
        <v>25.442299999999999</v>
      </c>
      <c r="DT219">
        <v>21.5</v>
      </c>
      <c r="DU219">
        <v>29.3</v>
      </c>
      <c r="DV219">
        <v>8.8613099999999996</v>
      </c>
      <c r="DW219">
        <v>61.931100000000001</v>
      </c>
      <c r="DX219">
        <v>36.161900000000003</v>
      </c>
      <c r="DY219">
        <v>1</v>
      </c>
      <c r="DZ219">
        <v>-9.9095500000000003E-2</v>
      </c>
      <c r="EA219">
        <v>-0.15288099999999999</v>
      </c>
      <c r="EB219">
        <v>20.1892</v>
      </c>
      <c r="EC219">
        <v>5.2413999999999996</v>
      </c>
      <c r="ED219">
        <v>12.039899999999999</v>
      </c>
      <c r="EE219">
        <v>5.0166000000000004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1.8646199999999999</v>
      </c>
      <c r="EM219">
        <v>1.8692</v>
      </c>
      <c r="EN219">
        <v>1.8672200000000001</v>
      </c>
      <c r="EO219">
        <v>1.86337</v>
      </c>
      <c r="EP219">
        <v>1.8644700000000001</v>
      </c>
      <c r="EQ219">
        <v>1.87015</v>
      </c>
      <c r="ER219">
        <v>1.86944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-3.2000000000000001E-2</v>
      </c>
      <c r="FG219">
        <v>0.28149999999999997</v>
      </c>
      <c r="FH219">
        <v>0.23539598422606861</v>
      </c>
      <c r="FI219">
        <v>-6.1462078757559423E-4</v>
      </c>
      <c r="FJ219">
        <v>-1.8861989874597051E-7</v>
      </c>
      <c r="FK219">
        <v>1.1980462299894961E-10</v>
      </c>
      <c r="FL219">
        <v>0.28151999999999688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</v>
      </c>
      <c r="FU219">
        <v>43.2</v>
      </c>
      <c r="FV219">
        <v>1.7626999999999999</v>
      </c>
      <c r="FW219">
        <v>2.5878899999999998</v>
      </c>
      <c r="FX219">
        <v>1.5490699999999999</v>
      </c>
      <c r="FY219">
        <v>2.3315399999999999</v>
      </c>
      <c r="FZ219">
        <v>1.50146</v>
      </c>
      <c r="GA219">
        <v>2.3535200000000001</v>
      </c>
      <c r="GB219">
        <v>33.6479</v>
      </c>
      <c r="GC219">
        <v>23.982399999999998</v>
      </c>
      <c r="GD219">
        <v>19</v>
      </c>
      <c r="GE219">
        <v>286.41699999999997</v>
      </c>
      <c r="GF219">
        <v>578.54499999999996</v>
      </c>
      <c r="GG219">
        <v>25.2225</v>
      </c>
      <c r="GH219">
        <v>26.153700000000001</v>
      </c>
      <c r="GI219">
        <v>30.0001</v>
      </c>
      <c r="GJ219">
        <v>26.248899999999999</v>
      </c>
      <c r="GK219">
        <v>26.2227</v>
      </c>
      <c r="GL219">
        <v>35.238900000000001</v>
      </c>
      <c r="GM219">
        <v>100</v>
      </c>
      <c r="GN219">
        <v>1.87605</v>
      </c>
      <c r="GO219">
        <v>25.225999999999999</v>
      </c>
      <c r="GP219">
        <v>800</v>
      </c>
      <c r="GQ219">
        <v>0</v>
      </c>
      <c r="GR219">
        <v>99.778099999999995</v>
      </c>
      <c r="GS219">
        <v>99.650700000000001</v>
      </c>
    </row>
    <row r="220" spans="1:201" x14ac:dyDescent="0.25">
      <c r="A220">
        <v>204</v>
      </c>
      <c r="B220">
        <v>1690303069.5999999</v>
      </c>
      <c r="C220">
        <v>2165.599999904633</v>
      </c>
      <c r="D220" t="s">
        <v>739</v>
      </c>
      <c r="E220" t="s">
        <v>740</v>
      </c>
      <c r="F220" t="s">
        <v>330</v>
      </c>
      <c r="H220">
        <v>1690303069.5999999</v>
      </c>
      <c r="I220">
        <f t="shared" si="90"/>
        <v>2.483037766106077E-3</v>
      </c>
      <c r="J220">
        <f t="shared" si="91"/>
        <v>2.4830377661060772</v>
      </c>
      <c r="K220">
        <f t="shared" si="92"/>
        <v>35.905534536731615</v>
      </c>
      <c r="L220">
        <f t="shared" si="93"/>
        <v>398.06900000000002</v>
      </c>
      <c r="M220">
        <f t="shared" si="94"/>
        <v>107.91595619872345</v>
      </c>
      <c r="N220">
        <f t="shared" si="95"/>
        <v>10.727193319700159</v>
      </c>
      <c r="O220">
        <f t="shared" si="96"/>
        <v>39.569339586042005</v>
      </c>
      <c r="P220">
        <f t="shared" si="97"/>
        <v>0.21097941208999499</v>
      </c>
      <c r="Q220">
        <f t="shared" si="98"/>
        <v>2.1159788249059579</v>
      </c>
      <c r="R220">
        <f t="shared" si="99"/>
        <v>0.19995051770255179</v>
      </c>
      <c r="S220">
        <f t="shared" si="100"/>
        <v>0.12591191164416923</v>
      </c>
      <c r="T220">
        <f t="shared" si="101"/>
        <v>276.1147828964618</v>
      </c>
      <c r="U220">
        <f t="shared" si="102"/>
        <v>28.146777928954318</v>
      </c>
      <c r="V220">
        <f t="shared" si="103"/>
        <v>28.146777928954318</v>
      </c>
      <c r="W220">
        <f t="shared" si="104"/>
        <v>3.8274322483381384</v>
      </c>
      <c r="X220">
        <f t="shared" si="105"/>
        <v>74.345591358778748</v>
      </c>
      <c r="Y220">
        <f t="shared" si="106"/>
        <v>2.6331316028892</v>
      </c>
      <c r="Z220">
        <f t="shared" si="107"/>
        <v>3.5417454549284164</v>
      </c>
      <c r="AA220">
        <f t="shared" si="108"/>
        <v>1.1943006454489384</v>
      </c>
      <c r="AB220">
        <f t="shared" si="109"/>
        <v>-109.50196548527799</v>
      </c>
      <c r="AC220">
        <f t="shared" si="110"/>
        <v>-151.21748999031973</v>
      </c>
      <c r="AD220">
        <f t="shared" si="111"/>
        <v>-15.497728072356177</v>
      </c>
      <c r="AE220">
        <f t="shared" si="112"/>
        <v>-0.10240065149207567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52489.637199218567</v>
      </c>
      <c r="AK220">
        <f t="shared" si="116"/>
        <v>1799.99</v>
      </c>
      <c r="AL220">
        <f t="shared" si="117"/>
        <v>1499.1020642089297</v>
      </c>
      <c r="AM220">
        <f t="shared" si="118"/>
        <v>0.83283910699999986</v>
      </c>
      <c r="AN220">
        <f t="shared" si="119"/>
        <v>0.15339795381999999</v>
      </c>
      <c r="AO220">
        <v>32.700000000000003</v>
      </c>
      <c r="AP220">
        <v>0.5</v>
      </c>
      <c r="AQ220" t="s">
        <v>331</v>
      </c>
      <c r="AR220">
        <v>2</v>
      </c>
      <c r="AS220">
        <v>1690303069.5999999</v>
      </c>
      <c r="AT220">
        <v>398.06900000000002</v>
      </c>
      <c r="AU220">
        <v>799.98</v>
      </c>
      <c r="AV220">
        <v>26.4894</v>
      </c>
      <c r="AW220">
        <v>0.1565</v>
      </c>
      <c r="AX220">
        <v>398.1</v>
      </c>
      <c r="AY220">
        <v>26.207799999999999</v>
      </c>
      <c r="AZ220">
        <v>300.17399999999998</v>
      </c>
      <c r="BA220">
        <v>99.303200000000004</v>
      </c>
      <c r="BB220">
        <v>0.100018</v>
      </c>
      <c r="BC220">
        <v>26.821200000000001</v>
      </c>
      <c r="BD220">
        <v>26.993600000000001</v>
      </c>
      <c r="BE220">
        <v>28.107900000000001</v>
      </c>
      <c r="BF220">
        <v>0</v>
      </c>
      <c r="BG220">
        <v>0</v>
      </c>
      <c r="BH220">
        <v>9990</v>
      </c>
      <c r="BI220">
        <v>1077.78</v>
      </c>
      <c r="BJ220">
        <v>1.7380500000000001</v>
      </c>
      <c r="BK220">
        <v>-401.91199999999998</v>
      </c>
      <c r="BL220">
        <v>408.9</v>
      </c>
      <c r="BM220">
        <v>800.10500000000002</v>
      </c>
      <c r="BN220">
        <v>26.332899999999999</v>
      </c>
      <c r="BO220">
        <v>799.98</v>
      </c>
      <c r="BP220">
        <v>0.1565</v>
      </c>
      <c r="BQ220">
        <v>2.6304799999999999</v>
      </c>
      <c r="BR220">
        <v>1.55409E-2</v>
      </c>
      <c r="BS220">
        <v>21.857199999999999</v>
      </c>
      <c r="BT220">
        <v>-41.8262</v>
      </c>
      <c r="BU220">
        <v>1799.99</v>
      </c>
      <c r="BV220">
        <v>0.90998400000000002</v>
      </c>
      <c r="BW220">
        <v>3.4005199999999999E-2</v>
      </c>
      <c r="BX220">
        <v>2.2006100000000001E-2</v>
      </c>
      <c r="BY220">
        <v>3.4004800000000002E-2</v>
      </c>
      <c r="BZ220">
        <v>26</v>
      </c>
      <c r="CA220">
        <v>33528.1</v>
      </c>
      <c r="CB220">
        <v>1690300477.5</v>
      </c>
      <c r="CC220" t="s">
        <v>332</v>
      </c>
      <c r="CD220">
        <v>1690300477.5</v>
      </c>
      <c r="CE220">
        <v>1690300465.5</v>
      </c>
      <c r="CF220">
        <v>7</v>
      </c>
      <c r="CG220">
        <v>5.0999999999999997E-2</v>
      </c>
      <c r="CH220">
        <v>-8.0000000000000002E-3</v>
      </c>
      <c r="CI220">
        <v>-0.316</v>
      </c>
      <c r="CJ220">
        <v>0.28199999999999997</v>
      </c>
      <c r="CK220">
        <v>800</v>
      </c>
      <c r="CL220">
        <v>24</v>
      </c>
      <c r="CM220">
        <v>0.25</v>
      </c>
      <c r="CN220">
        <v>0.13</v>
      </c>
      <c r="CO220">
        <v>-401.66765853658552</v>
      </c>
      <c r="CP220">
        <v>-1.0626480836234229</v>
      </c>
      <c r="CQ220">
        <v>0.1172850623129825</v>
      </c>
      <c r="CR220">
        <v>-1</v>
      </c>
      <c r="CS220">
        <v>26.321941463414639</v>
      </c>
      <c r="CT220">
        <v>4.466341463413355E-2</v>
      </c>
      <c r="CU220">
        <v>4.5014889466117296E-3</v>
      </c>
      <c r="CV220">
        <v>-1</v>
      </c>
      <c r="CW220">
        <v>0</v>
      </c>
      <c r="CX220">
        <v>0</v>
      </c>
      <c r="CY220" t="s">
        <v>333</v>
      </c>
      <c r="CZ220">
        <v>2.3647499999999999</v>
      </c>
      <c r="DA220">
        <v>2.7138</v>
      </c>
      <c r="DB220">
        <v>8.9374800000000004E-2</v>
      </c>
      <c r="DC220">
        <v>0.14632899999999999</v>
      </c>
      <c r="DD220">
        <v>0.122075</v>
      </c>
      <c r="DE220">
        <v>1.32098E-3</v>
      </c>
      <c r="DF220">
        <v>33263.4</v>
      </c>
      <c r="DG220">
        <v>27532.799999999999</v>
      </c>
      <c r="DH220">
        <v>31183.8</v>
      </c>
      <c r="DI220">
        <v>28103.7</v>
      </c>
      <c r="DJ220">
        <v>37160.9</v>
      </c>
      <c r="DK220">
        <v>39920.300000000003</v>
      </c>
      <c r="DL220">
        <v>44380.6</v>
      </c>
      <c r="DM220">
        <v>42598.3</v>
      </c>
      <c r="DN220">
        <v>1.48573</v>
      </c>
      <c r="DO220">
        <v>2.0323699999999998</v>
      </c>
      <c r="DP220">
        <v>8.5152699999999998E-2</v>
      </c>
      <c r="DQ220">
        <v>0.16306300000000001</v>
      </c>
      <c r="DR220">
        <v>25.599399999999999</v>
      </c>
      <c r="DS220">
        <v>25.440200000000001</v>
      </c>
      <c r="DT220">
        <v>21.4</v>
      </c>
      <c r="DU220">
        <v>29.3</v>
      </c>
      <c r="DV220">
        <v>8.8185599999999997</v>
      </c>
      <c r="DW220">
        <v>61.561100000000003</v>
      </c>
      <c r="DX220">
        <v>36.338099999999997</v>
      </c>
      <c r="DY220">
        <v>1</v>
      </c>
      <c r="DZ220">
        <v>-9.9227599999999999E-2</v>
      </c>
      <c r="EA220">
        <v>-9.79521E-2</v>
      </c>
      <c r="EB220">
        <v>20.189399999999999</v>
      </c>
      <c r="EC220">
        <v>5.2416999999999998</v>
      </c>
      <c r="ED220">
        <v>12.039899999999999</v>
      </c>
      <c r="EE220">
        <v>5.0167999999999999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1.8646100000000001</v>
      </c>
      <c r="EM220">
        <v>1.8691899999999999</v>
      </c>
      <c r="EN220">
        <v>1.8672200000000001</v>
      </c>
      <c r="EO220">
        <v>1.8633599999999999</v>
      </c>
      <c r="EP220">
        <v>1.8644700000000001</v>
      </c>
      <c r="EQ220">
        <v>1.8701399999999999</v>
      </c>
      <c r="ER220">
        <v>1.8693900000000001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-3.1E-2</v>
      </c>
      <c r="FG220">
        <v>0.28160000000000002</v>
      </c>
      <c r="FH220">
        <v>0.23539598422606861</v>
      </c>
      <c r="FI220">
        <v>-6.1462078757559423E-4</v>
      </c>
      <c r="FJ220">
        <v>-1.8861989874597051E-7</v>
      </c>
      <c r="FK220">
        <v>1.1980462299894961E-10</v>
      </c>
      <c r="FL220">
        <v>0.28151999999999688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43.2</v>
      </c>
      <c r="FU220">
        <v>43.4</v>
      </c>
      <c r="FV220">
        <v>1.7626999999999999</v>
      </c>
      <c r="FW220">
        <v>2.5878899999999998</v>
      </c>
      <c r="FX220">
        <v>1.5490699999999999</v>
      </c>
      <c r="FY220">
        <v>2.3315399999999999</v>
      </c>
      <c r="FZ220">
        <v>1.50146</v>
      </c>
      <c r="GA220">
        <v>2.2900399999999999</v>
      </c>
      <c r="GB220">
        <v>33.6479</v>
      </c>
      <c r="GC220">
        <v>23.982399999999998</v>
      </c>
      <c r="GD220">
        <v>19</v>
      </c>
      <c r="GE220">
        <v>286.51299999999998</v>
      </c>
      <c r="GF220">
        <v>578.58500000000004</v>
      </c>
      <c r="GG220">
        <v>25.2271</v>
      </c>
      <c r="GH220">
        <v>26.155899999999999</v>
      </c>
      <c r="GI220">
        <v>30</v>
      </c>
      <c r="GJ220">
        <v>26.251100000000001</v>
      </c>
      <c r="GK220">
        <v>26.224399999999999</v>
      </c>
      <c r="GL220">
        <v>35.242199999999997</v>
      </c>
      <c r="GM220">
        <v>100</v>
      </c>
      <c r="GN220">
        <v>1.4912700000000001</v>
      </c>
      <c r="GO220">
        <v>25.216999999999999</v>
      </c>
      <c r="GP220">
        <v>800</v>
      </c>
      <c r="GQ220">
        <v>0</v>
      </c>
      <c r="GR220">
        <v>99.778999999999996</v>
      </c>
      <c r="GS220">
        <v>99.649600000000007</v>
      </c>
    </row>
    <row r="221" spans="1:201" x14ac:dyDescent="0.25">
      <c r="A221">
        <v>205</v>
      </c>
      <c r="B221">
        <v>1690303079.5999999</v>
      </c>
      <c r="C221">
        <v>2175.599999904633</v>
      </c>
      <c r="D221" t="s">
        <v>741</v>
      </c>
      <c r="E221" t="s">
        <v>742</v>
      </c>
      <c r="F221" t="s">
        <v>330</v>
      </c>
      <c r="H221">
        <v>1690303079.5999999</v>
      </c>
      <c r="I221">
        <f t="shared" si="90"/>
        <v>2.4837195734451968E-3</v>
      </c>
      <c r="J221">
        <f t="shared" si="91"/>
        <v>2.4837195734451969</v>
      </c>
      <c r="K221">
        <f t="shared" si="92"/>
        <v>35.929080523487805</v>
      </c>
      <c r="L221">
        <f t="shared" si="93"/>
        <v>397.78</v>
      </c>
      <c r="M221">
        <f t="shared" si="94"/>
        <v>107.5808389819091</v>
      </c>
      <c r="N221">
        <f t="shared" si="95"/>
        <v>10.693227606021438</v>
      </c>
      <c r="O221">
        <f t="shared" si="96"/>
        <v>39.538193951419998</v>
      </c>
      <c r="P221">
        <f t="shared" si="97"/>
        <v>0.21109894242348906</v>
      </c>
      <c r="Q221">
        <f t="shared" si="98"/>
        <v>2.1125961298870077</v>
      </c>
      <c r="R221">
        <f t="shared" si="99"/>
        <v>0.20004121445290141</v>
      </c>
      <c r="S221">
        <f t="shared" si="100"/>
        <v>0.12597096317905931</v>
      </c>
      <c r="T221">
        <f t="shared" si="101"/>
        <v>276.11636783400007</v>
      </c>
      <c r="U221">
        <f t="shared" si="102"/>
        <v>28.149575747461746</v>
      </c>
      <c r="V221">
        <f t="shared" si="103"/>
        <v>28.149575747461746</v>
      </c>
      <c r="W221">
        <f t="shared" si="104"/>
        <v>3.8280558783720395</v>
      </c>
      <c r="X221">
        <f t="shared" si="105"/>
        <v>74.366823931495034</v>
      </c>
      <c r="Y221">
        <f t="shared" si="106"/>
        <v>2.6340540026416996</v>
      </c>
      <c r="Z221">
        <f t="shared" si="107"/>
        <v>3.5419745840808368</v>
      </c>
      <c r="AA221">
        <f t="shared" si="108"/>
        <v>1.1940018757303399</v>
      </c>
      <c r="AB221">
        <f t="shared" si="109"/>
        <v>-109.53203318893318</v>
      </c>
      <c r="AC221">
        <f t="shared" si="110"/>
        <v>-151.16911900910151</v>
      </c>
      <c r="AD221">
        <f t="shared" si="111"/>
        <v>-15.517879907271501</v>
      </c>
      <c r="AE221">
        <f t="shared" si="112"/>
        <v>-0.10266427130611078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52341.247913866398</v>
      </c>
      <c r="AK221">
        <f t="shared" si="116"/>
        <v>1800</v>
      </c>
      <c r="AL221">
        <f t="shared" si="117"/>
        <v>1499.1102593999999</v>
      </c>
      <c r="AM221">
        <f t="shared" si="118"/>
        <v>0.83283903299999995</v>
      </c>
      <c r="AN221">
        <f t="shared" si="119"/>
        <v>0.15339798213000003</v>
      </c>
      <c r="AO221">
        <v>32.700000000000003</v>
      </c>
      <c r="AP221">
        <v>0.5</v>
      </c>
      <c r="AQ221" t="s">
        <v>331</v>
      </c>
      <c r="AR221">
        <v>2</v>
      </c>
      <c r="AS221">
        <v>1690303079.5999999</v>
      </c>
      <c r="AT221">
        <v>397.78</v>
      </c>
      <c r="AU221">
        <v>800.01499999999999</v>
      </c>
      <c r="AV221">
        <v>26.500299999999999</v>
      </c>
      <c r="AW221">
        <v>0.155725</v>
      </c>
      <c r="AX221">
        <v>397.81099999999998</v>
      </c>
      <c r="AY221">
        <v>26.218800000000002</v>
      </c>
      <c r="AZ221">
        <v>300.12</v>
      </c>
      <c r="BA221">
        <v>99.2971</v>
      </c>
      <c r="BB221">
        <v>0.100039</v>
      </c>
      <c r="BC221">
        <v>26.822299999999998</v>
      </c>
      <c r="BD221">
        <v>27.006599999999999</v>
      </c>
      <c r="BE221">
        <v>28.1052</v>
      </c>
      <c r="BF221">
        <v>0</v>
      </c>
      <c r="BG221">
        <v>0</v>
      </c>
      <c r="BH221">
        <v>9961.25</v>
      </c>
      <c r="BI221">
        <v>1077.76</v>
      </c>
      <c r="BJ221">
        <v>1.7380500000000001</v>
      </c>
      <c r="BK221">
        <v>-402.23500000000001</v>
      </c>
      <c r="BL221">
        <v>408.608</v>
      </c>
      <c r="BM221">
        <v>800.13900000000001</v>
      </c>
      <c r="BN221">
        <v>26.3446</v>
      </c>
      <c r="BO221">
        <v>800.01499999999999</v>
      </c>
      <c r="BP221">
        <v>0.155725</v>
      </c>
      <c r="BQ221">
        <v>2.6314099999999998</v>
      </c>
      <c r="BR221">
        <v>1.5462999999999999E-2</v>
      </c>
      <c r="BS221">
        <v>21.8629</v>
      </c>
      <c r="BT221">
        <v>-41.873399999999997</v>
      </c>
      <c r="BU221">
        <v>1800</v>
      </c>
      <c r="BV221">
        <v>0.90998299999999999</v>
      </c>
      <c r="BW221">
        <v>3.4005599999999997E-2</v>
      </c>
      <c r="BX221">
        <v>2.2006399999999999E-2</v>
      </c>
      <c r="BY221">
        <v>3.4005100000000003E-2</v>
      </c>
      <c r="BZ221">
        <v>26</v>
      </c>
      <c r="CA221">
        <v>33528.300000000003</v>
      </c>
      <c r="CB221">
        <v>1690300477.5</v>
      </c>
      <c r="CC221" t="s">
        <v>332</v>
      </c>
      <c r="CD221">
        <v>1690300477.5</v>
      </c>
      <c r="CE221">
        <v>1690300465.5</v>
      </c>
      <c r="CF221">
        <v>7</v>
      </c>
      <c r="CG221">
        <v>5.0999999999999997E-2</v>
      </c>
      <c r="CH221">
        <v>-8.0000000000000002E-3</v>
      </c>
      <c r="CI221">
        <v>-0.316</v>
      </c>
      <c r="CJ221">
        <v>0.28199999999999997</v>
      </c>
      <c r="CK221">
        <v>800</v>
      </c>
      <c r="CL221">
        <v>24</v>
      </c>
      <c r="CM221">
        <v>0.25</v>
      </c>
      <c r="CN221">
        <v>0.13</v>
      </c>
      <c r="CO221">
        <v>-401.88279999999997</v>
      </c>
      <c r="CP221">
        <v>-1.5299212007501479</v>
      </c>
      <c r="CQ221">
        <v>0.15841451953656061</v>
      </c>
      <c r="CR221">
        <v>-1</v>
      </c>
      <c r="CS221">
        <v>26.331029999999998</v>
      </c>
      <c r="CT221">
        <v>6.2390994371387537E-2</v>
      </c>
      <c r="CU221">
        <v>6.1749170034907756E-3</v>
      </c>
      <c r="CV221">
        <v>-1</v>
      </c>
      <c r="CW221">
        <v>0</v>
      </c>
      <c r="CX221">
        <v>0</v>
      </c>
      <c r="CY221" t="s">
        <v>333</v>
      </c>
      <c r="CZ221">
        <v>2.3645499999999999</v>
      </c>
      <c r="DA221">
        <v>2.7138</v>
      </c>
      <c r="DB221">
        <v>8.9319200000000001E-2</v>
      </c>
      <c r="DC221">
        <v>0.14632400000000001</v>
      </c>
      <c r="DD221">
        <v>0.122102</v>
      </c>
      <c r="DE221">
        <v>1.3144299999999999E-3</v>
      </c>
      <c r="DF221">
        <v>33265.199999999997</v>
      </c>
      <c r="DG221">
        <v>27532.7</v>
      </c>
      <c r="DH221">
        <v>31183.599999999999</v>
      </c>
      <c r="DI221">
        <v>28103.5</v>
      </c>
      <c r="DJ221">
        <v>37159.5</v>
      </c>
      <c r="DK221">
        <v>39920.300000000003</v>
      </c>
      <c r="DL221">
        <v>44380.4</v>
      </c>
      <c r="DM221">
        <v>42598</v>
      </c>
      <c r="DN221">
        <v>1.48563</v>
      </c>
      <c r="DO221">
        <v>2.0323500000000001</v>
      </c>
      <c r="DP221">
        <v>8.5949899999999996E-2</v>
      </c>
      <c r="DQ221">
        <v>0.16289899999999999</v>
      </c>
      <c r="DR221">
        <v>25.599399999999999</v>
      </c>
      <c r="DS221">
        <v>25.440200000000001</v>
      </c>
      <c r="DT221">
        <v>21.3</v>
      </c>
      <c r="DU221">
        <v>29.3</v>
      </c>
      <c r="DV221">
        <v>8.7776399999999999</v>
      </c>
      <c r="DW221">
        <v>61.701099999999997</v>
      </c>
      <c r="DX221">
        <v>36.790900000000001</v>
      </c>
      <c r="DY221">
        <v>1</v>
      </c>
      <c r="DZ221">
        <v>-9.8849099999999995E-2</v>
      </c>
      <c r="EA221">
        <v>-0.114028</v>
      </c>
      <c r="EB221">
        <v>20.189399999999999</v>
      </c>
      <c r="EC221">
        <v>5.2413999999999996</v>
      </c>
      <c r="ED221">
        <v>12.039899999999999</v>
      </c>
      <c r="EE221">
        <v>5.0174500000000002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1.8689100000000001</v>
      </c>
      <c r="EL221">
        <v>1.8646199999999999</v>
      </c>
      <c r="EM221">
        <v>1.8692</v>
      </c>
      <c r="EN221">
        <v>1.8672299999999999</v>
      </c>
      <c r="EO221">
        <v>1.86337</v>
      </c>
      <c r="EP221">
        <v>1.8644700000000001</v>
      </c>
      <c r="EQ221">
        <v>1.87015</v>
      </c>
      <c r="ER221">
        <v>1.8694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-3.1E-2</v>
      </c>
      <c r="FG221">
        <v>0.28149999999999997</v>
      </c>
      <c r="FH221">
        <v>0.23539598422606861</v>
      </c>
      <c r="FI221">
        <v>-6.1462078757559423E-4</v>
      </c>
      <c r="FJ221">
        <v>-1.8861989874597051E-7</v>
      </c>
      <c r="FK221">
        <v>1.1980462299894961E-10</v>
      </c>
      <c r="FL221">
        <v>0.28151999999999688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43.4</v>
      </c>
      <c r="FU221">
        <v>43.6</v>
      </c>
      <c r="FV221">
        <v>1.7626999999999999</v>
      </c>
      <c r="FW221">
        <v>2.5878899999999998</v>
      </c>
      <c r="FX221">
        <v>1.5490699999999999</v>
      </c>
      <c r="FY221">
        <v>2.3315399999999999</v>
      </c>
      <c r="FZ221">
        <v>1.50146</v>
      </c>
      <c r="GA221">
        <v>2.3156699999999999</v>
      </c>
      <c r="GB221">
        <v>33.6479</v>
      </c>
      <c r="GC221">
        <v>23.991199999999999</v>
      </c>
      <c r="GD221">
        <v>19</v>
      </c>
      <c r="GE221">
        <v>286.48</v>
      </c>
      <c r="GF221">
        <v>578.57100000000003</v>
      </c>
      <c r="GG221">
        <v>25.218499999999999</v>
      </c>
      <c r="GH221">
        <v>26.158100000000001</v>
      </c>
      <c r="GI221">
        <v>30.0002</v>
      </c>
      <c r="GJ221">
        <v>26.2532</v>
      </c>
      <c r="GK221">
        <v>26.225000000000001</v>
      </c>
      <c r="GL221">
        <v>35.239699999999999</v>
      </c>
      <c r="GM221">
        <v>100</v>
      </c>
      <c r="GN221">
        <v>0.74315900000000001</v>
      </c>
      <c r="GO221">
        <v>25.218900000000001</v>
      </c>
      <c r="GP221">
        <v>800</v>
      </c>
      <c r="GQ221">
        <v>0</v>
      </c>
      <c r="GR221">
        <v>99.778400000000005</v>
      </c>
      <c r="GS221">
        <v>99.648899999999998</v>
      </c>
    </row>
    <row r="222" spans="1:201" x14ac:dyDescent="0.25">
      <c r="A222">
        <v>206</v>
      </c>
      <c r="B222">
        <v>1690303089.5999999</v>
      </c>
      <c r="C222">
        <v>2185.599999904633</v>
      </c>
      <c r="D222" t="s">
        <v>743</v>
      </c>
      <c r="E222" t="s">
        <v>744</v>
      </c>
      <c r="F222" t="s">
        <v>330</v>
      </c>
      <c r="H222">
        <v>1690303089.5999999</v>
      </c>
      <c r="I222">
        <f t="shared" si="90"/>
        <v>2.4836952258966332E-3</v>
      </c>
      <c r="J222">
        <f t="shared" si="91"/>
        <v>2.4836952258966334</v>
      </c>
      <c r="K222">
        <f t="shared" si="92"/>
        <v>35.925299766358492</v>
      </c>
      <c r="L222">
        <f t="shared" si="93"/>
        <v>397.62</v>
      </c>
      <c r="M222">
        <f t="shared" si="94"/>
        <v>108.04282578046453</v>
      </c>
      <c r="N222">
        <f t="shared" si="95"/>
        <v>10.739342519247085</v>
      </c>
      <c r="O222">
        <f t="shared" si="96"/>
        <v>39.523007119230002</v>
      </c>
      <c r="P222">
        <f t="shared" si="97"/>
        <v>0.2115346522119583</v>
      </c>
      <c r="Q222">
        <f t="shared" si="98"/>
        <v>2.116505322256347</v>
      </c>
      <c r="R222">
        <f t="shared" si="99"/>
        <v>0.20045187164499723</v>
      </c>
      <c r="S222">
        <f t="shared" si="100"/>
        <v>0.12622975563605285</v>
      </c>
      <c r="T222">
        <f t="shared" si="101"/>
        <v>276.11642516400002</v>
      </c>
      <c r="U222">
        <f t="shared" si="102"/>
        <v>28.143464510848116</v>
      </c>
      <c r="V222">
        <f t="shared" si="103"/>
        <v>28.143464510848116</v>
      </c>
      <c r="W222">
        <f t="shared" si="104"/>
        <v>3.8266938064742528</v>
      </c>
      <c r="X222">
        <f t="shared" si="105"/>
        <v>74.414143536425243</v>
      </c>
      <c r="Y222">
        <f t="shared" si="106"/>
        <v>2.6351255785299004</v>
      </c>
      <c r="Z222">
        <f t="shared" si="107"/>
        <v>3.5411622754752572</v>
      </c>
      <c r="AA222">
        <f t="shared" si="108"/>
        <v>1.1915682279443525</v>
      </c>
      <c r="AB222">
        <f t="shared" si="109"/>
        <v>-109.53095946204152</v>
      </c>
      <c r="AC222">
        <f t="shared" si="110"/>
        <v>-151.19653229944433</v>
      </c>
      <c r="AD222">
        <f t="shared" si="111"/>
        <v>-15.491252721421029</v>
      </c>
      <c r="AE222">
        <f t="shared" si="112"/>
        <v>-0.10231931890683654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52513.108322749213</v>
      </c>
      <c r="AK222">
        <f t="shared" si="116"/>
        <v>1800</v>
      </c>
      <c r="AL222">
        <f t="shared" si="117"/>
        <v>1499.1105203999998</v>
      </c>
      <c r="AM222">
        <f t="shared" si="118"/>
        <v>0.83283917799999996</v>
      </c>
      <c r="AN222">
        <f t="shared" si="119"/>
        <v>0.15339801398000003</v>
      </c>
      <c r="AO222">
        <v>32.700000000000003</v>
      </c>
      <c r="AP222">
        <v>0.5</v>
      </c>
      <c r="AQ222" t="s">
        <v>331</v>
      </c>
      <c r="AR222">
        <v>2</v>
      </c>
      <c r="AS222">
        <v>1690303089.5999999</v>
      </c>
      <c r="AT222">
        <v>397.62</v>
      </c>
      <c r="AU222">
        <v>799.98500000000001</v>
      </c>
      <c r="AV222">
        <v>26.5106</v>
      </c>
      <c r="AW222">
        <v>0.155058</v>
      </c>
      <c r="AX222">
        <v>397.65100000000001</v>
      </c>
      <c r="AY222">
        <v>26.229099999999999</v>
      </c>
      <c r="AZ222">
        <v>299.98899999999998</v>
      </c>
      <c r="BA222">
        <v>99.299000000000007</v>
      </c>
      <c r="BB222">
        <v>9.9941500000000003E-2</v>
      </c>
      <c r="BC222">
        <v>26.8184</v>
      </c>
      <c r="BD222">
        <v>26.996099999999998</v>
      </c>
      <c r="BE222">
        <v>28.101800000000001</v>
      </c>
      <c r="BF222">
        <v>0</v>
      </c>
      <c r="BG222">
        <v>0</v>
      </c>
      <c r="BH222">
        <v>9995</v>
      </c>
      <c r="BI222">
        <v>1077.8399999999999</v>
      </c>
      <c r="BJ222">
        <v>1.7380500000000001</v>
      </c>
      <c r="BK222">
        <v>-402.36500000000001</v>
      </c>
      <c r="BL222">
        <v>408.44799999999998</v>
      </c>
      <c r="BM222">
        <v>800.10900000000004</v>
      </c>
      <c r="BN222">
        <v>26.355499999999999</v>
      </c>
      <c r="BO222">
        <v>799.98500000000001</v>
      </c>
      <c r="BP222">
        <v>0.155058</v>
      </c>
      <c r="BQ222">
        <v>2.6324800000000002</v>
      </c>
      <c r="BR222">
        <v>1.53971E-2</v>
      </c>
      <c r="BS222">
        <v>21.869599999999998</v>
      </c>
      <c r="BT222">
        <v>-41.913600000000002</v>
      </c>
      <c r="BU222">
        <v>1800</v>
      </c>
      <c r="BV222">
        <v>0.90998299999999999</v>
      </c>
      <c r="BW222">
        <v>3.40057E-2</v>
      </c>
      <c r="BX222">
        <v>2.2006399999999999E-2</v>
      </c>
      <c r="BY222">
        <v>3.4005199999999999E-2</v>
      </c>
      <c r="BZ222">
        <v>26</v>
      </c>
      <c r="CA222">
        <v>33528.300000000003</v>
      </c>
      <c r="CB222">
        <v>1690300477.5</v>
      </c>
      <c r="CC222" t="s">
        <v>332</v>
      </c>
      <c r="CD222">
        <v>1690300477.5</v>
      </c>
      <c r="CE222">
        <v>1690300465.5</v>
      </c>
      <c r="CF222">
        <v>7</v>
      </c>
      <c r="CG222">
        <v>5.0999999999999997E-2</v>
      </c>
      <c r="CH222">
        <v>-8.0000000000000002E-3</v>
      </c>
      <c r="CI222">
        <v>-0.316</v>
      </c>
      <c r="CJ222">
        <v>0.28199999999999997</v>
      </c>
      <c r="CK222">
        <v>800</v>
      </c>
      <c r="CL222">
        <v>24</v>
      </c>
      <c r="CM222">
        <v>0.25</v>
      </c>
      <c r="CN222">
        <v>0.13</v>
      </c>
      <c r="CO222">
        <v>-402.13756097560969</v>
      </c>
      <c r="CP222">
        <v>-1.408348432056338</v>
      </c>
      <c r="CQ222">
        <v>0.14774385361826239</v>
      </c>
      <c r="CR222">
        <v>-1</v>
      </c>
      <c r="CS222">
        <v>26.34335121951219</v>
      </c>
      <c r="CT222">
        <v>7.1629965156777969E-2</v>
      </c>
      <c r="CU222">
        <v>7.1987506352085093E-3</v>
      </c>
      <c r="CV222">
        <v>-1</v>
      </c>
      <c r="CW222">
        <v>0</v>
      </c>
      <c r="CX222">
        <v>0</v>
      </c>
      <c r="CY222" t="s">
        <v>333</v>
      </c>
      <c r="CZ222">
        <v>2.3641299999999998</v>
      </c>
      <c r="DA222">
        <v>2.71373</v>
      </c>
      <c r="DB222">
        <v>8.9292899999999994E-2</v>
      </c>
      <c r="DC222">
        <v>0.14632200000000001</v>
      </c>
      <c r="DD222">
        <v>0.122137</v>
      </c>
      <c r="DE222">
        <v>1.30886E-3</v>
      </c>
      <c r="DF222">
        <v>33266.300000000003</v>
      </c>
      <c r="DG222">
        <v>27533.599999999999</v>
      </c>
      <c r="DH222">
        <v>31183.7</v>
      </c>
      <c r="DI222">
        <v>28104.400000000001</v>
      </c>
      <c r="DJ222">
        <v>37158.199999999997</v>
      </c>
      <c r="DK222">
        <v>39921.5</v>
      </c>
      <c r="DL222">
        <v>44380.6</v>
      </c>
      <c r="DM222">
        <v>42599</v>
      </c>
      <c r="DN222">
        <v>1.48532</v>
      </c>
      <c r="DO222">
        <v>2.03227</v>
      </c>
      <c r="DP222">
        <v>8.5309099999999999E-2</v>
      </c>
      <c r="DQ222">
        <v>0.16270599999999999</v>
      </c>
      <c r="DR222">
        <v>25.599399999999999</v>
      </c>
      <c r="DS222">
        <v>25.439900000000002</v>
      </c>
      <c r="DT222">
        <v>21.3</v>
      </c>
      <c r="DU222">
        <v>29.3</v>
      </c>
      <c r="DV222">
        <v>8.7775300000000005</v>
      </c>
      <c r="DW222">
        <v>61.451099999999997</v>
      </c>
      <c r="DX222">
        <v>37.435899999999997</v>
      </c>
      <c r="DY222">
        <v>1</v>
      </c>
      <c r="DZ222">
        <v>-9.8620399999999997E-2</v>
      </c>
      <c r="EA222">
        <v>-8.4724900000000006E-2</v>
      </c>
      <c r="EB222">
        <v>20.1892</v>
      </c>
      <c r="EC222">
        <v>5.2411000000000003</v>
      </c>
      <c r="ED222">
        <v>12.039899999999999</v>
      </c>
      <c r="EE222">
        <v>5.0169499999999996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1.8646199999999999</v>
      </c>
      <c r="EM222">
        <v>1.8691899999999999</v>
      </c>
      <c r="EN222">
        <v>1.8672200000000001</v>
      </c>
      <c r="EO222">
        <v>1.8633599999999999</v>
      </c>
      <c r="EP222">
        <v>1.8644700000000001</v>
      </c>
      <c r="EQ222">
        <v>1.87015</v>
      </c>
      <c r="ER222">
        <v>1.86941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-3.1E-2</v>
      </c>
      <c r="FG222">
        <v>0.28149999999999997</v>
      </c>
      <c r="FH222">
        <v>0.23539598422606861</v>
      </c>
      <c r="FI222">
        <v>-6.1462078757559423E-4</v>
      </c>
      <c r="FJ222">
        <v>-1.8861989874597051E-7</v>
      </c>
      <c r="FK222">
        <v>1.1980462299894961E-10</v>
      </c>
      <c r="FL222">
        <v>0.28151999999999688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43.5</v>
      </c>
      <c r="FU222">
        <v>43.7</v>
      </c>
      <c r="FV222">
        <v>1.7626999999999999</v>
      </c>
      <c r="FW222">
        <v>2.5891099999999998</v>
      </c>
      <c r="FX222">
        <v>1.5490699999999999</v>
      </c>
      <c r="FY222">
        <v>2.3315399999999999</v>
      </c>
      <c r="FZ222">
        <v>1.50146</v>
      </c>
      <c r="GA222">
        <v>2.3852500000000001</v>
      </c>
      <c r="GB222">
        <v>33.6479</v>
      </c>
      <c r="GC222">
        <v>23.991199999999999</v>
      </c>
      <c r="GD222">
        <v>19</v>
      </c>
      <c r="GE222">
        <v>286.36099999999999</v>
      </c>
      <c r="GF222">
        <v>578.53399999999999</v>
      </c>
      <c r="GG222">
        <v>25.2119</v>
      </c>
      <c r="GH222">
        <v>26.160299999999999</v>
      </c>
      <c r="GI222">
        <v>30.0002</v>
      </c>
      <c r="GJ222">
        <v>26.255500000000001</v>
      </c>
      <c r="GK222">
        <v>26.2272</v>
      </c>
      <c r="GL222">
        <v>35.241199999999999</v>
      </c>
      <c r="GM222">
        <v>100</v>
      </c>
      <c r="GN222">
        <v>0.364037</v>
      </c>
      <c r="GO222">
        <v>25.207599999999999</v>
      </c>
      <c r="GP222">
        <v>800</v>
      </c>
      <c r="GQ222">
        <v>0</v>
      </c>
      <c r="GR222">
        <v>99.778899999999993</v>
      </c>
      <c r="GS222">
        <v>99.651600000000002</v>
      </c>
    </row>
    <row r="223" spans="1:201" x14ac:dyDescent="0.25">
      <c r="A223">
        <v>207</v>
      </c>
      <c r="B223">
        <v>1690303099.5999999</v>
      </c>
      <c r="C223">
        <v>2195.599999904633</v>
      </c>
      <c r="D223" t="s">
        <v>745</v>
      </c>
      <c r="E223" t="s">
        <v>746</v>
      </c>
      <c r="F223" t="s">
        <v>330</v>
      </c>
      <c r="H223">
        <v>1690303099.5999999</v>
      </c>
      <c r="I223">
        <f t="shared" si="90"/>
        <v>2.4850221035862038E-3</v>
      </c>
      <c r="J223">
        <f t="shared" si="91"/>
        <v>2.4850221035862039</v>
      </c>
      <c r="K223">
        <f t="shared" si="92"/>
        <v>35.951582976524755</v>
      </c>
      <c r="L223">
        <f t="shared" si="93"/>
        <v>397.36399999999998</v>
      </c>
      <c r="M223">
        <f t="shared" si="94"/>
        <v>107.79747238140821</v>
      </c>
      <c r="N223">
        <f t="shared" si="95"/>
        <v>10.714951039872135</v>
      </c>
      <c r="O223">
        <f t="shared" si="96"/>
        <v>39.497547678511999</v>
      </c>
      <c r="P223">
        <f t="shared" si="97"/>
        <v>0.21169086198708675</v>
      </c>
      <c r="Q223">
        <f t="shared" si="98"/>
        <v>2.1185149301919188</v>
      </c>
      <c r="R223">
        <f t="shared" si="99"/>
        <v>0.20060210403796347</v>
      </c>
      <c r="S223">
        <f t="shared" si="100"/>
        <v>0.12632417147702862</v>
      </c>
      <c r="T223">
        <f t="shared" si="101"/>
        <v>276.11652321000003</v>
      </c>
      <c r="U223">
        <f t="shared" si="102"/>
        <v>28.146853201640322</v>
      </c>
      <c r="V223">
        <f t="shared" si="103"/>
        <v>28.146853201640322</v>
      </c>
      <c r="W223">
        <f t="shared" si="104"/>
        <v>3.8274490253597477</v>
      </c>
      <c r="X223">
        <f t="shared" si="105"/>
        <v>74.421142965274456</v>
      </c>
      <c r="Y223">
        <f t="shared" si="106"/>
        <v>2.6361484991772004</v>
      </c>
      <c r="Z223">
        <f t="shared" si="107"/>
        <v>3.5422037261739585</v>
      </c>
      <c r="AA223">
        <f t="shared" si="108"/>
        <v>1.1913005261825473</v>
      </c>
      <c r="AB223">
        <f t="shared" si="109"/>
        <v>-109.58947476815159</v>
      </c>
      <c r="AC223">
        <f t="shared" si="110"/>
        <v>-151.15605935030379</v>
      </c>
      <c r="AD223">
        <f t="shared" si="111"/>
        <v>-15.473062750409909</v>
      </c>
      <c r="AE223">
        <f t="shared" si="112"/>
        <v>-0.10207365886526532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52600.352609481786</v>
      </c>
      <c r="AK223">
        <f t="shared" si="116"/>
        <v>1800</v>
      </c>
      <c r="AL223">
        <f t="shared" si="117"/>
        <v>1499.1109379999998</v>
      </c>
      <c r="AM223">
        <f t="shared" si="118"/>
        <v>0.83283940999999995</v>
      </c>
      <c r="AN223">
        <f t="shared" si="119"/>
        <v>0.15339806845000001</v>
      </c>
      <c r="AO223">
        <v>32.700000000000003</v>
      </c>
      <c r="AP223">
        <v>0.5</v>
      </c>
      <c r="AQ223" t="s">
        <v>331</v>
      </c>
      <c r="AR223">
        <v>2</v>
      </c>
      <c r="AS223">
        <v>1690303099.5999999</v>
      </c>
      <c r="AT223">
        <v>397.36399999999998</v>
      </c>
      <c r="AU223">
        <v>799.96600000000001</v>
      </c>
      <c r="AV223">
        <v>26.520900000000001</v>
      </c>
      <c r="AW223">
        <v>0.154721</v>
      </c>
      <c r="AX223">
        <v>397.39499999999998</v>
      </c>
      <c r="AY223">
        <v>26.2394</v>
      </c>
      <c r="AZ223">
        <v>300.02499999999998</v>
      </c>
      <c r="BA223">
        <v>99.298900000000003</v>
      </c>
      <c r="BB223">
        <v>0.100008</v>
      </c>
      <c r="BC223">
        <v>26.823399999999999</v>
      </c>
      <c r="BD223">
        <v>27.008700000000001</v>
      </c>
      <c r="BE223">
        <v>28.1127</v>
      </c>
      <c r="BF223">
        <v>0</v>
      </c>
      <c r="BG223">
        <v>0</v>
      </c>
      <c r="BH223">
        <v>10012.5</v>
      </c>
      <c r="BI223">
        <v>1077.93</v>
      </c>
      <c r="BJ223">
        <v>1.7380500000000001</v>
      </c>
      <c r="BK223">
        <v>-402.60199999999998</v>
      </c>
      <c r="BL223">
        <v>408.18900000000002</v>
      </c>
      <c r="BM223">
        <v>800.09</v>
      </c>
      <c r="BN223">
        <v>26.366199999999999</v>
      </c>
      <c r="BO223">
        <v>799.96600000000001</v>
      </c>
      <c r="BP223">
        <v>0.154721</v>
      </c>
      <c r="BQ223">
        <v>2.6335000000000002</v>
      </c>
      <c r="BR223">
        <v>1.53636E-2</v>
      </c>
      <c r="BS223">
        <v>21.875900000000001</v>
      </c>
      <c r="BT223">
        <v>-41.933999999999997</v>
      </c>
      <c r="BU223">
        <v>1800</v>
      </c>
      <c r="BV223">
        <v>0.90998299999999999</v>
      </c>
      <c r="BW223">
        <v>3.4005800000000003E-2</v>
      </c>
      <c r="BX223">
        <v>2.2006499999999998E-2</v>
      </c>
      <c r="BY223">
        <v>3.4005300000000002E-2</v>
      </c>
      <c r="BZ223">
        <v>26</v>
      </c>
      <c r="CA223">
        <v>33528.199999999997</v>
      </c>
      <c r="CB223">
        <v>1690300477.5</v>
      </c>
      <c r="CC223" t="s">
        <v>332</v>
      </c>
      <c r="CD223">
        <v>1690300477.5</v>
      </c>
      <c r="CE223">
        <v>1690300465.5</v>
      </c>
      <c r="CF223">
        <v>7</v>
      </c>
      <c r="CG223">
        <v>5.0999999999999997E-2</v>
      </c>
      <c r="CH223">
        <v>-8.0000000000000002E-3</v>
      </c>
      <c r="CI223">
        <v>-0.316</v>
      </c>
      <c r="CJ223">
        <v>0.28199999999999997</v>
      </c>
      <c r="CK223">
        <v>800</v>
      </c>
      <c r="CL223">
        <v>24</v>
      </c>
      <c r="CM223">
        <v>0.25</v>
      </c>
      <c r="CN223">
        <v>0.13</v>
      </c>
      <c r="CO223">
        <v>-402.38787500000001</v>
      </c>
      <c r="CP223">
        <v>-1.782472795495698</v>
      </c>
      <c r="CQ223">
        <v>0.187391727071929</v>
      </c>
      <c r="CR223">
        <v>-1</v>
      </c>
      <c r="CS223">
        <v>26.3539925</v>
      </c>
      <c r="CT223">
        <v>5.8954221388295099E-2</v>
      </c>
      <c r="CU223">
        <v>5.8289959469877556E-3</v>
      </c>
      <c r="CV223">
        <v>-1</v>
      </c>
      <c r="CW223">
        <v>0</v>
      </c>
      <c r="CX223">
        <v>0</v>
      </c>
      <c r="CY223" t="s">
        <v>333</v>
      </c>
      <c r="CZ223">
        <v>2.3642599999999998</v>
      </c>
      <c r="DA223">
        <v>2.7138100000000001</v>
      </c>
      <c r="DB223">
        <v>8.9248300000000003E-2</v>
      </c>
      <c r="DC223">
        <v>0.146319</v>
      </c>
      <c r="DD223">
        <v>0.122169</v>
      </c>
      <c r="DE223">
        <v>1.3060400000000001E-3</v>
      </c>
      <c r="DF223">
        <v>33267.800000000003</v>
      </c>
      <c r="DG223">
        <v>27533.4</v>
      </c>
      <c r="DH223">
        <v>31183.599999999999</v>
      </c>
      <c r="DI223">
        <v>28104.1</v>
      </c>
      <c r="DJ223">
        <v>37156.5</v>
      </c>
      <c r="DK223">
        <v>39921.5</v>
      </c>
      <c r="DL223">
        <v>44380.3</v>
      </c>
      <c r="DM223">
        <v>42598.9</v>
      </c>
      <c r="DN223">
        <v>1.4857</v>
      </c>
      <c r="DO223">
        <v>2.03233</v>
      </c>
      <c r="DP223">
        <v>8.6076600000000003E-2</v>
      </c>
      <c r="DQ223">
        <v>0.16337599999999999</v>
      </c>
      <c r="DR223">
        <v>25.599399999999999</v>
      </c>
      <c r="DS223">
        <v>25.439800000000002</v>
      </c>
      <c r="DT223">
        <v>21.2</v>
      </c>
      <c r="DU223">
        <v>29.3</v>
      </c>
      <c r="DV223">
        <v>8.7375100000000003</v>
      </c>
      <c r="DW223">
        <v>61.381100000000004</v>
      </c>
      <c r="DX223">
        <v>37.1875</v>
      </c>
      <c r="DY223">
        <v>1</v>
      </c>
      <c r="DZ223">
        <v>-9.8584900000000003E-2</v>
      </c>
      <c r="EA223">
        <v>-9.1168299999999994E-2</v>
      </c>
      <c r="EB223">
        <v>20.189499999999999</v>
      </c>
      <c r="EC223">
        <v>5.2411000000000003</v>
      </c>
      <c r="ED223">
        <v>12.039899999999999</v>
      </c>
      <c r="EE223">
        <v>5.0171000000000001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1.8689100000000001</v>
      </c>
      <c r="EL223">
        <v>1.8646199999999999</v>
      </c>
      <c r="EM223">
        <v>1.8692</v>
      </c>
      <c r="EN223">
        <v>1.86724</v>
      </c>
      <c r="EO223">
        <v>1.86337</v>
      </c>
      <c r="EP223">
        <v>1.8644700000000001</v>
      </c>
      <c r="EQ223">
        <v>1.8701700000000001</v>
      </c>
      <c r="ER223">
        <v>1.8694200000000001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-3.1E-2</v>
      </c>
      <c r="FG223">
        <v>0.28149999999999997</v>
      </c>
      <c r="FH223">
        <v>0.23539598422606861</v>
      </c>
      <c r="FI223">
        <v>-6.1462078757559423E-4</v>
      </c>
      <c r="FJ223">
        <v>-1.8861989874597051E-7</v>
      </c>
      <c r="FK223">
        <v>1.1980462299894961E-10</v>
      </c>
      <c r="FL223">
        <v>0.28151999999999688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43.7</v>
      </c>
      <c r="FU223">
        <v>43.9</v>
      </c>
      <c r="FV223">
        <v>1.7626999999999999</v>
      </c>
      <c r="FW223">
        <v>2.5878899999999998</v>
      </c>
      <c r="FX223">
        <v>1.5490699999999999</v>
      </c>
      <c r="FY223">
        <v>2.3315399999999999</v>
      </c>
      <c r="FZ223">
        <v>1.50146</v>
      </c>
      <c r="GA223">
        <v>2.36938</v>
      </c>
      <c r="GB223">
        <v>33.6479</v>
      </c>
      <c r="GC223">
        <v>23.991199999999999</v>
      </c>
      <c r="GD223">
        <v>19</v>
      </c>
      <c r="GE223">
        <v>286.53199999999998</v>
      </c>
      <c r="GF223">
        <v>578.59900000000005</v>
      </c>
      <c r="GG223">
        <v>25.2044</v>
      </c>
      <c r="GH223">
        <v>26.162500000000001</v>
      </c>
      <c r="GI223">
        <v>30.0001</v>
      </c>
      <c r="GJ223">
        <v>26.2577</v>
      </c>
      <c r="GK223">
        <v>26.229199999999999</v>
      </c>
      <c r="GL223">
        <v>35.2468</v>
      </c>
      <c r="GM223">
        <v>100</v>
      </c>
      <c r="GN223">
        <v>0</v>
      </c>
      <c r="GO223">
        <v>25.201699999999999</v>
      </c>
      <c r="GP223">
        <v>800</v>
      </c>
      <c r="GQ223">
        <v>0</v>
      </c>
      <c r="GR223">
        <v>99.778300000000002</v>
      </c>
      <c r="GS223">
        <v>99.650999999999996</v>
      </c>
    </row>
    <row r="224" spans="1:201" x14ac:dyDescent="0.25">
      <c r="A224">
        <v>208</v>
      </c>
      <c r="B224">
        <v>1690303109.5999999</v>
      </c>
      <c r="C224">
        <v>2205.599999904633</v>
      </c>
      <c r="D224" t="s">
        <v>747</v>
      </c>
      <c r="E224" t="s">
        <v>748</v>
      </c>
      <c r="F224" t="s">
        <v>330</v>
      </c>
      <c r="H224">
        <v>1690303109.5999999</v>
      </c>
      <c r="I224">
        <f t="shared" si="90"/>
        <v>2.4866516259037007E-3</v>
      </c>
      <c r="J224">
        <f t="shared" si="91"/>
        <v>2.4866516259037006</v>
      </c>
      <c r="K224">
        <f t="shared" si="92"/>
        <v>35.988065988477885</v>
      </c>
      <c r="L224">
        <f t="shared" si="93"/>
        <v>397.178</v>
      </c>
      <c r="M224">
        <f t="shared" si="94"/>
        <v>107.84337280915929</v>
      </c>
      <c r="N224">
        <f t="shared" si="95"/>
        <v>10.719451266641215</v>
      </c>
      <c r="O224">
        <f t="shared" si="96"/>
        <v>39.478830309917996</v>
      </c>
      <c r="P224">
        <f t="shared" si="97"/>
        <v>0.21210288802424909</v>
      </c>
      <c r="Q224">
        <f t="shared" si="98"/>
        <v>2.1160659132203814</v>
      </c>
      <c r="R224">
        <f t="shared" si="99"/>
        <v>0.20095998616535057</v>
      </c>
      <c r="S224">
        <f t="shared" si="100"/>
        <v>0.12655233303006128</v>
      </c>
      <c r="T224">
        <f t="shared" si="101"/>
        <v>276.11629813800005</v>
      </c>
      <c r="U224">
        <f t="shared" si="102"/>
        <v>28.142576103888178</v>
      </c>
      <c r="V224">
        <f t="shared" si="103"/>
        <v>28.142576103888178</v>
      </c>
      <c r="W224">
        <f t="shared" si="104"/>
        <v>3.826495833609437</v>
      </c>
      <c r="X224">
        <f t="shared" si="105"/>
        <v>74.454544321561343</v>
      </c>
      <c r="Y224">
        <f t="shared" si="106"/>
        <v>2.6365407297749996</v>
      </c>
      <c r="Z224">
        <f t="shared" si="107"/>
        <v>3.5411414491881885</v>
      </c>
      <c r="AA224">
        <f t="shared" si="108"/>
        <v>1.1899551038344374</v>
      </c>
      <c r="AB224">
        <f t="shared" si="109"/>
        <v>-109.6613367023532</v>
      </c>
      <c r="AC224">
        <f t="shared" si="110"/>
        <v>-151.07519976298806</v>
      </c>
      <c r="AD224">
        <f t="shared" si="111"/>
        <v>-15.481959021691109</v>
      </c>
      <c r="AE224">
        <f t="shared" si="112"/>
        <v>-0.10219734903233757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52493.855388991768</v>
      </c>
      <c r="AK224">
        <f t="shared" si="116"/>
        <v>1800</v>
      </c>
      <c r="AL224">
        <f t="shared" si="117"/>
        <v>1499.1099767999999</v>
      </c>
      <c r="AM224">
        <f t="shared" si="118"/>
        <v>0.83283887599999995</v>
      </c>
      <c r="AN224">
        <f t="shared" si="119"/>
        <v>0.15339794341000001</v>
      </c>
      <c r="AO224">
        <v>32.700000000000003</v>
      </c>
      <c r="AP224">
        <v>0.5</v>
      </c>
      <c r="AQ224" t="s">
        <v>331</v>
      </c>
      <c r="AR224">
        <v>2</v>
      </c>
      <c r="AS224">
        <v>1690303109.5999999</v>
      </c>
      <c r="AT224">
        <v>397.178</v>
      </c>
      <c r="AU224">
        <v>799.98900000000003</v>
      </c>
      <c r="AV224">
        <v>26.524999999999999</v>
      </c>
      <c r="AW224">
        <v>0.15412400000000001</v>
      </c>
      <c r="AX224">
        <v>397.209</v>
      </c>
      <c r="AY224">
        <v>26.243400000000001</v>
      </c>
      <c r="AZ224">
        <v>300.16699999999997</v>
      </c>
      <c r="BA224">
        <v>99.298299999999998</v>
      </c>
      <c r="BB224">
        <v>0.10003099999999999</v>
      </c>
      <c r="BC224">
        <v>26.818300000000001</v>
      </c>
      <c r="BD224">
        <v>26.990400000000001</v>
      </c>
      <c r="BE224">
        <v>28.1191</v>
      </c>
      <c r="BF224">
        <v>0</v>
      </c>
      <c r="BG224">
        <v>0</v>
      </c>
      <c r="BH224">
        <v>9991.25</v>
      </c>
      <c r="BI224">
        <v>1077.99</v>
      </c>
      <c r="BJ224">
        <v>1.68198</v>
      </c>
      <c r="BK224">
        <v>-402.81099999999998</v>
      </c>
      <c r="BL224">
        <v>408</v>
      </c>
      <c r="BM224">
        <v>800.11199999999997</v>
      </c>
      <c r="BN224">
        <v>26.370799999999999</v>
      </c>
      <c r="BO224">
        <v>799.98900000000003</v>
      </c>
      <c r="BP224">
        <v>0.15412400000000001</v>
      </c>
      <c r="BQ224">
        <v>2.63388</v>
      </c>
      <c r="BR224">
        <v>1.53042E-2</v>
      </c>
      <c r="BS224">
        <v>21.878299999999999</v>
      </c>
      <c r="BT224">
        <v>-41.970399999999998</v>
      </c>
      <c r="BU224">
        <v>1800</v>
      </c>
      <c r="BV224">
        <v>0.90998299999999999</v>
      </c>
      <c r="BW224">
        <v>3.4005500000000001E-2</v>
      </c>
      <c r="BX224">
        <v>2.2006299999999999E-2</v>
      </c>
      <c r="BY224">
        <v>3.4005100000000003E-2</v>
      </c>
      <c r="BZ224">
        <v>26</v>
      </c>
      <c r="CA224">
        <v>33528.199999999997</v>
      </c>
      <c r="CB224">
        <v>1690300477.5</v>
      </c>
      <c r="CC224" t="s">
        <v>332</v>
      </c>
      <c r="CD224">
        <v>1690300477.5</v>
      </c>
      <c r="CE224">
        <v>1690300465.5</v>
      </c>
      <c r="CF224">
        <v>7</v>
      </c>
      <c r="CG224">
        <v>5.0999999999999997E-2</v>
      </c>
      <c r="CH224">
        <v>-8.0000000000000002E-3</v>
      </c>
      <c r="CI224">
        <v>-0.316</v>
      </c>
      <c r="CJ224">
        <v>0.28199999999999997</v>
      </c>
      <c r="CK224">
        <v>800</v>
      </c>
      <c r="CL224">
        <v>24</v>
      </c>
      <c r="CM224">
        <v>0.25</v>
      </c>
      <c r="CN224">
        <v>0.13</v>
      </c>
      <c r="CO224">
        <v>-402.61275609756098</v>
      </c>
      <c r="CP224">
        <v>-1.143052264808091</v>
      </c>
      <c r="CQ224">
        <v>0.13693932793756311</v>
      </c>
      <c r="CR224">
        <v>-1</v>
      </c>
      <c r="CS224">
        <v>26.36392195121951</v>
      </c>
      <c r="CT224">
        <v>5.9295470383315618E-2</v>
      </c>
      <c r="CU224">
        <v>6.0571067791649631E-3</v>
      </c>
      <c r="CV224">
        <v>-1</v>
      </c>
      <c r="CW224">
        <v>0</v>
      </c>
      <c r="CX224">
        <v>0</v>
      </c>
      <c r="CY224" t="s">
        <v>333</v>
      </c>
      <c r="CZ224">
        <v>2.3647300000000002</v>
      </c>
      <c r="DA224">
        <v>2.7138100000000001</v>
      </c>
      <c r="DB224">
        <v>8.9215299999999997E-2</v>
      </c>
      <c r="DC224">
        <v>0.14632000000000001</v>
      </c>
      <c r="DD224">
        <v>0.122181</v>
      </c>
      <c r="DE224">
        <v>1.3010299999999999E-3</v>
      </c>
      <c r="DF224">
        <v>33269</v>
      </c>
      <c r="DG224">
        <v>27533.4</v>
      </c>
      <c r="DH224">
        <v>31183.599999999999</v>
      </c>
      <c r="DI224">
        <v>28104.1</v>
      </c>
      <c r="DJ224">
        <v>37156</v>
      </c>
      <c r="DK224">
        <v>39921.699999999997</v>
      </c>
      <c r="DL224">
        <v>44380.2</v>
      </c>
      <c r="DM224">
        <v>42598.9</v>
      </c>
      <c r="DN224">
        <v>1.48587</v>
      </c>
      <c r="DO224">
        <v>2.0320499999999999</v>
      </c>
      <c r="DP224">
        <v>8.4959000000000007E-2</v>
      </c>
      <c r="DQ224">
        <v>0.16374900000000001</v>
      </c>
      <c r="DR224">
        <v>25.599399999999999</v>
      </c>
      <c r="DS224">
        <v>25.440200000000001</v>
      </c>
      <c r="DT224">
        <v>21.2</v>
      </c>
      <c r="DU224">
        <v>29.3</v>
      </c>
      <c r="DV224">
        <v>8.7375100000000003</v>
      </c>
      <c r="DW224">
        <v>61.821100000000001</v>
      </c>
      <c r="DX224">
        <v>36.578499999999998</v>
      </c>
      <c r="DY224">
        <v>1</v>
      </c>
      <c r="DZ224">
        <v>-9.8185999999999996E-2</v>
      </c>
      <c r="EA224">
        <v>-0.12853200000000001</v>
      </c>
      <c r="EB224">
        <v>20.189599999999999</v>
      </c>
      <c r="EC224">
        <v>5.2406499999999996</v>
      </c>
      <c r="ED224">
        <v>12.039899999999999</v>
      </c>
      <c r="EE224">
        <v>5.01675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1.8692</v>
      </c>
      <c r="EN224">
        <v>1.8672299999999999</v>
      </c>
      <c r="EO224">
        <v>1.8633900000000001</v>
      </c>
      <c r="EP224">
        <v>1.8644700000000001</v>
      </c>
      <c r="EQ224">
        <v>1.8701399999999999</v>
      </c>
      <c r="ER224">
        <v>1.86941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-3.1E-2</v>
      </c>
      <c r="FG224">
        <v>0.28160000000000002</v>
      </c>
      <c r="FH224">
        <v>0.23539598422606861</v>
      </c>
      <c r="FI224">
        <v>-6.1462078757559423E-4</v>
      </c>
      <c r="FJ224">
        <v>-1.8861989874597051E-7</v>
      </c>
      <c r="FK224">
        <v>1.1980462299894961E-10</v>
      </c>
      <c r="FL224">
        <v>0.28151999999999688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43.9</v>
      </c>
      <c r="FU224">
        <v>44.1</v>
      </c>
      <c r="FV224">
        <v>1.7626999999999999</v>
      </c>
      <c r="FW224">
        <v>2.5939899999999998</v>
      </c>
      <c r="FX224">
        <v>1.5490699999999999</v>
      </c>
      <c r="FY224">
        <v>2.3315399999999999</v>
      </c>
      <c r="FZ224">
        <v>1.50146</v>
      </c>
      <c r="GA224">
        <v>2.323</v>
      </c>
      <c r="GB224">
        <v>33.6479</v>
      </c>
      <c r="GC224">
        <v>23.982399999999998</v>
      </c>
      <c r="GD224">
        <v>19</v>
      </c>
      <c r="GE224">
        <v>286.61700000000002</v>
      </c>
      <c r="GF224">
        <v>578.39800000000002</v>
      </c>
      <c r="GG224">
        <v>25.194400000000002</v>
      </c>
      <c r="GH224">
        <v>26.163399999999999</v>
      </c>
      <c r="GI224">
        <v>30.000399999999999</v>
      </c>
      <c r="GJ224">
        <v>26.259899999999998</v>
      </c>
      <c r="GK224">
        <v>26.231400000000001</v>
      </c>
      <c r="GL224">
        <v>35.244100000000003</v>
      </c>
      <c r="GM224">
        <v>100</v>
      </c>
      <c r="GN224">
        <v>0</v>
      </c>
      <c r="GO224">
        <v>25.207000000000001</v>
      </c>
      <c r="GP224">
        <v>800</v>
      </c>
      <c r="GQ224">
        <v>0</v>
      </c>
      <c r="GR224">
        <v>99.778199999999998</v>
      </c>
      <c r="GS224">
        <v>99.6511</v>
      </c>
    </row>
    <row r="225" spans="1:201" x14ac:dyDescent="0.25">
      <c r="A225">
        <v>209</v>
      </c>
      <c r="B225">
        <v>1690303119.5999999</v>
      </c>
      <c r="C225">
        <v>2215.599999904633</v>
      </c>
      <c r="D225" t="s">
        <v>749</v>
      </c>
      <c r="E225" t="s">
        <v>750</v>
      </c>
      <c r="F225" t="s">
        <v>330</v>
      </c>
      <c r="H225">
        <v>1690303119.5999999</v>
      </c>
      <c r="I225">
        <f t="shared" si="90"/>
        <v>2.4881168836429395E-3</v>
      </c>
      <c r="J225">
        <f t="shared" si="91"/>
        <v>2.4881168836429395</v>
      </c>
      <c r="K225">
        <f t="shared" si="92"/>
        <v>35.996390507763884</v>
      </c>
      <c r="L225">
        <f t="shared" si="93"/>
        <v>396.98899999999998</v>
      </c>
      <c r="M225">
        <f t="shared" si="94"/>
        <v>108.30818403228709</v>
      </c>
      <c r="N225">
        <f t="shared" si="95"/>
        <v>10.765558335867802</v>
      </c>
      <c r="O225">
        <f t="shared" si="96"/>
        <v>39.4596980494455</v>
      </c>
      <c r="P225">
        <f t="shared" si="97"/>
        <v>0.21265385362272665</v>
      </c>
      <c r="Q225">
        <f t="shared" si="98"/>
        <v>2.1175695940583878</v>
      </c>
      <c r="R225">
        <f t="shared" si="99"/>
        <v>0.20146213062722543</v>
      </c>
      <c r="S225">
        <f t="shared" si="100"/>
        <v>0.12687025846318842</v>
      </c>
      <c r="T225">
        <f t="shared" si="101"/>
        <v>276.11652321000003</v>
      </c>
      <c r="U225">
        <f t="shared" si="102"/>
        <v>28.140511460685062</v>
      </c>
      <c r="V225">
        <f t="shared" si="103"/>
        <v>28.140511460685062</v>
      </c>
      <c r="W225">
        <f t="shared" si="104"/>
        <v>3.8260357824293112</v>
      </c>
      <c r="X225">
        <f t="shared" si="105"/>
        <v>74.509167850682616</v>
      </c>
      <c r="Y225">
        <f t="shared" si="106"/>
        <v>2.6383664059842</v>
      </c>
      <c r="Z225">
        <f t="shared" si="107"/>
        <v>3.5409956681727031</v>
      </c>
      <c r="AA225">
        <f t="shared" si="108"/>
        <v>1.1876693764451112</v>
      </c>
      <c r="AB225">
        <f t="shared" si="109"/>
        <v>-109.72595456865363</v>
      </c>
      <c r="AC225">
        <f t="shared" si="110"/>
        <v>-151.02676315455466</v>
      </c>
      <c r="AD225">
        <f t="shared" si="111"/>
        <v>-15.465791534446886</v>
      </c>
      <c r="AE225">
        <f t="shared" si="112"/>
        <v>-0.10198604765517416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52559.875407892541</v>
      </c>
      <c r="AK225">
        <f t="shared" si="116"/>
        <v>1800</v>
      </c>
      <c r="AL225">
        <f t="shared" si="117"/>
        <v>1499.1109379999998</v>
      </c>
      <c r="AM225">
        <f t="shared" si="118"/>
        <v>0.83283940999999995</v>
      </c>
      <c r="AN225">
        <f t="shared" si="119"/>
        <v>0.15339806845000001</v>
      </c>
      <c r="AO225">
        <v>32.700000000000003</v>
      </c>
      <c r="AP225">
        <v>0.5</v>
      </c>
      <c r="AQ225" t="s">
        <v>331</v>
      </c>
      <c r="AR225">
        <v>2</v>
      </c>
      <c r="AS225">
        <v>1690303119.5999999</v>
      </c>
      <c r="AT225">
        <v>396.98899999999998</v>
      </c>
      <c r="AU225">
        <v>799.95500000000004</v>
      </c>
      <c r="AV225">
        <v>26.543600000000001</v>
      </c>
      <c r="AW225">
        <v>0.153557</v>
      </c>
      <c r="AX225">
        <v>397.02</v>
      </c>
      <c r="AY225">
        <v>26.2621</v>
      </c>
      <c r="AZ225">
        <v>300.12</v>
      </c>
      <c r="BA225">
        <v>99.297600000000003</v>
      </c>
      <c r="BB225">
        <v>9.9859500000000004E-2</v>
      </c>
      <c r="BC225">
        <v>26.817599999999999</v>
      </c>
      <c r="BD225">
        <v>26.999099999999999</v>
      </c>
      <c r="BE225">
        <v>28.1068</v>
      </c>
      <c r="BF225">
        <v>0</v>
      </c>
      <c r="BG225">
        <v>0</v>
      </c>
      <c r="BH225">
        <v>10004.4</v>
      </c>
      <c r="BI225">
        <v>1078.03</v>
      </c>
      <c r="BJ225">
        <v>1.68198</v>
      </c>
      <c r="BK225">
        <v>-402.96600000000001</v>
      </c>
      <c r="BL225">
        <v>407.81400000000002</v>
      </c>
      <c r="BM225">
        <v>800.07799999999997</v>
      </c>
      <c r="BN225">
        <v>26.3901</v>
      </c>
      <c r="BO225">
        <v>799.95500000000004</v>
      </c>
      <c r="BP225">
        <v>0.153557</v>
      </c>
      <c r="BQ225">
        <v>2.6357200000000001</v>
      </c>
      <c r="BR225">
        <v>1.5247800000000001E-2</v>
      </c>
      <c r="BS225">
        <v>21.889800000000001</v>
      </c>
      <c r="BT225">
        <v>-42.005099999999999</v>
      </c>
      <c r="BU225">
        <v>1800</v>
      </c>
      <c r="BV225">
        <v>0.90998299999999999</v>
      </c>
      <c r="BW225">
        <v>3.4005800000000003E-2</v>
      </c>
      <c r="BX225">
        <v>2.2006499999999998E-2</v>
      </c>
      <c r="BY225">
        <v>3.4005300000000002E-2</v>
      </c>
      <c r="BZ225">
        <v>26</v>
      </c>
      <c r="CA225">
        <v>33528.199999999997</v>
      </c>
      <c r="CB225">
        <v>1690300477.5</v>
      </c>
      <c r="CC225" t="s">
        <v>332</v>
      </c>
      <c r="CD225">
        <v>1690300477.5</v>
      </c>
      <c r="CE225">
        <v>1690300465.5</v>
      </c>
      <c r="CF225">
        <v>7</v>
      </c>
      <c r="CG225">
        <v>5.0999999999999997E-2</v>
      </c>
      <c r="CH225">
        <v>-8.0000000000000002E-3</v>
      </c>
      <c r="CI225">
        <v>-0.316</v>
      </c>
      <c r="CJ225">
        <v>0.28199999999999997</v>
      </c>
      <c r="CK225">
        <v>800</v>
      </c>
      <c r="CL225">
        <v>24</v>
      </c>
      <c r="CM225">
        <v>0.25</v>
      </c>
      <c r="CN225">
        <v>0.13</v>
      </c>
      <c r="CO225">
        <v>-402.83397500000001</v>
      </c>
      <c r="CP225">
        <v>-1.402165103188427</v>
      </c>
      <c r="CQ225">
        <v>0.1417749074237043</v>
      </c>
      <c r="CR225">
        <v>-1</v>
      </c>
      <c r="CS225">
        <v>26.374625000000002</v>
      </c>
      <c r="CT225">
        <v>6.6844277673462696E-2</v>
      </c>
      <c r="CU225">
        <v>6.9560315554201236E-3</v>
      </c>
      <c r="CV225">
        <v>-1</v>
      </c>
      <c r="CW225">
        <v>0</v>
      </c>
      <c r="CX225">
        <v>0</v>
      </c>
      <c r="CY225" t="s">
        <v>333</v>
      </c>
      <c r="CZ225">
        <v>2.36456</v>
      </c>
      <c r="DA225">
        <v>2.7136499999999999</v>
      </c>
      <c r="DB225">
        <v>8.9181899999999995E-2</v>
      </c>
      <c r="DC225">
        <v>0.146315</v>
      </c>
      <c r="DD225">
        <v>0.12224</v>
      </c>
      <c r="DE225">
        <v>1.29627E-3</v>
      </c>
      <c r="DF225">
        <v>33269.800000000003</v>
      </c>
      <c r="DG225">
        <v>27533.1</v>
      </c>
      <c r="DH225">
        <v>31183.200000000001</v>
      </c>
      <c r="DI225">
        <v>28103.7</v>
      </c>
      <c r="DJ225">
        <v>37153</v>
      </c>
      <c r="DK225">
        <v>39921.4</v>
      </c>
      <c r="DL225">
        <v>44379.6</v>
      </c>
      <c r="DM225">
        <v>42598.400000000001</v>
      </c>
      <c r="DN225">
        <v>1.48532</v>
      </c>
      <c r="DO225">
        <v>2.0322300000000002</v>
      </c>
      <c r="DP225">
        <v>8.5405999999999996E-2</v>
      </c>
      <c r="DQ225">
        <v>0.163078</v>
      </c>
      <c r="DR225">
        <v>25.6008</v>
      </c>
      <c r="DS225">
        <v>25.4389</v>
      </c>
      <c r="DT225">
        <v>21.2</v>
      </c>
      <c r="DU225">
        <v>29.3</v>
      </c>
      <c r="DV225">
        <v>8.73705</v>
      </c>
      <c r="DW225">
        <v>61.961100000000002</v>
      </c>
      <c r="DX225">
        <v>36.193899999999999</v>
      </c>
      <c r="DY225">
        <v>1</v>
      </c>
      <c r="DZ225">
        <v>-9.7832799999999998E-2</v>
      </c>
      <c r="EA225">
        <v>-0.14550099999999999</v>
      </c>
      <c r="EB225">
        <v>20.1891</v>
      </c>
      <c r="EC225">
        <v>5.2411000000000003</v>
      </c>
      <c r="ED225">
        <v>12.039899999999999</v>
      </c>
      <c r="EE225">
        <v>5.0168499999999998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1.8692</v>
      </c>
      <c r="EN225">
        <v>1.8672200000000001</v>
      </c>
      <c r="EO225">
        <v>1.8633599999999999</v>
      </c>
      <c r="EP225">
        <v>1.8644700000000001</v>
      </c>
      <c r="EQ225">
        <v>1.87016</v>
      </c>
      <c r="ER225">
        <v>1.86938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-3.1E-2</v>
      </c>
      <c r="FG225">
        <v>0.28149999999999997</v>
      </c>
      <c r="FH225">
        <v>0.23539598422606861</v>
      </c>
      <c r="FI225">
        <v>-6.1462078757559423E-4</v>
      </c>
      <c r="FJ225">
        <v>-1.8861989874597051E-7</v>
      </c>
      <c r="FK225">
        <v>1.1980462299894961E-10</v>
      </c>
      <c r="FL225">
        <v>0.28151999999999688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</v>
      </c>
      <c r="FU225">
        <v>44.2</v>
      </c>
      <c r="FV225">
        <v>1.7626999999999999</v>
      </c>
      <c r="FW225">
        <v>2.5939899999999998</v>
      </c>
      <c r="FX225">
        <v>1.5490699999999999</v>
      </c>
      <c r="FY225">
        <v>2.3315399999999999</v>
      </c>
      <c r="FZ225">
        <v>1.50146</v>
      </c>
      <c r="GA225">
        <v>2.32422</v>
      </c>
      <c r="GB225">
        <v>33.6479</v>
      </c>
      <c r="GC225">
        <v>23.973700000000001</v>
      </c>
      <c r="GD225">
        <v>19</v>
      </c>
      <c r="GE225">
        <v>286.38900000000001</v>
      </c>
      <c r="GF225">
        <v>578.56700000000001</v>
      </c>
      <c r="GG225">
        <v>25.213100000000001</v>
      </c>
      <c r="GH225">
        <v>26.165600000000001</v>
      </c>
      <c r="GI225">
        <v>30.0002</v>
      </c>
      <c r="GJ225">
        <v>26.261800000000001</v>
      </c>
      <c r="GK225">
        <v>26.233599999999999</v>
      </c>
      <c r="GL225">
        <v>35.246000000000002</v>
      </c>
      <c r="GM225">
        <v>100</v>
      </c>
      <c r="GN225">
        <v>0</v>
      </c>
      <c r="GO225">
        <v>25.217199999999998</v>
      </c>
      <c r="GP225">
        <v>800</v>
      </c>
      <c r="GQ225">
        <v>0</v>
      </c>
      <c r="GR225">
        <v>99.776799999999994</v>
      </c>
      <c r="GS225">
        <v>99.649699999999996</v>
      </c>
    </row>
    <row r="226" spans="1:201" x14ac:dyDescent="0.25">
      <c r="A226">
        <v>210</v>
      </c>
      <c r="B226">
        <v>1690303129.5999999</v>
      </c>
      <c r="C226">
        <v>2225.599999904633</v>
      </c>
      <c r="D226" t="s">
        <v>751</v>
      </c>
      <c r="E226" t="s">
        <v>752</v>
      </c>
      <c r="F226" t="s">
        <v>330</v>
      </c>
      <c r="H226">
        <v>1690303129.5999999</v>
      </c>
      <c r="I226">
        <f t="shared" si="90"/>
        <v>2.489084291940908E-3</v>
      </c>
      <c r="J226">
        <f t="shared" si="91"/>
        <v>2.489084291940908</v>
      </c>
      <c r="K226">
        <f t="shared" si="92"/>
        <v>36.022319290946392</v>
      </c>
      <c r="L226">
        <f t="shared" si="93"/>
        <v>396.79599999999999</v>
      </c>
      <c r="M226">
        <f t="shared" si="94"/>
        <v>107.88757958269846</v>
      </c>
      <c r="N226">
        <f t="shared" si="95"/>
        <v>10.724018829377872</v>
      </c>
      <c r="O226">
        <f t="shared" si="96"/>
        <v>39.441498195443991</v>
      </c>
      <c r="P226">
        <f t="shared" si="97"/>
        <v>0.21264879103693107</v>
      </c>
      <c r="Q226">
        <f t="shared" si="98"/>
        <v>2.1142136879243365</v>
      </c>
      <c r="R226">
        <f t="shared" si="99"/>
        <v>0.20144082746965841</v>
      </c>
      <c r="S226">
        <f t="shared" si="100"/>
        <v>0.1268582591783865</v>
      </c>
      <c r="T226">
        <f t="shared" si="101"/>
        <v>276.11636783400007</v>
      </c>
      <c r="U226">
        <f t="shared" si="102"/>
        <v>28.144573169870888</v>
      </c>
      <c r="V226">
        <f t="shared" si="103"/>
        <v>28.144573169870888</v>
      </c>
      <c r="W226">
        <f t="shared" si="104"/>
        <v>3.8269408729055754</v>
      </c>
      <c r="X226">
        <f t="shared" si="105"/>
        <v>74.506527383598154</v>
      </c>
      <c r="Y226">
        <f t="shared" si="106"/>
        <v>2.6386608407000995</v>
      </c>
      <c r="Z226">
        <f t="shared" si="107"/>
        <v>3.5415163387160811</v>
      </c>
      <c r="AA226">
        <f t="shared" si="108"/>
        <v>1.1882800322054758</v>
      </c>
      <c r="AB226">
        <f t="shared" si="109"/>
        <v>-109.76861727459405</v>
      </c>
      <c r="AC226">
        <f t="shared" si="110"/>
        <v>-150.96542317275402</v>
      </c>
      <c r="AD226">
        <f t="shared" si="111"/>
        <v>-15.48455642442941</v>
      </c>
      <c r="AE226">
        <f t="shared" si="112"/>
        <v>-0.10222903777739134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52412.460189182806</v>
      </c>
      <c r="AK226">
        <f t="shared" si="116"/>
        <v>1800</v>
      </c>
      <c r="AL226">
        <f t="shared" si="117"/>
        <v>1499.1102593999999</v>
      </c>
      <c r="AM226">
        <f t="shared" si="118"/>
        <v>0.83283903299999995</v>
      </c>
      <c r="AN226">
        <f t="shared" si="119"/>
        <v>0.15339798213000003</v>
      </c>
      <c r="AO226">
        <v>32.700000000000003</v>
      </c>
      <c r="AP226">
        <v>0.5</v>
      </c>
      <c r="AQ226" t="s">
        <v>331</v>
      </c>
      <c r="AR226">
        <v>2</v>
      </c>
      <c r="AS226">
        <v>1690303129.5999999</v>
      </c>
      <c r="AT226">
        <v>396.79599999999999</v>
      </c>
      <c r="AU226">
        <v>799.93600000000004</v>
      </c>
      <c r="AV226">
        <v>26.5459</v>
      </c>
      <c r="AW226">
        <v>0.152694</v>
      </c>
      <c r="AX226">
        <v>396.827</v>
      </c>
      <c r="AY226">
        <v>26.264399999999998</v>
      </c>
      <c r="AZ226">
        <v>300.2</v>
      </c>
      <c r="BA226">
        <v>99.299899999999994</v>
      </c>
      <c r="BB226">
        <v>0.100039</v>
      </c>
      <c r="BC226">
        <v>26.8201</v>
      </c>
      <c r="BD226">
        <v>26.982800000000001</v>
      </c>
      <c r="BE226">
        <v>28.097200000000001</v>
      </c>
      <c r="BF226">
        <v>0</v>
      </c>
      <c r="BG226">
        <v>0</v>
      </c>
      <c r="BH226">
        <v>9975</v>
      </c>
      <c r="BI226">
        <v>1077.99</v>
      </c>
      <c r="BJ226">
        <v>1.5754600000000001</v>
      </c>
      <c r="BK226">
        <v>-403.14</v>
      </c>
      <c r="BL226">
        <v>407.61700000000002</v>
      </c>
      <c r="BM226">
        <v>800.05799999999999</v>
      </c>
      <c r="BN226">
        <v>26.3932</v>
      </c>
      <c r="BO226">
        <v>799.93600000000004</v>
      </c>
      <c r="BP226">
        <v>0.152694</v>
      </c>
      <c r="BQ226">
        <v>2.6360100000000002</v>
      </c>
      <c r="BR226">
        <v>1.5162500000000001E-2</v>
      </c>
      <c r="BS226">
        <v>21.8916</v>
      </c>
      <c r="BT226">
        <v>-42.057699999999997</v>
      </c>
      <c r="BU226">
        <v>1800</v>
      </c>
      <c r="BV226">
        <v>0.90998299999999999</v>
      </c>
      <c r="BW226">
        <v>3.4005599999999997E-2</v>
      </c>
      <c r="BX226">
        <v>2.2006399999999999E-2</v>
      </c>
      <c r="BY226">
        <v>3.4005100000000003E-2</v>
      </c>
      <c r="BZ226">
        <v>26</v>
      </c>
      <c r="CA226">
        <v>33528.300000000003</v>
      </c>
      <c r="CB226">
        <v>1690300477.5</v>
      </c>
      <c r="CC226" t="s">
        <v>332</v>
      </c>
      <c r="CD226">
        <v>1690300477.5</v>
      </c>
      <c r="CE226">
        <v>1690300465.5</v>
      </c>
      <c r="CF226">
        <v>7</v>
      </c>
      <c r="CG226">
        <v>5.0999999999999997E-2</v>
      </c>
      <c r="CH226">
        <v>-8.0000000000000002E-3</v>
      </c>
      <c r="CI226">
        <v>-0.316</v>
      </c>
      <c r="CJ226">
        <v>0.28199999999999997</v>
      </c>
      <c r="CK226">
        <v>800</v>
      </c>
      <c r="CL226">
        <v>24</v>
      </c>
      <c r="CM226">
        <v>0.25</v>
      </c>
      <c r="CN226">
        <v>0.13</v>
      </c>
      <c r="CO226">
        <v>-403.0273414634147</v>
      </c>
      <c r="CP226">
        <v>-1.10797212543577</v>
      </c>
      <c r="CQ226">
        <v>0.13075980768253931</v>
      </c>
      <c r="CR226">
        <v>-1</v>
      </c>
      <c r="CS226">
        <v>26.38569268292683</v>
      </c>
      <c r="CT226">
        <v>8.3583972125474096E-2</v>
      </c>
      <c r="CU226">
        <v>8.7399388914506885E-3</v>
      </c>
      <c r="CV226">
        <v>-1</v>
      </c>
      <c r="CW226">
        <v>0</v>
      </c>
      <c r="CX226">
        <v>0</v>
      </c>
      <c r="CY226" t="s">
        <v>333</v>
      </c>
      <c r="CZ226">
        <v>2.3648099999999999</v>
      </c>
      <c r="DA226">
        <v>2.7138100000000001</v>
      </c>
      <c r="DB226">
        <v>8.9150400000000005E-2</v>
      </c>
      <c r="DC226">
        <v>0.146315</v>
      </c>
      <c r="DD226">
        <v>0.12225</v>
      </c>
      <c r="DE226">
        <v>1.28908E-3</v>
      </c>
      <c r="DF226">
        <v>33271.1</v>
      </c>
      <c r="DG226">
        <v>27533.3</v>
      </c>
      <c r="DH226">
        <v>31183.3</v>
      </c>
      <c r="DI226">
        <v>28103.8</v>
      </c>
      <c r="DJ226">
        <v>37152.6</v>
      </c>
      <c r="DK226">
        <v>39921.800000000003</v>
      </c>
      <c r="DL226">
        <v>44379.7</v>
      </c>
      <c r="DM226">
        <v>42598.5</v>
      </c>
      <c r="DN226">
        <v>1.4858199999999999</v>
      </c>
      <c r="DO226">
        <v>2.0324499999999999</v>
      </c>
      <c r="DP226">
        <v>8.4608799999999998E-2</v>
      </c>
      <c r="DQ226">
        <v>0.16266900000000001</v>
      </c>
      <c r="DR226">
        <v>25.5975</v>
      </c>
      <c r="DS226">
        <v>25.4359</v>
      </c>
      <c r="DT226">
        <v>21.2</v>
      </c>
      <c r="DU226">
        <v>29.3</v>
      </c>
      <c r="DV226">
        <v>8.7356999999999996</v>
      </c>
      <c r="DW226">
        <v>62.011099999999999</v>
      </c>
      <c r="DX226">
        <v>36.113799999999998</v>
      </c>
      <c r="DY226">
        <v>1</v>
      </c>
      <c r="DZ226">
        <v>-9.78633E-2</v>
      </c>
      <c r="EA226">
        <v>-0.14507400000000001</v>
      </c>
      <c r="EB226">
        <v>20.189399999999999</v>
      </c>
      <c r="EC226">
        <v>5.24125</v>
      </c>
      <c r="ED226">
        <v>12.039899999999999</v>
      </c>
      <c r="EE226">
        <v>5.0175000000000001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1.8689100000000001</v>
      </c>
      <c r="EL226">
        <v>1.8646199999999999</v>
      </c>
      <c r="EM226">
        <v>1.8692</v>
      </c>
      <c r="EN226">
        <v>1.8672299999999999</v>
      </c>
      <c r="EO226">
        <v>1.86337</v>
      </c>
      <c r="EP226">
        <v>1.8644700000000001</v>
      </c>
      <c r="EQ226">
        <v>1.87015</v>
      </c>
      <c r="ER226">
        <v>1.8693900000000001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-3.1E-2</v>
      </c>
      <c r="FG226">
        <v>0.28149999999999997</v>
      </c>
      <c r="FH226">
        <v>0.23539598422606861</v>
      </c>
      <c r="FI226">
        <v>-6.1462078757559423E-4</v>
      </c>
      <c r="FJ226">
        <v>-1.8861989874597051E-7</v>
      </c>
      <c r="FK226">
        <v>1.1980462299894961E-10</v>
      </c>
      <c r="FL226">
        <v>0.28151999999999688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44.2</v>
      </c>
      <c r="FU226">
        <v>44.4</v>
      </c>
      <c r="FV226">
        <v>1.7626999999999999</v>
      </c>
      <c r="FW226">
        <v>2.5915499999999998</v>
      </c>
      <c r="FX226">
        <v>1.5490699999999999</v>
      </c>
      <c r="FY226">
        <v>2.3315399999999999</v>
      </c>
      <c r="FZ226">
        <v>1.50146</v>
      </c>
      <c r="GA226">
        <v>2.2997999999999998</v>
      </c>
      <c r="GB226">
        <v>33.670499999999997</v>
      </c>
      <c r="GC226">
        <v>23.982399999999998</v>
      </c>
      <c r="GD226">
        <v>19</v>
      </c>
      <c r="GE226">
        <v>286.608</v>
      </c>
      <c r="GF226">
        <v>578.77499999999998</v>
      </c>
      <c r="GG226">
        <v>25.220800000000001</v>
      </c>
      <c r="GH226">
        <v>26.167300000000001</v>
      </c>
      <c r="GI226">
        <v>30.0001</v>
      </c>
      <c r="GJ226">
        <v>26.262899999999998</v>
      </c>
      <c r="GK226">
        <v>26.235800000000001</v>
      </c>
      <c r="GL226">
        <v>35.243899999999996</v>
      </c>
      <c r="GM226">
        <v>100</v>
      </c>
      <c r="GN226">
        <v>0</v>
      </c>
      <c r="GO226">
        <v>25.2241</v>
      </c>
      <c r="GP226">
        <v>800</v>
      </c>
      <c r="GQ226">
        <v>0</v>
      </c>
      <c r="GR226">
        <v>99.777100000000004</v>
      </c>
      <c r="GS226">
        <v>99.65</v>
      </c>
    </row>
    <row r="227" spans="1:201" x14ac:dyDescent="0.25">
      <c r="A227">
        <v>211</v>
      </c>
      <c r="B227">
        <v>1690303139.5999999</v>
      </c>
      <c r="C227">
        <v>2235.599999904633</v>
      </c>
      <c r="D227" t="s">
        <v>753</v>
      </c>
      <c r="E227" t="s">
        <v>754</v>
      </c>
      <c r="F227" t="s">
        <v>330</v>
      </c>
      <c r="H227">
        <v>1690303139.5999999</v>
      </c>
      <c r="I227">
        <f t="shared" si="90"/>
        <v>2.4902527332659073E-3</v>
      </c>
      <c r="J227">
        <f t="shared" si="91"/>
        <v>2.4902527332659075</v>
      </c>
      <c r="K227">
        <f t="shared" si="92"/>
        <v>36.048747353631313</v>
      </c>
      <c r="L227">
        <f t="shared" si="93"/>
        <v>396.53199999999998</v>
      </c>
      <c r="M227">
        <f t="shared" si="94"/>
        <v>108.04718493287507</v>
      </c>
      <c r="N227">
        <f t="shared" si="95"/>
        <v>10.73966695684371</v>
      </c>
      <c r="O227">
        <f t="shared" si="96"/>
        <v>39.414461564887993</v>
      </c>
      <c r="P227">
        <f t="shared" si="97"/>
        <v>0.21311893973523022</v>
      </c>
      <c r="Q227">
        <f t="shared" si="98"/>
        <v>2.1181474014528114</v>
      </c>
      <c r="R227">
        <f t="shared" si="99"/>
        <v>0.20188249102256814</v>
      </c>
      <c r="S227">
        <f t="shared" si="100"/>
        <v>0.12713671668407006</v>
      </c>
      <c r="T227">
        <f t="shared" si="101"/>
        <v>276.11616149999998</v>
      </c>
      <c r="U227">
        <f t="shared" si="102"/>
        <v>28.142428667378365</v>
      </c>
      <c r="V227">
        <f t="shared" si="103"/>
        <v>28.142428667378365</v>
      </c>
      <c r="W227">
        <f t="shared" si="104"/>
        <v>3.8264629796792593</v>
      </c>
      <c r="X227">
        <f t="shared" si="105"/>
        <v>74.549422676852245</v>
      </c>
      <c r="Y227">
        <f t="shared" si="106"/>
        <v>2.6402576218749996</v>
      </c>
      <c r="Z227">
        <f t="shared" si="107"/>
        <v>3.5416204808448577</v>
      </c>
      <c r="AA227">
        <f t="shared" si="108"/>
        <v>1.1862053578042597</v>
      </c>
      <c r="AB227">
        <f t="shared" si="109"/>
        <v>-109.82014553702651</v>
      </c>
      <c r="AC227">
        <f t="shared" si="110"/>
        <v>-150.94432481634556</v>
      </c>
      <c r="AD227">
        <f t="shared" si="111"/>
        <v>-15.453512102613798</v>
      </c>
      <c r="AE227">
        <f t="shared" si="112"/>
        <v>-0.10182095598588603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52584.698211233423</v>
      </c>
      <c r="AK227">
        <f t="shared" si="116"/>
        <v>1800</v>
      </c>
      <c r="AL227">
        <f t="shared" si="117"/>
        <v>1499.1097139999997</v>
      </c>
      <c r="AM227">
        <f t="shared" si="118"/>
        <v>0.83283872999999986</v>
      </c>
      <c r="AN227">
        <f t="shared" si="119"/>
        <v>0.15339786749999998</v>
      </c>
      <c r="AO227">
        <v>32.700000000000003</v>
      </c>
      <c r="AP227">
        <v>0.5</v>
      </c>
      <c r="AQ227" t="s">
        <v>331</v>
      </c>
      <c r="AR227">
        <v>2</v>
      </c>
      <c r="AS227">
        <v>1690303139.5999999</v>
      </c>
      <c r="AT227">
        <v>396.53199999999998</v>
      </c>
      <c r="AU227">
        <v>800.029</v>
      </c>
      <c r="AV227">
        <v>26.5625</v>
      </c>
      <c r="AW227">
        <v>0.15269199999999999</v>
      </c>
      <c r="AX227">
        <v>396.56200000000001</v>
      </c>
      <c r="AY227">
        <v>26.280999999999999</v>
      </c>
      <c r="AZ227">
        <v>300.14699999999999</v>
      </c>
      <c r="BA227">
        <v>99.297899999999998</v>
      </c>
      <c r="BB227">
        <v>0.100034</v>
      </c>
      <c r="BC227">
        <v>26.820599999999999</v>
      </c>
      <c r="BD227">
        <v>26.997800000000002</v>
      </c>
      <c r="BE227">
        <v>28.106999999999999</v>
      </c>
      <c r="BF227">
        <v>0</v>
      </c>
      <c r="BG227">
        <v>0</v>
      </c>
      <c r="BH227">
        <v>10009.4</v>
      </c>
      <c r="BI227">
        <v>1078.03</v>
      </c>
      <c r="BJ227">
        <v>1.6203099999999999</v>
      </c>
      <c r="BK227">
        <v>-403.49700000000001</v>
      </c>
      <c r="BL227">
        <v>407.35199999999998</v>
      </c>
      <c r="BM227">
        <v>800.15099999999995</v>
      </c>
      <c r="BN227">
        <v>26.409800000000001</v>
      </c>
      <c r="BO227">
        <v>800.029</v>
      </c>
      <c r="BP227">
        <v>0.15269199999999999</v>
      </c>
      <c r="BQ227">
        <v>2.6375999999999999</v>
      </c>
      <c r="BR227">
        <v>1.5162E-2</v>
      </c>
      <c r="BS227">
        <v>21.901399999999999</v>
      </c>
      <c r="BT227">
        <v>-42.058</v>
      </c>
      <c r="BU227">
        <v>1800</v>
      </c>
      <c r="BV227">
        <v>0.90998400000000002</v>
      </c>
      <c r="BW227">
        <v>3.4005000000000001E-2</v>
      </c>
      <c r="BX227">
        <v>2.2006000000000001E-2</v>
      </c>
      <c r="BY227">
        <v>3.4004600000000003E-2</v>
      </c>
      <c r="BZ227">
        <v>26</v>
      </c>
      <c r="CA227">
        <v>33528.199999999997</v>
      </c>
      <c r="CB227">
        <v>1690300477.5</v>
      </c>
      <c r="CC227" t="s">
        <v>332</v>
      </c>
      <c r="CD227">
        <v>1690300477.5</v>
      </c>
      <c r="CE227">
        <v>1690300465.5</v>
      </c>
      <c r="CF227">
        <v>7</v>
      </c>
      <c r="CG227">
        <v>5.0999999999999997E-2</v>
      </c>
      <c r="CH227">
        <v>-8.0000000000000002E-3</v>
      </c>
      <c r="CI227">
        <v>-0.316</v>
      </c>
      <c r="CJ227">
        <v>0.28199999999999997</v>
      </c>
      <c r="CK227">
        <v>800</v>
      </c>
      <c r="CL227">
        <v>24</v>
      </c>
      <c r="CM227">
        <v>0.25</v>
      </c>
      <c r="CN227">
        <v>0.13</v>
      </c>
      <c r="CO227">
        <v>-403.21192682926841</v>
      </c>
      <c r="CP227">
        <v>-1.280425087108805</v>
      </c>
      <c r="CQ227">
        <v>0.14389535327738789</v>
      </c>
      <c r="CR227">
        <v>-1</v>
      </c>
      <c r="CS227">
        <v>26.39574146341463</v>
      </c>
      <c r="CT227">
        <v>3.6955400696869117E-2</v>
      </c>
      <c r="CU227">
        <v>4.2601371562573731E-3</v>
      </c>
      <c r="CV227">
        <v>-1</v>
      </c>
      <c r="CW227">
        <v>0</v>
      </c>
      <c r="CX227">
        <v>0</v>
      </c>
      <c r="CY227" t="s">
        <v>333</v>
      </c>
      <c r="CZ227">
        <v>2.3646500000000001</v>
      </c>
      <c r="DA227">
        <v>2.7138300000000002</v>
      </c>
      <c r="DB227">
        <v>8.9102700000000007E-2</v>
      </c>
      <c r="DC227">
        <v>0.14632200000000001</v>
      </c>
      <c r="DD227">
        <v>0.12230000000000001</v>
      </c>
      <c r="DE227">
        <v>1.28903E-3</v>
      </c>
      <c r="DF227">
        <v>33272.6</v>
      </c>
      <c r="DG227">
        <v>27533.1</v>
      </c>
      <c r="DH227">
        <v>31183.1</v>
      </c>
      <c r="DI227">
        <v>28103.9</v>
      </c>
      <c r="DJ227">
        <v>37150.400000000001</v>
      </c>
      <c r="DK227">
        <v>39921.9</v>
      </c>
      <c r="DL227">
        <v>44379.6</v>
      </c>
      <c r="DM227">
        <v>42598.7</v>
      </c>
      <c r="DN227">
        <v>1.486</v>
      </c>
      <c r="DO227">
        <v>2.0322499999999999</v>
      </c>
      <c r="DP227">
        <v>8.5547600000000001E-2</v>
      </c>
      <c r="DQ227">
        <v>0.16339899999999999</v>
      </c>
      <c r="DR227">
        <v>25.597200000000001</v>
      </c>
      <c r="DS227">
        <v>25.433700000000002</v>
      </c>
      <c r="DT227">
        <v>21.1</v>
      </c>
      <c r="DU227">
        <v>29.3</v>
      </c>
      <c r="DV227">
        <v>8.6944999999999997</v>
      </c>
      <c r="DW227">
        <v>61.311100000000003</v>
      </c>
      <c r="DX227">
        <v>36.758800000000001</v>
      </c>
      <c r="DY227">
        <v>1</v>
      </c>
      <c r="DZ227">
        <v>-9.8000500000000004E-2</v>
      </c>
      <c r="EA227">
        <v>-0.107062</v>
      </c>
      <c r="EB227">
        <v>20.189399999999999</v>
      </c>
      <c r="EC227">
        <v>5.24125</v>
      </c>
      <c r="ED227">
        <v>12.039899999999999</v>
      </c>
      <c r="EE227">
        <v>5.0172999999999996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1.8689100000000001</v>
      </c>
      <c r="EL227">
        <v>1.8646199999999999</v>
      </c>
      <c r="EM227">
        <v>1.8692</v>
      </c>
      <c r="EN227">
        <v>1.86724</v>
      </c>
      <c r="EO227">
        <v>1.8633900000000001</v>
      </c>
      <c r="EP227">
        <v>1.8644700000000001</v>
      </c>
      <c r="EQ227">
        <v>1.8701700000000001</v>
      </c>
      <c r="ER227">
        <v>1.86941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-0.03</v>
      </c>
      <c r="FG227">
        <v>0.28149999999999997</v>
      </c>
      <c r="FH227">
        <v>0.23539598422606861</v>
      </c>
      <c r="FI227">
        <v>-6.1462078757559423E-4</v>
      </c>
      <c r="FJ227">
        <v>-1.8861989874597051E-7</v>
      </c>
      <c r="FK227">
        <v>1.1980462299894961E-10</v>
      </c>
      <c r="FL227">
        <v>0.28151999999999688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44.4</v>
      </c>
      <c r="FU227">
        <v>44.6</v>
      </c>
      <c r="FV227">
        <v>1.7626999999999999</v>
      </c>
      <c r="FW227">
        <v>2.5878899999999998</v>
      </c>
      <c r="FX227">
        <v>1.5490699999999999</v>
      </c>
      <c r="FY227">
        <v>2.3315399999999999</v>
      </c>
      <c r="FZ227">
        <v>1.50146</v>
      </c>
      <c r="GA227">
        <v>2.36694</v>
      </c>
      <c r="GB227">
        <v>33.670499999999997</v>
      </c>
      <c r="GC227">
        <v>23.991199999999999</v>
      </c>
      <c r="GD227">
        <v>19</v>
      </c>
      <c r="GE227">
        <v>286.69400000000002</v>
      </c>
      <c r="GF227">
        <v>578.63599999999997</v>
      </c>
      <c r="GG227">
        <v>25.234500000000001</v>
      </c>
      <c r="GH227">
        <v>26.1692</v>
      </c>
      <c r="GI227">
        <v>29.9999</v>
      </c>
      <c r="GJ227">
        <v>26.2651</v>
      </c>
      <c r="GK227">
        <v>26.238</v>
      </c>
      <c r="GL227">
        <v>35.242800000000003</v>
      </c>
      <c r="GM227">
        <v>100</v>
      </c>
      <c r="GN227">
        <v>0</v>
      </c>
      <c r="GO227">
        <v>25.22</v>
      </c>
      <c r="GP227">
        <v>800</v>
      </c>
      <c r="GQ227">
        <v>0</v>
      </c>
      <c r="GR227">
        <v>99.776799999999994</v>
      </c>
      <c r="GS227">
        <v>99.650400000000005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2023-07-25T16:39:15Z</dcterms:created>
  <dcterms:modified xsi:type="dcterms:W3CDTF">2023-07-25T18:40:32Z</dcterms:modified>
</cp:coreProperties>
</file>