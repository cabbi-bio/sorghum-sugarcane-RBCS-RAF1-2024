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33" i="1" l="1"/>
  <c r="AM233" i="1"/>
  <c r="AK233" i="1"/>
  <c r="AL233" i="1" s="1"/>
  <c r="AJ233" i="1"/>
  <c r="AH233" i="1"/>
  <c r="Z233" i="1"/>
  <c r="Y233" i="1"/>
  <c r="X233" i="1"/>
  <c r="Q233" i="1"/>
  <c r="AN232" i="1"/>
  <c r="AM232" i="1"/>
  <c r="AK232" i="1"/>
  <c r="AL232" i="1" s="1"/>
  <c r="AJ232" i="1"/>
  <c r="AH232" i="1"/>
  <c r="J232" i="1" s="1"/>
  <c r="I232" i="1" s="1"/>
  <c r="Z232" i="1"/>
  <c r="Y232" i="1"/>
  <c r="X232" i="1"/>
  <c r="Q232" i="1"/>
  <c r="O232" i="1"/>
  <c r="L232" i="1"/>
  <c r="K232" i="1"/>
  <c r="AN231" i="1"/>
  <c r="AM231" i="1"/>
  <c r="AL231" i="1"/>
  <c r="AK231" i="1"/>
  <c r="AJ231" i="1"/>
  <c r="AH231" i="1" s="1"/>
  <c r="Z231" i="1"/>
  <c r="Y231" i="1"/>
  <c r="X231" i="1" s="1"/>
  <c r="T231" i="1"/>
  <c r="Q231" i="1"/>
  <c r="AN230" i="1"/>
  <c r="AM230" i="1"/>
  <c r="AK230" i="1"/>
  <c r="AL230" i="1" s="1"/>
  <c r="AJ230" i="1"/>
  <c r="AH230" i="1" s="1"/>
  <c r="Z230" i="1"/>
  <c r="X230" i="1" s="1"/>
  <c r="Y230" i="1"/>
  <c r="Q230" i="1"/>
  <c r="AN229" i="1"/>
  <c r="AM229" i="1"/>
  <c r="AK229" i="1"/>
  <c r="AL229" i="1" s="1"/>
  <c r="AJ229" i="1"/>
  <c r="AH229" i="1"/>
  <c r="Z229" i="1"/>
  <c r="Y229" i="1"/>
  <c r="X229" i="1"/>
  <c r="Q229" i="1"/>
  <c r="AN228" i="1"/>
  <c r="AM228" i="1"/>
  <c r="AK228" i="1"/>
  <c r="AL228" i="1" s="1"/>
  <c r="AJ228" i="1"/>
  <c r="AI228" i="1"/>
  <c r="AH228" i="1"/>
  <c r="J228" i="1" s="1"/>
  <c r="I228" i="1" s="1"/>
  <c r="Z228" i="1"/>
  <c r="Y228" i="1"/>
  <c r="X228" i="1" s="1"/>
  <c r="Q228" i="1"/>
  <c r="O228" i="1"/>
  <c r="L228" i="1"/>
  <c r="K228" i="1"/>
  <c r="AN227" i="1"/>
  <c r="AM227" i="1"/>
  <c r="AL227" i="1"/>
  <c r="AK227" i="1"/>
  <c r="AJ227" i="1"/>
  <c r="AH227" i="1" s="1"/>
  <c r="Z227" i="1"/>
  <c r="Y227" i="1"/>
  <c r="X227" i="1" s="1"/>
  <c r="T227" i="1"/>
  <c r="Q227" i="1"/>
  <c r="AN226" i="1"/>
  <c r="AM226" i="1"/>
  <c r="AK226" i="1"/>
  <c r="AL226" i="1" s="1"/>
  <c r="AJ226" i="1"/>
  <c r="AH226" i="1" s="1"/>
  <c r="Z226" i="1"/>
  <c r="X226" i="1" s="1"/>
  <c r="Y226" i="1"/>
  <c r="Q226" i="1"/>
  <c r="J226" i="1"/>
  <c r="I226" i="1" s="1"/>
  <c r="AB226" i="1" s="1"/>
  <c r="AN225" i="1"/>
  <c r="AM225" i="1"/>
  <c r="AK225" i="1"/>
  <c r="AL225" i="1" s="1"/>
  <c r="AJ225" i="1"/>
  <c r="AH225" i="1"/>
  <c r="Z225" i="1"/>
  <c r="Y225" i="1"/>
  <c r="X225" i="1"/>
  <c r="Q225" i="1"/>
  <c r="AN224" i="1"/>
  <c r="AM224" i="1"/>
  <c r="AK224" i="1"/>
  <c r="AL224" i="1" s="1"/>
  <c r="AJ224" i="1"/>
  <c r="AI224" i="1"/>
  <c r="AH224" i="1"/>
  <c r="J224" i="1" s="1"/>
  <c r="I224" i="1" s="1"/>
  <c r="Z224" i="1"/>
  <c r="Y224" i="1"/>
  <c r="X224" i="1" s="1"/>
  <c r="Q224" i="1"/>
  <c r="O224" i="1"/>
  <c r="L224" i="1"/>
  <c r="K224" i="1"/>
  <c r="AN223" i="1"/>
  <c r="AM223" i="1"/>
  <c r="AL223" i="1"/>
  <c r="AK223" i="1"/>
  <c r="AJ223" i="1"/>
  <c r="AH223" i="1" s="1"/>
  <c r="Z223" i="1"/>
  <c r="Y223" i="1"/>
  <c r="X223" i="1" s="1"/>
  <c r="T223" i="1"/>
  <c r="Q223" i="1"/>
  <c r="AN222" i="1"/>
  <c r="AM222" i="1"/>
  <c r="AK222" i="1"/>
  <c r="AL222" i="1" s="1"/>
  <c r="AJ222" i="1"/>
  <c r="AH222" i="1" s="1"/>
  <c r="Z222" i="1"/>
  <c r="X222" i="1" s="1"/>
  <c r="Y222" i="1"/>
  <c r="Q222" i="1"/>
  <c r="J222" i="1"/>
  <c r="I222" i="1" s="1"/>
  <c r="AN221" i="1"/>
  <c r="AM221" i="1"/>
  <c r="AK221" i="1"/>
  <c r="AL221" i="1" s="1"/>
  <c r="AJ221" i="1"/>
  <c r="AH221" i="1"/>
  <c r="Z221" i="1"/>
  <c r="Y221" i="1"/>
  <c r="X221" i="1"/>
  <c r="Q221" i="1"/>
  <c r="AN220" i="1"/>
  <c r="AM220" i="1"/>
  <c r="AK220" i="1"/>
  <c r="AL220" i="1" s="1"/>
  <c r="AJ220" i="1"/>
  <c r="AI220" i="1"/>
  <c r="AH220" i="1"/>
  <c r="J220" i="1" s="1"/>
  <c r="I220" i="1" s="1"/>
  <c r="Z220" i="1"/>
  <c r="Y220" i="1"/>
  <c r="X220" i="1" s="1"/>
  <c r="Q220" i="1"/>
  <c r="O220" i="1"/>
  <c r="L220" i="1"/>
  <c r="K220" i="1"/>
  <c r="AN219" i="1"/>
  <c r="AM219" i="1"/>
  <c r="AL219" i="1"/>
  <c r="AK219" i="1"/>
  <c r="AJ219" i="1"/>
  <c r="AH219" i="1" s="1"/>
  <c r="Z219" i="1"/>
  <c r="Y219" i="1"/>
  <c r="X219" i="1" s="1"/>
  <c r="T219" i="1"/>
  <c r="Q219" i="1"/>
  <c r="AN218" i="1"/>
  <c r="AM218" i="1"/>
  <c r="AK218" i="1"/>
  <c r="AL218" i="1" s="1"/>
  <c r="AJ218" i="1"/>
  <c r="AH218" i="1" s="1"/>
  <c r="Z218" i="1"/>
  <c r="X218" i="1" s="1"/>
  <c r="Y218" i="1"/>
  <c r="Q218" i="1"/>
  <c r="AN217" i="1"/>
  <c r="AM217" i="1"/>
  <c r="AK217" i="1"/>
  <c r="AL217" i="1" s="1"/>
  <c r="AJ217" i="1"/>
  <c r="AH217" i="1"/>
  <c r="Z217" i="1"/>
  <c r="Y217" i="1"/>
  <c r="X217" i="1"/>
  <c r="Q217" i="1"/>
  <c r="AN216" i="1"/>
  <c r="AM216" i="1"/>
  <c r="AK216" i="1"/>
  <c r="AL216" i="1" s="1"/>
  <c r="AJ216" i="1"/>
  <c r="AI216" i="1"/>
  <c r="AH216" i="1"/>
  <c r="J216" i="1" s="1"/>
  <c r="I216" i="1" s="1"/>
  <c r="Z216" i="1"/>
  <c r="Y216" i="1"/>
  <c r="X216" i="1" s="1"/>
  <c r="Q216" i="1"/>
  <c r="O216" i="1"/>
  <c r="L216" i="1"/>
  <c r="K216" i="1"/>
  <c r="AN215" i="1"/>
  <c r="AM215" i="1"/>
  <c r="AL215" i="1"/>
  <c r="AK215" i="1"/>
  <c r="AJ215" i="1"/>
  <c r="AH215" i="1" s="1"/>
  <c r="AI215" i="1"/>
  <c r="Z215" i="1"/>
  <c r="Y215" i="1"/>
  <c r="X215" i="1" s="1"/>
  <c r="T215" i="1"/>
  <c r="Q215" i="1"/>
  <c r="L215" i="1"/>
  <c r="AN214" i="1"/>
  <c r="AM214" i="1"/>
  <c r="AK214" i="1"/>
  <c r="AL214" i="1" s="1"/>
  <c r="AJ214" i="1"/>
  <c r="AH214" i="1" s="1"/>
  <c r="Z214" i="1"/>
  <c r="Y214" i="1"/>
  <c r="Q214" i="1"/>
  <c r="AN213" i="1"/>
  <c r="AM213" i="1"/>
  <c r="AK213" i="1"/>
  <c r="AJ213" i="1"/>
  <c r="AH213" i="1"/>
  <c r="Z213" i="1"/>
  <c r="Y213" i="1"/>
  <c r="X213" i="1"/>
  <c r="Q213" i="1"/>
  <c r="AN212" i="1"/>
  <c r="AM212" i="1"/>
  <c r="AK212" i="1"/>
  <c r="AJ212" i="1"/>
  <c r="AI212" i="1"/>
  <c r="AH212" i="1"/>
  <c r="J212" i="1" s="1"/>
  <c r="I212" i="1" s="1"/>
  <c r="Z212" i="1"/>
  <c r="Y212" i="1"/>
  <c r="X212" i="1" s="1"/>
  <c r="Q212" i="1"/>
  <c r="O212" i="1"/>
  <c r="L212" i="1"/>
  <c r="K212" i="1"/>
  <c r="AN211" i="1"/>
  <c r="AM211" i="1"/>
  <c r="AK211" i="1"/>
  <c r="AL211" i="1" s="1"/>
  <c r="AJ211" i="1"/>
  <c r="AH211" i="1" s="1"/>
  <c r="AI211" i="1"/>
  <c r="Z211" i="1"/>
  <c r="Y211" i="1"/>
  <c r="X211" i="1" s="1"/>
  <c r="Q211" i="1"/>
  <c r="L211" i="1"/>
  <c r="K211" i="1"/>
  <c r="AN210" i="1"/>
  <c r="AM210" i="1"/>
  <c r="AK210" i="1"/>
  <c r="AL210" i="1" s="1"/>
  <c r="AJ210" i="1"/>
  <c r="AH210" i="1" s="1"/>
  <c r="AI210" i="1"/>
  <c r="Z210" i="1"/>
  <c r="Y210" i="1"/>
  <c r="Q210" i="1"/>
  <c r="O210" i="1"/>
  <c r="J210" i="1"/>
  <c r="I210" i="1"/>
  <c r="AN209" i="1"/>
  <c r="AM209" i="1"/>
  <c r="AK209" i="1"/>
  <c r="AL209" i="1" s="1"/>
  <c r="AJ209" i="1"/>
  <c r="AH209" i="1"/>
  <c r="Z209" i="1"/>
  <c r="Y209" i="1"/>
  <c r="X209" i="1"/>
  <c r="Q209" i="1"/>
  <c r="O209" i="1"/>
  <c r="K209" i="1"/>
  <c r="AN208" i="1"/>
  <c r="T208" i="1" s="1"/>
  <c r="AM208" i="1"/>
  <c r="AL208" i="1"/>
  <c r="AK208" i="1"/>
  <c r="AJ208" i="1"/>
  <c r="AI208" i="1"/>
  <c r="AH208" i="1"/>
  <c r="J208" i="1" s="1"/>
  <c r="AB208" i="1"/>
  <c r="Z208" i="1"/>
  <c r="Y208" i="1"/>
  <c r="X208" i="1" s="1"/>
  <c r="Q208" i="1"/>
  <c r="O208" i="1"/>
  <c r="L208" i="1"/>
  <c r="K208" i="1"/>
  <c r="I208" i="1"/>
  <c r="AN207" i="1"/>
  <c r="AM207" i="1"/>
  <c r="AL207" i="1"/>
  <c r="AK207" i="1"/>
  <c r="AJ207" i="1"/>
  <c r="AH207" i="1" s="1"/>
  <c r="AI207" i="1" s="1"/>
  <c r="Z207" i="1"/>
  <c r="Y207" i="1"/>
  <c r="X207" i="1" s="1"/>
  <c r="T207" i="1"/>
  <c r="Q207" i="1"/>
  <c r="O207" i="1"/>
  <c r="J207" i="1"/>
  <c r="I207" i="1" s="1"/>
  <c r="AN206" i="1"/>
  <c r="AM206" i="1"/>
  <c r="AK206" i="1"/>
  <c r="T206" i="1" s="1"/>
  <c r="AJ206" i="1"/>
  <c r="AH206" i="1"/>
  <c r="Z206" i="1"/>
  <c r="Y206" i="1"/>
  <c r="X206" i="1" s="1"/>
  <c r="Q206" i="1"/>
  <c r="L206" i="1"/>
  <c r="AN205" i="1"/>
  <c r="T205" i="1" s="1"/>
  <c r="AM205" i="1"/>
  <c r="AK205" i="1"/>
  <c r="AJ205" i="1"/>
  <c r="AH205" i="1" s="1"/>
  <c r="AI205" i="1" s="1"/>
  <c r="Z205" i="1"/>
  <c r="Y205" i="1"/>
  <c r="X205" i="1" s="1"/>
  <c r="Q205" i="1"/>
  <c r="J205" i="1"/>
  <c r="I205" i="1" s="1"/>
  <c r="AN204" i="1"/>
  <c r="AM204" i="1"/>
  <c r="AK204" i="1"/>
  <c r="AL204" i="1" s="1"/>
  <c r="AJ204" i="1"/>
  <c r="AH204" i="1"/>
  <c r="Z204" i="1"/>
  <c r="Y204" i="1"/>
  <c r="X204" i="1"/>
  <c r="Q204" i="1"/>
  <c r="O204" i="1"/>
  <c r="AN203" i="1"/>
  <c r="AM203" i="1"/>
  <c r="AK203" i="1"/>
  <c r="AL203" i="1" s="1"/>
  <c r="AJ203" i="1"/>
  <c r="AI203" i="1"/>
  <c r="AH203" i="1"/>
  <c r="L203" i="1" s="1"/>
  <c r="Z203" i="1"/>
  <c r="Y203" i="1"/>
  <c r="X203" i="1" s="1"/>
  <c r="Q203" i="1"/>
  <c r="O203" i="1"/>
  <c r="K203" i="1"/>
  <c r="AN202" i="1"/>
  <c r="AM202" i="1"/>
  <c r="AL202" i="1"/>
  <c r="AK202" i="1"/>
  <c r="AJ202" i="1"/>
  <c r="AH202" i="1" s="1"/>
  <c r="Z202" i="1"/>
  <c r="Y202" i="1"/>
  <c r="X202" i="1" s="1"/>
  <c r="T202" i="1"/>
  <c r="Q202" i="1"/>
  <c r="L202" i="1"/>
  <c r="K202" i="1"/>
  <c r="AN201" i="1"/>
  <c r="AM201" i="1"/>
  <c r="AK201" i="1"/>
  <c r="AL201" i="1" s="1"/>
  <c r="AJ201" i="1"/>
  <c r="AH201" i="1" s="1"/>
  <c r="Z201" i="1"/>
  <c r="Y201" i="1"/>
  <c r="X201" i="1" s="1"/>
  <c r="Q201" i="1"/>
  <c r="AN200" i="1"/>
  <c r="AM200" i="1"/>
  <c r="AK200" i="1"/>
  <c r="AL200" i="1" s="1"/>
  <c r="AJ200" i="1"/>
  <c r="AH200" i="1"/>
  <c r="Z200" i="1"/>
  <c r="Y200" i="1"/>
  <c r="X200" i="1"/>
  <c r="Q200" i="1"/>
  <c r="O200" i="1"/>
  <c r="AN199" i="1"/>
  <c r="AM199" i="1"/>
  <c r="AK199" i="1"/>
  <c r="AL199" i="1" s="1"/>
  <c r="AJ199" i="1"/>
  <c r="AI199" i="1"/>
  <c r="AH199" i="1"/>
  <c r="L199" i="1" s="1"/>
  <c r="Z199" i="1"/>
  <c r="Y199" i="1"/>
  <c r="X199" i="1" s="1"/>
  <c r="Q199" i="1"/>
  <c r="O199" i="1"/>
  <c r="K199" i="1"/>
  <c r="AN198" i="1"/>
  <c r="AM198" i="1"/>
  <c r="AL198" i="1"/>
  <c r="AK198" i="1"/>
  <c r="AJ198" i="1"/>
  <c r="AH198" i="1" s="1"/>
  <c r="Z198" i="1"/>
  <c r="Y198" i="1"/>
  <c r="X198" i="1" s="1"/>
  <c r="T198" i="1"/>
  <c r="Q198" i="1"/>
  <c r="L198" i="1"/>
  <c r="K198" i="1"/>
  <c r="AN197" i="1"/>
  <c r="AM197" i="1"/>
  <c r="AK197" i="1"/>
  <c r="AL197" i="1" s="1"/>
  <c r="AJ197" i="1"/>
  <c r="AH197" i="1" s="1"/>
  <c r="AI197" i="1"/>
  <c r="Z197" i="1"/>
  <c r="Y197" i="1"/>
  <c r="Q197" i="1"/>
  <c r="AN196" i="1"/>
  <c r="AM196" i="1"/>
  <c r="AK196" i="1"/>
  <c r="AL196" i="1" s="1"/>
  <c r="AJ196" i="1"/>
  <c r="AH196" i="1"/>
  <c r="Z196" i="1"/>
  <c r="Y196" i="1"/>
  <c r="X196" i="1"/>
  <c r="Q196" i="1"/>
  <c r="O196" i="1"/>
  <c r="AN195" i="1"/>
  <c r="AM195" i="1"/>
  <c r="AK195" i="1"/>
  <c r="AJ195" i="1"/>
  <c r="AI195" i="1"/>
  <c r="AH195" i="1"/>
  <c r="L195" i="1" s="1"/>
  <c r="Z195" i="1"/>
  <c r="Y195" i="1"/>
  <c r="X195" i="1" s="1"/>
  <c r="Q195" i="1"/>
  <c r="O195" i="1"/>
  <c r="K195" i="1"/>
  <c r="AN194" i="1"/>
  <c r="AM194" i="1"/>
  <c r="AK194" i="1"/>
  <c r="AL194" i="1" s="1"/>
  <c r="AJ194" i="1"/>
  <c r="AH194" i="1" s="1"/>
  <c r="AI194" i="1"/>
  <c r="Z194" i="1"/>
  <c r="Y194" i="1"/>
  <c r="X194" i="1" s="1"/>
  <c r="Q194" i="1"/>
  <c r="L194" i="1"/>
  <c r="K194" i="1"/>
  <c r="AN193" i="1"/>
  <c r="AM193" i="1"/>
  <c r="AK193" i="1"/>
  <c r="AL193" i="1" s="1"/>
  <c r="AJ193" i="1"/>
  <c r="AH193" i="1" s="1"/>
  <c r="AI193" i="1"/>
  <c r="Z193" i="1"/>
  <c r="Y193" i="1"/>
  <c r="Q193" i="1"/>
  <c r="O193" i="1"/>
  <c r="J193" i="1"/>
  <c r="I193" i="1"/>
  <c r="AN192" i="1"/>
  <c r="AM192" i="1"/>
  <c r="AK192" i="1"/>
  <c r="AJ192" i="1"/>
  <c r="AH192" i="1"/>
  <c r="Z192" i="1"/>
  <c r="Y192" i="1"/>
  <c r="X192" i="1"/>
  <c r="Q192" i="1"/>
  <c r="O192" i="1"/>
  <c r="AN191" i="1"/>
  <c r="AM191" i="1"/>
  <c r="AK191" i="1"/>
  <c r="AJ191" i="1"/>
  <c r="AI191" i="1"/>
  <c r="AH191" i="1"/>
  <c r="L191" i="1" s="1"/>
  <c r="Z191" i="1"/>
  <c r="Y191" i="1"/>
  <c r="X191" i="1" s="1"/>
  <c r="Q191" i="1"/>
  <c r="O191" i="1"/>
  <c r="K191" i="1"/>
  <c r="AN190" i="1"/>
  <c r="AM190" i="1"/>
  <c r="AK190" i="1"/>
  <c r="AL190" i="1" s="1"/>
  <c r="AJ190" i="1"/>
  <c r="AH190" i="1" s="1"/>
  <c r="AI190" i="1" s="1"/>
  <c r="Z190" i="1"/>
  <c r="Y190" i="1"/>
  <c r="X190" i="1" s="1"/>
  <c r="Q190" i="1"/>
  <c r="AN189" i="1"/>
  <c r="AM189" i="1"/>
  <c r="AK189" i="1"/>
  <c r="AL189" i="1" s="1"/>
  <c r="AJ189" i="1"/>
  <c r="AH189" i="1" s="1"/>
  <c r="AI189" i="1"/>
  <c r="Z189" i="1"/>
  <c r="Y189" i="1"/>
  <c r="Q189" i="1"/>
  <c r="O189" i="1"/>
  <c r="AN188" i="1"/>
  <c r="AM188" i="1"/>
  <c r="AK188" i="1"/>
  <c r="AJ188" i="1"/>
  <c r="AH188" i="1"/>
  <c r="Z188" i="1"/>
  <c r="Y188" i="1"/>
  <c r="X188" i="1"/>
  <c r="Q188" i="1"/>
  <c r="AN187" i="1"/>
  <c r="AM187" i="1"/>
  <c r="AK187" i="1"/>
  <c r="AJ187" i="1"/>
  <c r="AI187" i="1"/>
  <c r="AH187" i="1"/>
  <c r="L187" i="1" s="1"/>
  <c r="Z187" i="1"/>
  <c r="Y187" i="1"/>
  <c r="X187" i="1" s="1"/>
  <c r="Q187" i="1"/>
  <c r="O187" i="1"/>
  <c r="K187" i="1"/>
  <c r="AN186" i="1"/>
  <c r="AM186" i="1"/>
  <c r="AL186" i="1"/>
  <c r="AK186" i="1"/>
  <c r="T186" i="1" s="1"/>
  <c r="AJ186" i="1"/>
  <c r="AH186" i="1" s="1"/>
  <c r="J186" i="1" s="1"/>
  <c r="I186" i="1" s="1"/>
  <c r="Z186" i="1"/>
  <c r="Y186" i="1"/>
  <c r="X186" i="1" s="1"/>
  <c r="Q186" i="1"/>
  <c r="O186" i="1"/>
  <c r="L186" i="1"/>
  <c r="K186" i="1"/>
  <c r="AN185" i="1"/>
  <c r="AM185" i="1"/>
  <c r="AK185" i="1"/>
  <c r="AJ185" i="1"/>
  <c r="AH185" i="1" s="1"/>
  <c r="L185" i="1" s="1"/>
  <c r="AI185" i="1"/>
  <c r="Z185" i="1"/>
  <c r="Y185" i="1"/>
  <c r="X185" i="1" s="1"/>
  <c r="Q185" i="1"/>
  <c r="AN184" i="1"/>
  <c r="AM184" i="1"/>
  <c r="AK184" i="1"/>
  <c r="AJ184" i="1"/>
  <c r="AH184" i="1"/>
  <c r="L184" i="1" s="1"/>
  <c r="Z184" i="1"/>
  <c r="Y184" i="1"/>
  <c r="Q184" i="1"/>
  <c r="O184" i="1"/>
  <c r="J184" i="1"/>
  <c r="I184" i="1"/>
  <c r="AB184" i="1" s="1"/>
  <c r="AN183" i="1"/>
  <c r="AM183" i="1"/>
  <c r="AK183" i="1"/>
  <c r="AJ183" i="1"/>
  <c r="AH183" i="1"/>
  <c r="J183" i="1" s="1"/>
  <c r="Z183" i="1"/>
  <c r="Y183" i="1"/>
  <c r="X183" i="1"/>
  <c r="T183" i="1"/>
  <c r="Q183" i="1"/>
  <c r="O183" i="1"/>
  <c r="L183" i="1"/>
  <c r="K183" i="1"/>
  <c r="I183" i="1"/>
  <c r="AN182" i="1"/>
  <c r="AM182" i="1"/>
  <c r="AK182" i="1"/>
  <c r="AL182" i="1" s="1"/>
  <c r="AJ182" i="1"/>
  <c r="AH182" i="1" s="1"/>
  <c r="J182" i="1" s="1"/>
  <c r="I182" i="1" s="1"/>
  <c r="AI182" i="1"/>
  <c r="Z182" i="1"/>
  <c r="Y182" i="1"/>
  <c r="X182" i="1" s="1"/>
  <c r="U182" i="1"/>
  <c r="V182" i="1" s="1"/>
  <c r="T182" i="1"/>
  <c r="Q182" i="1"/>
  <c r="O182" i="1"/>
  <c r="L182" i="1"/>
  <c r="K182" i="1"/>
  <c r="AN181" i="1"/>
  <c r="AM181" i="1"/>
  <c r="AK181" i="1"/>
  <c r="AJ181" i="1"/>
  <c r="AH181" i="1" s="1"/>
  <c r="Z181" i="1"/>
  <c r="Y181" i="1"/>
  <c r="Q181" i="1"/>
  <c r="K181" i="1"/>
  <c r="J181" i="1"/>
  <c r="I181" i="1" s="1"/>
  <c r="AB181" i="1" s="1"/>
  <c r="AN180" i="1"/>
  <c r="AM180" i="1"/>
  <c r="AK180" i="1"/>
  <c r="AL180" i="1" s="1"/>
  <c r="AJ180" i="1"/>
  <c r="AH180" i="1"/>
  <c r="Z180" i="1"/>
  <c r="Y180" i="1"/>
  <c r="X180" i="1"/>
  <c r="Q180" i="1"/>
  <c r="AN179" i="1"/>
  <c r="AM179" i="1"/>
  <c r="AK179" i="1"/>
  <c r="AL179" i="1" s="1"/>
  <c r="AJ179" i="1"/>
  <c r="AH179" i="1"/>
  <c r="L179" i="1" s="1"/>
  <c r="Z179" i="1"/>
  <c r="Y179" i="1"/>
  <c r="X179" i="1"/>
  <c r="Q179" i="1"/>
  <c r="O179" i="1"/>
  <c r="AN178" i="1"/>
  <c r="AM178" i="1"/>
  <c r="AL178" i="1"/>
  <c r="AK178" i="1"/>
  <c r="AJ178" i="1"/>
  <c r="AH178" i="1"/>
  <c r="J178" i="1" s="1"/>
  <c r="I178" i="1" s="1"/>
  <c r="AB178" i="1" s="1"/>
  <c r="Z178" i="1"/>
  <c r="Y178" i="1"/>
  <c r="X178" i="1"/>
  <c r="T178" i="1"/>
  <c r="Q178" i="1"/>
  <c r="O178" i="1"/>
  <c r="L178" i="1"/>
  <c r="K178" i="1"/>
  <c r="AN177" i="1"/>
  <c r="AM177" i="1"/>
  <c r="AK177" i="1"/>
  <c r="AJ177" i="1"/>
  <c r="AH177" i="1" s="1"/>
  <c r="Z177" i="1"/>
  <c r="Y177" i="1"/>
  <c r="X177" i="1" s="1"/>
  <c r="Q177" i="1"/>
  <c r="J177" i="1"/>
  <c r="I177" i="1" s="1"/>
  <c r="AB177" i="1" s="1"/>
  <c r="AN176" i="1"/>
  <c r="AM176" i="1"/>
  <c r="AK176" i="1"/>
  <c r="AL176" i="1" s="1"/>
  <c r="AJ176" i="1"/>
  <c r="AI176" i="1"/>
  <c r="AH176" i="1"/>
  <c r="Z176" i="1"/>
  <c r="Y176" i="1"/>
  <c r="X176" i="1" s="1"/>
  <c r="Q176" i="1"/>
  <c r="O176" i="1"/>
  <c r="AN175" i="1"/>
  <c r="AM175" i="1"/>
  <c r="AK175" i="1"/>
  <c r="AJ175" i="1"/>
  <c r="AH175" i="1"/>
  <c r="L175" i="1" s="1"/>
  <c r="Z175" i="1"/>
  <c r="Y175" i="1"/>
  <c r="X175" i="1"/>
  <c r="Q175" i="1"/>
  <c r="O175" i="1"/>
  <c r="AN174" i="1"/>
  <c r="AM174" i="1"/>
  <c r="AK174" i="1"/>
  <c r="AL174" i="1" s="1"/>
  <c r="AJ174" i="1"/>
  <c r="AH174" i="1"/>
  <c r="J174" i="1" s="1"/>
  <c r="I174" i="1" s="1"/>
  <c r="AB174" i="1"/>
  <c r="Z174" i="1"/>
  <c r="Y174" i="1"/>
  <c r="X174" i="1"/>
  <c r="V174" i="1"/>
  <c r="T174" i="1"/>
  <c r="U174" i="1" s="1"/>
  <c r="Q174" i="1"/>
  <c r="O174" i="1"/>
  <c r="L174" i="1"/>
  <c r="K174" i="1"/>
  <c r="AN173" i="1"/>
  <c r="AM173" i="1"/>
  <c r="AK173" i="1"/>
  <c r="AL173" i="1" s="1"/>
  <c r="AJ173" i="1"/>
  <c r="AH173" i="1" s="1"/>
  <c r="O173" i="1" s="1"/>
  <c r="Z173" i="1"/>
  <c r="Y173" i="1"/>
  <c r="T173" i="1"/>
  <c r="Q173" i="1"/>
  <c r="AN172" i="1"/>
  <c r="AM172" i="1"/>
  <c r="AK172" i="1"/>
  <c r="AJ172" i="1"/>
  <c r="AH172" i="1" s="1"/>
  <c r="Z172" i="1"/>
  <c r="Y172" i="1"/>
  <c r="X172" i="1"/>
  <c r="Q172" i="1"/>
  <c r="K172" i="1"/>
  <c r="J172" i="1"/>
  <c r="I172" i="1" s="1"/>
  <c r="AN171" i="1"/>
  <c r="AM171" i="1"/>
  <c r="AK171" i="1"/>
  <c r="AL171" i="1" s="1"/>
  <c r="AJ171" i="1"/>
  <c r="AH171" i="1"/>
  <c r="Z171" i="1"/>
  <c r="Y171" i="1"/>
  <c r="X171" i="1" s="1"/>
  <c r="Q171" i="1"/>
  <c r="AN170" i="1"/>
  <c r="AM170" i="1"/>
  <c r="AK170" i="1"/>
  <c r="T170" i="1" s="1"/>
  <c r="AJ170" i="1"/>
  <c r="AH170" i="1"/>
  <c r="Z170" i="1"/>
  <c r="Y170" i="1"/>
  <c r="X170" i="1"/>
  <c r="Q170" i="1"/>
  <c r="O170" i="1"/>
  <c r="L170" i="1"/>
  <c r="K170" i="1"/>
  <c r="AN169" i="1"/>
  <c r="AM169" i="1"/>
  <c r="AL169" i="1" s="1"/>
  <c r="AK169" i="1"/>
  <c r="AJ169" i="1"/>
  <c r="AH169" i="1" s="1"/>
  <c r="O169" i="1" s="1"/>
  <c r="Z169" i="1"/>
  <c r="Y169" i="1"/>
  <c r="T169" i="1"/>
  <c r="Q169" i="1"/>
  <c r="K169" i="1"/>
  <c r="AN168" i="1"/>
  <c r="AM168" i="1"/>
  <c r="AL168" i="1"/>
  <c r="AK168" i="1"/>
  <c r="AJ168" i="1"/>
  <c r="AH168" i="1"/>
  <c r="Z168" i="1"/>
  <c r="Y168" i="1"/>
  <c r="X168" i="1"/>
  <c r="T168" i="1"/>
  <c r="Q168" i="1"/>
  <c r="AN167" i="1"/>
  <c r="AM167" i="1"/>
  <c r="AK167" i="1"/>
  <c r="AJ167" i="1"/>
  <c r="AI167" i="1"/>
  <c r="AH167" i="1"/>
  <c r="Z167" i="1"/>
  <c r="Y167" i="1"/>
  <c r="X167" i="1" s="1"/>
  <c r="Q167" i="1"/>
  <c r="J167" i="1"/>
  <c r="I167" i="1" s="1"/>
  <c r="AN166" i="1"/>
  <c r="T166" i="1" s="1"/>
  <c r="AM166" i="1"/>
  <c r="AL166" i="1"/>
  <c r="AK166" i="1"/>
  <c r="AJ166" i="1"/>
  <c r="AH166" i="1"/>
  <c r="Z166" i="1"/>
  <c r="Y166" i="1"/>
  <c r="X166" i="1"/>
  <c r="Q166" i="1"/>
  <c r="O166" i="1"/>
  <c r="AN165" i="1"/>
  <c r="AM165" i="1"/>
  <c r="AK165" i="1"/>
  <c r="T165" i="1" s="1"/>
  <c r="AJ165" i="1"/>
  <c r="AH165" i="1" s="1"/>
  <c r="Z165" i="1"/>
  <c r="Y165" i="1"/>
  <c r="Q165" i="1"/>
  <c r="AN164" i="1"/>
  <c r="AM164" i="1"/>
  <c r="AL164" i="1" s="1"/>
  <c r="AK164" i="1"/>
  <c r="AJ164" i="1"/>
  <c r="AH164" i="1" s="1"/>
  <c r="L164" i="1" s="1"/>
  <c r="Z164" i="1"/>
  <c r="Y164" i="1"/>
  <c r="X164" i="1" s="1"/>
  <c r="T164" i="1"/>
  <c r="Q164" i="1"/>
  <c r="K164" i="1"/>
  <c r="AN163" i="1"/>
  <c r="AM163" i="1"/>
  <c r="AK163" i="1"/>
  <c r="AJ163" i="1"/>
  <c r="AH163" i="1" s="1"/>
  <c r="AI163" i="1" s="1"/>
  <c r="Z163" i="1"/>
  <c r="Y163" i="1"/>
  <c r="X163" i="1" s="1"/>
  <c r="Q163" i="1"/>
  <c r="K163" i="1"/>
  <c r="AN162" i="1"/>
  <c r="AM162" i="1"/>
  <c r="AL162" i="1"/>
  <c r="AK162" i="1"/>
  <c r="AJ162" i="1"/>
  <c r="AI162" i="1"/>
  <c r="AH162" i="1"/>
  <c r="Z162" i="1"/>
  <c r="Y162" i="1"/>
  <c r="X162" i="1" s="1"/>
  <c r="T162" i="1"/>
  <c r="Q162" i="1"/>
  <c r="O162" i="1"/>
  <c r="AN161" i="1"/>
  <c r="AM161" i="1"/>
  <c r="AK161" i="1"/>
  <c r="AL161" i="1" s="1"/>
  <c r="AJ161" i="1"/>
  <c r="AH161" i="1" s="1"/>
  <c r="J161" i="1" s="1"/>
  <c r="I161" i="1" s="1"/>
  <c r="Z161" i="1"/>
  <c r="Y161" i="1"/>
  <c r="X161" i="1" s="1"/>
  <c r="Q161" i="1"/>
  <c r="O161" i="1"/>
  <c r="AN160" i="1"/>
  <c r="AM160" i="1"/>
  <c r="AL160" i="1"/>
  <c r="AK160" i="1"/>
  <c r="AJ160" i="1"/>
  <c r="AH160" i="1"/>
  <c r="Z160" i="1"/>
  <c r="Y160" i="1"/>
  <c r="X160" i="1"/>
  <c r="T160" i="1"/>
  <c r="Q160" i="1"/>
  <c r="L160" i="1"/>
  <c r="AN159" i="1"/>
  <c r="AM159" i="1"/>
  <c r="AK159" i="1"/>
  <c r="AJ159" i="1"/>
  <c r="AH159" i="1" s="1"/>
  <c r="AI159" i="1"/>
  <c r="Z159" i="1"/>
  <c r="Y159" i="1"/>
  <c r="X159" i="1" s="1"/>
  <c r="Q159" i="1"/>
  <c r="K159" i="1"/>
  <c r="AN158" i="1"/>
  <c r="AM158" i="1"/>
  <c r="AL158" i="1"/>
  <c r="AK158" i="1"/>
  <c r="AJ158" i="1"/>
  <c r="AI158" i="1"/>
  <c r="AH158" i="1"/>
  <c r="Z158" i="1"/>
  <c r="Y158" i="1"/>
  <c r="X158" i="1"/>
  <c r="T158" i="1"/>
  <c r="Q158" i="1"/>
  <c r="O158" i="1"/>
  <c r="L158" i="1"/>
  <c r="AN157" i="1"/>
  <c r="AM157" i="1"/>
  <c r="AK157" i="1"/>
  <c r="AL157" i="1" s="1"/>
  <c r="AJ157" i="1"/>
  <c r="AH157" i="1" s="1"/>
  <c r="Z157" i="1"/>
  <c r="Y157" i="1"/>
  <c r="X157" i="1" s="1"/>
  <c r="Q157" i="1"/>
  <c r="O157" i="1"/>
  <c r="K157" i="1"/>
  <c r="J157" i="1"/>
  <c r="I157" i="1" s="1"/>
  <c r="AB157" i="1" s="1"/>
  <c r="AN156" i="1"/>
  <c r="AM156" i="1"/>
  <c r="AL156" i="1"/>
  <c r="AK156" i="1"/>
  <c r="AJ156" i="1"/>
  <c r="AH156" i="1"/>
  <c r="L156" i="1" s="1"/>
  <c r="Z156" i="1"/>
  <c r="Y156" i="1"/>
  <c r="X156" i="1"/>
  <c r="T156" i="1"/>
  <c r="Q156" i="1"/>
  <c r="K156" i="1"/>
  <c r="AN155" i="1"/>
  <c r="AM155" i="1"/>
  <c r="AK155" i="1"/>
  <c r="AJ155" i="1"/>
  <c r="AH155" i="1" s="1"/>
  <c r="L155" i="1" s="1"/>
  <c r="AI155" i="1"/>
  <c r="Z155" i="1"/>
  <c r="Y155" i="1"/>
  <c r="Q155" i="1"/>
  <c r="O155" i="1"/>
  <c r="K155" i="1"/>
  <c r="J155" i="1"/>
  <c r="I155" i="1" s="1"/>
  <c r="AN154" i="1"/>
  <c r="AM154" i="1"/>
  <c r="AL154" i="1"/>
  <c r="AK154" i="1"/>
  <c r="AJ154" i="1"/>
  <c r="AH154" i="1"/>
  <c r="Z154" i="1"/>
  <c r="Y154" i="1"/>
  <c r="X154" i="1"/>
  <c r="T154" i="1"/>
  <c r="Q154" i="1"/>
  <c r="O154" i="1"/>
  <c r="L154" i="1"/>
  <c r="AN153" i="1"/>
  <c r="AM153" i="1"/>
  <c r="AK153" i="1"/>
  <c r="AJ153" i="1"/>
  <c r="AH153" i="1" s="1"/>
  <c r="Z153" i="1"/>
  <c r="Y153" i="1"/>
  <c r="Q153" i="1"/>
  <c r="O153" i="1"/>
  <c r="K153" i="1"/>
  <c r="J153" i="1"/>
  <c r="I153" i="1" s="1"/>
  <c r="AN152" i="1"/>
  <c r="AM152" i="1"/>
  <c r="AL152" i="1"/>
  <c r="AK152" i="1"/>
  <c r="AJ152" i="1"/>
  <c r="AH152" i="1"/>
  <c r="Z152" i="1"/>
  <c r="Y152" i="1"/>
  <c r="X152" i="1" s="1"/>
  <c r="T152" i="1"/>
  <c r="Q152" i="1"/>
  <c r="AN151" i="1"/>
  <c r="AM151" i="1"/>
  <c r="AK151" i="1"/>
  <c r="AJ151" i="1"/>
  <c r="AH151" i="1" s="1"/>
  <c r="Z151" i="1"/>
  <c r="Y151" i="1"/>
  <c r="X151" i="1" s="1"/>
  <c r="Q151" i="1"/>
  <c r="AN150" i="1"/>
  <c r="AM150" i="1"/>
  <c r="AK150" i="1"/>
  <c r="AJ150" i="1"/>
  <c r="AI150" i="1"/>
  <c r="AH150" i="1"/>
  <c r="J150" i="1" s="1"/>
  <c r="Z150" i="1"/>
  <c r="Y150" i="1"/>
  <c r="X150" i="1" s="1"/>
  <c r="Q150" i="1"/>
  <c r="O150" i="1"/>
  <c r="L150" i="1"/>
  <c r="I150" i="1"/>
  <c r="AN149" i="1"/>
  <c r="AM149" i="1"/>
  <c r="AK149" i="1"/>
  <c r="T149" i="1" s="1"/>
  <c r="AJ149" i="1"/>
  <c r="AH149" i="1" s="1"/>
  <c r="L149" i="1" s="1"/>
  <c r="AI149" i="1"/>
  <c r="Z149" i="1"/>
  <c r="Y149" i="1"/>
  <c r="Q149" i="1"/>
  <c r="O149" i="1"/>
  <c r="J149" i="1"/>
  <c r="I149" i="1" s="1"/>
  <c r="AN148" i="1"/>
  <c r="AM148" i="1"/>
  <c r="AL148" i="1"/>
  <c r="AK148" i="1"/>
  <c r="AJ148" i="1"/>
  <c r="AH148" i="1"/>
  <c r="AI148" i="1" s="1"/>
  <c r="Z148" i="1"/>
  <c r="Y148" i="1"/>
  <c r="X148" i="1" s="1"/>
  <c r="T148" i="1"/>
  <c r="Q148" i="1"/>
  <c r="L148" i="1"/>
  <c r="K148" i="1"/>
  <c r="J148" i="1"/>
  <c r="I148" i="1" s="1"/>
  <c r="AN147" i="1"/>
  <c r="AM147" i="1"/>
  <c r="AL147" i="1"/>
  <c r="AK147" i="1"/>
  <c r="AJ147" i="1"/>
  <c r="AH147" i="1"/>
  <c r="Z147" i="1"/>
  <c r="Y147" i="1"/>
  <c r="X147" i="1"/>
  <c r="T147" i="1"/>
  <c r="Q147" i="1"/>
  <c r="AN146" i="1"/>
  <c r="T146" i="1" s="1"/>
  <c r="AM146" i="1"/>
  <c r="AL146" i="1"/>
  <c r="AK146" i="1"/>
  <c r="AJ146" i="1"/>
  <c r="AH146" i="1"/>
  <c r="L146" i="1" s="1"/>
  <c r="Z146" i="1"/>
  <c r="Y146" i="1"/>
  <c r="X146" i="1"/>
  <c r="Q146" i="1"/>
  <c r="AN145" i="1"/>
  <c r="AM145" i="1"/>
  <c r="AL145" i="1"/>
  <c r="AK145" i="1"/>
  <c r="AJ145" i="1"/>
  <c r="AH145" i="1"/>
  <c r="K145" i="1" s="1"/>
  <c r="Z145" i="1"/>
  <c r="Y145" i="1"/>
  <c r="X145" i="1"/>
  <c r="T145" i="1"/>
  <c r="Q145" i="1"/>
  <c r="L145" i="1"/>
  <c r="AN144" i="1"/>
  <c r="AM144" i="1"/>
  <c r="AL144" i="1"/>
  <c r="AK144" i="1"/>
  <c r="AJ144" i="1"/>
  <c r="AH144" i="1" s="1"/>
  <c r="Z144" i="1"/>
  <c r="X144" i="1" s="1"/>
  <c r="Y144" i="1"/>
  <c r="T144" i="1"/>
  <c r="Q144" i="1"/>
  <c r="J144" i="1"/>
  <c r="I144" i="1" s="1"/>
  <c r="AB144" i="1" s="1"/>
  <c r="AN143" i="1"/>
  <c r="AM143" i="1"/>
  <c r="AL143" i="1"/>
  <c r="AK143" i="1"/>
  <c r="AJ143" i="1"/>
  <c r="AH143" i="1"/>
  <c r="Z143" i="1"/>
  <c r="Y143" i="1"/>
  <c r="X143" i="1"/>
  <c r="T143" i="1"/>
  <c r="Q143" i="1"/>
  <c r="AN142" i="1"/>
  <c r="T142" i="1" s="1"/>
  <c r="AM142" i="1"/>
  <c r="AL142" i="1"/>
  <c r="AK142" i="1"/>
  <c r="AJ142" i="1"/>
  <c r="AH142" i="1"/>
  <c r="L142" i="1" s="1"/>
  <c r="Z142" i="1"/>
  <c r="Y142" i="1"/>
  <c r="X142" i="1"/>
  <c r="Q142" i="1"/>
  <c r="O142" i="1"/>
  <c r="AN141" i="1"/>
  <c r="AM141" i="1"/>
  <c r="AL141" i="1"/>
  <c r="AK141" i="1"/>
  <c r="AJ141" i="1"/>
  <c r="AH141" i="1"/>
  <c r="K141" i="1" s="1"/>
  <c r="Z141" i="1"/>
  <c r="Y141" i="1"/>
  <c r="X141" i="1"/>
  <c r="T141" i="1"/>
  <c r="Q141" i="1"/>
  <c r="L141" i="1"/>
  <c r="AN140" i="1"/>
  <c r="AM140" i="1"/>
  <c r="AK140" i="1"/>
  <c r="AL140" i="1" s="1"/>
  <c r="AJ140" i="1"/>
  <c r="AH140" i="1" s="1"/>
  <c r="Z140" i="1"/>
  <c r="X140" i="1" s="1"/>
  <c r="Y140" i="1"/>
  <c r="Q140" i="1"/>
  <c r="J140" i="1"/>
  <c r="I140" i="1" s="1"/>
  <c r="AB140" i="1" s="1"/>
  <c r="AN139" i="1"/>
  <c r="AM139" i="1"/>
  <c r="AL139" i="1"/>
  <c r="AK139" i="1"/>
  <c r="AJ139" i="1"/>
  <c r="AH139" i="1"/>
  <c r="Z139" i="1"/>
  <c r="Y139" i="1"/>
  <c r="X139" i="1"/>
  <c r="T139" i="1"/>
  <c r="Q139" i="1"/>
  <c r="AN138" i="1"/>
  <c r="T138" i="1" s="1"/>
  <c r="AM138" i="1"/>
  <c r="AL138" i="1"/>
  <c r="AK138" i="1"/>
  <c r="AJ138" i="1"/>
  <c r="AH138" i="1"/>
  <c r="L138" i="1" s="1"/>
  <c r="Z138" i="1"/>
  <c r="Y138" i="1"/>
  <c r="X138" i="1"/>
  <c r="Q138" i="1"/>
  <c r="O138" i="1"/>
  <c r="AN137" i="1"/>
  <c r="AM137" i="1"/>
  <c r="AL137" i="1"/>
  <c r="AK137" i="1"/>
  <c r="AJ137" i="1"/>
  <c r="AH137" i="1"/>
  <c r="K137" i="1" s="1"/>
  <c r="Z137" i="1"/>
  <c r="Y137" i="1"/>
  <c r="X137" i="1"/>
  <c r="T137" i="1"/>
  <c r="Q137" i="1"/>
  <c r="L137" i="1"/>
  <c r="AN136" i="1"/>
  <c r="AM136" i="1"/>
  <c r="AK136" i="1"/>
  <c r="AL136" i="1" s="1"/>
  <c r="AJ136" i="1"/>
  <c r="AH136" i="1" s="1"/>
  <c r="Z136" i="1"/>
  <c r="X136" i="1" s="1"/>
  <c r="Y136" i="1"/>
  <c r="Q136" i="1"/>
  <c r="J136" i="1"/>
  <c r="I136" i="1" s="1"/>
  <c r="AB136" i="1" s="1"/>
  <c r="AN135" i="1"/>
  <c r="AM135" i="1"/>
  <c r="AL135" i="1"/>
  <c r="AK135" i="1"/>
  <c r="AJ135" i="1"/>
  <c r="AH135" i="1"/>
  <c r="Z135" i="1"/>
  <c r="Y135" i="1"/>
  <c r="X135" i="1"/>
  <c r="T135" i="1"/>
  <c r="Q135" i="1"/>
  <c r="AN134" i="1"/>
  <c r="T134" i="1" s="1"/>
  <c r="AM134" i="1"/>
  <c r="AL134" i="1"/>
  <c r="AK134" i="1"/>
  <c r="AJ134" i="1"/>
  <c r="AH134" i="1"/>
  <c r="L134" i="1" s="1"/>
  <c r="Z134" i="1"/>
  <c r="Y134" i="1"/>
  <c r="X134" i="1"/>
  <c r="Q134" i="1"/>
  <c r="O134" i="1"/>
  <c r="AN133" i="1"/>
  <c r="T133" i="1" s="1"/>
  <c r="AM133" i="1"/>
  <c r="AL133" i="1" s="1"/>
  <c r="AK133" i="1"/>
  <c r="AJ133" i="1"/>
  <c r="AH133" i="1"/>
  <c r="K133" i="1" s="1"/>
  <c r="Z133" i="1"/>
  <c r="Y133" i="1"/>
  <c r="X133" i="1"/>
  <c r="Q133" i="1"/>
  <c r="L133" i="1"/>
  <c r="AN132" i="1"/>
  <c r="AM132" i="1"/>
  <c r="AL132" i="1"/>
  <c r="AK132" i="1"/>
  <c r="AJ132" i="1"/>
  <c r="AH132" i="1" s="1"/>
  <c r="Z132" i="1"/>
  <c r="X132" i="1" s="1"/>
  <c r="Y132" i="1"/>
  <c r="T132" i="1"/>
  <c r="Q132" i="1"/>
  <c r="K132" i="1"/>
  <c r="AN131" i="1"/>
  <c r="AM131" i="1"/>
  <c r="AL131" i="1"/>
  <c r="AK131" i="1"/>
  <c r="AJ131" i="1"/>
  <c r="AH131" i="1"/>
  <c r="L131" i="1" s="1"/>
  <c r="Z131" i="1"/>
  <c r="Y131" i="1"/>
  <c r="X131" i="1"/>
  <c r="T131" i="1"/>
  <c r="Q131" i="1"/>
  <c r="AN130" i="1"/>
  <c r="AM130" i="1"/>
  <c r="AK130" i="1"/>
  <c r="AL130" i="1" s="1"/>
  <c r="AJ130" i="1"/>
  <c r="AH130" i="1"/>
  <c r="Z130" i="1"/>
  <c r="Y130" i="1"/>
  <c r="X130" i="1"/>
  <c r="Q130" i="1"/>
  <c r="O130" i="1"/>
  <c r="AN129" i="1"/>
  <c r="T129" i="1" s="1"/>
  <c r="AM129" i="1"/>
  <c r="AL129" i="1" s="1"/>
  <c r="AK129" i="1"/>
  <c r="AJ129" i="1"/>
  <c r="AI129" i="1"/>
  <c r="AH129" i="1"/>
  <c r="Z129" i="1"/>
  <c r="Y129" i="1"/>
  <c r="X129" i="1" s="1"/>
  <c r="Q129" i="1"/>
  <c r="O129" i="1"/>
  <c r="L129" i="1"/>
  <c r="K129" i="1"/>
  <c r="J129" i="1"/>
  <c r="I129" i="1"/>
  <c r="AN128" i="1"/>
  <c r="AM128" i="1"/>
  <c r="AK128" i="1"/>
  <c r="AL128" i="1" s="1"/>
  <c r="AJ128" i="1"/>
  <c r="AH128" i="1"/>
  <c r="L128" i="1" s="1"/>
  <c r="Z128" i="1"/>
  <c r="Y128" i="1"/>
  <c r="X128" i="1"/>
  <c r="Q128" i="1"/>
  <c r="O128" i="1"/>
  <c r="K128" i="1"/>
  <c r="AN127" i="1"/>
  <c r="AM127" i="1"/>
  <c r="AL127" i="1" s="1"/>
  <c r="AK127" i="1"/>
  <c r="AJ127" i="1"/>
  <c r="AH127" i="1" s="1"/>
  <c r="Z127" i="1"/>
  <c r="Y127" i="1"/>
  <c r="X127" i="1" s="1"/>
  <c r="T127" i="1"/>
  <c r="Q127" i="1"/>
  <c r="AN126" i="1"/>
  <c r="AM126" i="1"/>
  <c r="AK126" i="1"/>
  <c r="AJ126" i="1"/>
  <c r="AH126" i="1" s="1"/>
  <c r="Z126" i="1"/>
  <c r="X126" i="1" s="1"/>
  <c r="Y126" i="1"/>
  <c r="Q126" i="1"/>
  <c r="O126" i="1"/>
  <c r="K126" i="1"/>
  <c r="AN125" i="1"/>
  <c r="AM125" i="1"/>
  <c r="AL125" i="1" s="1"/>
  <c r="AK125" i="1"/>
  <c r="AJ125" i="1"/>
  <c r="AI125" i="1"/>
  <c r="AH125" i="1"/>
  <c r="O125" i="1" s="1"/>
  <c r="Z125" i="1"/>
  <c r="Y125" i="1"/>
  <c r="X125" i="1" s="1"/>
  <c r="T125" i="1"/>
  <c r="Q125" i="1"/>
  <c r="AN124" i="1"/>
  <c r="AM124" i="1"/>
  <c r="AK124" i="1"/>
  <c r="AJ124" i="1"/>
  <c r="AH124" i="1"/>
  <c r="L124" i="1" s="1"/>
  <c r="Z124" i="1"/>
  <c r="Y124" i="1"/>
  <c r="X124" i="1"/>
  <c r="Q124" i="1"/>
  <c r="O124" i="1"/>
  <c r="K124" i="1"/>
  <c r="AN123" i="1"/>
  <c r="AM123" i="1"/>
  <c r="AL123" i="1" s="1"/>
  <c r="AK123" i="1"/>
  <c r="AJ123" i="1"/>
  <c r="AI123" i="1"/>
  <c r="AH123" i="1"/>
  <c r="K123" i="1" s="1"/>
  <c r="Z123" i="1"/>
  <c r="Y123" i="1"/>
  <c r="X123" i="1" s="1"/>
  <c r="T123" i="1"/>
  <c r="Q123" i="1"/>
  <c r="O123" i="1"/>
  <c r="L123" i="1"/>
  <c r="AN122" i="1"/>
  <c r="AM122" i="1"/>
  <c r="AK122" i="1"/>
  <c r="AJ122" i="1"/>
  <c r="AH122" i="1" s="1"/>
  <c r="O122" i="1" s="1"/>
  <c r="Z122" i="1"/>
  <c r="X122" i="1" s="1"/>
  <c r="Y122" i="1"/>
  <c r="Q122" i="1"/>
  <c r="J122" i="1"/>
  <c r="I122" i="1" s="1"/>
  <c r="AN121" i="1"/>
  <c r="AM121" i="1"/>
  <c r="AK121" i="1"/>
  <c r="AJ121" i="1"/>
  <c r="AI121" i="1"/>
  <c r="AH121" i="1"/>
  <c r="Z121" i="1"/>
  <c r="Y121" i="1"/>
  <c r="X121" i="1" s="1"/>
  <c r="T121" i="1"/>
  <c r="Q121" i="1"/>
  <c r="AN120" i="1"/>
  <c r="AM120" i="1"/>
  <c r="AK120" i="1"/>
  <c r="AJ120" i="1"/>
  <c r="AH120" i="1"/>
  <c r="L120" i="1" s="1"/>
  <c r="Z120" i="1"/>
  <c r="Y120" i="1"/>
  <c r="X120" i="1"/>
  <c r="Q120" i="1"/>
  <c r="O120" i="1"/>
  <c r="K120" i="1"/>
  <c r="AN119" i="1"/>
  <c r="AM119" i="1"/>
  <c r="AL119" i="1"/>
  <c r="AK119" i="1"/>
  <c r="AJ119" i="1"/>
  <c r="AI119" i="1"/>
  <c r="AH119" i="1"/>
  <c r="K119" i="1" s="1"/>
  <c r="Z119" i="1"/>
  <c r="Y119" i="1"/>
  <c r="X119" i="1" s="1"/>
  <c r="T119" i="1"/>
  <c r="Q119" i="1"/>
  <c r="O119" i="1"/>
  <c r="L119" i="1"/>
  <c r="AN118" i="1"/>
  <c r="AM118" i="1"/>
  <c r="AK118" i="1"/>
  <c r="AJ118" i="1"/>
  <c r="AH118" i="1" s="1"/>
  <c r="Z118" i="1"/>
  <c r="X118" i="1" s="1"/>
  <c r="Y118" i="1"/>
  <c r="Q118" i="1"/>
  <c r="AN117" i="1"/>
  <c r="AM117" i="1"/>
  <c r="AL117" i="1" s="1"/>
  <c r="AK117" i="1"/>
  <c r="AJ117" i="1"/>
  <c r="AI117" i="1"/>
  <c r="AH117" i="1"/>
  <c r="Z117" i="1"/>
  <c r="Y117" i="1"/>
  <c r="X117" i="1"/>
  <c r="T117" i="1"/>
  <c r="Q117" i="1"/>
  <c r="AN116" i="1"/>
  <c r="AM116" i="1"/>
  <c r="AK116" i="1"/>
  <c r="AJ116" i="1"/>
  <c r="AH116" i="1"/>
  <c r="L116" i="1" s="1"/>
  <c r="Z116" i="1"/>
  <c r="Y116" i="1"/>
  <c r="X116" i="1"/>
  <c r="Q116" i="1"/>
  <c r="O116" i="1"/>
  <c r="K116" i="1"/>
  <c r="AN115" i="1"/>
  <c r="AM115" i="1"/>
  <c r="AL115" i="1"/>
  <c r="AK115" i="1"/>
  <c r="AJ115" i="1"/>
  <c r="AI115" i="1"/>
  <c r="AH115" i="1"/>
  <c r="K115" i="1" s="1"/>
  <c r="Z115" i="1"/>
  <c r="Y115" i="1"/>
  <c r="X115" i="1" s="1"/>
  <c r="T115" i="1"/>
  <c r="Q115" i="1"/>
  <c r="L115" i="1"/>
  <c r="AN114" i="1"/>
  <c r="AM114" i="1"/>
  <c r="AK114" i="1"/>
  <c r="AJ114" i="1"/>
  <c r="AH114" i="1" s="1"/>
  <c r="O114" i="1" s="1"/>
  <c r="Z114" i="1"/>
  <c r="Y114" i="1"/>
  <c r="Q114" i="1"/>
  <c r="K114" i="1"/>
  <c r="J114" i="1"/>
  <c r="I114" i="1" s="1"/>
  <c r="AB114" i="1" s="1"/>
  <c r="AN113" i="1"/>
  <c r="AM113" i="1"/>
  <c r="AL113" i="1" s="1"/>
  <c r="AK113" i="1"/>
  <c r="AJ113" i="1"/>
  <c r="AI113" i="1"/>
  <c r="AH113" i="1"/>
  <c r="Z113" i="1"/>
  <c r="Y113" i="1"/>
  <c r="X113" i="1" s="1"/>
  <c r="T113" i="1"/>
  <c r="Q113" i="1"/>
  <c r="AN112" i="1"/>
  <c r="AM112" i="1"/>
  <c r="AK112" i="1"/>
  <c r="AJ112" i="1"/>
  <c r="AH112" i="1"/>
  <c r="L112" i="1" s="1"/>
  <c r="Z112" i="1"/>
  <c r="Y112" i="1"/>
  <c r="X112" i="1"/>
  <c r="Q112" i="1"/>
  <c r="O112" i="1"/>
  <c r="K112" i="1"/>
  <c r="AN111" i="1"/>
  <c r="AM111" i="1"/>
  <c r="AL111" i="1" s="1"/>
  <c r="AK111" i="1"/>
  <c r="AJ111" i="1"/>
  <c r="AI111" i="1"/>
  <c r="AH111" i="1"/>
  <c r="K111" i="1" s="1"/>
  <c r="Z111" i="1"/>
  <c r="Y111" i="1"/>
  <c r="X111" i="1" s="1"/>
  <c r="T111" i="1"/>
  <c r="Q111" i="1"/>
  <c r="L111" i="1"/>
  <c r="AN110" i="1"/>
  <c r="AM110" i="1"/>
  <c r="AK110" i="1"/>
  <c r="AJ110" i="1"/>
  <c r="AH110" i="1" s="1"/>
  <c r="K110" i="1" s="1"/>
  <c r="Z110" i="1"/>
  <c r="Y110" i="1"/>
  <c r="X110" i="1" s="1"/>
  <c r="Q110" i="1"/>
  <c r="O110" i="1"/>
  <c r="AN109" i="1"/>
  <c r="AM109" i="1"/>
  <c r="AL109" i="1" s="1"/>
  <c r="AK109" i="1"/>
  <c r="AJ109" i="1"/>
  <c r="AH109" i="1"/>
  <c r="Z109" i="1"/>
  <c r="Y109" i="1"/>
  <c r="X109" i="1" s="1"/>
  <c r="T109" i="1"/>
  <c r="Q109" i="1"/>
  <c r="AN108" i="1"/>
  <c r="AM108" i="1"/>
  <c r="AK108" i="1"/>
  <c r="AJ108" i="1"/>
  <c r="AH108" i="1"/>
  <c r="L108" i="1" s="1"/>
  <c r="Z108" i="1"/>
  <c r="Y108" i="1"/>
  <c r="X108" i="1"/>
  <c r="Q108" i="1"/>
  <c r="O108" i="1"/>
  <c r="K108" i="1"/>
  <c r="AN107" i="1"/>
  <c r="AM107" i="1"/>
  <c r="AL107" i="1"/>
  <c r="AK107" i="1"/>
  <c r="AJ107" i="1"/>
  <c r="AI107" i="1"/>
  <c r="AH107" i="1"/>
  <c r="J107" i="1" s="1"/>
  <c r="I107" i="1" s="1"/>
  <c r="Z107" i="1"/>
  <c r="Y107" i="1"/>
  <c r="X107" i="1" s="1"/>
  <c r="T107" i="1"/>
  <c r="Q107" i="1"/>
  <c r="L107" i="1"/>
  <c r="K107" i="1"/>
  <c r="AN106" i="1"/>
  <c r="AM106" i="1"/>
  <c r="AK106" i="1"/>
  <c r="AJ106" i="1"/>
  <c r="AH106" i="1" s="1"/>
  <c r="Z106" i="1"/>
  <c r="Y106" i="1"/>
  <c r="Q106" i="1"/>
  <c r="O106" i="1"/>
  <c r="K106" i="1"/>
  <c r="J106" i="1"/>
  <c r="I106" i="1" s="1"/>
  <c r="AB106" i="1" s="1"/>
  <c r="AN105" i="1"/>
  <c r="AM105" i="1"/>
  <c r="AL105" i="1" s="1"/>
  <c r="AK105" i="1"/>
  <c r="AJ105" i="1"/>
  <c r="AH105" i="1"/>
  <c r="Z105" i="1"/>
  <c r="Y105" i="1"/>
  <c r="X105" i="1"/>
  <c r="T105" i="1"/>
  <c r="Q105" i="1"/>
  <c r="AN104" i="1"/>
  <c r="AM104" i="1"/>
  <c r="AK104" i="1"/>
  <c r="AJ104" i="1"/>
  <c r="AH104" i="1"/>
  <c r="K104" i="1" s="1"/>
  <c r="Z104" i="1"/>
  <c r="Y104" i="1"/>
  <c r="X104" i="1"/>
  <c r="Q104" i="1"/>
  <c r="AN103" i="1"/>
  <c r="AM103" i="1"/>
  <c r="AL103" i="1" s="1"/>
  <c r="AK103" i="1"/>
  <c r="AJ103" i="1"/>
  <c r="AI103" i="1"/>
  <c r="AH103" i="1"/>
  <c r="J103" i="1" s="1"/>
  <c r="I103" i="1" s="1"/>
  <c r="Z103" i="1"/>
  <c r="Y103" i="1"/>
  <c r="X103" i="1" s="1"/>
  <c r="T103" i="1"/>
  <c r="Q103" i="1"/>
  <c r="O103" i="1"/>
  <c r="L103" i="1"/>
  <c r="K103" i="1"/>
  <c r="AN102" i="1"/>
  <c r="AM102" i="1"/>
  <c r="AL102" i="1" s="1"/>
  <c r="AK102" i="1"/>
  <c r="T102" i="1" s="1"/>
  <c r="AJ102" i="1"/>
  <c r="AH102" i="1" s="1"/>
  <c r="AI102" i="1"/>
  <c r="Z102" i="1"/>
  <c r="Y102" i="1"/>
  <c r="Q102" i="1"/>
  <c r="O102" i="1"/>
  <c r="L102" i="1"/>
  <c r="K102" i="1"/>
  <c r="J102" i="1"/>
  <c r="I102" i="1" s="1"/>
  <c r="AN101" i="1"/>
  <c r="AM101" i="1"/>
  <c r="AL101" i="1"/>
  <c r="AK101" i="1"/>
  <c r="AJ101" i="1"/>
  <c r="AI101" i="1"/>
  <c r="AH101" i="1"/>
  <c r="O101" i="1" s="1"/>
  <c r="Z101" i="1"/>
  <c r="Y101" i="1"/>
  <c r="X101" i="1" s="1"/>
  <c r="T101" i="1"/>
  <c r="Q101" i="1"/>
  <c r="L101" i="1"/>
  <c r="AN100" i="1"/>
  <c r="AM100" i="1"/>
  <c r="AK100" i="1"/>
  <c r="AL100" i="1" s="1"/>
  <c r="AJ100" i="1"/>
  <c r="AH100" i="1" s="1"/>
  <c r="Z100" i="1"/>
  <c r="X100" i="1" s="1"/>
  <c r="Y100" i="1"/>
  <c r="Q100" i="1"/>
  <c r="AN99" i="1"/>
  <c r="AM99" i="1"/>
  <c r="AL99" i="1" s="1"/>
  <c r="AK99" i="1"/>
  <c r="AJ99" i="1"/>
  <c r="AH99" i="1"/>
  <c r="L99" i="1" s="1"/>
  <c r="Z99" i="1"/>
  <c r="Y99" i="1"/>
  <c r="X99" i="1"/>
  <c r="T99" i="1"/>
  <c r="Q99" i="1"/>
  <c r="AN98" i="1"/>
  <c r="AM98" i="1"/>
  <c r="AK98" i="1"/>
  <c r="AJ98" i="1"/>
  <c r="AH98" i="1" s="1"/>
  <c r="Z98" i="1"/>
  <c r="Y98" i="1"/>
  <c r="X98" i="1" s="1"/>
  <c r="Q98" i="1"/>
  <c r="K98" i="1"/>
  <c r="AN97" i="1"/>
  <c r="AM97" i="1"/>
  <c r="AL97" i="1"/>
  <c r="AK97" i="1"/>
  <c r="AJ97" i="1"/>
  <c r="AI97" i="1"/>
  <c r="AH97" i="1"/>
  <c r="O97" i="1" s="1"/>
  <c r="Z97" i="1"/>
  <c r="Y97" i="1"/>
  <c r="X97" i="1" s="1"/>
  <c r="T97" i="1"/>
  <c r="Q97" i="1"/>
  <c r="L97" i="1"/>
  <c r="AN96" i="1"/>
  <c r="AM96" i="1"/>
  <c r="AK96" i="1"/>
  <c r="AL96" i="1" s="1"/>
  <c r="AJ96" i="1"/>
  <c r="AH96" i="1" s="1"/>
  <c r="Z96" i="1"/>
  <c r="X96" i="1" s="1"/>
  <c r="Y96" i="1"/>
  <c r="Q96" i="1"/>
  <c r="O96" i="1"/>
  <c r="AN95" i="1"/>
  <c r="AM95" i="1"/>
  <c r="AL95" i="1" s="1"/>
  <c r="AK95" i="1"/>
  <c r="AJ95" i="1"/>
  <c r="AH95" i="1"/>
  <c r="L95" i="1" s="1"/>
  <c r="Z95" i="1"/>
  <c r="Y95" i="1"/>
  <c r="X95" i="1"/>
  <c r="T95" i="1"/>
  <c r="Q95" i="1"/>
  <c r="AN94" i="1"/>
  <c r="AM94" i="1"/>
  <c r="AK94" i="1"/>
  <c r="AJ94" i="1"/>
  <c r="AH94" i="1" s="1"/>
  <c r="Z94" i="1"/>
  <c r="Y94" i="1"/>
  <c r="X94" i="1" s="1"/>
  <c r="Q94" i="1"/>
  <c r="AN93" i="1"/>
  <c r="AM93" i="1"/>
  <c r="AL93" i="1"/>
  <c r="AK93" i="1"/>
  <c r="AJ93" i="1"/>
  <c r="AI93" i="1"/>
  <c r="AH93" i="1"/>
  <c r="O93" i="1" s="1"/>
  <c r="Z93" i="1"/>
  <c r="Y93" i="1"/>
  <c r="X93" i="1" s="1"/>
  <c r="T93" i="1"/>
  <c r="Q93" i="1"/>
  <c r="L93" i="1"/>
  <c r="AN92" i="1"/>
  <c r="AM92" i="1"/>
  <c r="AK92" i="1"/>
  <c r="AL92" i="1" s="1"/>
  <c r="AJ92" i="1"/>
  <c r="AH92" i="1" s="1"/>
  <c r="Z92" i="1"/>
  <c r="Y92" i="1"/>
  <c r="X92" i="1" s="1"/>
  <c r="Q92" i="1"/>
  <c r="J92" i="1"/>
  <c r="I92" i="1" s="1"/>
  <c r="AB92" i="1" s="1"/>
  <c r="AN91" i="1"/>
  <c r="AM91" i="1"/>
  <c r="AL91" i="1" s="1"/>
  <c r="AK91" i="1"/>
  <c r="AJ91" i="1"/>
  <c r="AH91" i="1"/>
  <c r="Z91" i="1"/>
  <c r="Y91" i="1"/>
  <c r="X91" i="1"/>
  <c r="T91" i="1"/>
  <c r="Q91" i="1"/>
  <c r="AN90" i="1"/>
  <c r="AM90" i="1"/>
  <c r="AK90" i="1"/>
  <c r="AJ90" i="1"/>
  <c r="AH90" i="1" s="1"/>
  <c r="K90" i="1" s="1"/>
  <c r="Z90" i="1"/>
  <c r="Y90" i="1"/>
  <c r="X90" i="1" s="1"/>
  <c r="Q90" i="1"/>
  <c r="AN89" i="1"/>
  <c r="AM89" i="1"/>
  <c r="AL89" i="1"/>
  <c r="AK89" i="1"/>
  <c r="AJ89" i="1"/>
  <c r="AI89" i="1"/>
  <c r="AH89" i="1"/>
  <c r="K89" i="1" s="1"/>
  <c r="Z89" i="1"/>
  <c r="Y89" i="1"/>
  <c r="X89" i="1" s="1"/>
  <c r="T89" i="1"/>
  <c r="Q89" i="1"/>
  <c r="O89" i="1"/>
  <c r="L89" i="1"/>
  <c r="AN88" i="1"/>
  <c r="AM88" i="1"/>
  <c r="AK88" i="1"/>
  <c r="AL88" i="1" s="1"/>
  <c r="AJ88" i="1"/>
  <c r="AH88" i="1" s="1"/>
  <c r="Z88" i="1"/>
  <c r="Y88" i="1"/>
  <c r="Q88" i="1"/>
  <c r="O88" i="1"/>
  <c r="J88" i="1"/>
  <c r="I88" i="1" s="1"/>
  <c r="AB88" i="1" s="1"/>
  <c r="AN87" i="1"/>
  <c r="AM87" i="1"/>
  <c r="AK87" i="1"/>
  <c r="AJ87" i="1"/>
  <c r="AH87" i="1"/>
  <c r="Z87" i="1"/>
  <c r="Y87" i="1"/>
  <c r="X87" i="1"/>
  <c r="Q87" i="1"/>
  <c r="AN86" i="1"/>
  <c r="AM86" i="1"/>
  <c r="AK86" i="1"/>
  <c r="AJ86" i="1"/>
  <c r="AH86" i="1" s="1"/>
  <c r="Z86" i="1"/>
  <c r="Y86" i="1"/>
  <c r="X86" i="1" s="1"/>
  <c r="Q86" i="1"/>
  <c r="K86" i="1"/>
  <c r="AN85" i="1"/>
  <c r="AM85" i="1"/>
  <c r="AL85" i="1"/>
  <c r="AK85" i="1"/>
  <c r="AJ85" i="1"/>
  <c r="AI85" i="1"/>
  <c r="AH85" i="1"/>
  <c r="K85" i="1" s="1"/>
  <c r="Z85" i="1"/>
  <c r="Y85" i="1"/>
  <c r="X85" i="1" s="1"/>
  <c r="T85" i="1"/>
  <c r="Q85" i="1"/>
  <c r="O85" i="1"/>
  <c r="L85" i="1"/>
  <c r="AN84" i="1"/>
  <c r="AM84" i="1"/>
  <c r="AK84" i="1"/>
  <c r="AL84" i="1" s="1"/>
  <c r="AJ84" i="1"/>
  <c r="AH84" i="1" s="1"/>
  <c r="Z84" i="1"/>
  <c r="Y84" i="1"/>
  <c r="Q84" i="1"/>
  <c r="O84" i="1"/>
  <c r="J84" i="1"/>
  <c r="I84" i="1" s="1"/>
  <c r="AB84" i="1" s="1"/>
  <c r="AN83" i="1"/>
  <c r="AM83" i="1"/>
  <c r="AK83" i="1"/>
  <c r="AJ83" i="1"/>
  <c r="AH83" i="1"/>
  <c r="Z83" i="1"/>
  <c r="Y83" i="1"/>
  <c r="X83" i="1"/>
  <c r="Q83" i="1"/>
  <c r="AN82" i="1"/>
  <c r="AM82" i="1"/>
  <c r="AK82" i="1"/>
  <c r="AJ82" i="1"/>
  <c r="AH82" i="1" s="1"/>
  <c r="Z82" i="1"/>
  <c r="Y82" i="1"/>
  <c r="X82" i="1" s="1"/>
  <c r="Q82" i="1"/>
  <c r="K82" i="1"/>
  <c r="AN81" i="1"/>
  <c r="AM81" i="1"/>
  <c r="AL81" i="1"/>
  <c r="AK81" i="1"/>
  <c r="AJ81" i="1"/>
  <c r="AI81" i="1"/>
  <c r="AH81" i="1"/>
  <c r="K81" i="1" s="1"/>
  <c r="Z81" i="1"/>
  <c r="Y81" i="1"/>
  <c r="X81" i="1" s="1"/>
  <c r="T81" i="1"/>
  <c r="Q81" i="1"/>
  <c r="O81" i="1"/>
  <c r="L81" i="1"/>
  <c r="AN80" i="1"/>
  <c r="AM80" i="1"/>
  <c r="AK80" i="1"/>
  <c r="AJ80" i="1"/>
  <c r="AH80" i="1" s="1"/>
  <c r="Z80" i="1"/>
  <c r="Y80" i="1"/>
  <c r="Q80" i="1"/>
  <c r="AN79" i="1"/>
  <c r="AM79" i="1"/>
  <c r="AK79" i="1"/>
  <c r="AJ79" i="1"/>
  <c r="AH79" i="1"/>
  <c r="K79" i="1" s="1"/>
  <c r="Z79" i="1"/>
  <c r="Y79" i="1"/>
  <c r="X79" i="1"/>
  <c r="Q79" i="1"/>
  <c r="AN78" i="1"/>
  <c r="AM78" i="1"/>
  <c r="AK78" i="1"/>
  <c r="AJ78" i="1"/>
  <c r="AH78" i="1" s="1"/>
  <c r="AI78" i="1" s="1"/>
  <c r="Z78" i="1"/>
  <c r="Y78" i="1"/>
  <c r="X78" i="1" s="1"/>
  <c r="Q78" i="1"/>
  <c r="AN77" i="1"/>
  <c r="AM77" i="1"/>
  <c r="AL77" i="1" s="1"/>
  <c r="AK77" i="1"/>
  <c r="AJ77" i="1"/>
  <c r="AI77" i="1"/>
  <c r="AH77" i="1"/>
  <c r="K77" i="1" s="1"/>
  <c r="Z77" i="1"/>
  <c r="Y77" i="1"/>
  <c r="X77" i="1" s="1"/>
  <c r="T77" i="1"/>
  <c r="Q77" i="1"/>
  <c r="O77" i="1"/>
  <c r="L77" i="1"/>
  <c r="AN76" i="1"/>
  <c r="AM76" i="1"/>
  <c r="AK76" i="1"/>
  <c r="AJ76" i="1"/>
  <c r="AH76" i="1" s="1"/>
  <c r="O76" i="1" s="1"/>
  <c r="Z76" i="1"/>
  <c r="Y76" i="1"/>
  <c r="Q76" i="1"/>
  <c r="J76" i="1"/>
  <c r="I76" i="1" s="1"/>
  <c r="AB76" i="1" s="1"/>
  <c r="AN75" i="1"/>
  <c r="AM75" i="1"/>
  <c r="AK75" i="1"/>
  <c r="AJ75" i="1"/>
  <c r="AH75" i="1"/>
  <c r="Z75" i="1"/>
  <c r="Y75" i="1"/>
  <c r="X75" i="1" s="1"/>
  <c r="Q75" i="1"/>
  <c r="K75" i="1"/>
  <c r="AN74" i="1"/>
  <c r="AM74" i="1"/>
  <c r="AK74" i="1"/>
  <c r="AJ74" i="1"/>
  <c r="AH74" i="1" s="1"/>
  <c r="L74" i="1" s="1"/>
  <c r="Z74" i="1"/>
  <c r="Y74" i="1"/>
  <c r="X74" i="1" s="1"/>
  <c r="Q74" i="1"/>
  <c r="K74" i="1"/>
  <c r="AN73" i="1"/>
  <c r="AM73" i="1"/>
  <c r="AL73" i="1"/>
  <c r="AK73" i="1"/>
  <c r="AJ73" i="1"/>
  <c r="AI73" i="1"/>
  <c r="AH73" i="1"/>
  <c r="Z73" i="1"/>
  <c r="Y73" i="1"/>
  <c r="X73" i="1" s="1"/>
  <c r="T73" i="1"/>
  <c r="Q73" i="1"/>
  <c r="O73" i="1"/>
  <c r="AN72" i="1"/>
  <c r="AM72" i="1"/>
  <c r="AK72" i="1"/>
  <c r="AJ72" i="1"/>
  <c r="AH72" i="1" s="1"/>
  <c r="Z72" i="1"/>
  <c r="Y72" i="1"/>
  <c r="X72" i="1" s="1"/>
  <c r="Q72" i="1"/>
  <c r="K72" i="1"/>
  <c r="J72" i="1"/>
  <c r="I72" i="1" s="1"/>
  <c r="AB72" i="1" s="1"/>
  <c r="AN71" i="1"/>
  <c r="AM71" i="1"/>
  <c r="AL71" i="1"/>
  <c r="AK71" i="1"/>
  <c r="AJ71" i="1"/>
  <c r="AH71" i="1"/>
  <c r="Z71" i="1"/>
  <c r="Y71" i="1"/>
  <c r="X71" i="1"/>
  <c r="T71" i="1"/>
  <c r="Q71" i="1"/>
  <c r="K71" i="1"/>
  <c r="AN70" i="1"/>
  <c r="AM70" i="1"/>
  <c r="AK70" i="1"/>
  <c r="AJ70" i="1"/>
  <c r="AH70" i="1" s="1"/>
  <c r="L70" i="1" s="1"/>
  <c r="AI70" i="1"/>
  <c r="Z70" i="1"/>
  <c r="Y70" i="1"/>
  <c r="X70" i="1" s="1"/>
  <c r="Q70" i="1"/>
  <c r="K70" i="1"/>
  <c r="J70" i="1"/>
  <c r="I70" i="1" s="1"/>
  <c r="AN69" i="1"/>
  <c r="AM69" i="1"/>
  <c r="AL69" i="1"/>
  <c r="AK69" i="1"/>
  <c r="AJ69" i="1"/>
  <c r="AI69" i="1"/>
  <c r="AH69" i="1"/>
  <c r="Z69" i="1"/>
  <c r="Y69" i="1"/>
  <c r="X69" i="1"/>
  <c r="T69" i="1"/>
  <c r="Q69" i="1"/>
  <c r="O69" i="1"/>
  <c r="L69" i="1"/>
  <c r="AN68" i="1"/>
  <c r="AM68" i="1"/>
  <c r="AK68" i="1"/>
  <c r="AJ68" i="1"/>
  <c r="AH68" i="1" s="1"/>
  <c r="Z68" i="1"/>
  <c r="Y68" i="1"/>
  <c r="Q68" i="1"/>
  <c r="O68" i="1"/>
  <c r="K68" i="1"/>
  <c r="J68" i="1"/>
  <c r="I68" i="1" s="1"/>
  <c r="AB68" i="1" s="1"/>
  <c r="AN67" i="1"/>
  <c r="AM67" i="1"/>
  <c r="AL67" i="1"/>
  <c r="AK67" i="1"/>
  <c r="T67" i="1" s="1"/>
  <c r="AJ67" i="1"/>
  <c r="AI67" i="1"/>
  <c r="AH67" i="1"/>
  <c r="Z67" i="1"/>
  <c r="Y67" i="1"/>
  <c r="X67" i="1" s="1"/>
  <c r="Q67" i="1"/>
  <c r="L67" i="1"/>
  <c r="AN66" i="1"/>
  <c r="AM66" i="1"/>
  <c r="AK66" i="1"/>
  <c r="AJ66" i="1"/>
  <c r="AH66" i="1" s="1"/>
  <c r="L66" i="1" s="1"/>
  <c r="AI66" i="1"/>
  <c r="Z66" i="1"/>
  <c r="Y66" i="1"/>
  <c r="X66" i="1" s="1"/>
  <c r="Q66" i="1"/>
  <c r="O66" i="1"/>
  <c r="K66" i="1"/>
  <c r="AN65" i="1"/>
  <c r="AM65" i="1"/>
  <c r="AL65" i="1" s="1"/>
  <c r="AK65" i="1"/>
  <c r="AJ65" i="1"/>
  <c r="AI65" i="1"/>
  <c r="AH65" i="1"/>
  <c r="Z65" i="1"/>
  <c r="Y65" i="1"/>
  <c r="X65" i="1" s="1"/>
  <c r="T65" i="1"/>
  <c r="Q65" i="1"/>
  <c r="O65" i="1"/>
  <c r="L65" i="1"/>
  <c r="AN64" i="1"/>
  <c r="AM64" i="1"/>
  <c r="AK64" i="1"/>
  <c r="AJ64" i="1"/>
  <c r="AH64" i="1" s="1"/>
  <c r="J64" i="1" s="1"/>
  <c r="I64" i="1" s="1"/>
  <c r="Z64" i="1"/>
  <c r="Y64" i="1"/>
  <c r="X64" i="1" s="1"/>
  <c r="Q64" i="1"/>
  <c r="K64" i="1"/>
  <c r="AN63" i="1"/>
  <c r="AM63" i="1"/>
  <c r="AL63" i="1"/>
  <c r="AK63" i="1"/>
  <c r="AJ63" i="1"/>
  <c r="AI63" i="1"/>
  <c r="AH63" i="1"/>
  <c r="L63" i="1" s="1"/>
  <c r="Z63" i="1"/>
  <c r="Y63" i="1"/>
  <c r="X63" i="1"/>
  <c r="T63" i="1"/>
  <c r="Q63" i="1"/>
  <c r="K63" i="1"/>
  <c r="AN62" i="1"/>
  <c r="AM62" i="1"/>
  <c r="AK62" i="1"/>
  <c r="AJ62" i="1"/>
  <c r="AH62" i="1" s="1"/>
  <c r="L62" i="1" s="1"/>
  <c r="AI62" i="1"/>
  <c r="Z62" i="1"/>
  <c r="Y62" i="1"/>
  <c r="Q62" i="1"/>
  <c r="O62" i="1"/>
  <c r="J62" i="1"/>
  <c r="I62" i="1" s="1"/>
  <c r="AN61" i="1"/>
  <c r="AM61" i="1"/>
  <c r="AL61" i="1"/>
  <c r="AK61" i="1"/>
  <c r="AJ61" i="1"/>
  <c r="AH61" i="1"/>
  <c r="O61" i="1" s="1"/>
  <c r="Z61" i="1"/>
  <c r="Y61" i="1"/>
  <c r="X61" i="1" s="1"/>
  <c r="T61" i="1"/>
  <c r="Q61" i="1"/>
  <c r="AN60" i="1"/>
  <c r="AM60" i="1"/>
  <c r="AK60" i="1"/>
  <c r="AJ60" i="1"/>
  <c r="AH60" i="1" s="1"/>
  <c r="Z60" i="1"/>
  <c r="Y60" i="1"/>
  <c r="Q60" i="1"/>
  <c r="O60" i="1"/>
  <c r="K60" i="1"/>
  <c r="J60" i="1"/>
  <c r="I60" i="1"/>
  <c r="AB60" i="1" s="1"/>
  <c r="AN59" i="1"/>
  <c r="AM59" i="1"/>
  <c r="AL59" i="1"/>
  <c r="AK59" i="1"/>
  <c r="AJ59" i="1"/>
  <c r="AH59" i="1"/>
  <c r="K59" i="1" s="1"/>
  <c r="Z59" i="1"/>
  <c r="Y59" i="1"/>
  <c r="X59" i="1" s="1"/>
  <c r="T59" i="1"/>
  <c r="Q59" i="1"/>
  <c r="L59" i="1"/>
  <c r="AN58" i="1"/>
  <c r="AM58" i="1"/>
  <c r="AK58" i="1"/>
  <c r="AL58" i="1" s="1"/>
  <c r="AJ58" i="1"/>
  <c r="AH58" i="1" s="1"/>
  <c r="Z58" i="1"/>
  <c r="Y58" i="1"/>
  <c r="X58" i="1" s="1"/>
  <c r="Q58" i="1"/>
  <c r="AN57" i="1"/>
  <c r="AM57" i="1"/>
  <c r="AK57" i="1"/>
  <c r="AL57" i="1" s="1"/>
  <c r="AJ57" i="1"/>
  <c r="AH57" i="1"/>
  <c r="O57" i="1" s="1"/>
  <c r="Z57" i="1"/>
  <c r="Y57" i="1"/>
  <c r="X57" i="1"/>
  <c r="Q57" i="1"/>
  <c r="AN56" i="1"/>
  <c r="AM56" i="1"/>
  <c r="AK56" i="1"/>
  <c r="AL56" i="1" s="1"/>
  <c r="AJ56" i="1"/>
  <c r="AH56" i="1" s="1"/>
  <c r="Z56" i="1"/>
  <c r="Y56" i="1"/>
  <c r="X56" i="1" s="1"/>
  <c r="Q56" i="1"/>
  <c r="AN55" i="1"/>
  <c r="AM55" i="1"/>
  <c r="AL55" i="1"/>
  <c r="AK55" i="1"/>
  <c r="AJ55" i="1"/>
  <c r="AI55" i="1"/>
  <c r="AH55" i="1"/>
  <c r="J55" i="1" s="1"/>
  <c r="I55" i="1" s="1"/>
  <c r="Z55" i="1"/>
  <c r="Y55" i="1"/>
  <c r="X55" i="1" s="1"/>
  <c r="T55" i="1"/>
  <c r="Q55" i="1"/>
  <c r="O55" i="1"/>
  <c r="L55" i="1"/>
  <c r="K55" i="1"/>
  <c r="AN54" i="1"/>
  <c r="AM54" i="1"/>
  <c r="AK54" i="1"/>
  <c r="AL54" i="1" s="1"/>
  <c r="AJ54" i="1"/>
  <c r="AH54" i="1" s="1"/>
  <c r="Z54" i="1"/>
  <c r="Y54" i="1"/>
  <c r="X54" i="1" s="1"/>
  <c r="Q54" i="1"/>
  <c r="AN53" i="1"/>
  <c r="AM53" i="1"/>
  <c r="AK53" i="1"/>
  <c r="AJ53" i="1"/>
  <c r="AH53" i="1"/>
  <c r="O53" i="1" s="1"/>
  <c r="Z53" i="1"/>
  <c r="Y53" i="1"/>
  <c r="X53" i="1"/>
  <c r="Q53" i="1"/>
  <c r="AN52" i="1"/>
  <c r="AM52" i="1"/>
  <c r="AK52" i="1"/>
  <c r="AJ52" i="1"/>
  <c r="AH52" i="1" s="1"/>
  <c r="Z52" i="1"/>
  <c r="Y52" i="1"/>
  <c r="X52" i="1" s="1"/>
  <c r="Q52" i="1"/>
  <c r="K52" i="1"/>
  <c r="AN51" i="1"/>
  <c r="AM51" i="1"/>
  <c r="AL51" i="1"/>
  <c r="AK51" i="1"/>
  <c r="AJ51" i="1"/>
  <c r="AI51" i="1"/>
  <c r="AH51" i="1"/>
  <c r="J51" i="1" s="1"/>
  <c r="Z51" i="1"/>
  <c r="Y51" i="1"/>
  <c r="X51" i="1" s="1"/>
  <c r="T51" i="1"/>
  <c r="Q51" i="1"/>
  <c r="O51" i="1"/>
  <c r="L51" i="1"/>
  <c r="K51" i="1"/>
  <c r="I51" i="1"/>
  <c r="AN50" i="1"/>
  <c r="AM50" i="1"/>
  <c r="AK50" i="1"/>
  <c r="AL50" i="1" s="1"/>
  <c r="AJ50" i="1"/>
  <c r="AH50" i="1" s="1"/>
  <c r="Z50" i="1"/>
  <c r="Y50" i="1"/>
  <c r="X50" i="1" s="1"/>
  <c r="Q50" i="1"/>
  <c r="O50" i="1"/>
  <c r="J50" i="1"/>
  <c r="I50" i="1" s="1"/>
  <c r="AB50" i="1" s="1"/>
  <c r="AN49" i="1"/>
  <c r="AM49" i="1"/>
  <c r="AK49" i="1"/>
  <c r="AJ49" i="1"/>
  <c r="AH49" i="1"/>
  <c r="Z49" i="1"/>
  <c r="Y49" i="1"/>
  <c r="X49" i="1"/>
  <c r="Q49" i="1"/>
  <c r="K49" i="1"/>
  <c r="AN48" i="1"/>
  <c r="AM48" i="1"/>
  <c r="AK48" i="1"/>
  <c r="AJ48" i="1"/>
  <c r="AH48" i="1" s="1"/>
  <c r="AI48" i="1"/>
  <c r="Z48" i="1"/>
  <c r="Y48" i="1"/>
  <c r="X48" i="1" s="1"/>
  <c r="Q48" i="1"/>
  <c r="K48" i="1"/>
  <c r="AN47" i="1"/>
  <c r="AM47" i="1"/>
  <c r="AL47" i="1"/>
  <c r="AK47" i="1"/>
  <c r="AJ47" i="1"/>
  <c r="AI47" i="1"/>
  <c r="AH47" i="1"/>
  <c r="J47" i="1" s="1"/>
  <c r="I47" i="1" s="1"/>
  <c r="Z47" i="1"/>
  <c r="Y47" i="1"/>
  <c r="X47" i="1" s="1"/>
  <c r="T47" i="1"/>
  <c r="Q47" i="1"/>
  <c r="O47" i="1"/>
  <c r="L47" i="1"/>
  <c r="K47" i="1"/>
  <c r="AN46" i="1"/>
  <c r="AM46" i="1"/>
  <c r="AK46" i="1"/>
  <c r="AJ46" i="1"/>
  <c r="AH46" i="1" s="1"/>
  <c r="O46" i="1" s="1"/>
  <c r="AI46" i="1"/>
  <c r="Z46" i="1"/>
  <c r="Y46" i="1"/>
  <c r="Q46" i="1"/>
  <c r="J46" i="1"/>
  <c r="I46" i="1" s="1"/>
  <c r="AN45" i="1"/>
  <c r="AM45" i="1"/>
  <c r="AK45" i="1"/>
  <c r="AJ45" i="1"/>
  <c r="AH45" i="1"/>
  <c r="Z45" i="1"/>
  <c r="Y45" i="1"/>
  <c r="X45" i="1"/>
  <c r="Q45" i="1"/>
  <c r="O45" i="1"/>
  <c r="K45" i="1"/>
  <c r="AN44" i="1"/>
  <c r="AM44" i="1"/>
  <c r="AK44" i="1"/>
  <c r="AJ44" i="1"/>
  <c r="AH44" i="1" s="1"/>
  <c r="AI44" i="1" s="1"/>
  <c r="Z44" i="1"/>
  <c r="Y44" i="1"/>
  <c r="X44" i="1" s="1"/>
  <c r="Q44" i="1"/>
  <c r="O44" i="1"/>
  <c r="K44" i="1"/>
  <c r="AN43" i="1"/>
  <c r="AM43" i="1"/>
  <c r="AK43" i="1"/>
  <c r="T43" i="1" s="1"/>
  <c r="AJ43" i="1"/>
  <c r="AI43" i="1"/>
  <c r="AH43" i="1"/>
  <c r="J43" i="1" s="1"/>
  <c r="Z43" i="1"/>
  <c r="Y43" i="1"/>
  <c r="X43" i="1" s="1"/>
  <c r="Q43" i="1"/>
  <c r="O43" i="1"/>
  <c r="L43" i="1"/>
  <c r="K43" i="1"/>
  <c r="I43" i="1"/>
  <c r="AB43" i="1" s="1"/>
  <c r="AN42" i="1"/>
  <c r="AM42" i="1"/>
  <c r="AK42" i="1"/>
  <c r="AJ42" i="1"/>
  <c r="AH42" i="1" s="1"/>
  <c r="L42" i="1" s="1"/>
  <c r="AI42" i="1"/>
  <c r="Z42" i="1"/>
  <c r="Y42" i="1"/>
  <c r="X42" i="1" s="1"/>
  <c r="Q42" i="1"/>
  <c r="O42" i="1"/>
  <c r="AN41" i="1"/>
  <c r="AM41" i="1"/>
  <c r="AK41" i="1"/>
  <c r="AJ41" i="1"/>
  <c r="AH41" i="1"/>
  <c r="O41" i="1" s="1"/>
  <c r="Z41" i="1"/>
  <c r="Y41" i="1"/>
  <c r="X41" i="1" s="1"/>
  <c r="Q41" i="1"/>
  <c r="K41" i="1"/>
  <c r="AN40" i="1"/>
  <c r="AM40" i="1"/>
  <c r="AK40" i="1"/>
  <c r="AJ40" i="1"/>
  <c r="AH40" i="1" s="1"/>
  <c r="O40" i="1" s="1"/>
  <c r="Z40" i="1"/>
  <c r="Y40" i="1"/>
  <c r="X40" i="1" s="1"/>
  <c r="Q40" i="1"/>
  <c r="AN39" i="1"/>
  <c r="AM39" i="1"/>
  <c r="AK39" i="1"/>
  <c r="AL39" i="1" s="1"/>
  <c r="AJ39" i="1"/>
  <c r="AI39" i="1"/>
  <c r="AH39" i="1"/>
  <c r="J39" i="1" s="1"/>
  <c r="I39" i="1" s="1"/>
  <c r="Z39" i="1"/>
  <c r="Y39" i="1"/>
  <c r="X39" i="1" s="1"/>
  <c r="Q39" i="1"/>
  <c r="O39" i="1"/>
  <c r="L39" i="1"/>
  <c r="K39" i="1"/>
  <c r="AN38" i="1"/>
  <c r="AM38" i="1"/>
  <c r="AK38" i="1"/>
  <c r="AJ38" i="1"/>
  <c r="AH38" i="1" s="1"/>
  <c r="L38" i="1" s="1"/>
  <c r="AI38" i="1"/>
  <c r="Z38" i="1"/>
  <c r="Y38" i="1"/>
  <c r="X38" i="1" s="1"/>
  <c r="Q38" i="1"/>
  <c r="O38" i="1"/>
  <c r="K38" i="1"/>
  <c r="J38" i="1"/>
  <c r="I38" i="1" s="1"/>
  <c r="AN37" i="1"/>
  <c r="AM37" i="1"/>
  <c r="AK37" i="1"/>
  <c r="AJ37" i="1"/>
  <c r="AH37" i="1"/>
  <c r="O37" i="1" s="1"/>
  <c r="Z37" i="1"/>
  <c r="Y37" i="1"/>
  <c r="X37" i="1"/>
  <c r="Q37" i="1"/>
  <c r="K37" i="1"/>
  <c r="AN36" i="1"/>
  <c r="AM36" i="1"/>
  <c r="AK36" i="1"/>
  <c r="AJ36" i="1"/>
  <c r="AH36" i="1" s="1"/>
  <c r="AI36" i="1" s="1"/>
  <c r="Z36" i="1"/>
  <c r="Y36" i="1"/>
  <c r="X36" i="1" s="1"/>
  <c r="Q36" i="1"/>
  <c r="O36" i="1"/>
  <c r="K36" i="1"/>
  <c r="AN35" i="1"/>
  <c r="AM35" i="1"/>
  <c r="AK35" i="1"/>
  <c r="T35" i="1" s="1"/>
  <c r="AJ35" i="1"/>
  <c r="AI35" i="1"/>
  <c r="AH35" i="1"/>
  <c r="J35" i="1" s="1"/>
  <c r="AB35" i="1"/>
  <c r="Z35" i="1"/>
  <c r="Y35" i="1"/>
  <c r="X35" i="1" s="1"/>
  <c r="Q35" i="1"/>
  <c r="O35" i="1"/>
  <c r="L35" i="1"/>
  <c r="K35" i="1"/>
  <c r="I35" i="1"/>
  <c r="AN34" i="1"/>
  <c r="AM34" i="1"/>
  <c r="AK34" i="1"/>
  <c r="AJ34" i="1"/>
  <c r="AH34" i="1" s="1"/>
  <c r="L34" i="1" s="1"/>
  <c r="Z34" i="1"/>
  <c r="Y34" i="1"/>
  <c r="X34" i="1" s="1"/>
  <c r="Q34" i="1"/>
  <c r="AN33" i="1"/>
  <c r="AM33" i="1"/>
  <c r="AK33" i="1"/>
  <c r="T33" i="1" s="1"/>
  <c r="AJ33" i="1"/>
  <c r="AH33" i="1"/>
  <c r="J33" i="1" s="1"/>
  <c r="AB33" i="1"/>
  <c r="Z33" i="1"/>
  <c r="Y33" i="1"/>
  <c r="X33" i="1" s="1"/>
  <c r="Q33" i="1"/>
  <c r="O33" i="1"/>
  <c r="L33" i="1"/>
  <c r="I33" i="1"/>
  <c r="AN32" i="1"/>
  <c r="AM32" i="1"/>
  <c r="AK32" i="1"/>
  <c r="AJ32" i="1"/>
  <c r="AH32" i="1" s="1"/>
  <c r="L32" i="1" s="1"/>
  <c r="Z32" i="1"/>
  <c r="Y32" i="1"/>
  <c r="X32" i="1" s="1"/>
  <c r="Q32" i="1"/>
  <c r="AN31" i="1"/>
  <c r="AM31" i="1"/>
  <c r="AK31" i="1"/>
  <c r="T31" i="1" s="1"/>
  <c r="AJ31" i="1"/>
  <c r="AH31" i="1"/>
  <c r="J31" i="1" s="1"/>
  <c r="AB31" i="1"/>
  <c r="Z31" i="1"/>
  <c r="Y31" i="1"/>
  <c r="X31" i="1" s="1"/>
  <c r="Q31" i="1"/>
  <c r="O31" i="1"/>
  <c r="L31" i="1"/>
  <c r="I31" i="1"/>
  <c r="AN30" i="1"/>
  <c r="AM30" i="1"/>
  <c r="AK30" i="1"/>
  <c r="AJ30" i="1"/>
  <c r="AH30" i="1" s="1"/>
  <c r="L30" i="1" s="1"/>
  <c r="Z30" i="1"/>
  <c r="Y30" i="1"/>
  <c r="X30" i="1" s="1"/>
  <c r="Q30" i="1"/>
  <c r="AN29" i="1"/>
  <c r="AM29" i="1"/>
  <c r="AK29" i="1"/>
  <c r="T29" i="1" s="1"/>
  <c r="AJ29" i="1"/>
  <c r="AH29" i="1"/>
  <c r="J29" i="1" s="1"/>
  <c r="AB29" i="1"/>
  <c r="Z29" i="1"/>
  <c r="Y29" i="1"/>
  <c r="X29" i="1" s="1"/>
  <c r="Q29" i="1"/>
  <c r="O29" i="1"/>
  <c r="L29" i="1"/>
  <c r="I29" i="1"/>
  <c r="AN28" i="1"/>
  <c r="AM28" i="1"/>
  <c r="AK28" i="1"/>
  <c r="AJ28" i="1"/>
  <c r="AH28" i="1" s="1"/>
  <c r="L28" i="1" s="1"/>
  <c r="Z28" i="1"/>
  <c r="Y28" i="1"/>
  <c r="X28" i="1" s="1"/>
  <c r="Q28" i="1"/>
  <c r="AN27" i="1"/>
  <c r="AM27" i="1"/>
  <c r="AK27" i="1"/>
  <c r="T27" i="1" s="1"/>
  <c r="AJ27" i="1"/>
  <c r="AH27" i="1"/>
  <c r="J27" i="1" s="1"/>
  <c r="AB27" i="1"/>
  <c r="Z27" i="1"/>
  <c r="Y27" i="1"/>
  <c r="X27" i="1" s="1"/>
  <c r="Q27" i="1"/>
  <c r="O27" i="1"/>
  <c r="L27" i="1"/>
  <c r="I27" i="1"/>
  <c r="AN26" i="1"/>
  <c r="AM26" i="1"/>
  <c r="AK26" i="1"/>
  <c r="AJ26" i="1"/>
  <c r="AH26" i="1" s="1"/>
  <c r="L26" i="1" s="1"/>
  <c r="Z26" i="1"/>
  <c r="Y26" i="1"/>
  <c r="X26" i="1" s="1"/>
  <c r="Q26" i="1"/>
  <c r="AN25" i="1"/>
  <c r="AM25" i="1"/>
  <c r="AK25" i="1"/>
  <c r="AL25" i="1" s="1"/>
  <c r="AJ25" i="1"/>
  <c r="AH25" i="1"/>
  <c r="AI25" i="1" s="1"/>
  <c r="Z25" i="1"/>
  <c r="X25" i="1" s="1"/>
  <c r="Y25" i="1"/>
  <c r="Q25" i="1"/>
  <c r="K25" i="1"/>
  <c r="J25" i="1"/>
  <c r="I25" i="1" s="1"/>
  <c r="AN24" i="1"/>
  <c r="AM24" i="1"/>
  <c r="AK24" i="1"/>
  <c r="AL24" i="1" s="1"/>
  <c r="AJ24" i="1"/>
  <c r="AH24" i="1"/>
  <c r="AI24" i="1" s="1"/>
  <c r="Z24" i="1"/>
  <c r="Y24" i="1"/>
  <c r="X24" i="1"/>
  <c r="Q24" i="1"/>
  <c r="K24" i="1"/>
  <c r="AN23" i="1"/>
  <c r="T23" i="1" s="1"/>
  <c r="AM23" i="1"/>
  <c r="AL23" i="1"/>
  <c r="AK23" i="1"/>
  <c r="AJ23" i="1"/>
  <c r="AH23" i="1" s="1"/>
  <c r="Z23" i="1"/>
  <c r="Y23" i="1"/>
  <c r="X23" i="1" s="1"/>
  <c r="Q23" i="1"/>
  <c r="AN22" i="1"/>
  <c r="AM22" i="1"/>
  <c r="AL22" i="1"/>
  <c r="AK22" i="1"/>
  <c r="AJ22" i="1"/>
  <c r="AH22" i="1"/>
  <c r="K22" i="1" s="1"/>
  <c r="Z22" i="1"/>
  <c r="Y22" i="1"/>
  <c r="X22" i="1"/>
  <c r="T22" i="1"/>
  <c r="Q22" i="1"/>
  <c r="O22" i="1"/>
  <c r="L22" i="1"/>
  <c r="AN21" i="1"/>
  <c r="AM21" i="1"/>
  <c r="AK21" i="1"/>
  <c r="AL21" i="1" s="1"/>
  <c r="AJ21" i="1"/>
  <c r="AH21" i="1" s="1"/>
  <c r="Z21" i="1"/>
  <c r="X21" i="1" s="1"/>
  <c r="Y21" i="1"/>
  <c r="Q21" i="1"/>
  <c r="AN20" i="1"/>
  <c r="AM20" i="1"/>
  <c r="AK20" i="1"/>
  <c r="AL20" i="1" s="1"/>
  <c r="AJ20" i="1"/>
  <c r="AH20" i="1"/>
  <c r="AI20" i="1" s="1"/>
  <c r="Z20" i="1"/>
  <c r="Y20" i="1"/>
  <c r="X20" i="1"/>
  <c r="Q20" i="1"/>
  <c r="K20" i="1"/>
  <c r="AN19" i="1"/>
  <c r="T19" i="1" s="1"/>
  <c r="AM19" i="1"/>
  <c r="AL19" i="1"/>
  <c r="AK19" i="1"/>
  <c r="AJ19" i="1"/>
  <c r="AH19" i="1" s="1"/>
  <c r="Z19" i="1"/>
  <c r="Y19" i="1"/>
  <c r="X19" i="1" s="1"/>
  <c r="Q19" i="1"/>
  <c r="AN18" i="1"/>
  <c r="AM18" i="1"/>
  <c r="AL18" i="1"/>
  <c r="AK18" i="1"/>
  <c r="AJ18" i="1"/>
  <c r="AH18" i="1" s="1"/>
  <c r="Z18" i="1"/>
  <c r="X18" i="1" s="1"/>
  <c r="Y18" i="1"/>
  <c r="T18" i="1"/>
  <c r="Q18" i="1"/>
  <c r="AN17" i="1"/>
  <c r="AM17" i="1"/>
  <c r="AK17" i="1"/>
  <c r="AL17" i="1" s="1"/>
  <c r="AJ17" i="1"/>
  <c r="AH17" i="1" s="1"/>
  <c r="Z17" i="1"/>
  <c r="X17" i="1" s="1"/>
  <c r="Y17" i="1"/>
  <c r="Q17" i="1"/>
  <c r="U27" i="1" l="1"/>
  <c r="V27" i="1" s="1"/>
  <c r="K17" i="1"/>
  <c r="J17" i="1"/>
  <c r="I17" i="1" s="1"/>
  <c r="AI17" i="1"/>
  <c r="O17" i="1"/>
  <c r="L17" i="1"/>
  <c r="O18" i="1"/>
  <c r="L18" i="1"/>
  <c r="K18" i="1"/>
  <c r="J18" i="1"/>
  <c r="I18" i="1" s="1"/>
  <c r="AI18" i="1"/>
  <c r="O19" i="1"/>
  <c r="AI19" i="1"/>
  <c r="L19" i="1"/>
  <c r="K19" i="1"/>
  <c r="J19" i="1"/>
  <c r="I19" i="1" s="1"/>
  <c r="U19" i="1" s="1"/>
  <c r="V19" i="1" s="1"/>
  <c r="U33" i="1"/>
  <c r="V33" i="1" s="1"/>
  <c r="U22" i="1"/>
  <c r="V22" i="1" s="1"/>
  <c r="K21" i="1"/>
  <c r="J21" i="1"/>
  <c r="I21" i="1" s="1"/>
  <c r="AI21" i="1"/>
  <c r="O21" i="1"/>
  <c r="L21" i="1"/>
  <c r="U29" i="1"/>
  <c r="V29" i="1" s="1"/>
  <c r="AB38" i="1"/>
  <c r="AB39" i="1"/>
  <c r="AB46" i="1"/>
  <c r="R47" i="1"/>
  <c r="P47" i="1" s="1"/>
  <c r="S47" i="1" s="1"/>
  <c r="M47" i="1" s="1"/>
  <c r="N47" i="1" s="1"/>
  <c r="AB47" i="1"/>
  <c r="U18" i="1"/>
  <c r="V18" i="1" s="1"/>
  <c r="AB25" i="1"/>
  <c r="U31" i="1"/>
  <c r="V31" i="1" s="1"/>
  <c r="R31" i="1" s="1"/>
  <c r="P31" i="1" s="1"/>
  <c r="S31" i="1" s="1"/>
  <c r="M31" i="1" s="1"/>
  <c r="N31" i="1" s="1"/>
  <c r="U35" i="1"/>
  <c r="V35" i="1" s="1"/>
  <c r="U43" i="1"/>
  <c r="V43" i="1" s="1"/>
  <c r="O23" i="1"/>
  <c r="AI23" i="1"/>
  <c r="L23" i="1"/>
  <c r="K23" i="1"/>
  <c r="J23" i="1"/>
  <c r="I23" i="1" s="1"/>
  <c r="T17" i="1"/>
  <c r="J20" i="1"/>
  <c r="I20" i="1" s="1"/>
  <c r="T21" i="1"/>
  <c r="J24" i="1"/>
  <c r="I24" i="1" s="1"/>
  <c r="L25" i="1"/>
  <c r="T25" i="1"/>
  <c r="O26" i="1"/>
  <c r="AL27" i="1"/>
  <c r="O28" i="1"/>
  <c r="AL29" i="1"/>
  <c r="O30" i="1"/>
  <c r="AL31" i="1"/>
  <c r="O32" i="1"/>
  <c r="AL33" i="1"/>
  <c r="O34" i="1"/>
  <c r="AL35" i="1"/>
  <c r="AI37" i="1"/>
  <c r="T39" i="1"/>
  <c r="AI40" i="1"/>
  <c r="L45" i="1"/>
  <c r="J45" i="1"/>
  <c r="I45" i="1" s="1"/>
  <c r="AI45" i="1"/>
  <c r="AL52" i="1"/>
  <c r="T52" i="1"/>
  <c r="L56" i="1"/>
  <c r="K56" i="1"/>
  <c r="J56" i="1"/>
  <c r="I56" i="1" s="1"/>
  <c r="AI56" i="1"/>
  <c r="O56" i="1"/>
  <c r="J58" i="1"/>
  <c r="I58" i="1" s="1"/>
  <c r="AI58" i="1"/>
  <c r="O58" i="1"/>
  <c r="L58" i="1"/>
  <c r="K58" i="1"/>
  <c r="L20" i="1"/>
  <c r="T20" i="1"/>
  <c r="L24" i="1"/>
  <c r="T24" i="1"/>
  <c r="R27" i="1"/>
  <c r="P27" i="1" s="1"/>
  <c r="S27" i="1" s="1"/>
  <c r="M27" i="1" s="1"/>
  <c r="N27" i="1" s="1"/>
  <c r="R29" i="1"/>
  <c r="P29" i="1" s="1"/>
  <c r="S29" i="1" s="1"/>
  <c r="M29" i="1" s="1"/>
  <c r="N29" i="1" s="1"/>
  <c r="R33" i="1"/>
  <c r="P33" i="1" s="1"/>
  <c r="S33" i="1" s="1"/>
  <c r="M33" i="1" s="1"/>
  <c r="N33" i="1" s="1"/>
  <c r="R35" i="1"/>
  <c r="P35" i="1" s="1"/>
  <c r="S35" i="1" s="1"/>
  <c r="M35" i="1" s="1"/>
  <c r="N35" i="1" s="1"/>
  <c r="AL37" i="1"/>
  <c r="T37" i="1"/>
  <c r="AL40" i="1"/>
  <c r="T40" i="1"/>
  <c r="AL43" i="1"/>
  <c r="AL45" i="1"/>
  <c r="T45" i="1"/>
  <c r="L46" i="1"/>
  <c r="K46" i="1"/>
  <c r="O49" i="1"/>
  <c r="L49" i="1"/>
  <c r="J49" i="1"/>
  <c r="I49" i="1" s="1"/>
  <c r="AI49" i="1"/>
  <c r="AI50" i="1"/>
  <c r="L50" i="1"/>
  <c r="K50" i="1"/>
  <c r="K40" i="1"/>
  <c r="AI22" i="1"/>
  <c r="O25" i="1"/>
  <c r="K27" i="1"/>
  <c r="K29" i="1"/>
  <c r="K31" i="1"/>
  <c r="K33" i="1"/>
  <c r="J42" i="1"/>
  <c r="I42" i="1" s="1"/>
  <c r="AL42" i="1"/>
  <c r="T42" i="1"/>
  <c r="AL46" i="1"/>
  <c r="U47" i="1"/>
  <c r="V47" i="1" s="1"/>
  <c r="AC47" i="1" s="1"/>
  <c r="L48" i="1"/>
  <c r="J48" i="1"/>
  <c r="I48" i="1" s="1"/>
  <c r="O48" i="1"/>
  <c r="U51" i="1"/>
  <c r="V51" i="1" s="1"/>
  <c r="AC51" i="1" s="1"/>
  <c r="J54" i="1"/>
  <c r="I54" i="1" s="1"/>
  <c r="AI54" i="1"/>
  <c r="O54" i="1"/>
  <c r="L54" i="1"/>
  <c r="K54" i="1"/>
  <c r="J22" i="1"/>
  <c r="I22" i="1" s="1"/>
  <c r="J26" i="1"/>
  <c r="I26" i="1" s="1"/>
  <c r="J28" i="1"/>
  <c r="I28" i="1" s="1"/>
  <c r="J30" i="1"/>
  <c r="I30" i="1" s="1"/>
  <c r="J32" i="1"/>
  <c r="I32" i="1" s="1"/>
  <c r="J34" i="1"/>
  <c r="I34" i="1" s="1"/>
  <c r="L36" i="1"/>
  <c r="J36" i="1"/>
  <c r="I36" i="1" s="1"/>
  <c r="L41" i="1"/>
  <c r="J41" i="1"/>
  <c r="I41" i="1" s="1"/>
  <c r="K42" i="1"/>
  <c r="AL48" i="1"/>
  <c r="T48" i="1"/>
  <c r="AL49" i="1"/>
  <c r="T49" i="1"/>
  <c r="AB62" i="1"/>
  <c r="AB70" i="1"/>
  <c r="L40" i="1"/>
  <c r="J40" i="1"/>
  <c r="I40" i="1" s="1"/>
  <c r="O20" i="1"/>
  <c r="O24" i="1"/>
  <c r="K26" i="1"/>
  <c r="AI26" i="1"/>
  <c r="AI27" i="1"/>
  <c r="K28" i="1"/>
  <c r="AI28" i="1"/>
  <c r="AI29" i="1"/>
  <c r="K30" i="1"/>
  <c r="AI30" i="1"/>
  <c r="AI31" i="1"/>
  <c r="K32" i="1"/>
  <c r="AI32" i="1"/>
  <c r="AI33" i="1"/>
  <c r="K34" i="1"/>
  <c r="AI34" i="1"/>
  <c r="AL36" i="1"/>
  <c r="T36" i="1"/>
  <c r="AI41" i="1"/>
  <c r="X46" i="1"/>
  <c r="AL53" i="1"/>
  <c r="U73" i="1"/>
  <c r="V73" i="1" s="1"/>
  <c r="AC73" i="1" s="1"/>
  <c r="AL38" i="1"/>
  <c r="T38" i="1"/>
  <c r="L44" i="1"/>
  <c r="J44" i="1"/>
  <c r="I44" i="1" s="1"/>
  <c r="AB51" i="1"/>
  <c r="AB55" i="1"/>
  <c r="AL26" i="1"/>
  <c r="T26" i="1"/>
  <c r="AL28" i="1"/>
  <c r="T28" i="1"/>
  <c r="AL30" i="1"/>
  <c r="T30" i="1"/>
  <c r="AL32" i="1"/>
  <c r="T32" i="1"/>
  <c r="AL34" i="1"/>
  <c r="T34" i="1"/>
  <c r="L37" i="1"/>
  <c r="J37" i="1"/>
  <c r="I37" i="1" s="1"/>
  <c r="AL41" i="1"/>
  <c r="T41" i="1"/>
  <c r="AL44" i="1"/>
  <c r="T44" i="1"/>
  <c r="L52" i="1"/>
  <c r="J52" i="1"/>
  <c r="I52" i="1" s="1"/>
  <c r="AI52" i="1"/>
  <c r="O52" i="1"/>
  <c r="AB64" i="1"/>
  <c r="AI53" i="1"/>
  <c r="U55" i="1"/>
  <c r="V55" i="1" s="1"/>
  <c r="AI57" i="1"/>
  <c r="J71" i="1"/>
  <c r="I71" i="1" s="1"/>
  <c r="O71" i="1"/>
  <c r="L72" i="1"/>
  <c r="AI72" i="1"/>
  <c r="L80" i="1"/>
  <c r="AI80" i="1"/>
  <c r="J82" i="1"/>
  <c r="I82" i="1" s="1"/>
  <c r="AI82" i="1"/>
  <c r="O82" i="1"/>
  <c r="L82" i="1"/>
  <c r="L100" i="1"/>
  <c r="K100" i="1"/>
  <c r="J100" i="1"/>
  <c r="I100" i="1" s="1"/>
  <c r="AI100" i="1"/>
  <c r="AC174" i="1"/>
  <c r="W174" i="1"/>
  <c r="AA174" i="1" s="1"/>
  <c r="AD174" i="1"/>
  <c r="AE174" i="1" s="1"/>
  <c r="T46" i="1"/>
  <c r="T50" i="1"/>
  <c r="J53" i="1"/>
  <c r="I53" i="1" s="1"/>
  <c r="T54" i="1"/>
  <c r="J57" i="1"/>
  <c r="I57" i="1" s="1"/>
  <c r="T58" i="1"/>
  <c r="O59" i="1"/>
  <c r="AI59" i="1"/>
  <c r="L60" i="1"/>
  <c r="AI60" i="1"/>
  <c r="O64" i="1"/>
  <c r="K65" i="1"/>
  <c r="J65" i="1"/>
  <c r="I65" i="1" s="1"/>
  <c r="J66" i="1"/>
  <c r="I66" i="1" s="1"/>
  <c r="AL66" i="1"/>
  <c r="T66" i="1"/>
  <c r="O70" i="1"/>
  <c r="U71" i="1"/>
  <c r="V71" i="1" s="1"/>
  <c r="AI71" i="1"/>
  <c r="AL72" i="1"/>
  <c r="T72" i="1"/>
  <c r="AI74" i="1"/>
  <c r="K76" i="1"/>
  <c r="X76" i="1"/>
  <c r="O78" i="1"/>
  <c r="AL80" i="1"/>
  <c r="T80" i="1"/>
  <c r="AL82" i="1"/>
  <c r="T82" i="1"/>
  <c r="L84" i="1"/>
  <c r="K84" i="1"/>
  <c r="AI84" i="1"/>
  <c r="L87" i="1"/>
  <c r="K87" i="1"/>
  <c r="J87" i="1"/>
  <c r="I87" i="1" s="1"/>
  <c r="AI87" i="1"/>
  <c r="O87" i="1"/>
  <c r="J98" i="1"/>
  <c r="I98" i="1" s="1"/>
  <c r="AI98" i="1"/>
  <c r="O98" i="1"/>
  <c r="L98" i="1"/>
  <c r="R102" i="1"/>
  <c r="P102" i="1" s="1"/>
  <c r="S102" i="1" s="1"/>
  <c r="M102" i="1" s="1"/>
  <c r="N102" i="1" s="1"/>
  <c r="AB102" i="1"/>
  <c r="K53" i="1"/>
  <c r="K57" i="1"/>
  <c r="AL60" i="1"/>
  <c r="T60" i="1"/>
  <c r="L75" i="1"/>
  <c r="J75" i="1"/>
  <c r="I75" i="1" s="1"/>
  <c r="O75" i="1"/>
  <c r="J80" i="1"/>
  <c r="I80" i="1" s="1"/>
  <c r="J90" i="1"/>
  <c r="I90" i="1" s="1"/>
  <c r="AI90" i="1"/>
  <c r="O90" i="1"/>
  <c r="L90" i="1"/>
  <c r="L96" i="1"/>
  <c r="K96" i="1"/>
  <c r="J96" i="1"/>
  <c r="I96" i="1" s="1"/>
  <c r="AI96" i="1"/>
  <c r="AL98" i="1"/>
  <c r="T98" i="1"/>
  <c r="O100" i="1"/>
  <c r="AI118" i="1"/>
  <c r="L118" i="1"/>
  <c r="O118" i="1"/>
  <c r="K118" i="1"/>
  <c r="J118" i="1"/>
  <c r="I118" i="1" s="1"/>
  <c r="AB122" i="1"/>
  <c r="L53" i="1"/>
  <c r="T53" i="1"/>
  <c r="L57" i="1"/>
  <c r="T57" i="1"/>
  <c r="X60" i="1"/>
  <c r="J67" i="1"/>
  <c r="I67" i="1" s="1"/>
  <c r="O67" i="1"/>
  <c r="L68" i="1"/>
  <c r="AI68" i="1"/>
  <c r="L71" i="1"/>
  <c r="O72" i="1"/>
  <c r="K73" i="1"/>
  <c r="J73" i="1"/>
  <c r="I73" i="1" s="1"/>
  <c r="J74" i="1"/>
  <c r="I74" i="1" s="1"/>
  <c r="AL74" i="1"/>
  <c r="T74" i="1"/>
  <c r="AI75" i="1"/>
  <c r="K80" i="1"/>
  <c r="X80" i="1"/>
  <c r="AL87" i="1"/>
  <c r="X88" i="1"/>
  <c r="AL90" i="1"/>
  <c r="T90" i="1"/>
  <c r="J94" i="1"/>
  <c r="I94" i="1" s="1"/>
  <c r="AI94" i="1"/>
  <c r="O94" i="1"/>
  <c r="L94" i="1"/>
  <c r="AB107" i="1"/>
  <c r="U107" i="1"/>
  <c r="V107" i="1" s="1"/>
  <c r="R107" i="1" s="1"/>
  <c r="P107" i="1" s="1"/>
  <c r="S107" i="1" s="1"/>
  <c r="M107" i="1" s="1"/>
  <c r="N107" i="1" s="1"/>
  <c r="L127" i="1"/>
  <c r="K127" i="1"/>
  <c r="J127" i="1"/>
  <c r="I127" i="1" s="1"/>
  <c r="AI127" i="1"/>
  <c r="O127" i="1"/>
  <c r="K61" i="1"/>
  <c r="J61" i="1"/>
  <c r="I61" i="1" s="1"/>
  <c r="AL62" i="1"/>
  <c r="T62" i="1"/>
  <c r="AL68" i="1"/>
  <c r="T68" i="1"/>
  <c r="J78" i="1"/>
  <c r="I78" i="1" s="1"/>
  <c r="L78" i="1"/>
  <c r="L79" i="1"/>
  <c r="J79" i="1"/>
  <c r="I79" i="1" s="1"/>
  <c r="O79" i="1"/>
  <c r="L83" i="1"/>
  <c r="K83" i="1"/>
  <c r="J83" i="1"/>
  <c r="I83" i="1" s="1"/>
  <c r="AI83" i="1"/>
  <c r="O83" i="1"/>
  <c r="L92" i="1"/>
  <c r="K92" i="1"/>
  <c r="AI92" i="1"/>
  <c r="AL94" i="1"/>
  <c r="T94" i="1"/>
  <c r="U102" i="1"/>
  <c r="V102" i="1" s="1"/>
  <c r="O105" i="1"/>
  <c r="L105" i="1"/>
  <c r="K105" i="1"/>
  <c r="J105" i="1"/>
  <c r="I105" i="1" s="1"/>
  <c r="AI105" i="1"/>
  <c r="AL112" i="1"/>
  <c r="T112" i="1"/>
  <c r="T56" i="1"/>
  <c r="J59" i="1"/>
  <c r="I59" i="1" s="1"/>
  <c r="AI61" i="1"/>
  <c r="K62" i="1"/>
  <c r="X62" i="1"/>
  <c r="K67" i="1"/>
  <c r="X68" i="1"/>
  <c r="L73" i="1"/>
  <c r="AL75" i="1"/>
  <c r="T75" i="1"/>
  <c r="AL78" i="1"/>
  <c r="T78" i="1"/>
  <c r="AI79" i="1"/>
  <c r="O80" i="1"/>
  <c r="J86" i="1"/>
  <c r="I86" i="1" s="1"/>
  <c r="AI86" i="1"/>
  <c r="O86" i="1"/>
  <c r="L86" i="1"/>
  <c r="O92" i="1"/>
  <c r="K94" i="1"/>
  <c r="AC102" i="1"/>
  <c r="L61" i="1"/>
  <c r="J63" i="1"/>
  <c r="I63" i="1" s="1"/>
  <c r="O63" i="1"/>
  <c r="L64" i="1"/>
  <c r="AI64" i="1"/>
  <c r="K69" i="1"/>
  <c r="J69" i="1"/>
  <c r="I69" i="1" s="1"/>
  <c r="AL70" i="1"/>
  <c r="T70" i="1"/>
  <c r="O74" i="1"/>
  <c r="L76" i="1"/>
  <c r="AI76" i="1"/>
  <c r="AL83" i="1"/>
  <c r="X84" i="1"/>
  <c r="AL86" i="1"/>
  <c r="T86" i="1"/>
  <c r="L88" i="1"/>
  <c r="K88" i="1"/>
  <c r="AI88" i="1"/>
  <c r="U89" i="1"/>
  <c r="V89" i="1" s="1"/>
  <c r="AL64" i="1"/>
  <c r="T64" i="1"/>
  <c r="AL76" i="1"/>
  <c r="T76" i="1"/>
  <c r="K78" i="1"/>
  <c r="AL79" i="1"/>
  <c r="T79" i="1"/>
  <c r="L91" i="1"/>
  <c r="K91" i="1"/>
  <c r="J91" i="1"/>
  <c r="I91" i="1" s="1"/>
  <c r="AI91" i="1"/>
  <c r="O91" i="1"/>
  <c r="R103" i="1"/>
  <c r="P103" i="1" s="1"/>
  <c r="S103" i="1" s="1"/>
  <c r="M103" i="1" s="1"/>
  <c r="N103" i="1" s="1"/>
  <c r="AB103" i="1"/>
  <c r="AL124" i="1"/>
  <c r="T124" i="1"/>
  <c r="J77" i="1"/>
  <c r="I77" i="1" s="1"/>
  <c r="U77" i="1" s="1"/>
  <c r="V77" i="1" s="1"/>
  <c r="J81" i="1"/>
  <c r="I81" i="1" s="1"/>
  <c r="J85" i="1"/>
  <c r="I85" i="1" s="1"/>
  <c r="J89" i="1"/>
  <c r="I89" i="1" s="1"/>
  <c r="J93" i="1"/>
  <c r="I93" i="1" s="1"/>
  <c r="U93" i="1" s="1"/>
  <c r="V93" i="1" s="1"/>
  <c r="J97" i="1"/>
  <c r="I97" i="1" s="1"/>
  <c r="J101" i="1"/>
  <c r="I101" i="1" s="1"/>
  <c r="O104" i="1"/>
  <c r="AL104" i="1"/>
  <c r="T104" i="1"/>
  <c r="AI106" i="1"/>
  <c r="L106" i="1"/>
  <c r="J110" i="1"/>
  <c r="I110" i="1" s="1"/>
  <c r="AL118" i="1"/>
  <c r="T118" i="1"/>
  <c r="K122" i="1"/>
  <c r="AB129" i="1"/>
  <c r="R129" i="1"/>
  <c r="P129" i="1" s="1"/>
  <c r="S129" i="1" s="1"/>
  <c r="M129" i="1" s="1"/>
  <c r="N129" i="1" s="1"/>
  <c r="K93" i="1"/>
  <c r="O95" i="1"/>
  <c r="K97" i="1"/>
  <c r="O99" i="1"/>
  <c r="K101" i="1"/>
  <c r="AL106" i="1"/>
  <c r="T106" i="1"/>
  <c r="X114" i="1"/>
  <c r="AL116" i="1"/>
  <c r="T116" i="1"/>
  <c r="O121" i="1"/>
  <c r="L121" i="1"/>
  <c r="K121" i="1"/>
  <c r="J121" i="1"/>
  <c r="I121" i="1" s="1"/>
  <c r="U149" i="1"/>
  <c r="V149" i="1" s="1"/>
  <c r="AC149" i="1" s="1"/>
  <c r="O109" i="1"/>
  <c r="L109" i="1"/>
  <c r="K109" i="1"/>
  <c r="J109" i="1"/>
  <c r="I109" i="1" s="1"/>
  <c r="AI122" i="1"/>
  <c r="L122" i="1"/>
  <c r="AI95" i="1"/>
  <c r="U97" i="1"/>
  <c r="V97" i="1" s="1"/>
  <c r="AI99" i="1"/>
  <c r="U101" i="1"/>
  <c r="V101" i="1" s="1"/>
  <c r="U103" i="1"/>
  <c r="V103" i="1" s="1"/>
  <c r="AI109" i="1"/>
  <c r="AI110" i="1"/>
  <c r="L110" i="1"/>
  <c r="AL122" i="1"/>
  <c r="T122" i="1"/>
  <c r="J126" i="1"/>
  <c r="I126" i="1" s="1"/>
  <c r="AI126" i="1"/>
  <c r="L126" i="1"/>
  <c r="AB148" i="1"/>
  <c r="T84" i="1"/>
  <c r="T88" i="1"/>
  <c r="T92" i="1"/>
  <c r="J95" i="1"/>
  <c r="I95" i="1" s="1"/>
  <c r="T96" i="1"/>
  <c r="J99" i="1"/>
  <c r="I99" i="1" s="1"/>
  <c r="T100" i="1"/>
  <c r="X102" i="1"/>
  <c r="J104" i="1"/>
  <c r="I104" i="1" s="1"/>
  <c r="X106" i="1"/>
  <c r="AL110" i="1"/>
  <c r="T110" i="1"/>
  <c r="O113" i="1"/>
  <c r="L113" i="1"/>
  <c r="K113" i="1"/>
  <c r="J113" i="1"/>
  <c r="I113" i="1" s="1"/>
  <c r="AL120" i="1"/>
  <c r="T120" i="1"/>
  <c r="AL121" i="1"/>
  <c r="AL126" i="1"/>
  <c r="T126" i="1"/>
  <c r="K95" i="1"/>
  <c r="K99" i="1"/>
  <c r="AL108" i="1"/>
  <c r="T108" i="1"/>
  <c r="AI114" i="1"/>
  <c r="L114" i="1"/>
  <c r="AC129" i="1"/>
  <c r="U129" i="1"/>
  <c r="V129" i="1" s="1"/>
  <c r="T83" i="1"/>
  <c r="T87" i="1"/>
  <c r="L104" i="1"/>
  <c r="AI104" i="1"/>
  <c r="AL114" i="1"/>
  <c r="T114" i="1"/>
  <c r="O117" i="1"/>
  <c r="L117" i="1"/>
  <c r="K117" i="1"/>
  <c r="J117" i="1"/>
  <c r="I117" i="1" s="1"/>
  <c r="J125" i="1"/>
  <c r="I125" i="1" s="1"/>
  <c r="AI132" i="1"/>
  <c r="O132" i="1"/>
  <c r="O135" i="1"/>
  <c r="L135" i="1"/>
  <c r="K135" i="1"/>
  <c r="J135" i="1"/>
  <c r="I135" i="1" s="1"/>
  <c r="AI135" i="1"/>
  <c r="O139" i="1"/>
  <c r="L139" i="1"/>
  <c r="K139" i="1"/>
  <c r="J139" i="1"/>
  <c r="I139" i="1" s="1"/>
  <c r="AI139" i="1"/>
  <c r="O143" i="1"/>
  <c r="L143" i="1"/>
  <c r="K143" i="1"/>
  <c r="J143" i="1"/>
  <c r="I143" i="1" s="1"/>
  <c r="AI143" i="1"/>
  <c r="O107" i="1"/>
  <c r="AI108" i="1"/>
  <c r="O111" i="1"/>
  <c r="AI112" i="1"/>
  <c r="O115" i="1"/>
  <c r="AI116" i="1"/>
  <c r="AI120" i="1"/>
  <c r="AI124" i="1"/>
  <c r="K125" i="1"/>
  <c r="AI128" i="1"/>
  <c r="J131" i="1"/>
  <c r="I131" i="1" s="1"/>
  <c r="U141" i="1"/>
  <c r="V141" i="1" s="1"/>
  <c r="O147" i="1"/>
  <c r="L147" i="1"/>
  <c r="K147" i="1"/>
  <c r="J147" i="1"/>
  <c r="I147" i="1" s="1"/>
  <c r="AI147" i="1"/>
  <c r="J108" i="1"/>
  <c r="I108" i="1" s="1"/>
  <c r="J112" i="1"/>
  <c r="I112" i="1" s="1"/>
  <c r="J116" i="1"/>
  <c r="I116" i="1" s="1"/>
  <c r="J120" i="1"/>
  <c r="I120" i="1" s="1"/>
  <c r="J124" i="1"/>
  <c r="I124" i="1" s="1"/>
  <c r="L125" i="1"/>
  <c r="J128" i="1"/>
  <c r="I128" i="1" s="1"/>
  <c r="J132" i="1"/>
  <c r="I132" i="1" s="1"/>
  <c r="U146" i="1"/>
  <c r="V146" i="1" s="1"/>
  <c r="AC146" i="1" s="1"/>
  <c r="AB161" i="1"/>
  <c r="AB167" i="1"/>
  <c r="L130" i="1"/>
  <c r="AI130" i="1"/>
  <c r="O131" i="1"/>
  <c r="K131" i="1"/>
  <c r="AI136" i="1"/>
  <c r="O136" i="1"/>
  <c r="L136" i="1"/>
  <c r="K136" i="1"/>
  <c r="AI140" i="1"/>
  <c r="O140" i="1"/>
  <c r="L140" i="1"/>
  <c r="K140" i="1"/>
  <c r="O168" i="1"/>
  <c r="J168" i="1"/>
  <c r="I168" i="1" s="1"/>
  <c r="AI168" i="1"/>
  <c r="L168" i="1"/>
  <c r="J111" i="1"/>
  <c r="I111" i="1" s="1"/>
  <c r="J115" i="1"/>
  <c r="I115" i="1" s="1"/>
  <c r="J119" i="1"/>
  <c r="I119" i="1" s="1"/>
  <c r="J123" i="1"/>
  <c r="I123" i="1" s="1"/>
  <c r="T128" i="1"/>
  <c r="J130" i="1"/>
  <c r="I130" i="1" s="1"/>
  <c r="AC131" i="1"/>
  <c r="AI131" i="1"/>
  <c r="L132" i="1"/>
  <c r="AI144" i="1"/>
  <c r="O144" i="1"/>
  <c r="L144" i="1"/>
  <c r="K144" i="1"/>
  <c r="L151" i="1"/>
  <c r="AI151" i="1"/>
  <c r="O151" i="1"/>
  <c r="K151" i="1"/>
  <c r="J151" i="1"/>
  <c r="I151" i="1" s="1"/>
  <c r="AB153" i="1"/>
  <c r="K130" i="1"/>
  <c r="AL150" i="1"/>
  <c r="AB155" i="1"/>
  <c r="K168" i="1"/>
  <c r="U131" i="1"/>
  <c r="V131" i="1" s="1"/>
  <c r="AB149" i="1"/>
  <c r="L152" i="1"/>
  <c r="K152" i="1"/>
  <c r="J152" i="1"/>
  <c r="I152" i="1" s="1"/>
  <c r="AI152" i="1"/>
  <c r="O152" i="1"/>
  <c r="O146" i="1"/>
  <c r="X149" i="1"/>
  <c r="AL151" i="1"/>
  <c r="T151" i="1"/>
  <c r="L153" i="1"/>
  <c r="AI153" i="1"/>
  <c r="O159" i="1"/>
  <c r="L159" i="1"/>
  <c r="AI165" i="1"/>
  <c r="L165" i="1"/>
  <c r="K165" i="1"/>
  <c r="J165" i="1"/>
  <c r="I165" i="1" s="1"/>
  <c r="U165" i="1" s="1"/>
  <c r="V165" i="1" s="1"/>
  <c r="J166" i="1"/>
  <c r="I166" i="1" s="1"/>
  <c r="AI166" i="1"/>
  <c r="L166" i="1"/>
  <c r="K166" i="1"/>
  <c r="L167" i="1"/>
  <c r="K167" i="1"/>
  <c r="O167" i="1"/>
  <c r="L169" i="1"/>
  <c r="AI169" i="1"/>
  <c r="T136" i="1"/>
  <c r="T140" i="1"/>
  <c r="AL153" i="1"/>
  <c r="T153" i="1"/>
  <c r="AL159" i="1"/>
  <c r="T159" i="1"/>
  <c r="L171" i="1"/>
  <c r="K171" i="1"/>
  <c r="O171" i="1"/>
  <c r="AI171" i="1"/>
  <c r="AB205" i="1"/>
  <c r="O133" i="1"/>
  <c r="AI134" i="1"/>
  <c r="O137" i="1"/>
  <c r="AI138" i="1"/>
  <c r="O141" i="1"/>
  <c r="AI142" i="1"/>
  <c r="U144" i="1"/>
  <c r="V144" i="1" s="1"/>
  <c r="AC144" i="1" s="1"/>
  <c r="O145" i="1"/>
  <c r="AI146" i="1"/>
  <c r="U148" i="1"/>
  <c r="V148" i="1" s="1"/>
  <c r="R148" i="1" s="1"/>
  <c r="P148" i="1" s="1"/>
  <c r="S148" i="1" s="1"/>
  <c r="M148" i="1" s="1"/>
  <c r="N148" i="1" s="1"/>
  <c r="AL149" i="1"/>
  <c r="X153" i="1"/>
  <c r="J160" i="1"/>
  <c r="I160" i="1" s="1"/>
  <c r="AI160" i="1"/>
  <c r="O160" i="1"/>
  <c r="O165" i="1"/>
  <c r="AL165" i="1"/>
  <c r="U168" i="1"/>
  <c r="V168" i="1" s="1"/>
  <c r="J171" i="1"/>
  <c r="I171" i="1" s="1"/>
  <c r="AC182" i="1"/>
  <c r="W182" i="1"/>
  <c r="AA182" i="1" s="1"/>
  <c r="AD182" i="1"/>
  <c r="AB207" i="1"/>
  <c r="J134" i="1"/>
  <c r="I134" i="1" s="1"/>
  <c r="J138" i="1"/>
  <c r="I138" i="1" s="1"/>
  <c r="U138" i="1" s="1"/>
  <c r="V138" i="1" s="1"/>
  <c r="J142" i="1"/>
  <c r="I142" i="1" s="1"/>
  <c r="J146" i="1"/>
  <c r="I146" i="1" s="1"/>
  <c r="K154" i="1"/>
  <c r="J154" i="1"/>
  <c r="I154" i="1" s="1"/>
  <c r="AL155" i="1"/>
  <c r="T155" i="1"/>
  <c r="AI133" i="1"/>
  <c r="K134" i="1"/>
  <c r="U135" i="1"/>
  <c r="V135" i="1" s="1"/>
  <c r="AI137" i="1"/>
  <c r="K138" i="1"/>
  <c r="AI141" i="1"/>
  <c r="K142" i="1"/>
  <c r="U143" i="1"/>
  <c r="V143" i="1" s="1"/>
  <c r="AI145" i="1"/>
  <c r="K146" i="1"/>
  <c r="O148" i="1"/>
  <c r="K149" i="1"/>
  <c r="AI154" i="1"/>
  <c r="X155" i="1"/>
  <c r="L157" i="1"/>
  <c r="AI157" i="1"/>
  <c r="AC158" i="1"/>
  <c r="K158" i="1"/>
  <c r="J158" i="1"/>
  <c r="I158" i="1" s="1"/>
  <c r="J159" i="1"/>
  <c r="I159" i="1" s="1"/>
  <c r="K160" i="1"/>
  <c r="L162" i="1"/>
  <c r="K162" i="1"/>
  <c r="J162" i="1"/>
  <c r="I162" i="1" s="1"/>
  <c r="J163" i="1"/>
  <c r="I163" i="1" s="1"/>
  <c r="L172" i="1"/>
  <c r="AI172" i="1"/>
  <c r="O172" i="1"/>
  <c r="T130" i="1"/>
  <c r="J133" i="1"/>
  <c r="I133" i="1" s="1"/>
  <c r="J137" i="1"/>
  <c r="I137" i="1" s="1"/>
  <c r="J141" i="1"/>
  <c r="I141" i="1" s="1"/>
  <c r="J145" i="1"/>
  <c r="I145" i="1" s="1"/>
  <c r="U145" i="1" s="1"/>
  <c r="V145" i="1" s="1"/>
  <c r="J156" i="1"/>
  <c r="I156" i="1" s="1"/>
  <c r="O156" i="1"/>
  <c r="U158" i="1"/>
  <c r="V158" i="1" s="1"/>
  <c r="AC162" i="1"/>
  <c r="O163" i="1"/>
  <c r="L163" i="1"/>
  <c r="J164" i="1"/>
  <c r="I164" i="1" s="1"/>
  <c r="AI164" i="1"/>
  <c r="O164" i="1"/>
  <c r="X165" i="1"/>
  <c r="U166" i="1"/>
  <c r="V166" i="1" s="1"/>
  <c r="AL172" i="1"/>
  <c r="T172" i="1"/>
  <c r="K150" i="1"/>
  <c r="T150" i="1"/>
  <c r="AB150" i="1"/>
  <c r="U156" i="1"/>
  <c r="V156" i="1" s="1"/>
  <c r="AI156" i="1"/>
  <c r="L161" i="1"/>
  <c r="K161" i="1"/>
  <c r="AI161" i="1"/>
  <c r="U162" i="1"/>
  <c r="V162" i="1" s="1"/>
  <c r="AL163" i="1"/>
  <c r="T163" i="1"/>
  <c r="J169" i="1"/>
  <c r="I169" i="1" s="1"/>
  <c r="AB172" i="1"/>
  <c r="X169" i="1"/>
  <c r="J170" i="1"/>
  <c r="I170" i="1" s="1"/>
  <c r="AI170" i="1"/>
  <c r="AI173" i="1"/>
  <c r="AL175" i="1"/>
  <c r="X181" i="1"/>
  <c r="R186" i="1"/>
  <c r="P186" i="1" s="1"/>
  <c r="S186" i="1" s="1"/>
  <c r="M186" i="1" s="1"/>
  <c r="N186" i="1" s="1"/>
  <c r="AB186" i="1"/>
  <c r="U202" i="1"/>
  <c r="V202" i="1" s="1"/>
  <c r="AL167" i="1"/>
  <c r="R174" i="1"/>
  <c r="P174" i="1" s="1"/>
  <c r="S174" i="1" s="1"/>
  <c r="M174" i="1" s="1"/>
  <c r="N174" i="1" s="1"/>
  <c r="U186" i="1"/>
  <c r="V186" i="1" s="1"/>
  <c r="AC186" i="1" s="1"/>
  <c r="L188" i="1"/>
  <c r="J188" i="1"/>
  <c r="I188" i="1" s="1"/>
  <c r="AI188" i="1"/>
  <c r="O188" i="1"/>
  <c r="K188" i="1"/>
  <c r="L190" i="1"/>
  <c r="O201" i="1"/>
  <c r="L201" i="1"/>
  <c r="K201" i="1"/>
  <c r="AI201" i="1"/>
  <c r="J201" i="1"/>
  <c r="I201" i="1" s="1"/>
  <c r="AC168" i="1"/>
  <c r="J173" i="1"/>
  <c r="I173" i="1" s="1"/>
  <c r="U173" i="1"/>
  <c r="V173" i="1" s="1"/>
  <c r="AI177" i="1"/>
  <c r="O177" i="1"/>
  <c r="L177" i="1"/>
  <c r="R178" i="1"/>
  <c r="P178" i="1" s="1"/>
  <c r="S178" i="1" s="1"/>
  <c r="M178" i="1" s="1"/>
  <c r="N178" i="1" s="1"/>
  <c r="AL170" i="1"/>
  <c r="K173" i="1"/>
  <c r="X173" i="1"/>
  <c r="K177" i="1"/>
  <c r="AL177" i="1"/>
  <c r="T177" i="1"/>
  <c r="AI181" i="1"/>
  <c r="O181" i="1"/>
  <c r="L181" i="1"/>
  <c r="AB183" i="1"/>
  <c r="AB193" i="1"/>
  <c r="T157" i="1"/>
  <c r="T161" i="1"/>
  <c r="L173" i="1"/>
  <c r="L176" i="1"/>
  <c r="K176" i="1"/>
  <c r="J176" i="1"/>
  <c r="I176" i="1" s="1"/>
  <c r="U178" i="1"/>
  <c r="V178" i="1" s="1"/>
  <c r="AL181" i="1"/>
  <c r="T181" i="1"/>
  <c r="AB182" i="1"/>
  <c r="R182" i="1"/>
  <c r="P182" i="1" s="1"/>
  <c r="S182" i="1" s="1"/>
  <c r="M182" i="1" s="1"/>
  <c r="N182" i="1" s="1"/>
  <c r="O180" i="1"/>
  <c r="L180" i="1"/>
  <c r="K180" i="1"/>
  <c r="J180" i="1"/>
  <c r="I180" i="1" s="1"/>
  <c r="U206" i="1"/>
  <c r="V206" i="1" s="1"/>
  <c r="L214" i="1"/>
  <c r="K214" i="1"/>
  <c r="AI214" i="1"/>
  <c r="O214" i="1"/>
  <c r="J214" i="1"/>
  <c r="I214" i="1" s="1"/>
  <c r="AI180" i="1"/>
  <c r="U183" i="1"/>
  <c r="V183" i="1" s="1"/>
  <c r="R183" i="1" s="1"/>
  <c r="P183" i="1" s="1"/>
  <c r="S183" i="1" s="1"/>
  <c r="M183" i="1" s="1"/>
  <c r="N183" i="1" s="1"/>
  <c r="AL183" i="1"/>
  <c r="X184" i="1"/>
  <c r="J190" i="1"/>
  <c r="I190" i="1" s="1"/>
  <c r="O190" i="1"/>
  <c r="K190" i="1"/>
  <c r="O197" i="1"/>
  <c r="L197" i="1"/>
  <c r="K197" i="1"/>
  <c r="J197" i="1"/>
  <c r="I197" i="1" s="1"/>
  <c r="U198" i="1"/>
  <c r="V198" i="1" s="1"/>
  <c r="L189" i="1"/>
  <c r="K189" i="1"/>
  <c r="J194" i="1"/>
  <c r="I194" i="1" s="1"/>
  <c r="O194" i="1"/>
  <c r="AC205" i="1"/>
  <c r="U205" i="1"/>
  <c r="V205" i="1" s="1"/>
  <c r="R205" i="1" s="1"/>
  <c r="P205" i="1" s="1"/>
  <c r="S205" i="1" s="1"/>
  <c r="M205" i="1" s="1"/>
  <c r="N205" i="1" s="1"/>
  <c r="AB222" i="1"/>
  <c r="AB232" i="1"/>
  <c r="AI175" i="1"/>
  <c r="AI179" i="1"/>
  <c r="J185" i="1"/>
  <c r="I185" i="1" s="1"/>
  <c r="AL185" i="1"/>
  <c r="T185" i="1"/>
  <c r="AL188" i="1"/>
  <c r="T188" i="1"/>
  <c r="T190" i="1"/>
  <c r="L193" i="1"/>
  <c r="K193" i="1"/>
  <c r="L204" i="1"/>
  <c r="K204" i="1"/>
  <c r="J204" i="1"/>
  <c r="I204" i="1" s="1"/>
  <c r="AI204" i="1"/>
  <c r="K206" i="1"/>
  <c r="J206" i="1"/>
  <c r="I206" i="1" s="1"/>
  <c r="AI206" i="1"/>
  <c r="O206" i="1"/>
  <c r="AB220" i="1"/>
  <c r="L225" i="1"/>
  <c r="K225" i="1"/>
  <c r="J225" i="1"/>
  <c r="I225" i="1" s="1"/>
  <c r="AI225" i="1"/>
  <c r="O225" i="1"/>
  <c r="O230" i="1"/>
  <c r="L230" i="1"/>
  <c r="K230" i="1"/>
  <c r="AI230" i="1"/>
  <c r="J230" i="1"/>
  <c r="I230" i="1" s="1"/>
  <c r="J175" i="1"/>
  <c r="I175" i="1" s="1"/>
  <c r="T176" i="1"/>
  <c r="J179" i="1"/>
  <c r="I179" i="1" s="1"/>
  <c r="T180" i="1"/>
  <c r="K185" i="1"/>
  <c r="L192" i="1"/>
  <c r="K192" i="1"/>
  <c r="J192" i="1"/>
  <c r="I192" i="1" s="1"/>
  <c r="AI192" i="1"/>
  <c r="T194" i="1"/>
  <c r="L200" i="1"/>
  <c r="K200" i="1"/>
  <c r="J200" i="1"/>
  <c r="I200" i="1" s="1"/>
  <c r="AI200" i="1"/>
  <c r="AI174" i="1"/>
  <c r="K175" i="1"/>
  <c r="AI178" i="1"/>
  <c r="K179" i="1"/>
  <c r="K184" i="1"/>
  <c r="AI184" i="1"/>
  <c r="L196" i="1"/>
  <c r="K196" i="1"/>
  <c r="J196" i="1"/>
  <c r="I196" i="1" s="1"/>
  <c r="AI196" i="1"/>
  <c r="J202" i="1"/>
  <c r="I202" i="1" s="1"/>
  <c r="AI202" i="1"/>
  <c r="O202" i="1"/>
  <c r="T167" i="1"/>
  <c r="T171" i="1"/>
  <c r="T175" i="1"/>
  <c r="T179" i="1"/>
  <c r="AI183" i="1"/>
  <c r="O185" i="1"/>
  <c r="AI186" i="1"/>
  <c r="X189" i="1"/>
  <c r="AL191" i="1"/>
  <c r="T191" i="1"/>
  <c r="AL192" i="1"/>
  <c r="X197" i="1"/>
  <c r="J198" i="1"/>
  <c r="I198" i="1" s="1"/>
  <c r="AI198" i="1"/>
  <c r="O198" i="1"/>
  <c r="AB210" i="1"/>
  <c r="J223" i="1"/>
  <c r="I223" i="1" s="1"/>
  <c r="AI223" i="1"/>
  <c r="O223" i="1"/>
  <c r="K223" i="1"/>
  <c r="L223" i="1"/>
  <c r="AL184" i="1"/>
  <c r="T184" i="1"/>
  <c r="AL187" i="1"/>
  <c r="T187" i="1"/>
  <c r="J189" i="1"/>
  <c r="I189" i="1" s="1"/>
  <c r="X193" i="1"/>
  <c r="AL195" i="1"/>
  <c r="T195" i="1"/>
  <c r="O205" i="1"/>
  <c r="L205" i="1"/>
  <c r="K205" i="1"/>
  <c r="U208" i="1"/>
  <c r="V208" i="1" s="1"/>
  <c r="AL212" i="1"/>
  <c r="T212" i="1"/>
  <c r="O218" i="1"/>
  <c r="L218" i="1"/>
  <c r="K218" i="1"/>
  <c r="AI218" i="1"/>
  <c r="J218" i="1"/>
  <c r="I218" i="1" s="1"/>
  <c r="AL205" i="1"/>
  <c r="K207" i="1"/>
  <c r="J211" i="1"/>
  <c r="I211" i="1" s="1"/>
  <c r="O211" i="1"/>
  <c r="J231" i="1"/>
  <c r="I231" i="1" s="1"/>
  <c r="AI231" i="1"/>
  <c r="O231" i="1"/>
  <c r="K231" i="1"/>
  <c r="T189" i="1"/>
  <c r="T193" i="1"/>
  <c r="T197" i="1"/>
  <c r="T201" i="1"/>
  <c r="L207" i="1"/>
  <c r="U207" i="1"/>
  <c r="V207" i="1" s="1"/>
  <c r="L210" i="1"/>
  <c r="K210" i="1"/>
  <c r="L213" i="1"/>
  <c r="K213" i="1"/>
  <c r="J213" i="1"/>
  <c r="I213" i="1" s="1"/>
  <c r="AI213" i="1"/>
  <c r="O213" i="1"/>
  <c r="J219" i="1"/>
  <c r="I219" i="1" s="1"/>
  <c r="AI219" i="1"/>
  <c r="O219" i="1"/>
  <c r="K219" i="1"/>
  <c r="O226" i="1"/>
  <c r="L226" i="1"/>
  <c r="K226" i="1"/>
  <c r="AI226" i="1"/>
  <c r="AB228" i="1"/>
  <c r="L233" i="1"/>
  <c r="K233" i="1"/>
  <c r="J233" i="1"/>
  <c r="I233" i="1" s="1"/>
  <c r="AI233" i="1"/>
  <c r="O233" i="1"/>
  <c r="L209" i="1"/>
  <c r="J209" i="1"/>
  <c r="I209" i="1" s="1"/>
  <c r="AI209" i="1"/>
  <c r="T211" i="1"/>
  <c r="J215" i="1"/>
  <c r="I215" i="1" s="1"/>
  <c r="O215" i="1"/>
  <c r="K215" i="1"/>
  <c r="AB216" i="1"/>
  <c r="L221" i="1"/>
  <c r="K221" i="1"/>
  <c r="J221" i="1"/>
  <c r="I221" i="1" s="1"/>
  <c r="AI221" i="1"/>
  <c r="O221" i="1"/>
  <c r="L231" i="1"/>
  <c r="J187" i="1"/>
  <c r="I187" i="1" s="1"/>
  <c r="J191" i="1"/>
  <c r="I191" i="1" s="1"/>
  <c r="T192" i="1"/>
  <c r="J195" i="1"/>
  <c r="I195" i="1" s="1"/>
  <c r="T196" i="1"/>
  <c r="J199" i="1"/>
  <c r="I199" i="1" s="1"/>
  <c r="T200" i="1"/>
  <c r="J203" i="1"/>
  <c r="I203" i="1" s="1"/>
  <c r="T204" i="1"/>
  <c r="AL206" i="1"/>
  <c r="AB212" i="1"/>
  <c r="AL213" i="1"/>
  <c r="X214" i="1"/>
  <c r="L219" i="1"/>
  <c r="J227" i="1"/>
  <c r="I227" i="1" s="1"/>
  <c r="AI227" i="1"/>
  <c r="O227" i="1"/>
  <c r="K227" i="1"/>
  <c r="O222" i="1"/>
  <c r="L222" i="1"/>
  <c r="K222" i="1"/>
  <c r="AI222" i="1"/>
  <c r="AB224" i="1"/>
  <c r="L229" i="1"/>
  <c r="K229" i="1"/>
  <c r="J229" i="1"/>
  <c r="I229" i="1" s="1"/>
  <c r="AI229" i="1"/>
  <c r="O229" i="1"/>
  <c r="U231" i="1"/>
  <c r="V231" i="1" s="1"/>
  <c r="T199" i="1"/>
  <c r="T203" i="1"/>
  <c r="X210" i="1"/>
  <c r="U215" i="1"/>
  <c r="V215" i="1" s="1"/>
  <c r="L217" i="1"/>
  <c r="K217" i="1"/>
  <c r="J217" i="1"/>
  <c r="I217" i="1" s="1"/>
  <c r="AI217" i="1"/>
  <c r="O217" i="1"/>
  <c r="U219" i="1"/>
  <c r="V219" i="1" s="1"/>
  <c r="L227" i="1"/>
  <c r="T210" i="1"/>
  <c r="T214" i="1"/>
  <c r="T218" i="1"/>
  <c r="T222" i="1"/>
  <c r="T226" i="1"/>
  <c r="T230" i="1"/>
  <c r="AI232" i="1"/>
  <c r="T209" i="1"/>
  <c r="T213" i="1"/>
  <c r="T217" i="1"/>
  <c r="T221" i="1"/>
  <c r="T225" i="1"/>
  <c r="T229" i="1"/>
  <c r="T233" i="1"/>
  <c r="T216" i="1"/>
  <c r="T220" i="1"/>
  <c r="T224" i="1"/>
  <c r="T228" i="1"/>
  <c r="T232" i="1"/>
  <c r="W19" i="1" l="1"/>
  <c r="AA19" i="1" s="1"/>
  <c r="AD19" i="1"/>
  <c r="AC19" i="1"/>
  <c r="W93" i="1"/>
  <c r="AA93" i="1" s="1"/>
  <c r="AD93" i="1"/>
  <c r="AC93" i="1"/>
  <c r="W165" i="1"/>
  <c r="AA165" i="1" s="1"/>
  <c r="AD165" i="1"/>
  <c r="AC165" i="1"/>
  <c r="W138" i="1"/>
  <c r="AA138" i="1" s="1"/>
  <c r="AD138" i="1"/>
  <c r="AC138" i="1"/>
  <c r="AD77" i="1"/>
  <c r="W77" i="1"/>
  <c r="AA77" i="1" s="1"/>
  <c r="AC77" i="1"/>
  <c r="W145" i="1"/>
  <c r="AA145" i="1" s="1"/>
  <c r="AD145" i="1"/>
  <c r="AC145" i="1"/>
  <c r="U217" i="1"/>
  <c r="V217" i="1" s="1"/>
  <c r="W207" i="1"/>
  <c r="AA207" i="1" s="1"/>
  <c r="AD207" i="1"/>
  <c r="AC207" i="1"/>
  <c r="AD206" i="1"/>
  <c r="W206" i="1"/>
  <c r="AA206" i="1" s="1"/>
  <c r="U140" i="1"/>
  <c r="V140" i="1" s="1"/>
  <c r="AB119" i="1"/>
  <c r="U119" i="1"/>
  <c r="V119" i="1" s="1"/>
  <c r="U110" i="1"/>
  <c r="V110" i="1" s="1"/>
  <c r="R110" i="1" s="1"/>
  <c r="P110" i="1" s="1"/>
  <c r="S110" i="1" s="1"/>
  <c r="M110" i="1" s="1"/>
  <c r="N110" i="1" s="1"/>
  <c r="W97" i="1"/>
  <c r="AA97" i="1" s="1"/>
  <c r="AD97" i="1"/>
  <c r="U124" i="1"/>
  <c r="V124" i="1" s="1"/>
  <c r="U76" i="1"/>
  <c r="V76" i="1" s="1"/>
  <c r="W89" i="1"/>
  <c r="AA89" i="1" s="1"/>
  <c r="AD89" i="1"/>
  <c r="U56" i="1"/>
  <c r="V56" i="1" s="1"/>
  <c r="AB79" i="1"/>
  <c r="U61" i="1"/>
  <c r="V61" i="1" s="1"/>
  <c r="AB61" i="1"/>
  <c r="AB40" i="1"/>
  <c r="AB34" i="1"/>
  <c r="U42" i="1"/>
  <c r="V42" i="1" s="1"/>
  <c r="U45" i="1"/>
  <c r="V45" i="1" s="1"/>
  <c r="AB58" i="1"/>
  <c r="AB23" i="1"/>
  <c r="AD43" i="1"/>
  <c r="W43" i="1"/>
  <c r="AA43" i="1" s="1"/>
  <c r="U23" i="1"/>
  <c r="V23" i="1" s="1"/>
  <c r="U224" i="1"/>
  <c r="V224" i="1" s="1"/>
  <c r="U213" i="1"/>
  <c r="V213" i="1" s="1"/>
  <c r="U210" i="1"/>
  <c r="V210" i="1" s="1"/>
  <c r="U192" i="1"/>
  <c r="V192" i="1" s="1"/>
  <c r="R215" i="1"/>
  <c r="P215" i="1" s="1"/>
  <c r="S215" i="1" s="1"/>
  <c r="M215" i="1" s="1"/>
  <c r="N215" i="1" s="1"/>
  <c r="AB215" i="1"/>
  <c r="AB233" i="1"/>
  <c r="R231" i="1"/>
  <c r="P231" i="1" s="1"/>
  <c r="S231" i="1" s="1"/>
  <c r="M231" i="1" s="1"/>
  <c r="N231" i="1" s="1"/>
  <c r="AB231" i="1"/>
  <c r="AB218" i="1"/>
  <c r="AB189" i="1"/>
  <c r="R198" i="1"/>
  <c r="P198" i="1" s="1"/>
  <c r="S198" i="1" s="1"/>
  <c r="M198" i="1" s="1"/>
  <c r="N198" i="1" s="1"/>
  <c r="AB198" i="1"/>
  <c r="R202" i="1"/>
  <c r="P202" i="1" s="1"/>
  <c r="S202" i="1" s="1"/>
  <c r="M202" i="1" s="1"/>
  <c r="N202" i="1" s="1"/>
  <c r="AB202" i="1"/>
  <c r="U180" i="1"/>
  <c r="V180" i="1" s="1"/>
  <c r="AB185" i="1"/>
  <c r="AB173" i="1"/>
  <c r="R173" i="1"/>
  <c r="P173" i="1" s="1"/>
  <c r="S173" i="1" s="1"/>
  <c r="M173" i="1" s="1"/>
  <c r="N173" i="1" s="1"/>
  <c r="U172" i="1"/>
  <c r="V172" i="1" s="1"/>
  <c r="R141" i="1"/>
  <c r="P141" i="1" s="1"/>
  <c r="S141" i="1" s="1"/>
  <c r="M141" i="1" s="1"/>
  <c r="N141" i="1" s="1"/>
  <c r="AB141" i="1"/>
  <c r="AB162" i="1"/>
  <c r="R162" i="1"/>
  <c r="P162" i="1" s="1"/>
  <c r="S162" i="1" s="1"/>
  <c r="M162" i="1" s="1"/>
  <c r="N162" i="1" s="1"/>
  <c r="AB146" i="1"/>
  <c r="R146" i="1"/>
  <c r="P146" i="1" s="1"/>
  <c r="S146" i="1" s="1"/>
  <c r="M146" i="1" s="1"/>
  <c r="N146" i="1" s="1"/>
  <c r="U136" i="1"/>
  <c r="V136" i="1" s="1"/>
  <c r="U115" i="1"/>
  <c r="V115" i="1" s="1"/>
  <c r="AB115" i="1"/>
  <c r="AB120" i="1"/>
  <c r="AB125" i="1"/>
  <c r="R125" i="1"/>
  <c r="P125" i="1" s="1"/>
  <c r="S125" i="1" s="1"/>
  <c r="M125" i="1" s="1"/>
  <c r="N125" i="1" s="1"/>
  <c r="U125" i="1"/>
  <c r="V125" i="1" s="1"/>
  <c r="W129" i="1"/>
  <c r="AA129" i="1" s="1"/>
  <c r="AD129" i="1"/>
  <c r="AE129" i="1" s="1"/>
  <c r="U108" i="1"/>
  <c r="V108" i="1" s="1"/>
  <c r="U120" i="1"/>
  <c r="V120" i="1" s="1"/>
  <c r="AB95" i="1"/>
  <c r="U95" i="1"/>
  <c r="V95" i="1" s="1"/>
  <c r="AB126" i="1"/>
  <c r="AB109" i="1"/>
  <c r="U109" i="1"/>
  <c r="V109" i="1" s="1"/>
  <c r="AB121" i="1"/>
  <c r="U121" i="1"/>
  <c r="V121" i="1" s="1"/>
  <c r="U106" i="1"/>
  <c r="V106" i="1" s="1"/>
  <c r="AB101" i="1"/>
  <c r="R101" i="1"/>
  <c r="P101" i="1" s="1"/>
  <c r="S101" i="1" s="1"/>
  <c r="M101" i="1" s="1"/>
  <c r="N101" i="1" s="1"/>
  <c r="AB74" i="1"/>
  <c r="AB67" i="1"/>
  <c r="AB118" i="1"/>
  <c r="R118" i="1"/>
  <c r="P118" i="1" s="1"/>
  <c r="S118" i="1" s="1"/>
  <c r="M118" i="1" s="1"/>
  <c r="N118" i="1" s="1"/>
  <c r="AB90" i="1"/>
  <c r="U60" i="1"/>
  <c r="V60" i="1" s="1"/>
  <c r="AC97" i="1"/>
  <c r="AB37" i="1"/>
  <c r="U28" i="1"/>
  <c r="V28" i="1" s="1"/>
  <c r="R51" i="1"/>
  <c r="P51" i="1" s="1"/>
  <c r="S51" i="1" s="1"/>
  <c r="M51" i="1" s="1"/>
  <c r="N51" i="1" s="1"/>
  <c r="U48" i="1"/>
  <c r="V48" i="1" s="1"/>
  <c r="R48" i="1" s="1"/>
  <c r="P48" i="1" s="1"/>
  <c r="S48" i="1" s="1"/>
  <c r="M48" i="1" s="1"/>
  <c r="N48" i="1" s="1"/>
  <c r="AB32" i="1"/>
  <c r="U25" i="1"/>
  <c r="V25" i="1" s="1"/>
  <c r="AD35" i="1"/>
  <c r="W35" i="1"/>
  <c r="AA35" i="1" s="1"/>
  <c r="AC35" i="1"/>
  <c r="AC18" i="1"/>
  <c r="AD18" i="1"/>
  <c r="W18" i="1"/>
  <c r="AA18" i="1" s="1"/>
  <c r="W208" i="1"/>
  <c r="AA208" i="1" s="1"/>
  <c r="AD208" i="1"/>
  <c r="AE208" i="1" s="1"/>
  <c r="W135" i="1"/>
  <c r="AA135" i="1" s="1"/>
  <c r="AD135" i="1"/>
  <c r="AB124" i="1"/>
  <c r="R124" i="1"/>
  <c r="P124" i="1" s="1"/>
  <c r="S124" i="1" s="1"/>
  <c r="M124" i="1" s="1"/>
  <c r="N124" i="1" s="1"/>
  <c r="U114" i="1"/>
  <c r="V114" i="1" s="1"/>
  <c r="U220" i="1"/>
  <c r="V220" i="1" s="1"/>
  <c r="U209" i="1"/>
  <c r="V209" i="1" s="1"/>
  <c r="AB191" i="1"/>
  <c r="AB221" i="1"/>
  <c r="U211" i="1"/>
  <c r="V211" i="1" s="1"/>
  <c r="AB213" i="1"/>
  <c r="R213" i="1"/>
  <c r="P213" i="1" s="1"/>
  <c r="S213" i="1" s="1"/>
  <c r="M213" i="1" s="1"/>
  <c r="N213" i="1" s="1"/>
  <c r="U201" i="1"/>
  <c r="V201" i="1" s="1"/>
  <c r="U187" i="1"/>
  <c r="V187" i="1" s="1"/>
  <c r="AB223" i="1"/>
  <c r="U179" i="1"/>
  <c r="V179" i="1" s="1"/>
  <c r="U194" i="1"/>
  <c r="V194" i="1" s="1"/>
  <c r="AB179" i="1"/>
  <c r="R179" i="1"/>
  <c r="P179" i="1" s="1"/>
  <c r="S179" i="1" s="1"/>
  <c r="M179" i="1" s="1"/>
  <c r="N179" i="1" s="1"/>
  <c r="W205" i="1"/>
  <c r="AA205" i="1" s="1"/>
  <c r="AD205" i="1"/>
  <c r="AE205" i="1" s="1"/>
  <c r="AB137" i="1"/>
  <c r="W143" i="1"/>
  <c r="AA143" i="1" s="1"/>
  <c r="AD143" i="1"/>
  <c r="AB142" i="1"/>
  <c r="AB171" i="1"/>
  <c r="R171" i="1"/>
  <c r="P171" i="1" s="1"/>
  <c r="S171" i="1" s="1"/>
  <c r="M171" i="1" s="1"/>
  <c r="N171" i="1" s="1"/>
  <c r="U160" i="1"/>
  <c r="V160" i="1" s="1"/>
  <c r="R160" i="1" s="1"/>
  <c r="P160" i="1" s="1"/>
  <c r="S160" i="1" s="1"/>
  <c r="M160" i="1" s="1"/>
  <c r="N160" i="1" s="1"/>
  <c r="AB160" i="1"/>
  <c r="W144" i="1"/>
  <c r="AA144" i="1" s="1"/>
  <c r="AD144" i="1"/>
  <c r="AE144" i="1" s="1"/>
  <c r="R166" i="1"/>
  <c r="P166" i="1" s="1"/>
  <c r="S166" i="1" s="1"/>
  <c r="M166" i="1" s="1"/>
  <c r="N166" i="1" s="1"/>
  <c r="AB166" i="1"/>
  <c r="AB152" i="1"/>
  <c r="W131" i="1"/>
  <c r="AA131" i="1" s="1"/>
  <c r="AD131" i="1"/>
  <c r="AB111" i="1"/>
  <c r="AB116" i="1"/>
  <c r="AB135" i="1"/>
  <c r="R135" i="1"/>
  <c r="P135" i="1" s="1"/>
  <c r="S135" i="1" s="1"/>
  <c r="M135" i="1" s="1"/>
  <c r="N135" i="1" s="1"/>
  <c r="U92" i="1"/>
  <c r="V92" i="1" s="1"/>
  <c r="AB110" i="1"/>
  <c r="AB97" i="1"/>
  <c r="R97" i="1"/>
  <c r="P97" i="1" s="1"/>
  <c r="S97" i="1" s="1"/>
  <c r="M97" i="1" s="1"/>
  <c r="N97" i="1" s="1"/>
  <c r="AB91" i="1"/>
  <c r="U91" i="1"/>
  <c r="V91" i="1" s="1"/>
  <c r="R91" i="1" s="1"/>
  <c r="P91" i="1" s="1"/>
  <c r="S91" i="1" s="1"/>
  <c r="M91" i="1" s="1"/>
  <c r="N91" i="1" s="1"/>
  <c r="U78" i="1"/>
  <c r="V78" i="1" s="1"/>
  <c r="W102" i="1"/>
  <c r="AA102" i="1" s="1"/>
  <c r="AD102" i="1"/>
  <c r="AE102" i="1" s="1"/>
  <c r="R73" i="1"/>
  <c r="P73" i="1" s="1"/>
  <c r="S73" i="1" s="1"/>
  <c r="M73" i="1" s="1"/>
  <c r="N73" i="1" s="1"/>
  <c r="AB73" i="1"/>
  <c r="AB96" i="1"/>
  <c r="AB80" i="1"/>
  <c r="AB87" i="1"/>
  <c r="U82" i="1"/>
  <c r="V82" i="1" s="1"/>
  <c r="AB66" i="1"/>
  <c r="U58" i="1"/>
  <c r="V58" i="1" s="1"/>
  <c r="R58" i="1" s="1"/>
  <c r="P58" i="1" s="1"/>
  <c r="S58" i="1" s="1"/>
  <c r="M58" i="1" s="1"/>
  <c r="N58" i="1" s="1"/>
  <c r="AB44" i="1"/>
  <c r="AB30" i="1"/>
  <c r="AB42" i="1"/>
  <c r="R42" i="1"/>
  <c r="P42" i="1" s="1"/>
  <c r="S42" i="1" s="1"/>
  <c r="M42" i="1" s="1"/>
  <c r="N42" i="1" s="1"/>
  <c r="AB49" i="1"/>
  <c r="U67" i="1"/>
  <c r="V67" i="1" s="1"/>
  <c r="AB45" i="1"/>
  <c r="AB217" i="1"/>
  <c r="R217" i="1"/>
  <c r="P217" i="1" s="1"/>
  <c r="S217" i="1" s="1"/>
  <c r="M217" i="1" s="1"/>
  <c r="N217" i="1" s="1"/>
  <c r="AB195" i="1"/>
  <c r="AD186" i="1"/>
  <c r="AE186" i="1" s="1"/>
  <c r="W186" i="1"/>
  <c r="AA186" i="1" s="1"/>
  <c r="AB163" i="1"/>
  <c r="U216" i="1"/>
  <c r="V216" i="1" s="1"/>
  <c r="W215" i="1"/>
  <c r="AA215" i="1" s="1"/>
  <c r="AD215" i="1"/>
  <c r="AB227" i="1"/>
  <c r="U204" i="1"/>
  <c r="V204" i="1" s="1"/>
  <c r="AB187" i="1"/>
  <c r="R187" i="1"/>
  <c r="P187" i="1" s="1"/>
  <c r="S187" i="1" s="1"/>
  <c r="M187" i="1" s="1"/>
  <c r="N187" i="1" s="1"/>
  <c r="U197" i="1"/>
  <c r="V197" i="1" s="1"/>
  <c r="U175" i="1"/>
  <c r="V175" i="1" s="1"/>
  <c r="AB196" i="1"/>
  <c r="U176" i="1"/>
  <c r="V176" i="1" s="1"/>
  <c r="AB206" i="1"/>
  <c r="R206" i="1"/>
  <c r="P206" i="1" s="1"/>
  <c r="S206" i="1" s="1"/>
  <c r="M206" i="1" s="1"/>
  <c r="N206" i="1" s="1"/>
  <c r="W198" i="1"/>
  <c r="AA198" i="1" s="1"/>
  <c r="AD198" i="1"/>
  <c r="AB190" i="1"/>
  <c r="AB214" i="1"/>
  <c r="U181" i="1"/>
  <c r="V181" i="1" s="1"/>
  <c r="U161" i="1"/>
  <c r="V161" i="1" s="1"/>
  <c r="AB169" i="1"/>
  <c r="U169" i="1"/>
  <c r="V169" i="1" s="1"/>
  <c r="R169" i="1" s="1"/>
  <c r="P169" i="1" s="1"/>
  <c r="S169" i="1" s="1"/>
  <c r="M169" i="1" s="1"/>
  <c r="N169" i="1" s="1"/>
  <c r="AC166" i="1"/>
  <c r="AD166" i="1"/>
  <c r="AE166" i="1" s="1"/>
  <c r="W166" i="1"/>
  <c r="AA166" i="1" s="1"/>
  <c r="AD158" i="1"/>
  <c r="W158" i="1"/>
  <c r="AA158" i="1" s="1"/>
  <c r="AB133" i="1"/>
  <c r="AB138" i="1"/>
  <c r="R138" i="1"/>
  <c r="P138" i="1" s="1"/>
  <c r="S138" i="1" s="1"/>
  <c r="M138" i="1" s="1"/>
  <c r="N138" i="1" s="1"/>
  <c r="AB165" i="1"/>
  <c r="R165" i="1"/>
  <c r="P165" i="1" s="1"/>
  <c r="S165" i="1" s="1"/>
  <c r="M165" i="1" s="1"/>
  <c r="N165" i="1" s="1"/>
  <c r="U151" i="1"/>
  <c r="V151" i="1" s="1"/>
  <c r="AC143" i="1"/>
  <c r="W146" i="1"/>
  <c r="AA146" i="1" s="1"/>
  <c r="AD146" i="1"/>
  <c r="AE146" i="1" s="1"/>
  <c r="AB112" i="1"/>
  <c r="R112" i="1"/>
  <c r="P112" i="1" s="1"/>
  <c r="S112" i="1" s="1"/>
  <c r="M112" i="1" s="1"/>
  <c r="N112" i="1" s="1"/>
  <c r="U137" i="1"/>
  <c r="V137" i="1" s="1"/>
  <c r="R137" i="1" s="1"/>
  <c r="P137" i="1" s="1"/>
  <c r="S137" i="1" s="1"/>
  <c r="M137" i="1" s="1"/>
  <c r="N137" i="1" s="1"/>
  <c r="AB113" i="1"/>
  <c r="U113" i="1"/>
  <c r="V113" i="1" s="1"/>
  <c r="U88" i="1"/>
  <c r="V88" i="1" s="1"/>
  <c r="AB93" i="1"/>
  <c r="R93" i="1"/>
  <c r="P93" i="1" s="1"/>
  <c r="S93" i="1" s="1"/>
  <c r="M93" i="1" s="1"/>
  <c r="N93" i="1" s="1"/>
  <c r="U64" i="1"/>
  <c r="V64" i="1" s="1"/>
  <c r="AC89" i="1"/>
  <c r="U112" i="1"/>
  <c r="V112" i="1" s="1"/>
  <c r="R78" i="1"/>
  <c r="P78" i="1" s="1"/>
  <c r="S78" i="1" s="1"/>
  <c r="M78" i="1" s="1"/>
  <c r="N78" i="1" s="1"/>
  <c r="AB78" i="1"/>
  <c r="U57" i="1"/>
  <c r="V57" i="1" s="1"/>
  <c r="AB98" i="1"/>
  <c r="U72" i="1"/>
  <c r="V72" i="1" s="1"/>
  <c r="R65" i="1"/>
  <c r="P65" i="1" s="1"/>
  <c r="S65" i="1" s="1"/>
  <c r="M65" i="1" s="1"/>
  <c r="N65" i="1" s="1"/>
  <c r="AB65" i="1"/>
  <c r="AB57" i="1"/>
  <c r="R57" i="1"/>
  <c r="P57" i="1" s="1"/>
  <c r="S57" i="1" s="1"/>
  <c r="M57" i="1" s="1"/>
  <c r="N57" i="1" s="1"/>
  <c r="AB52" i="1"/>
  <c r="U34" i="1"/>
  <c r="V34" i="1" s="1"/>
  <c r="U26" i="1"/>
  <c r="V26" i="1" s="1"/>
  <c r="AB28" i="1"/>
  <c r="R28" i="1"/>
  <c r="P28" i="1" s="1"/>
  <c r="S28" i="1" s="1"/>
  <c r="M28" i="1" s="1"/>
  <c r="N28" i="1" s="1"/>
  <c r="AB48" i="1"/>
  <c r="U40" i="1"/>
  <c r="V40" i="1" s="1"/>
  <c r="AB56" i="1"/>
  <c r="R56" i="1"/>
  <c r="P56" i="1" s="1"/>
  <c r="S56" i="1" s="1"/>
  <c r="M56" i="1" s="1"/>
  <c r="N56" i="1" s="1"/>
  <c r="AB24" i="1"/>
  <c r="R24" i="1"/>
  <c r="P24" i="1" s="1"/>
  <c r="S24" i="1" s="1"/>
  <c r="M24" i="1" s="1"/>
  <c r="N24" i="1" s="1"/>
  <c r="AD31" i="1"/>
  <c r="AE31" i="1" s="1"/>
  <c r="W31" i="1"/>
  <c r="AA31" i="1" s="1"/>
  <c r="AC31" i="1"/>
  <c r="AC22" i="1"/>
  <c r="W22" i="1"/>
  <c r="AA22" i="1" s="1"/>
  <c r="AD22" i="1"/>
  <c r="U228" i="1"/>
  <c r="V228" i="1" s="1"/>
  <c r="R145" i="1"/>
  <c r="P145" i="1" s="1"/>
  <c r="S145" i="1" s="1"/>
  <c r="M145" i="1" s="1"/>
  <c r="N145" i="1" s="1"/>
  <c r="AB145" i="1"/>
  <c r="U230" i="1"/>
  <c r="V230" i="1" s="1"/>
  <c r="W219" i="1"/>
  <c r="AA219" i="1" s="1"/>
  <c r="AD219" i="1"/>
  <c r="AB229" i="1"/>
  <c r="U193" i="1"/>
  <c r="V193" i="1" s="1"/>
  <c r="U184" i="1"/>
  <c r="V184" i="1" s="1"/>
  <c r="U191" i="1"/>
  <c r="V191" i="1" s="1"/>
  <c r="U171" i="1"/>
  <c r="V171" i="1" s="1"/>
  <c r="AC208" i="1"/>
  <c r="AB175" i="1"/>
  <c r="R175" i="1"/>
  <c r="P175" i="1" s="1"/>
  <c r="S175" i="1" s="1"/>
  <c r="M175" i="1" s="1"/>
  <c r="N175" i="1" s="1"/>
  <c r="AB225" i="1"/>
  <c r="R225" i="1"/>
  <c r="P225" i="1" s="1"/>
  <c r="S225" i="1" s="1"/>
  <c r="M225" i="1" s="1"/>
  <c r="N225" i="1" s="1"/>
  <c r="U190" i="1"/>
  <c r="V190" i="1" s="1"/>
  <c r="R190" i="1" s="1"/>
  <c r="P190" i="1" s="1"/>
  <c r="S190" i="1" s="1"/>
  <c r="M190" i="1" s="1"/>
  <c r="N190" i="1" s="1"/>
  <c r="AB180" i="1"/>
  <c r="R180" i="1"/>
  <c r="P180" i="1" s="1"/>
  <c r="S180" i="1" s="1"/>
  <c r="M180" i="1" s="1"/>
  <c r="N180" i="1" s="1"/>
  <c r="U157" i="1"/>
  <c r="V157" i="1" s="1"/>
  <c r="U177" i="1"/>
  <c r="V177" i="1" s="1"/>
  <c r="AB201" i="1"/>
  <c r="R201" i="1"/>
  <c r="P201" i="1" s="1"/>
  <c r="S201" i="1" s="1"/>
  <c r="M201" i="1" s="1"/>
  <c r="N201" i="1" s="1"/>
  <c r="U163" i="1"/>
  <c r="V163" i="1" s="1"/>
  <c r="R163" i="1" s="1"/>
  <c r="P163" i="1" s="1"/>
  <c r="S163" i="1" s="1"/>
  <c r="M163" i="1" s="1"/>
  <c r="N163" i="1" s="1"/>
  <c r="W156" i="1"/>
  <c r="AA156" i="1" s="1"/>
  <c r="AD156" i="1"/>
  <c r="U130" i="1"/>
  <c r="V130" i="1" s="1"/>
  <c r="AB134" i="1"/>
  <c r="U159" i="1"/>
  <c r="V159" i="1" s="1"/>
  <c r="R159" i="1" s="1"/>
  <c r="P159" i="1" s="1"/>
  <c r="S159" i="1" s="1"/>
  <c r="M159" i="1" s="1"/>
  <c r="N159" i="1" s="1"/>
  <c r="AB151" i="1"/>
  <c r="R151" i="1"/>
  <c r="P151" i="1" s="1"/>
  <c r="S151" i="1" s="1"/>
  <c r="M151" i="1" s="1"/>
  <c r="N151" i="1" s="1"/>
  <c r="AB108" i="1"/>
  <c r="R108" i="1"/>
  <c r="P108" i="1" s="1"/>
  <c r="S108" i="1" s="1"/>
  <c r="M108" i="1" s="1"/>
  <c r="N108" i="1" s="1"/>
  <c r="R144" i="1"/>
  <c r="P144" i="1" s="1"/>
  <c r="S144" i="1" s="1"/>
  <c r="M144" i="1" s="1"/>
  <c r="N144" i="1" s="1"/>
  <c r="AB139" i="1"/>
  <c r="R139" i="1"/>
  <c r="P139" i="1" s="1"/>
  <c r="S139" i="1" s="1"/>
  <c r="M139" i="1" s="1"/>
  <c r="N139" i="1" s="1"/>
  <c r="AB117" i="1"/>
  <c r="U117" i="1"/>
  <c r="V117" i="1" s="1"/>
  <c r="AB104" i="1"/>
  <c r="R104" i="1"/>
  <c r="P104" i="1" s="1"/>
  <c r="S104" i="1" s="1"/>
  <c r="M104" i="1" s="1"/>
  <c r="N104" i="1" s="1"/>
  <c r="U84" i="1"/>
  <c r="V84" i="1" s="1"/>
  <c r="U122" i="1"/>
  <c r="V122" i="1" s="1"/>
  <c r="U133" i="1"/>
  <c r="V133" i="1" s="1"/>
  <c r="R133" i="1" s="1"/>
  <c r="P133" i="1" s="1"/>
  <c r="S133" i="1" s="1"/>
  <c r="M133" i="1" s="1"/>
  <c r="N133" i="1" s="1"/>
  <c r="R89" i="1"/>
  <c r="P89" i="1" s="1"/>
  <c r="S89" i="1" s="1"/>
  <c r="M89" i="1" s="1"/>
  <c r="N89" i="1" s="1"/>
  <c r="AB89" i="1"/>
  <c r="R63" i="1"/>
  <c r="P63" i="1" s="1"/>
  <c r="S63" i="1" s="1"/>
  <c r="M63" i="1" s="1"/>
  <c r="N63" i="1" s="1"/>
  <c r="U63" i="1"/>
  <c r="V63" i="1" s="1"/>
  <c r="AB63" i="1"/>
  <c r="AB83" i="1"/>
  <c r="U68" i="1"/>
  <c r="V68" i="1" s="1"/>
  <c r="AB127" i="1"/>
  <c r="R127" i="1"/>
  <c r="P127" i="1" s="1"/>
  <c r="S127" i="1" s="1"/>
  <c r="M127" i="1" s="1"/>
  <c r="N127" i="1" s="1"/>
  <c r="U127" i="1"/>
  <c r="V127" i="1" s="1"/>
  <c r="U54" i="1"/>
  <c r="V54" i="1" s="1"/>
  <c r="W55" i="1"/>
  <c r="AA55" i="1" s="1"/>
  <c r="AD55" i="1"/>
  <c r="R43" i="1"/>
  <c r="P43" i="1" s="1"/>
  <c r="S43" i="1" s="1"/>
  <c r="M43" i="1" s="1"/>
  <c r="N43" i="1" s="1"/>
  <c r="AB41" i="1"/>
  <c r="R41" i="1"/>
  <c r="P41" i="1" s="1"/>
  <c r="S41" i="1" s="1"/>
  <c r="M41" i="1" s="1"/>
  <c r="N41" i="1" s="1"/>
  <c r="AB26" i="1"/>
  <c r="R26" i="1"/>
  <c r="P26" i="1" s="1"/>
  <c r="S26" i="1" s="1"/>
  <c r="M26" i="1" s="1"/>
  <c r="N26" i="1" s="1"/>
  <c r="AC55" i="1"/>
  <c r="U24" i="1"/>
  <c r="V24" i="1" s="1"/>
  <c r="U21" i="1"/>
  <c r="V21" i="1" s="1"/>
  <c r="AD33" i="1"/>
  <c r="AE33" i="1" s="1"/>
  <c r="W33" i="1"/>
  <c r="AA33" i="1" s="1"/>
  <c r="AC33" i="1"/>
  <c r="AB17" i="1"/>
  <c r="W231" i="1"/>
  <c r="AA231" i="1" s="1"/>
  <c r="AD231" i="1"/>
  <c r="W173" i="1"/>
  <c r="AA173" i="1" s="1"/>
  <c r="AD173" i="1"/>
  <c r="AE173" i="1" s="1"/>
  <c r="AC173" i="1"/>
  <c r="AB147" i="1"/>
  <c r="U96" i="1"/>
  <c r="V96" i="1" s="1"/>
  <c r="U66" i="1"/>
  <c r="V66" i="1" s="1"/>
  <c r="AB203" i="1"/>
  <c r="U229" i="1"/>
  <c r="V229" i="1" s="1"/>
  <c r="R229" i="1" s="1"/>
  <c r="P229" i="1" s="1"/>
  <c r="S229" i="1" s="1"/>
  <c r="M229" i="1" s="1"/>
  <c r="N229" i="1" s="1"/>
  <c r="U226" i="1"/>
  <c r="V226" i="1" s="1"/>
  <c r="AC219" i="1"/>
  <c r="U200" i="1"/>
  <c r="V200" i="1" s="1"/>
  <c r="AB209" i="1"/>
  <c r="R209" i="1"/>
  <c r="P209" i="1" s="1"/>
  <c r="S209" i="1" s="1"/>
  <c r="M209" i="1" s="1"/>
  <c r="N209" i="1" s="1"/>
  <c r="U189" i="1"/>
  <c r="V189" i="1" s="1"/>
  <c r="R189" i="1" s="1"/>
  <c r="P189" i="1" s="1"/>
  <c r="S189" i="1" s="1"/>
  <c r="M189" i="1" s="1"/>
  <c r="N189" i="1" s="1"/>
  <c r="AB211" i="1"/>
  <c r="AC198" i="1"/>
  <c r="U167" i="1"/>
  <c r="V167" i="1" s="1"/>
  <c r="AB192" i="1"/>
  <c r="R192" i="1"/>
  <c r="P192" i="1" s="1"/>
  <c r="S192" i="1" s="1"/>
  <c r="M192" i="1" s="1"/>
  <c r="N192" i="1" s="1"/>
  <c r="AB230" i="1"/>
  <c r="R230" i="1"/>
  <c r="P230" i="1" s="1"/>
  <c r="S230" i="1" s="1"/>
  <c r="M230" i="1" s="1"/>
  <c r="N230" i="1" s="1"/>
  <c r="U188" i="1"/>
  <c r="V188" i="1" s="1"/>
  <c r="AB197" i="1"/>
  <c r="R197" i="1"/>
  <c r="P197" i="1" s="1"/>
  <c r="S197" i="1" s="1"/>
  <c r="M197" i="1" s="1"/>
  <c r="N197" i="1" s="1"/>
  <c r="W178" i="1"/>
  <c r="AA178" i="1" s="1"/>
  <c r="AD178" i="1"/>
  <c r="AE178" i="1" s="1"/>
  <c r="AC178" i="1"/>
  <c r="AB188" i="1"/>
  <c r="R188" i="1"/>
  <c r="P188" i="1" s="1"/>
  <c r="S188" i="1" s="1"/>
  <c r="M188" i="1" s="1"/>
  <c r="N188" i="1" s="1"/>
  <c r="W202" i="1"/>
  <c r="AA202" i="1" s="1"/>
  <c r="AD202" i="1"/>
  <c r="AE202" i="1" s="1"/>
  <c r="U152" i="1"/>
  <c r="V152" i="1" s="1"/>
  <c r="R156" i="1"/>
  <c r="P156" i="1" s="1"/>
  <c r="S156" i="1" s="1"/>
  <c r="M156" i="1" s="1"/>
  <c r="N156" i="1" s="1"/>
  <c r="AB156" i="1"/>
  <c r="AB159" i="1"/>
  <c r="U139" i="1"/>
  <c r="V139" i="1" s="1"/>
  <c r="U155" i="1"/>
  <c r="V155" i="1" s="1"/>
  <c r="AD168" i="1"/>
  <c r="W168" i="1"/>
  <c r="AA168" i="1" s="1"/>
  <c r="R149" i="1"/>
  <c r="P149" i="1" s="1"/>
  <c r="S149" i="1" s="1"/>
  <c r="M149" i="1" s="1"/>
  <c r="N149" i="1" s="1"/>
  <c r="AB130" i="1"/>
  <c r="R130" i="1"/>
  <c r="P130" i="1" s="1"/>
  <c r="S130" i="1" s="1"/>
  <c r="M130" i="1" s="1"/>
  <c r="N130" i="1" s="1"/>
  <c r="AB168" i="1"/>
  <c r="R168" i="1"/>
  <c r="P168" i="1" s="1"/>
  <c r="S168" i="1" s="1"/>
  <c r="M168" i="1" s="1"/>
  <c r="N168" i="1" s="1"/>
  <c r="AC135" i="1"/>
  <c r="AB132" i="1"/>
  <c r="U132" i="1"/>
  <c r="V132" i="1" s="1"/>
  <c r="U126" i="1"/>
  <c r="V126" i="1" s="1"/>
  <c r="R126" i="1" s="1"/>
  <c r="P126" i="1" s="1"/>
  <c r="S126" i="1" s="1"/>
  <c r="M126" i="1" s="1"/>
  <c r="N126" i="1" s="1"/>
  <c r="W103" i="1"/>
  <c r="AA103" i="1" s="1"/>
  <c r="AD103" i="1"/>
  <c r="AC103" i="1"/>
  <c r="U116" i="1"/>
  <c r="V116" i="1" s="1"/>
  <c r="R85" i="1"/>
  <c r="P85" i="1" s="1"/>
  <c r="S85" i="1" s="1"/>
  <c r="M85" i="1" s="1"/>
  <c r="N85" i="1" s="1"/>
  <c r="AB85" i="1"/>
  <c r="U79" i="1"/>
  <c r="V79" i="1" s="1"/>
  <c r="U86" i="1"/>
  <c r="V86" i="1" s="1"/>
  <c r="U70" i="1"/>
  <c r="V70" i="1" s="1"/>
  <c r="U75" i="1"/>
  <c r="V75" i="1" s="1"/>
  <c r="U94" i="1"/>
  <c r="V94" i="1" s="1"/>
  <c r="R94" i="1" s="1"/>
  <c r="P94" i="1" s="1"/>
  <c r="S94" i="1" s="1"/>
  <c r="M94" i="1" s="1"/>
  <c r="N94" i="1" s="1"/>
  <c r="AB94" i="1"/>
  <c r="U53" i="1"/>
  <c r="V53" i="1" s="1"/>
  <c r="R53" i="1" s="1"/>
  <c r="P53" i="1" s="1"/>
  <c r="S53" i="1" s="1"/>
  <c r="M53" i="1" s="1"/>
  <c r="N53" i="1" s="1"/>
  <c r="AB75" i="1"/>
  <c r="R75" i="1"/>
  <c r="P75" i="1" s="1"/>
  <c r="S75" i="1" s="1"/>
  <c r="M75" i="1" s="1"/>
  <c r="N75" i="1" s="1"/>
  <c r="U85" i="1"/>
  <c r="V85" i="1" s="1"/>
  <c r="U80" i="1"/>
  <c r="V80" i="1" s="1"/>
  <c r="AB53" i="1"/>
  <c r="U44" i="1"/>
  <c r="V44" i="1" s="1"/>
  <c r="R44" i="1" s="1"/>
  <c r="P44" i="1" s="1"/>
  <c r="S44" i="1" s="1"/>
  <c r="M44" i="1" s="1"/>
  <c r="N44" i="1" s="1"/>
  <c r="U32" i="1"/>
  <c r="V32" i="1" s="1"/>
  <c r="R32" i="1" s="1"/>
  <c r="P32" i="1" s="1"/>
  <c r="S32" i="1" s="1"/>
  <c r="M32" i="1" s="1"/>
  <c r="N32" i="1" s="1"/>
  <c r="U65" i="1"/>
  <c r="V65" i="1" s="1"/>
  <c r="U38" i="1"/>
  <c r="V38" i="1" s="1"/>
  <c r="U36" i="1"/>
  <c r="V36" i="1" s="1"/>
  <c r="R36" i="1" s="1"/>
  <c r="P36" i="1" s="1"/>
  <c r="S36" i="1" s="1"/>
  <c r="M36" i="1" s="1"/>
  <c r="N36" i="1" s="1"/>
  <c r="AB22" i="1"/>
  <c r="R22" i="1"/>
  <c r="P22" i="1" s="1"/>
  <c r="S22" i="1" s="1"/>
  <c r="M22" i="1" s="1"/>
  <c r="N22" i="1" s="1"/>
  <c r="U37" i="1"/>
  <c r="V37" i="1" s="1"/>
  <c r="R37" i="1" s="1"/>
  <c r="P37" i="1" s="1"/>
  <c r="S37" i="1" s="1"/>
  <c r="M37" i="1" s="1"/>
  <c r="N37" i="1" s="1"/>
  <c r="U39" i="1"/>
  <c r="V39" i="1" s="1"/>
  <c r="AB20" i="1"/>
  <c r="AD29" i="1"/>
  <c r="AE29" i="1" s="1"/>
  <c r="W29" i="1"/>
  <c r="AA29" i="1" s="1"/>
  <c r="AC29" i="1"/>
  <c r="R21" i="1"/>
  <c r="P21" i="1" s="1"/>
  <c r="S21" i="1" s="1"/>
  <c r="M21" i="1" s="1"/>
  <c r="N21" i="1" s="1"/>
  <c r="AB21" i="1"/>
  <c r="AB18" i="1"/>
  <c r="R18" i="1"/>
  <c r="P18" i="1" s="1"/>
  <c r="S18" i="1" s="1"/>
  <c r="M18" i="1" s="1"/>
  <c r="N18" i="1" s="1"/>
  <c r="U233" i="1"/>
  <c r="V233" i="1" s="1"/>
  <c r="R233" i="1" s="1"/>
  <c r="P233" i="1" s="1"/>
  <c r="S233" i="1" s="1"/>
  <c r="M233" i="1" s="1"/>
  <c r="N233" i="1" s="1"/>
  <c r="U225" i="1"/>
  <c r="V225" i="1" s="1"/>
  <c r="U222" i="1"/>
  <c r="V222" i="1" s="1"/>
  <c r="U203" i="1"/>
  <c r="V203" i="1" s="1"/>
  <c r="AC215" i="1"/>
  <c r="AB199" i="1"/>
  <c r="U223" i="1"/>
  <c r="V223" i="1" s="1"/>
  <c r="R223" i="1" s="1"/>
  <c r="P223" i="1" s="1"/>
  <c r="S223" i="1" s="1"/>
  <c r="M223" i="1" s="1"/>
  <c r="N223" i="1" s="1"/>
  <c r="U212" i="1"/>
  <c r="V212" i="1" s="1"/>
  <c r="U195" i="1"/>
  <c r="V195" i="1" s="1"/>
  <c r="AC202" i="1"/>
  <c r="AC206" i="1"/>
  <c r="AB200" i="1"/>
  <c r="R200" i="1"/>
  <c r="P200" i="1" s="1"/>
  <c r="S200" i="1" s="1"/>
  <c r="M200" i="1" s="1"/>
  <c r="N200" i="1" s="1"/>
  <c r="AB204" i="1"/>
  <c r="R204" i="1"/>
  <c r="P204" i="1" s="1"/>
  <c r="S204" i="1" s="1"/>
  <c r="M204" i="1" s="1"/>
  <c r="N204" i="1" s="1"/>
  <c r="U227" i="1"/>
  <c r="V227" i="1" s="1"/>
  <c r="R194" i="1"/>
  <c r="P194" i="1" s="1"/>
  <c r="S194" i="1" s="1"/>
  <c r="M194" i="1" s="1"/>
  <c r="N194" i="1" s="1"/>
  <c r="AB194" i="1"/>
  <c r="R158" i="1"/>
  <c r="P158" i="1" s="1"/>
  <c r="S158" i="1" s="1"/>
  <c r="M158" i="1" s="1"/>
  <c r="N158" i="1" s="1"/>
  <c r="AB158" i="1"/>
  <c r="R207" i="1"/>
  <c r="P207" i="1" s="1"/>
  <c r="S207" i="1" s="1"/>
  <c r="M207" i="1" s="1"/>
  <c r="N207" i="1" s="1"/>
  <c r="U153" i="1"/>
  <c r="V153" i="1" s="1"/>
  <c r="U128" i="1"/>
  <c r="V128" i="1" s="1"/>
  <c r="AB128" i="1"/>
  <c r="U142" i="1"/>
  <c r="V142" i="1" s="1"/>
  <c r="R142" i="1" s="1"/>
  <c r="P142" i="1" s="1"/>
  <c r="S142" i="1" s="1"/>
  <c r="M142" i="1" s="1"/>
  <c r="N142" i="1" s="1"/>
  <c r="AB143" i="1"/>
  <c r="R143" i="1"/>
  <c r="P143" i="1" s="1"/>
  <c r="S143" i="1" s="1"/>
  <c r="M143" i="1" s="1"/>
  <c r="N143" i="1" s="1"/>
  <c r="U134" i="1"/>
  <c r="V134" i="1" s="1"/>
  <c r="U87" i="1"/>
  <c r="V87" i="1" s="1"/>
  <c r="U100" i="1"/>
  <c r="V100" i="1" s="1"/>
  <c r="R100" i="1" s="1"/>
  <c r="P100" i="1" s="1"/>
  <c r="S100" i="1" s="1"/>
  <c r="M100" i="1" s="1"/>
  <c r="N100" i="1" s="1"/>
  <c r="W101" i="1"/>
  <c r="AA101" i="1" s="1"/>
  <c r="AD101" i="1"/>
  <c r="U104" i="1"/>
  <c r="V104" i="1" s="1"/>
  <c r="R81" i="1"/>
  <c r="P81" i="1" s="1"/>
  <c r="S81" i="1" s="1"/>
  <c r="M81" i="1" s="1"/>
  <c r="N81" i="1" s="1"/>
  <c r="AB81" i="1"/>
  <c r="U81" i="1"/>
  <c r="V81" i="1" s="1"/>
  <c r="AC101" i="1"/>
  <c r="AB105" i="1"/>
  <c r="U105" i="1"/>
  <c r="V105" i="1" s="1"/>
  <c r="R105" i="1" s="1"/>
  <c r="P105" i="1" s="1"/>
  <c r="S105" i="1" s="1"/>
  <c r="M105" i="1" s="1"/>
  <c r="N105" i="1" s="1"/>
  <c r="U62" i="1"/>
  <c r="V62" i="1" s="1"/>
  <c r="W71" i="1"/>
  <c r="AA71" i="1" s="1"/>
  <c r="AD71" i="1"/>
  <c r="AC71" i="1"/>
  <c r="U50" i="1"/>
  <c r="V50" i="1" s="1"/>
  <c r="AB100" i="1"/>
  <c r="R82" i="1"/>
  <c r="P82" i="1" s="1"/>
  <c r="S82" i="1" s="1"/>
  <c r="M82" i="1" s="1"/>
  <c r="N82" i="1" s="1"/>
  <c r="AB82" i="1"/>
  <c r="R71" i="1"/>
  <c r="P71" i="1" s="1"/>
  <c r="S71" i="1" s="1"/>
  <c r="M71" i="1" s="1"/>
  <c r="N71" i="1" s="1"/>
  <c r="AB71" i="1"/>
  <c r="R55" i="1"/>
  <c r="P55" i="1" s="1"/>
  <c r="S55" i="1" s="1"/>
  <c r="M55" i="1" s="1"/>
  <c r="N55" i="1" s="1"/>
  <c r="AB36" i="1"/>
  <c r="R54" i="1"/>
  <c r="P54" i="1" s="1"/>
  <c r="S54" i="1" s="1"/>
  <c r="M54" i="1" s="1"/>
  <c r="N54" i="1" s="1"/>
  <c r="AB54" i="1"/>
  <c r="AD47" i="1"/>
  <c r="AE47" i="1" s="1"/>
  <c r="W47" i="1"/>
  <c r="AA47" i="1" s="1"/>
  <c r="U20" i="1"/>
  <c r="V20" i="1" s="1"/>
  <c r="U52" i="1"/>
  <c r="V52" i="1" s="1"/>
  <c r="U17" i="1"/>
  <c r="V17" i="1" s="1"/>
  <c r="AD27" i="1"/>
  <c r="W27" i="1"/>
  <c r="AA27" i="1" s="1"/>
  <c r="AC27" i="1"/>
  <c r="U214" i="1"/>
  <c r="V214" i="1" s="1"/>
  <c r="R214" i="1" s="1"/>
  <c r="P214" i="1" s="1"/>
  <c r="S214" i="1" s="1"/>
  <c r="M214" i="1" s="1"/>
  <c r="N214" i="1" s="1"/>
  <c r="U232" i="1"/>
  <c r="V232" i="1" s="1"/>
  <c r="U221" i="1"/>
  <c r="V221" i="1" s="1"/>
  <c r="R221" i="1" s="1"/>
  <c r="P221" i="1" s="1"/>
  <c r="S221" i="1" s="1"/>
  <c r="M221" i="1" s="1"/>
  <c r="N221" i="1" s="1"/>
  <c r="U218" i="1"/>
  <c r="V218" i="1" s="1"/>
  <c r="R218" i="1" s="1"/>
  <c r="P218" i="1" s="1"/>
  <c r="S218" i="1" s="1"/>
  <c r="M218" i="1" s="1"/>
  <c r="N218" i="1" s="1"/>
  <c r="U199" i="1"/>
  <c r="V199" i="1" s="1"/>
  <c r="AC231" i="1"/>
  <c r="U196" i="1"/>
  <c r="V196" i="1" s="1"/>
  <c r="R219" i="1"/>
  <c r="P219" i="1" s="1"/>
  <c r="S219" i="1" s="1"/>
  <c r="M219" i="1" s="1"/>
  <c r="N219" i="1" s="1"/>
  <c r="AB219" i="1"/>
  <c r="R208" i="1"/>
  <c r="P208" i="1" s="1"/>
  <c r="S208" i="1" s="1"/>
  <c r="M208" i="1" s="1"/>
  <c r="N208" i="1" s="1"/>
  <c r="U185" i="1"/>
  <c r="V185" i="1" s="1"/>
  <c r="R185" i="1" s="1"/>
  <c r="P185" i="1" s="1"/>
  <c r="S185" i="1" s="1"/>
  <c r="M185" i="1" s="1"/>
  <c r="N185" i="1" s="1"/>
  <c r="W183" i="1"/>
  <c r="AA183" i="1" s="1"/>
  <c r="AD183" i="1"/>
  <c r="AC183" i="1"/>
  <c r="AB176" i="1"/>
  <c r="R170" i="1"/>
  <c r="P170" i="1" s="1"/>
  <c r="S170" i="1" s="1"/>
  <c r="M170" i="1" s="1"/>
  <c r="N170" i="1" s="1"/>
  <c r="AB170" i="1"/>
  <c r="U170" i="1"/>
  <c r="V170" i="1" s="1"/>
  <c r="AD162" i="1"/>
  <c r="W162" i="1"/>
  <c r="AA162" i="1" s="1"/>
  <c r="U150" i="1"/>
  <c r="V150" i="1" s="1"/>
  <c r="AB164" i="1"/>
  <c r="U164" i="1"/>
  <c r="V164" i="1" s="1"/>
  <c r="U147" i="1"/>
  <c r="V147" i="1" s="1"/>
  <c r="U154" i="1"/>
  <c r="V154" i="1" s="1"/>
  <c r="AB154" i="1"/>
  <c r="AE182" i="1"/>
  <c r="AD148" i="1"/>
  <c r="W148" i="1"/>
  <c r="AA148" i="1" s="1"/>
  <c r="AC148" i="1"/>
  <c r="AB123" i="1"/>
  <c r="AC156" i="1"/>
  <c r="W141" i="1"/>
  <c r="AA141" i="1" s="1"/>
  <c r="AD141" i="1"/>
  <c r="AC141" i="1"/>
  <c r="R131" i="1"/>
  <c r="P131" i="1" s="1"/>
  <c r="S131" i="1" s="1"/>
  <c r="M131" i="1" s="1"/>
  <c r="N131" i="1" s="1"/>
  <c r="AB131" i="1"/>
  <c r="U83" i="1"/>
  <c r="V83" i="1" s="1"/>
  <c r="U123" i="1"/>
  <c r="V123" i="1" s="1"/>
  <c r="U111" i="1"/>
  <c r="V111" i="1" s="1"/>
  <c r="R111" i="1" s="1"/>
  <c r="P111" i="1" s="1"/>
  <c r="S111" i="1" s="1"/>
  <c r="M111" i="1" s="1"/>
  <c r="N111" i="1" s="1"/>
  <c r="AB99" i="1"/>
  <c r="U99" i="1"/>
  <c r="V99" i="1" s="1"/>
  <c r="AD149" i="1"/>
  <c r="AE149" i="1" s="1"/>
  <c r="W149" i="1"/>
  <c r="AA149" i="1" s="1"/>
  <c r="U118" i="1"/>
  <c r="V118" i="1" s="1"/>
  <c r="R77" i="1"/>
  <c r="P77" i="1" s="1"/>
  <c r="S77" i="1" s="1"/>
  <c r="M77" i="1" s="1"/>
  <c r="N77" i="1" s="1"/>
  <c r="AB77" i="1"/>
  <c r="U69" i="1"/>
  <c r="V69" i="1" s="1"/>
  <c r="AB69" i="1"/>
  <c r="AB86" i="1"/>
  <c r="U59" i="1"/>
  <c r="V59" i="1" s="1"/>
  <c r="R59" i="1" s="1"/>
  <c r="P59" i="1" s="1"/>
  <c r="S59" i="1" s="1"/>
  <c r="M59" i="1" s="1"/>
  <c r="N59" i="1" s="1"/>
  <c r="AB59" i="1"/>
  <c r="W107" i="1"/>
  <c r="AA107" i="1" s="1"/>
  <c r="AD107" i="1"/>
  <c r="AE107" i="1" s="1"/>
  <c r="AC107" i="1"/>
  <c r="U90" i="1"/>
  <c r="V90" i="1" s="1"/>
  <c r="R90" i="1" s="1"/>
  <c r="P90" i="1" s="1"/>
  <c r="S90" i="1" s="1"/>
  <c r="M90" i="1" s="1"/>
  <c r="N90" i="1" s="1"/>
  <c r="U74" i="1"/>
  <c r="V74" i="1" s="1"/>
  <c r="U98" i="1"/>
  <c r="V98" i="1" s="1"/>
  <c r="R98" i="1" s="1"/>
  <c r="P98" i="1" s="1"/>
  <c r="S98" i="1" s="1"/>
  <c r="M98" i="1" s="1"/>
  <c r="N98" i="1" s="1"/>
  <c r="U46" i="1"/>
  <c r="V46" i="1" s="1"/>
  <c r="U41" i="1"/>
  <c r="V41" i="1" s="1"/>
  <c r="U30" i="1"/>
  <c r="V30" i="1" s="1"/>
  <c r="AD73" i="1"/>
  <c r="W73" i="1"/>
  <c r="AA73" i="1" s="1"/>
  <c r="U49" i="1"/>
  <c r="V49" i="1" s="1"/>
  <c r="W51" i="1"/>
  <c r="AA51" i="1" s="1"/>
  <c r="AD51" i="1"/>
  <c r="AE51" i="1" s="1"/>
  <c r="AC43" i="1"/>
  <c r="AB19" i="1"/>
  <c r="R19" i="1"/>
  <c r="P19" i="1" s="1"/>
  <c r="S19" i="1" s="1"/>
  <c r="M19" i="1" s="1"/>
  <c r="N19" i="1" s="1"/>
  <c r="W227" i="1" l="1"/>
  <c r="AA227" i="1" s="1"/>
  <c r="AD227" i="1"/>
  <c r="AE227" i="1" s="1"/>
  <c r="AC227" i="1"/>
  <c r="W220" i="1"/>
  <c r="AA220" i="1" s="1"/>
  <c r="AC220" i="1"/>
  <c r="AD220" i="1"/>
  <c r="AE220" i="1" s="1"/>
  <c r="R220" i="1"/>
  <c r="P220" i="1" s="1"/>
  <c r="S220" i="1" s="1"/>
  <c r="M220" i="1" s="1"/>
  <c r="N220" i="1" s="1"/>
  <c r="AD45" i="1"/>
  <c r="AE45" i="1" s="1"/>
  <c r="W45" i="1"/>
  <c r="AA45" i="1" s="1"/>
  <c r="AC45" i="1"/>
  <c r="AE73" i="1"/>
  <c r="AE141" i="1"/>
  <c r="W150" i="1"/>
  <c r="AA150" i="1" s="1"/>
  <c r="AD150" i="1"/>
  <c r="AC150" i="1"/>
  <c r="R150" i="1"/>
  <c r="P150" i="1" s="1"/>
  <c r="S150" i="1" s="1"/>
  <c r="M150" i="1" s="1"/>
  <c r="N150" i="1" s="1"/>
  <c r="AE27" i="1"/>
  <c r="W87" i="1"/>
  <c r="AA87" i="1" s="1"/>
  <c r="AD87" i="1"/>
  <c r="AC87" i="1"/>
  <c r="W195" i="1"/>
  <c r="AA195" i="1" s="1"/>
  <c r="AD195" i="1"/>
  <c r="AC195" i="1"/>
  <c r="W203" i="1"/>
  <c r="AA203" i="1" s="1"/>
  <c r="AD203" i="1"/>
  <c r="AC203" i="1"/>
  <c r="W70" i="1"/>
  <c r="AA70" i="1" s="1"/>
  <c r="AD70" i="1"/>
  <c r="R70" i="1"/>
  <c r="P70" i="1" s="1"/>
  <c r="S70" i="1" s="1"/>
  <c r="M70" i="1" s="1"/>
  <c r="N70" i="1" s="1"/>
  <c r="AC70" i="1"/>
  <c r="AD116" i="1"/>
  <c r="AE116" i="1" s="1"/>
  <c r="W116" i="1"/>
  <c r="AA116" i="1" s="1"/>
  <c r="AC116" i="1"/>
  <c r="AE168" i="1"/>
  <c r="AD152" i="1"/>
  <c r="AC152" i="1"/>
  <c r="W152" i="1"/>
  <c r="AA152" i="1" s="1"/>
  <c r="R203" i="1"/>
  <c r="P203" i="1" s="1"/>
  <c r="S203" i="1" s="1"/>
  <c r="M203" i="1" s="1"/>
  <c r="N203" i="1" s="1"/>
  <c r="W127" i="1"/>
  <c r="AA127" i="1" s="1"/>
  <c r="AD127" i="1"/>
  <c r="AE127" i="1" s="1"/>
  <c r="AC127" i="1"/>
  <c r="W63" i="1"/>
  <c r="AA63" i="1" s="1"/>
  <c r="AD63" i="1"/>
  <c r="AC63" i="1"/>
  <c r="AD84" i="1"/>
  <c r="AC84" i="1"/>
  <c r="W84" i="1"/>
  <c r="AA84" i="1" s="1"/>
  <c r="R84" i="1"/>
  <c r="P84" i="1" s="1"/>
  <c r="S84" i="1" s="1"/>
  <c r="M84" i="1" s="1"/>
  <c r="N84" i="1" s="1"/>
  <c r="W191" i="1"/>
  <c r="AA191" i="1" s="1"/>
  <c r="AD191" i="1"/>
  <c r="AE191" i="1" s="1"/>
  <c r="AC191" i="1"/>
  <c r="AE219" i="1"/>
  <c r="AE22" i="1"/>
  <c r="W26" i="1"/>
  <c r="AA26" i="1" s="1"/>
  <c r="AD26" i="1"/>
  <c r="AE26" i="1" s="1"/>
  <c r="AC26" i="1"/>
  <c r="W216" i="1"/>
  <c r="AA216" i="1" s="1"/>
  <c r="AC216" i="1"/>
  <c r="AD216" i="1"/>
  <c r="R216" i="1"/>
  <c r="P216" i="1" s="1"/>
  <c r="S216" i="1" s="1"/>
  <c r="M216" i="1" s="1"/>
  <c r="N216" i="1" s="1"/>
  <c r="R152" i="1"/>
  <c r="P152" i="1" s="1"/>
  <c r="S152" i="1" s="1"/>
  <c r="M152" i="1" s="1"/>
  <c r="N152" i="1" s="1"/>
  <c r="W179" i="1"/>
  <c r="AA179" i="1" s="1"/>
  <c r="AD179" i="1"/>
  <c r="AE179" i="1" s="1"/>
  <c r="AC179" i="1"/>
  <c r="AE35" i="1"/>
  <c r="W28" i="1"/>
  <c r="AA28" i="1" s="1"/>
  <c r="AD28" i="1"/>
  <c r="AC28" i="1"/>
  <c r="W224" i="1"/>
  <c r="AA224" i="1" s="1"/>
  <c r="AC224" i="1"/>
  <c r="AD224" i="1"/>
  <c r="AE224" i="1" s="1"/>
  <c r="R224" i="1"/>
  <c r="P224" i="1" s="1"/>
  <c r="S224" i="1" s="1"/>
  <c r="M224" i="1" s="1"/>
  <c r="N224" i="1" s="1"/>
  <c r="AE89" i="1"/>
  <c r="AE206" i="1"/>
  <c r="AE165" i="1"/>
  <c r="AC17" i="1"/>
  <c r="W17" i="1"/>
  <c r="AA17" i="1" s="1"/>
  <c r="AD17" i="1"/>
  <c r="AE17" i="1" s="1"/>
  <c r="AD74" i="1"/>
  <c r="AE74" i="1" s="1"/>
  <c r="W74" i="1"/>
  <c r="AA74" i="1" s="1"/>
  <c r="AC74" i="1"/>
  <c r="AD59" i="1"/>
  <c r="AE59" i="1" s="1"/>
  <c r="AC59" i="1"/>
  <c r="W59" i="1"/>
  <c r="AA59" i="1" s="1"/>
  <c r="W123" i="1"/>
  <c r="AA123" i="1" s="1"/>
  <c r="AD123" i="1"/>
  <c r="AC123" i="1"/>
  <c r="AD154" i="1"/>
  <c r="AE154" i="1" s="1"/>
  <c r="W154" i="1"/>
  <c r="AA154" i="1" s="1"/>
  <c r="AC154" i="1"/>
  <c r="AE183" i="1"/>
  <c r="AD196" i="1"/>
  <c r="W196" i="1"/>
  <c r="AA196" i="1" s="1"/>
  <c r="AC196" i="1"/>
  <c r="W232" i="1"/>
  <c r="AA232" i="1" s="1"/>
  <c r="AD232" i="1"/>
  <c r="AE232" i="1" s="1"/>
  <c r="R232" i="1"/>
  <c r="P232" i="1" s="1"/>
  <c r="S232" i="1" s="1"/>
  <c r="M232" i="1" s="1"/>
  <c r="N232" i="1" s="1"/>
  <c r="AC232" i="1"/>
  <c r="W62" i="1"/>
  <c r="AA62" i="1" s="1"/>
  <c r="AD62" i="1"/>
  <c r="R62" i="1"/>
  <c r="P62" i="1" s="1"/>
  <c r="S62" i="1" s="1"/>
  <c r="M62" i="1" s="1"/>
  <c r="N62" i="1" s="1"/>
  <c r="AC62" i="1"/>
  <c r="W104" i="1"/>
  <c r="AA104" i="1" s="1"/>
  <c r="AD104" i="1"/>
  <c r="AE104" i="1" s="1"/>
  <c r="AC104" i="1"/>
  <c r="W134" i="1"/>
  <c r="AA134" i="1" s="1"/>
  <c r="AD134" i="1"/>
  <c r="AC134" i="1"/>
  <c r="AD153" i="1"/>
  <c r="AC153" i="1"/>
  <c r="W153" i="1"/>
  <c r="AA153" i="1" s="1"/>
  <c r="R153" i="1"/>
  <c r="P153" i="1" s="1"/>
  <c r="S153" i="1" s="1"/>
  <c r="M153" i="1" s="1"/>
  <c r="N153" i="1" s="1"/>
  <c r="W212" i="1"/>
  <c r="AA212" i="1" s="1"/>
  <c r="AD212" i="1"/>
  <c r="AE212" i="1" s="1"/>
  <c r="AC212" i="1"/>
  <c r="R212" i="1"/>
  <c r="P212" i="1" s="1"/>
  <c r="S212" i="1" s="1"/>
  <c r="M212" i="1" s="1"/>
  <c r="N212" i="1" s="1"/>
  <c r="W222" i="1"/>
  <c r="AA222" i="1" s="1"/>
  <c r="AD222" i="1"/>
  <c r="AE222" i="1" s="1"/>
  <c r="R222" i="1"/>
  <c r="P222" i="1" s="1"/>
  <c r="S222" i="1" s="1"/>
  <c r="M222" i="1" s="1"/>
  <c r="N222" i="1" s="1"/>
  <c r="AC222" i="1"/>
  <c r="AD39" i="1"/>
  <c r="W39" i="1"/>
  <c r="AA39" i="1" s="1"/>
  <c r="R39" i="1"/>
  <c r="P39" i="1" s="1"/>
  <c r="S39" i="1" s="1"/>
  <c r="M39" i="1" s="1"/>
  <c r="N39" i="1" s="1"/>
  <c r="AC39" i="1"/>
  <c r="AD38" i="1"/>
  <c r="W38" i="1"/>
  <c r="AA38" i="1" s="1"/>
  <c r="AC38" i="1"/>
  <c r="R38" i="1"/>
  <c r="P38" i="1" s="1"/>
  <c r="S38" i="1" s="1"/>
  <c r="M38" i="1" s="1"/>
  <c r="N38" i="1" s="1"/>
  <c r="AD80" i="1"/>
  <c r="AE80" i="1" s="1"/>
  <c r="AC80" i="1"/>
  <c r="W80" i="1"/>
  <c r="AA80" i="1" s="1"/>
  <c r="AE103" i="1"/>
  <c r="W155" i="1"/>
  <c r="AA155" i="1" s="1"/>
  <c r="AD155" i="1"/>
  <c r="AE155" i="1" s="1"/>
  <c r="R155" i="1"/>
  <c r="P155" i="1" s="1"/>
  <c r="S155" i="1" s="1"/>
  <c r="M155" i="1" s="1"/>
  <c r="N155" i="1" s="1"/>
  <c r="AC155" i="1"/>
  <c r="AD200" i="1"/>
  <c r="AE200" i="1" s="1"/>
  <c r="AC200" i="1"/>
  <c r="W200" i="1"/>
  <c r="AA200" i="1" s="1"/>
  <c r="AC21" i="1"/>
  <c r="W21" i="1"/>
  <c r="AA21" i="1" s="1"/>
  <c r="AD21" i="1"/>
  <c r="AE21" i="1" s="1"/>
  <c r="W130" i="1"/>
  <c r="AA130" i="1" s="1"/>
  <c r="AD130" i="1"/>
  <c r="AE130" i="1" s="1"/>
  <c r="AC130" i="1"/>
  <c r="W230" i="1"/>
  <c r="AA230" i="1" s="1"/>
  <c r="AD230" i="1"/>
  <c r="AC230" i="1"/>
  <c r="AD40" i="1"/>
  <c r="W40" i="1"/>
  <c r="AA40" i="1" s="1"/>
  <c r="AC40" i="1"/>
  <c r="W34" i="1"/>
  <c r="AA34" i="1" s="1"/>
  <c r="AD34" i="1"/>
  <c r="AE34" i="1" s="1"/>
  <c r="AC34" i="1"/>
  <c r="AD72" i="1"/>
  <c r="AC72" i="1"/>
  <c r="W72" i="1"/>
  <c r="AA72" i="1" s="1"/>
  <c r="R72" i="1"/>
  <c r="P72" i="1" s="1"/>
  <c r="S72" i="1" s="1"/>
  <c r="M72" i="1" s="1"/>
  <c r="N72" i="1" s="1"/>
  <c r="AD88" i="1"/>
  <c r="AE88" i="1" s="1"/>
  <c r="AC88" i="1"/>
  <c r="W88" i="1"/>
  <c r="AA88" i="1" s="1"/>
  <c r="R88" i="1"/>
  <c r="P88" i="1" s="1"/>
  <c r="S88" i="1" s="1"/>
  <c r="M88" i="1" s="1"/>
  <c r="N88" i="1" s="1"/>
  <c r="R196" i="1"/>
  <c r="P196" i="1" s="1"/>
  <c r="S196" i="1" s="1"/>
  <c r="M196" i="1" s="1"/>
  <c r="N196" i="1" s="1"/>
  <c r="R45" i="1"/>
  <c r="P45" i="1" s="1"/>
  <c r="S45" i="1" s="1"/>
  <c r="M45" i="1" s="1"/>
  <c r="N45" i="1" s="1"/>
  <c r="R116" i="1"/>
  <c r="P116" i="1" s="1"/>
  <c r="S116" i="1" s="1"/>
  <c r="M116" i="1" s="1"/>
  <c r="N116" i="1" s="1"/>
  <c r="AD106" i="1"/>
  <c r="AE106" i="1" s="1"/>
  <c r="W106" i="1"/>
  <c r="AA106" i="1" s="1"/>
  <c r="AC106" i="1"/>
  <c r="R106" i="1"/>
  <c r="P106" i="1" s="1"/>
  <c r="S106" i="1" s="1"/>
  <c r="M106" i="1" s="1"/>
  <c r="N106" i="1" s="1"/>
  <c r="W115" i="1"/>
  <c r="AA115" i="1" s="1"/>
  <c r="AD115" i="1"/>
  <c r="AC115" i="1"/>
  <c r="W180" i="1"/>
  <c r="AA180" i="1" s="1"/>
  <c r="AD180" i="1"/>
  <c r="AC180" i="1"/>
  <c r="W23" i="1"/>
  <c r="AA23" i="1" s="1"/>
  <c r="AD23" i="1"/>
  <c r="AC23" i="1"/>
  <c r="AD61" i="1"/>
  <c r="W61" i="1"/>
  <c r="AA61" i="1" s="1"/>
  <c r="AC61" i="1"/>
  <c r="W119" i="1"/>
  <c r="AA119" i="1" s="1"/>
  <c r="AD119" i="1"/>
  <c r="AE119" i="1" s="1"/>
  <c r="AC119" i="1"/>
  <c r="AE207" i="1"/>
  <c r="W86" i="1"/>
  <c r="AA86" i="1" s="1"/>
  <c r="AD86" i="1"/>
  <c r="AC86" i="1"/>
  <c r="W169" i="1"/>
  <c r="AA169" i="1" s="1"/>
  <c r="AD169" i="1"/>
  <c r="AC169" i="1"/>
  <c r="W90" i="1"/>
  <c r="AA90" i="1" s="1"/>
  <c r="AD90" i="1"/>
  <c r="AC90" i="1"/>
  <c r="AD118" i="1"/>
  <c r="AC118" i="1"/>
  <c r="W118" i="1"/>
  <c r="AA118" i="1" s="1"/>
  <c r="W83" i="1"/>
  <c r="AA83" i="1" s="1"/>
  <c r="AD83" i="1"/>
  <c r="AE83" i="1" s="1"/>
  <c r="AC83" i="1"/>
  <c r="R154" i="1"/>
  <c r="P154" i="1" s="1"/>
  <c r="S154" i="1" s="1"/>
  <c r="M154" i="1" s="1"/>
  <c r="N154" i="1" s="1"/>
  <c r="AE162" i="1"/>
  <c r="AD65" i="1"/>
  <c r="W65" i="1"/>
  <c r="AA65" i="1" s="1"/>
  <c r="AC65" i="1"/>
  <c r="W94" i="1"/>
  <c r="AA94" i="1" s="1"/>
  <c r="AD94" i="1"/>
  <c r="AE94" i="1" s="1"/>
  <c r="AC94" i="1"/>
  <c r="W79" i="1"/>
  <c r="AA79" i="1" s="1"/>
  <c r="AD79" i="1"/>
  <c r="AE79" i="1" s="1"/>
  <c r="AC79" i="1"/>
  <c r="W139" i="1"/>
  <c r="AA139" i="1" s="1"/>
  <c r="AD139" i="1"/>
  <c r="AC139" i="1"/>
  <c r="AD188" i="1"/>
  <c r="AE188" i="1" s="1"/>
  <c r="AC188" i="1"/>
  <c r="W188" i="1"/>
  <c r="AA188" i="1" s="1"/>
  <c r="AD66" i="1"/>
  <c r="W66" i="1"/>
  <c r="AA66" i="1" s="1"/>
  <c r="AC66" i="1"/>
  <c r="AE231" i="1"/>
  <c r="W68" i="1"/>
  <c r="AA68" i="1" s="1"/>
  <c r="AD68" i="1"/>
  <c r="AE68" i="1" s="1"/>
  <c r="AC68" i="1"/>
  <c r="R68" i="1"/>
  <c r="P68" i="1" s="1"/>
  <c r="S68" i="1" s="1"/>
  <c r="M68" i="1" s="1"/>
  <c r="N68" i="1" s="1"/>
  <c r="W117" i="1"/>
  <c r="AA117" i="1" s="1"/>
  <c r="AD117" i="1"/>
  <c r="AC117" i="1"/>
  <c r="AE156" i="1"/>
  <c r="AD184" i="1"/>
  <c r="AE184" i="1" s="1"/>
  <c r="W184" i="1"/>
  <c r="AA184" i="1" s="1"/>
  <c r="R184" i="1"/>
  <c r="P184" i="1" s="1"/>
  <c r="S184" i="1" s="1"/>
  <c r="M184" i="1" s="1"/>
  <c r="N184" i="1" s="1"/>
  <c r="AC184" i="1"/>
  <c r="W112" i="1"/>
  <c r="AA112" i="1" s="1"/>
  <c r="AD112" i="1"/>
  <c r="AC112" i="1"/>
  <c r="W113" i="1"/>
  <c r="AA113" i="1" s="1"/>
  <c r="AD113" i="1"/>
  <c r="AC113" i="1"/>
  <c r="AD204" i="1"/>
  <c r="AE204" i="1" s="1"/>
  <c r="AC204" i="1"/>
  <c r="W204" i="1"/>
  <c r="AA204" i="1" s="1"/>
  <c r="R87" i="1"/>
  <c r="P87" i="1" s="1"/>
  <c r="S87" i="1" s="1"/>
  <c r="M87" i="1" s="1"/>
  <c r="N87" i="1" s="1"/>
  <c r="W187" i="1"/>
  <c r="AA187" i="1" s="1"/>
  <c r="AD187" i="1"/>
  <c r="AC187" i="1"/>
  <c r="W121" i="1"/>
  <c r="AA121" i="1" s="1"/>
  <c r="AD121" i="1"/>
  <c r="AE121" i="1" s="1"/>
  <c r="AC121" i="1"/>
  <c r="W95" i="1"/>
  <c r="AA95" i="1" s="1"/>
  <c r="AD95" i="1"/>
  <c r="AC95" i="1"/>
  <c r="R115" i="1"/>
  <c r="P115" i="1" s="1"/>
  <c r="S115" i="1" s="1"/>
  <c r="M115" i="1" s="1"/>
  <c r="N115" i="1" s="1"/>
  <c r="AD192" i="1"/>
  <c r="AE192" i="1" s="1"/>
  <c r="W192" i="1"/>
  <c r="AA192" i="1" s="1"/>
  <c r="AC192" i="1"/>
  <c r="R61" i="1"/>
  <c r="P61" i="1" s="1"/>
  <c r="S61" i="1" s="1"/>
  <c r="M61" i="1" s="1"/>
  <c r="N61" i="1" s="1"/>
  <c r="AD76" i="1"/>
  <c r="AE76" i="1" s="1"/>
  <c r="AC76" i="1"/>
  <c r="W76" i="1"/>
  <c r="AA76" i="1" s="1"/>
  <c r="R76" i="1"/>
  <c r="P76" i="1" s="1"/>
  <c r="S76" i="1" s="1"/>
  <c r="M76" i="1" s="1"/>
  <c r="N76" i="1" s="1"/>
  <c r="AE77" i="1"/>
  <c r="AE93" i="1"/>
  <c r="AD221" i="1"/>
  <c r="AE221" i="1" s="1"/>
  <c r="AC221" i="1"/>
  <c r="W221" i="1"/>
  <c r="AA221" i="1" s="1"/>
  <c r="W211" i="1"/>
  <c r="AA211" i="1" s="1"/>
  <c r="AD211" i="1"/>
  <c r="AC211" i="1"/>
  <c r="AD41" i="1"/>
  <c r="AE41" i="1" s="1"/>
  <c r="W41" i="1"/>
  <c r="AA41" i="1" s="1"/>
  <c r="AC41" i="1"/>
  <c r="R86" i="1"/>
  <c r="P86" i="1" s="1"/>
  <c r="S86" i="1" s="1"/>
  <c r="M86" i="1" s="1"/>
  <c r="N86" i="1" s="1"/>
  <c r="R123" i="1"/>
  <c r="P123" i="1" s="1"/>
  <c r="S123" i="1" s="1"/>
  <c r="M123" i="1" s="1"/>
  <c r="N123" i="1" s="1"/>
  <c r="W147" i="1"/>
  <c r="AA147" i="1" s="1"/>
  <c r="AD147" i="1"/>
  <c r="AC147" i="1"/>
  <c r="W170" i="1"/>
  <c r="AA170" i="1" s="1"/>
  <c r="AD170" i="1"/>
  <c r="AE170" i="1" s="1"/>
  <c r="AC170" i="1"/>
  <c r="W199" i="1"/>
  <c r="AA199" i="1" s="1"/>
  <c r="AD199" i="1"/>
  <c r="AE199" i="1" s="1"/>
  <c r="AC199" i="1"/>
  <c r="W52" i="1"/>
  <c r="AA52" i="1" s="1"/>
  <c r="AD52" i="1"/>
  <c r="AC52" i="1"/>
  <c r="W105" i="1"/>
  <c r="AA105" i="1" s="1"/>
  <c r="AD105" i="1"/>
  <c r="AE105" i="1" s="1"/>
  <c r="AC105" i="1"/>
  <c r="AE101" i="1"/>
  <c r="W223" i="1"/>
  <c r="AA223" i="1" s="1"/>
  <c r="AD223" i="1"/>
  <c r="AC223" i="1"/>
  <c r="AD37" i="1"/>
  <c r="AE37" i="1" s="1"/>
  <c r="W37" i="1"/>
  <c r="AA37" i="1" s="1"/>
  <c r="AC37" i="1"/>
  <c r="W32" i="1"/>
  <c r="AA32" i="1" s="1"/>
  <c r="AD32" i="1"/>
  <c r="AE32" i="1" s="1"/>
  <c r="AC32" i="1"/>
  <c r="W85" i="1"/>
  <c r="AA85" i="1" s="1"/>
  <c r="AD85" i="1"/>
  <c r="AC85" i="1"/>
  <c r="R211" i="1"/>
  <c r="P211" i="1" s="1"/>
  <c r="S211" i="1" s="1"/>
  <c r="M211" i="1" s="1"/>
  <c r="N211" i="1" s="1"/>
  <c r="W226" i="1"/>
  <c r="AA226" i="1" s="1"/>
  <c r="AD226" i="1"/>
  <c r="AE226" i="1" s="1"/>
  <c r="R226" i="1"/>
  <c r="P226" i="1" s="1"/>
  <c r="S226" i="1" s="1"/>
  <c r="M226" i="1" s="1"/>
  <c r="N226" i="1" s="1"/>
  <c r="AC226" i="1"/>
  <c r="W24" i="1"/>
  <c r="AA24" i="1" s="1"/>
  <c r="AD24" i="1"/>
  <c r="AC24" i="1"/>
  <c r="AE55" i="1"/>
  <c r="W133" i="1"/>
  <c r="AA133" i="1" s="1"/>
  <c r="AD133" i="1"/>
  <c r="AC133" i="1"/>
  <c r="R117" i="1"/>
  <c r="P117" i="1" s="1"/>
  <c r="S117" i="1" s="1"/>
  <c r="M117" i="1" s="1"/>
  <c r="N117" i="1" s="1"/>
  <c r="W157" i="1"/>
  <c r="AA157" i="1" s="1"/>
  <c r="AD157" i="1"/>
  <c r="AC157" i="1"/>
  <c r="R157" i="1"/>
  <c r="P157" i="1" s="1"/>
  <c r="S157" i="1" s="1"/>
  <c r="M157" i="1" s="1"/>
  <c r="N157" i="1" s="1"/>
  <c r="R52" i="1"/>
  <c r="P52" i="1" s="1"/>
  <c r="S52" i="1" s="1"/>
  <c r="M52" i="1" s="1"/>
  <c r="N52" i="1" s="1"/>
  <c r="R113" i="1"/>
  <c r="P113" i="1" s="1"/>
  <c r="S113" i="1" s="1"/>
  <c r="M113" i="1" s="1"/>
  <c r="N113" i="1" s="1"/>
  <c r="W151" i="1"/>
  <c r="AA151" i="1" s="1"/>
  <c r="AD151" i="1"/>
  <c r="AC151" i="1"/>
  <c r="AE198" i="1"/>
  <c r="AD175" i="1"/>
  <c r="AC175" i="1"/>
  <c r="W175" i="1"/>
  <c r="AA175" i="1" s="1"/>
  <c r="W67" i="1"/>
  <c r="AA67" i="1" s="1"/>
  <c r="AD67" i="1"/>
  <c r="AE67" i="1" s="1"/>
  <c r="AC67" i="1"/>
  <c r="AD114" i="1"/>
  <c r="AC114" i="1"/>
  <c r="W114" i="1"/>
  <c r="AA114" i="1" s="1"/>
  <c r="R114" i="1"/>
  <c r="P114" i="1" s="1"/>
  <c r="S114" i="1" s="1"/>
  <c r="M114" i="1" s="1"/>
  <c r="N114" i="1" s="1"/>
  <c r="AE18" i="1"/>
  <c r="R67" i="1"/>
  <c r="P67" i="1" s="1"/>
  <c r="S67" i="1" s="1"/>
  <c r="M67" i="1" s="1"/>
  <c r="N67" i="1" s="1"/>
  <c r="R121" i="1"/>
  <c r="P121" i="1" s="1"/>
  <c r="S121" i="1" s="1"/>
  <c r="M121" i="1" s="1"/>
  <c r="N121" i="1" s="1"/>
  <c r="R95" i="1"/>
  <c r="P95" i="1" s="1"/>
  <c r="S95" i="1" s="1"/>
  <c r="M95" i="1" s="1"/>
  <c r="N95" i="1" s="1"/>
  <c r="W125" i="1"/>
  <c r="AA125" i="1" s="1"/>
  <c r="AD125" i="1"/>
  <c r="AC125" i="1"/>
  <c r="W136" i="1"/>
  <c r="AA136" i="1" s="1"/>
  <c r="AD136" i="1"/>
  <c r="AE136" i="1" s="1"/>
  <c r="AC136" i="1"/>
  <c r="R136" i="1"/>
  <c r="P136" i="1" s="1"/>
  <c r="S136" i="1" s="1"/>
  <c r="M136" i="1" s="1"/>
  <c r="N136" i="1" s="1"/>
  <c r="AE43" i="1"/>
  <c r="AD42" i="1"/>
  <c r="W42" i="1"/>
  <c r="AA42" i="1" s="1"/>
  <c r="AC42" i="1"/>
  <c r="R79" i="1"/>
  <c r="P79" i="1" s="1"/>
  <c r="S79" i="1" s="1"/>
  <c r="M79" i="1" s="1"/>
  <c r="N79" i="1" s="1"/>
  <c r="R119" i="1"/>
  <c r="P119" i="1" s="1"/>
  <c r="S119" i="1" s="1"/>
  <c r="M119" i="1" s="1"/>
  <c r="N119" i="1" s="1"/>
  <c r="W30" i="1"/>
  <c r="AA30" i="1" s="1"/>
  <c r="AD30" i="1"/>
  <c r="AE30" i="1" s="1"/>
  <c r="AC30" i="1"/>
  <c r="AC25" i="1"/>
  <c r="W25" i="1"/>
  <c r="AA25" i="1" s="1"/>
  <c r="AD25" i="1"/>
  <c r="AE25" i="1" s="1"/>
  <c r="R25" i="1"/>
  <c r="P25" i="1" s="1"/>
  <c r="S25" i="1" s="1"/>
  <c r="M25" i="1" s="1"/>
  <c r="N25" i="1" s="1"/>
  <c r="AC108" i="1"/>
  <c r="W108" i="1"/>
  <c r="AA108" i="1" s="1"/>
  <c r="AD108" i="1"/>
  <c r="AD110" i="1"/>
  <c r="W110" i="1"/>
  <c r="AA110" i="1" s="1"/>
  <c r="AC110" i="1"/>
  <c r="W49" i="1"/>
  <c r="AA49" i="1" s="1"/>
  <c r="AD49" i="1"/>
  <c r="AE49" i="1" s="1"/>
  <c r="AC49" i="1"/>
  <c r="AD164" i="1"/>
  <c r="AE164" i="1" s="1"/>
  <c r="W164" i="1"/>
  <c r="AA164" i="1" s="1"/>
  <c r="AC164" i="1"/>
  <c r="AD185" i="1"/>
  <c r="W185" i="1"/>
  <c r="AA185" i="1" s="1"/>
  <c r="AC185" i="1"/>
  <c r="AD214" i="1"/>
  <c r="AE214" i="1" s="1"/>
  <c r="W214" i="1"/>
  <c r="AA214" i="1" s="1"/>
  <c r="AC214" i="1"/>
  <c r="W20" i="1"/>
  <c r="AA20" i="1" s="1"/>
  <c r="AD20" i="1"/>
  <c r="AC20" i="1"/>
  <c r="AD50" i="1"/>
  <c r="W50" i="1"/>
  <c r="AA50" i="1" s="1"/>
  <c r="AC50" i="1"/>
  <c r="R50" i="1"/>
  <c r="P50" i="1" s="1"/>
  <c r="S50" i="1" s="1"/>
  <c r="M50" i="1" s="1"/>
  <c r="N50" i="1" s="1"/>
  <c r="W142" i="1"/>
  <c r="AA142" i="1" s="1"/>
  <c r="AD142" i="1"/>
  <c r="AE142" i="1" s="1"/>
  <c r="AC142" i="1"/>
  <c r="R199" i="1"/>
  <c r="P199" i="1" s="1"/>
  <c r="S199" i="1" s="1"/>
  <c r="M199" i="1" s="1"/>
  <c r="N199" i="1" s="1"/>
  <c r="AD225" i="1"/>
  <c r="AC225" i="1"/>
  <c r="W225" i="1"/>
  <c r="AA225" i="1" s="1"/>
  <c r="W75" i="1"/>
  <c r="AA75" i="1" s="1"/>
  <c r="AD75" i="1"/>
  <c r="AC75" i="1"/>
  <c r="AD126" i="1"/>
  <c r="AC126" i="1"/>
  <c r="W126" i="1"/>
  <c r="AA126" i="1" s="1"/>
  <c r="AD96" i="1"/>
  <c r="AC96" i="1"/>
  <c r="W96" i="1"/>
  <c r="AA96" i="1" s="1"/>
  <c r="R83" i="1"/>
  <c r="P83" i="1" s="1"/>
  <c r="S83" i="1" s="1"/>
  <c r="M83" i="1" s="1"/>
  <c r="N83" i="1" s="1"/>
  <c r="W159" i="1"/>
  <c r="AA159" i="1" s="1"/>
  <c r="AD159" i="1"/>
  <c r="AC159" i="1"/>
  <c r="W163" i="1"/>
  <c r="AA163" i="1" s="1"/>
  <c r="AD163" i="1"/>
  <c r="AC163" i="1"/>
  <c r="AD193" i="1"/>
  <c r="AE193" i="1" s="1"/>
  <c r="W193" i="1"/>
  <c r="AA193" i="1" s="1"/>
  <c r="R193" i="1"/>
  <c r="P193" i="1" s="1"/>
  <c r="S193" i="1" s="1"/>
  <c r="M193" i="1" s="1"/>
  <c r="N193" i="1" s="1"/>
  <c r="AC193" i="1"/>
  <c r="W64" i="1"/>
  <c r="AA64" i="1" s="1"/>
  <c r="AD64" i="1"/>
  <c r="AC64" i="1"/>
  <c r="R64" i="1"/>
  <c r="P64" i="1" s="1"/>
  <c r="S64" i="1" s="1"/>
  <c r="M64" i="1" s="1"/>
  <c r="N64" i="1" s="1"/>
  <c r="AE158" i="1"/>
  <c r="AD161" i="1"/>
  <c r="AC161" i="1"/>
  <c r="W161" i="1"/>
  <c r="AA161" i="1" s="1"/>
  <c r="R161" i="1"/>
  <c r="P161" i="1" s="1"/>
  <c r="S161" i="1" s="1"/>
  <c r="M161" i="1" s="1"/>
  <c r="N161" i="1" s="1"/>
  <c r="R227" i="1"/>
  <c r="P227" i="1" s="1"/>
  <c r="S227" i="1" s="1"/>
  <c r="M227" i="1" s="1"/>
  <c r="N227" i="1" s="1"/>
  <c r="R49" i="1"/>
  <c r="P49" i="1" s="1"/>
  <c r="S49" i="1" s="1"/>
  <c r="M49" i="1" s="1"/>
  <c r="N49" i="1" s="1"/>
  <c r="W58" i="1"/>
  <c r="AA58" i="1" s="1"/>
  <c r="AD58" i="1"/>
  <c r="AE58" i="1" s="1"/>
  <c r="AC58" i="1"/>
  <c r="R80" i="1"/>
  <c r="P80" i="1" s="1"/>
  <c r="S80" i="1" s="1"/>
  <c r="M80" i="1" s="1"/>
  <c r="N80" i="1" s="1"/>
  <c r="AE143" i="1"/>
  <c r="W194" i="1"/>
  <c r="AA194" i="1" s="1"/>
  <c r="AD194" i="1"/>
  <c r="AC194" i="1"/>
  <c r="W201" i="1"/>
  <c r="AA201" i="1" s="1"/>
  <c r="AD201" i="1"/>
  <c r="AE201" i="1" s="1"/>
  <c r="AC201" i="1"/>
  <c r="R191" i="1"/>
  <c r="P191" i="1" s="1"/>
  <c r="S191" i="1" s="1"/>
  <c r="M191" i="1" s="1"/>
  <c r="N191" i="1" s="1"/>
  <c r="AD60" i="1"/>
  <c r="AC60" i="1"/>
  <c r="W60" i="1"/>
  <c r="AA60" i="1" s="1"/>
  <c r="R60" i="1"/>
  <c r="P60" i="1" s="1"/>
  <c r="S60" i="1" s="1"/>
  <c r="M60" i="1" s="1"/>
  <c r="N60" i="1" s="1"/>
  <c r="R74" i="1"/>
  <c r="P74" i="1" s="1"/>
  <c r="S74" i="1" s="1"/>
  <c r="M74" i="1" s="1"/>
  <c r="N74" i="1" s="1"/>
  <c r="AD172" i="1"/>
  <c r="AE172" i="1" s="1"/>
  <c r="W172" i="1"/>
  <c r="AA172" i="1" s="1"/>
  <c r="AC172" i="1"/>
  <c r="R172" i="1"/>
  <c r="P172" i="1" s="1"/>
  <c r="S172" i="1" s="1"/>
  <c r="M172" i="1" s="1"/>
  <c r="N172" i="1" s="1"/>
  <c r="AD210" i="1"/>
  <c r="W210" i="1"/>
  <c r="AA210" i="1" s="1"/>
  <c r="R210" i="1"/>
  <c r="P210" i="1" s="1"/>
  <c r="S210" i="1" s="1"/>
  <c r="M210" i="1" s="1"/>
  <c r="N210" i="1" s="1"/>
  <c r="AC210" i="1"/>
  <c r="R23" i="1"/>
  <c r="P23" i="1" s="1"/>
  <c r="S23" i="1" s="1"/>
  <c r="M23" i="1" s="1"/>
  <c r="N23" i="1" s="1"/>
  <c r="R34" i="1"/>
  <c r="P34" i="1" s="1"/>
  <c r="S34" i="1" s="1"/>
  <c r="M34" i="1" s="1"/>
  <c r="N34" i="1" s="1"/>
  <c r="W124" i="1"/>
  <c r="AA124" i="1" s="1"/>
  <c r="AD124" i="1"/>
  <c r="AC124" i="1"/>
  <c r="W140" i="1"/>
  <c r="AA140" i="1" s="1"/>
  <c r="AD140" i="1"/>
  <c r="AE140" i="1" s="1"/>
  <c r="R140" i="1"/>
  <c r="P140" i="1" s="1"/>
  <c r="S140" i="1" s="1"/>
  <c r="M140" i="1" s="1"/>
  <c r="N140" i="1" s="1"/>
  <c r="AC140" i="1"/>
  <c r="AD217" i="1"/>
  <c r="AC217" i="1"/>
  <c r="W217" i="1"/>
  <c r="AA217" i="1" s="1"/>
  <c r="AE138" i="1"/>
  <c r="W111" i="1"/>
  <c r="AA111" i="1" s="1"/>
  <c r="AD111" i="1"/>
  <c r="AC111" i="1"/>
  <c r="AD128" i="1"/>
  <c r="AE128" i="1" s="1"/>
  <c r="W128" i="1"/>
  <c r="AA128" i="1" s="1"/>
  <c r="AC128" i="1"/>
  <c r="AD167" i="1"/>
  <c r="W167" i="1"/>
  <c r="AA167" i="1" s="1"/>
  <c r="R167" i="1"/>
  <c r="P167" i="1" s="1"/>
  <c r="S167" i="1" s="1"/>
  <c r="M167" i="1" s="1"/>
  <c r="N167" i="1" s="1"/>
  <c r="AC167" i="1"/>
  <c r="W82" i="1"/>
  <c r="AA82" i="1" s="1"/>
  <c r="AD82" i="1"/>
  <c r="AE82" i="1" s="1"/>
  <c r="AC82" i="1"/>
  <c r="AD46" i="1"/>
  <c r="AE46" i="1" s="1"/>
  <c r="W46" i="1"/>
  <c r="AA46" i="1" s="1"/>
  <c r="AC46" i="1"/>
  <c r="R46" i="1"/>
  <c r="P46" i="1" s="1"/>
  <c r="S46" i="1" s="1"/>
  <c r="M46" i="1" s="1"/>
  <c r="N46" i="1" s="1"/>
  <c r="AD69" i="1"/>
  <c r="AE69" i="1" s="1"/>
  <c r="W69" i="1"/>
  <c r="AA69" i="1" s="1"/>
  <c r="AC69" i="1"/>
  <c r="W99" i="1"/>
  <c r="AA99" i="1" s="1"/>
  <c r="AD99" i="1"/>
  <c r="AE99" i="1" s="1"/>
  <c r="AC99" i="1"/>
  <c r="W218" i="1"/>
  <c r="AA218" i="1" s="1"/>
  <c r="AD218" i="1"/>
  <c r="AC218" i="1"/>
  <c r="R128" i="1"/>
  <c r="P128" i="1" s="1"/>
  <c r="S128" i="1" s="1"/>
  <c r="M128" i="1" s="1"/>
  <c r="N128" i="1" s="1"/>
  <c r="W44" i="1"/>
  <c r="AA44" i="1" s="1"/>
  <c r="AD44" i="1"/>
  <c r="AC44" i="1"/>
  <c r="W132" i="1"/>
  <c r="AA132" i="1" s="1"/>
  <c r="AD132" i="1"/>
  <c r="AC132" i="1"/>
  <c r="AD189" i="1"/>
  <c r="AE189" i="1" s="1"/>
  <c r="W189" i="1"/>
  <c r="AA189" i="1" s="1"/>
  <c r="AC189" i="1"/>
  <c r="R147" i="1"/>
  <c r="P147" i="1" s="1"/>
  <c r="S147" i="1" s="1"/>
  <c r="M147" i="1" s="1"/>
  <c r="N147" i="1" s="1"/>
  <c r="R17" i="1"/>
  <c r="P17" i="1" s="1"/>
  <c r="S17" i="1" s="1"/>
  <c r="M17" i="1" s="1"/>
  <c r="N17" i="1" s="1"/>
  <c r="W54" i="1"/>
  <c r="AA54" i="1" s="1"/>
  <c r="AD54" i="1"/>
  <c r="AC54" i="1"/>
  <c r="AD122" i="1"/>
  <c r="AC122" i="1"/>
  <c r="W122" i="1"/>
  <c r="AA122" i="1" s="1"/>
  <c r="R122" i="1"/>
  <c r="P122" i="1" s="1"/>
  <c r="S122" i="1" s="1"/>
  <c r="M122" i="1" s="1"/>
  <c r="N122" i="1" s="1"/>
  <c r="W228" i="1"/>
  <c r="AA228" i="1" s="1"/>
  <c r="AC228" i="1"/>
  <c r="AD228" i="1"/>
  <c r="AE228" i="1" s="1"/>
  <c r="R228" i="1"/>
  <c r="P228" i="1" s="1"/>
  <c r="S228" i="1" s="1"/>
  <c r="M228" i="1" s="1"/>
  <c r="N228" i="1" s="1"/>
  <c r="W57" i="1"/>
  <c r="AA57" i="1" s="1"/>
  <c r="AD57" i="1"/>
  <c r="AE57" i="1" s="1"/>
  <c r="AC57" i="1"/>
  <c r="W137" i="1"/>
  <c r="AA137" i="1" s="1"/>
  <c r="AD137" i="1"/>
  <c r="AE137" i="1" s="1"/>
  <c r="AC137" i="1"/>
  <c r="W181" i="1"/>
  <c r="AA181" i="1" s="1"/>
  <c r="AD181" i="1"/>
  <c r="R181" i="1"/>
  <c r="P181" i="1" s="1"/>
  <c r="S181" i="1" s="1"/>
  <c r="M181" i="1" s="1"/>
  <c r="N181" i="1" s="1"/>
  <c r="AC181" i="1"/>
  <c r="W197" i="1"/>
  <c r="AA197" i="1" s="1"/>
  <c r="AD197" i="1"/>
  <c r="AC197" i="1"/>
  <c r="AE215" i="1"/>
  <c r="R195" i="1"/>
  <c r="P195" i="1" s="1"/>
  <c r="S195" i="1" s="1"/>
  <c r="M195" i="1" s="1"/>
  <c r="N195" i="1" s="1"/>
  <c r="W78" i="1"/>
  <c r="AA78" i="1" s="1"/>
  <c r="AD78" i="1"/>
  <c r="AC78" i="1"/>
  <c r="AE131" i="1"/>
  <c r="W48" i="1"/>
  <c r="AA48" i="1" s="1"/>
  <c r="AD48" i="1"/>
  <c r="AE48" i="1" s="1"/>
  <c r="AC48" i="1"/>
  <c r="W109" i="1"/>
  <c r="AA109" i="1" s="1"/>
  <c r="AD109" i="1"/>
  <c r="AC109" i="1"/>
  <c r="AD213" i="1"/>
  <c r="AE213" i="1" s="1"/>
  <c r="W213" i="1"/>
  <c r="AA213" i="1" s="1"/>
  <c r="AC213" i="1"/>
  <c r="AE97" i="1"/>
  <c r="AE19" i="1"/>
  <c r="W177" i="1"/>
  <c r="AA177" i="1" s="1"/>
  <c r="AD177" i="1"/>
  <c r="R177" i="1"/>
  <c r="P177" i="1" s="1"/>
  <c r="S177" i="1" s="1"/>
  <c r="M177" i="1" s="1"/>
  <c r="N177" i="1" s="1"/>
  <c r="AC177" i="1"/>
  <c r="AD176" i="1"/>
  <c r="AE176" i="1" s="1"/>
  <c r="W176" i="1"/>
  <c r="AA176" i="1" s="1"/>
  <c r="AC176" i="1"/>
  <c r="R30" i="1"/>
  <c r="P30" i="1" s="1"/>
  <c r="S30" i="1" s="1"/>
  <c r="M30" i="1" s="1"/>
  <c r="N30" i="1" s="1"/>
  <c r="W98" i="1"/>
  <c r="AA98" i="1" s="1"/>
  <c r="AD98" i="1"/>
  <c r="AC98" i="1"/>
  <c r="R69" i="1"/>
  <c r="P69" i="1" s="1"/>
  <c r="S69" i="1" s="1"/>
  <c r="M69" i="1" s="1"/>
  <c r="N69" i="1" s="1"/>
  <c r="R99" i="1"/>
  <c r="P99" i="1" s="1"/>
  <c r="S99" i="1" s="1"/>
  <c r="M99" i="1" s="1"/>
  <c r="N99" i="1" s="1"/>
  <c r="AE148" i="1"/>
  <c r="R164" i="1"/>
  <c r="P164" i="1" s="1"/>
  <c r="S164" i="1" s="1"/>
  <c r="M164" i="1" s="1"/>
  <c r="N164" i="1" s="1"/>
  <c r="R176" i="1"/>
  <c r="P176" i="1" s="1"/>
  <c r="S176" i="1" s="1"/>
  <c r="M176" i="1" s="1"/>
  <c r="N176" i="1" s="1"/>
  <c r="AE71" i="1"/>
  <c r="AD81" i="1"/>
  <c r="W81" i="1"/>
  <c r="AA81" i="1" s="1"/>
  <c r="AC81" i="1"/>
  <c r="AD100" i="1"/>
  <c r="AE100" i="1" s="1"/>
  <c r="AC100" i="1"/>
  <c r="W100" i="1"/>
  <c r="AA100" i="1" s="1"/>
  <c r="AD233" i="1"/>
  <c r="AC233" i="1"/>
  <c r="W233" i="1"/>
  <c r="AA233" i="1" s="1"/>
  <c r="R20" i="1"/>
  <c r="P20" i="1" s="1"/>
  <c r="S20" i="1" s="1"/>
  <c r="M20" i="1" s="1"/>
  <c r="N20" i="1" s="1"/>
  <c r="AD36" i="1"/>
  <c r="AE36" i="1" s="1"/>
  <c r="W36" i="1"/>
  <c r="AA36" i="1" s="1"/>
  <c r="AC36" i="1"/>
  <c r="W53" i="1"/>
  <c r="AA53" i="1" s="1"/>
  <c r="AD53" i="1"/>
  <c r="AC53" i="1"/>
  <c r="R132" i="1"/>
  <c r="P132" i="1" s="1"/>
  <c r="S132" i="1" s="1"/>
  <c r="M132" i="1" s="1"/>
  <c r="N132" i="1" s="1"/>
  <c r="AD229" i="1"/>
  <c r="AC229" i="1"/>
  <c r="W229" i="1"/>
  <c r="AA229" i="1" s="1"/>
  <c r="R134" i="1"/>
  <c r="P134" i="1" s="1"/>
  <c r="S134" i="1" s="1"/>
  <c r="M134" i="1" s="1"/>
  <c r="N134" i="1" s="1"/>
  <c r="W190" i="1"/>
  <c r="AA190" i="1" s="1"/>
  <c r="AD190" i="1"/>
  <c r="AC190" i="1"/>
  <c r="AD171" i="1"/>
  <c r="W171" i="1"/>
  <c r="AA171" i="1" s="1"/>
  <c r="AC171" i="1"/>
  <c r="R66" i="1"/>
  <c r="P66" i="1" s="1"/>
  <c r="S66" i="1" s="1"/>
  <c r="M66" i="1" s="1"/>
  <c r="N66" i="1" s="1"/>
  <c r="R96" i="1"/>
  <c r="P96" i="1" s="1"/>
  <c r="S96" i="1" s="1"/>
  <c r="M96" i="1" s="1"/>
  <c r="N96" i="1" s="1"/>
  <c r="W91" i="1"/>
  <c r="AA91" i="1" s="1"/>
  <c r="AD91" i="1"/>
  <c r="AC91" i="1"/>
  <c r="AD92" i="1"/>
  <c r="AC92" i="1"/>
  <c r="W92" i="1"/>
  <c r="AA92" i="1" s="1"/>
  <c r="R92" i="1"/>
  <c r="P92" i="1" s="1"/>
  <c r="S92" i="1" s="1"/>
  <c r="M92" i="1" s="1"/>
  <c r="N92" i="1" s="1"/>
  <c r="W160" i="1"/>
  <c r="AA160" i="1" s="1"/>
  <c r="AD160" i="1"/>
  <c r="AE160" i="1" s="1"/>
  <c r="AC160" i="1"/>
  <c r="W209" i="1"/>
  <c r="AA209" i="1" s="1"/>
  <c r="AD209" i="1"/>
  <c r="AC209" i="1"/>
  <c r="AE135" i="1"/>
  <c r="R109" i="1"/>
  <c r="P109" i="1" s="1"/>
  <c r="S109" i="1" s="1"/>
  <c r="M109" i="1" s="1"/>
  <c r="N109" i="1" s="1"/>
  <c r="W120" i="1"/>
  <c r="AA120" i="1" s="1"/>
  <c r="AD120" i="1"/>
  <c r="AE120" i="1" s="1"/>
  <c r="AC120" i="1"/>
  <c r="R120" i="1"/>
  <c r="P120" i="1" s="1"/>
  <c r="S120" i="1" s="1"/>
  <c r="M120" i="1" s="1"/>
  <c r="N120" i="1" s="1"/>
  <c r="R40" i="1"/>
  <c r="P40" i="1" s="1"/>
  <c r="S40" i="1" s="1"/>
  <c r="M40" i="1" s="1"/>
  <c r="N40" i="1" s="1"/>
  <c r="AD56" i="1"/>
  <c r="AE56" i="1" s="1"/>
  <c r="W56" i="1"/>
  <c r="AA56" i="1" s="1"/>
  <c r="AC56" i="1"/>
  <c r="AE145" i="1"/>
  <c r="AE81" i="1" l="1"/>
  <c r="AE98" i="1"/>
  <c r="AE109" i="1"/>
  <c r="AE181" i="1"/>
  <c r="AE218" i="1"/>
  <c r="AE194" i="1"/>
  <c r="AE64" i="1"/>
  <c r="AE225" i="1"/>
  <c r="AE50" i="1"/>
  <c r="AE125" i="1"/>
  <c r="AE157" i="1"/>
  <c r="AE24" i="1"/>
  <c r="AE85" i="1"/>
  <c r="AE52" i="1"/>
  <c r="AE187" i="1"/>
  <c r="AE139" i="1"/>
  <c r="AE40" i="1"/>
  <c r="AE38" i="1"/>
  <c r="AE153" i="1"/>
  <c r="AE84" i="1"/>
  <c r="AE78" i="1"/>
  <c r="AE175" i="1"/>
  <c r="AE171" i="1"/>
  <c r="AE54" i="1"/>
  <c r="AE132" i="1"/>
  <c r="AE210" i="1"/>
  <c r="AE185" i="1"/>
  <c r="AE42" i="1"/>
  <c r="AE114" i="1"/>
  <c r="AE223" i="1"/>
  <c r="AE147" i="1"/>
  <c r="AE211" i="1"/>
  <c r="AE62" i="1"/>
  <c r="AE196" i="1"/>
  <c r="AE70" i="1"/>
  <c r="AE229" i="1"/>
  <c r="AE163" i="1"/>
  <c r="AE169" i="1"/>
  <c r="AE180" i="1"/>
  <c r="AE123" i="1"/>
  <c r="AE209" i="1"/>
  <c r="AE92" i="1"/>
  <c r="AE177" i="1"/>
  <c r="AE91" i="1"/>
  <c r="AE190" i="1"/>
  <c r="AE53" i="1"/>
  <c r="AE233" i="1"/>
  <c r="AE167" i="1"/>
  <c r="AE124" i="1"/>
  <c r="AE60" i="1"/>
  <c r="AE159" i="1"/>
  <c r="AE126" i="1"/>
  <c r="AE20" i="1"/>
  <c r="AE110" i="1"/>
  <c r="AE151" i="1"/>
  <c r="AE95" i="1"/>
  <c r="AE112" i="1"/>
  <c r="AE117" i="1"/>
  <c r="AE65" i="1"/>
  <c r="AE118" i="1"/>
  <c r="AE86" i="1"/>
  <c r="AE61" i="1"/>
  <c r="AE115" i="1"/>
  <c r="AE72" i="1"/>
  <c r="AE230" i="1"/>
  <c r="AE134" i="1"/>
  <c r="AE28" i="1"/>
  <c r="AE216" i="1"/>
  <c r="AE63" i="1"/>
  <c r="AE152" i="1"/>
  <c r="AE87" i="1"/>
  <c r="AE122" i="1"/>
  <c r="AE111" i="1"/>
  <c r="AE113" i="1"/>
  <c r="AE195" i="1"/>
  <c r="AE108" i="1"/>
  <c r="AE66" i="1"/>
  <c r="AE96" i="1"/>
  <c r="AE150" i="1"/>
  <c r="AE197" i="1"/>
  <c r="AE44" i="1"/>
  <c r="AE217" i="1"/>
  <c r="AE161" i="1"/>
  <c r="AE75" i="1"/>
  <c r="AE133" i="1"/>
  <c r="AE90" i="1"/>
  <c r="AE23" i="1"/>
  <c r="AE39" i="1"/>
  <c r="AE203" i="1"/>
</calcChain>
</file>

<file path=xl/sharedStrings.xml><?xml version="1.0" encoding="utf-8"?>
<sst xmlns="http://schemas.openxmlformats.org/spreadsheetml/2006/main" count="3249" uniqueCount="769">
  <si>
    <t>File opened</t>
  </si>
  <si>
    <t>2023-07-24 11:05:14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</si>
  <si>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</si>
  <si>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</si>
  <si>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</si>
  <si>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</si>
  <si>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</si>
  <si>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</si>
  <si>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</si>
  <si>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</si>
  <si>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</si>
  <si>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</si>
  <si>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</si>
  <si>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</si>
  <si>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</si>
  <si>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</si>
  <si>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</si>
  <si>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</si>
  <si>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</si>
  <si>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</si>
  <si>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</si>
  <si>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</si>
  <si>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</si>
  <si>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</si>
  <si>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</si>
  <si>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</si>
  <si>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</si>
  <si>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</si>
  <si>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</si>
  <si>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</si>
  <si>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</si>
  <si>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</si>
  <si>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</si>
  <si>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</si>
  <si>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11:05:14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</si>
  <si>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</si>
  <si>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</si>
  <si>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</si>
  <si>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</si>
  <si>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</si>
  <si>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</si>
  <si>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</si>
  <si>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</si>
  <si>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</si>
  <si>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</si>
  <si>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</si>
  <si>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</si>
  <si>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</si>
  <si>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</si>
  <si>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</si>
  <si>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</si>
  <si>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</si>
  <si>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</si>
  <si>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</si>
  <si>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</si>
  <si>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</si>
  <si>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</si>
  <si>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</si>
  <si>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</si>
  <si>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</si>
  <si>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</si>
  <si>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</si>
  <si>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</si>
  <si>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</si>
  <si>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</si>
  <si>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</si>
  <si>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</si>
  <si>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</si>
  <si>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</si>
  <si>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</si>
  <si>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</si>
  <si>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</si>
  <si>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</si>
  <si>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</si>
  <si>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</si>
  <si>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</si>
  <si>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</si>
  <si>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</si>
  <si>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</si>
  <si>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</si>
  <si>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</si>
  <si>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</si>
  <si>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</si>
  <si>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</si>
  <si>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</si>
  <si>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</si>
  <si>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</si>
  <si>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</si>
  <si>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</si>
  <si>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</si>
  <si>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</si>
  <si>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</si>
  <si>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</si>
  <si>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</si>
  <si>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</si>
  <si>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</si>
  <si>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</si>
  <si>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</si>
  <si>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</si>
  <si>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</si>
  <si>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</si>
  <si>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</si>
  <si>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</si>
  <si>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</si>
  <si>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</si>
  <si>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</si>
  <si>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</si>
  <si>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</si>
  <si>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</si>
  <si>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</si>
  <si>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</si>
  <si>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</si>
  <si>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</si>
  <si>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</si>
  <si>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</si>
  <si>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</si>
  <si>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</si>
  <si>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</si>
  <si>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</si>
  <si>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</si>
  <si>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</si>
  <si>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</si>
  <si>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</si>
  <si>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</si>
  <si>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</si>
  <si>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</si>
  <si>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</si>
  <si>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</si>
  <si>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</si>
  <si>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</si>
  <si>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</si>
  <si>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</si>
  <si>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</si>
  <si>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</si>
  <si>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</si>
  <si>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</si>
  <si>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</si>
  <si>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</si>
  <si>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</si>
  <si>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</si>
  <si>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</si>
  <si>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</si>
  <si>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</si>
  <si>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</si>
  <si>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</si>
  <si>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</si>
  <si>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</si>
  <si>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</si>
  <si>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</si>
  <si>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</si>
  <si>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</si>
  <si>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</si>
  <si>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</si>
  <si>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</si>
  <si>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</si>
  <si>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</si>
  <si>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</si>
  <si>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</si>
  <si>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</si>
  <si>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</si>
  <si>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</si>
  <si>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</si>
  <si>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</si>
  <si>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</si>
  <si>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</si>
  <si>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</si>
  <si>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</si>
  <si>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</si>
  <si>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</si>
  <si>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</si>
  <si>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</si>
  <si>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</si>
  <si>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</si>
  <si>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</si>
  <si>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</si>
  <si>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</si>
  <si>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</si>
  <si>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</si>
  <si>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</si>
  <si>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</si>
  <si>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</si>
  <si>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</si>
  <si>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</si>
  <si>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</si>
  <si>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</si>
  <si>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</si>
  <si>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</si>
  <si>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</si>
  <si>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</si>
  <si>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</si>
  <si>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</si>
  <si>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</si>
  <si>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</si>
  <si>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</si>
  <si>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</si>
  <si>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</si>
  <si>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</si>
  <si>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</si>
  <si>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</si>
  <si>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</si>
  <si>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</si>
  <si>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</si>
  <si>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</si>
  <si>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</si>
  <si>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</si>
  <si>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</si>
  <si>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</si>
  <si>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</si>
  <si>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</si>
  <si>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</si>
  <si>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</si>
  <si>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</si>
  <si>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</si>
  <si>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</si>
  <si>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</si>
  <si>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</si>
  <si>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</si>
  <si>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</si>
  <si>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</si>
  <si>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</si>
  <si>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</si>
  <si>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</si>
  <si>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</si>
  <si>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</si>
  <si>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</si>
  <si>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</si>
  <si>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</si>
  <si>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</si>
  <si>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</si>
  <si>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</si>
  <si>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</si>
  <si>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</si>
  <si>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</si>
  <si>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</si>
  <si>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</si>
  <si>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</si>
  <si>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</si>
  <si>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</si>
  <si>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</si>
  <si>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</si>
  <si>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</si>
  <si>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</si>
  <si>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</si>
  <si>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</si>
  <si>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</si>
  <si>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</si>
  <si>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</si>
  <si>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</si>
  <si>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</si>
  <si>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</si>
  <si>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</si>
  <si>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</si>
  <si>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</si>
  <si>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</si>
  <si>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</si>
  <si>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</si>
  <si>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</si>
  <si>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</si>
  <si>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</si>
  <si>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</si>
  <si>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</si>
  <si>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</si>
  <si>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</si>
  <si>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</si>
  <si>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</si>
  <si>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</si>
  <si>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</si>
  <si>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</si>
  <si>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</si>
  <si>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</si>
  <si>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</si>
  <si>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</si>
  <si>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</si>
  <si>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</si>
  <si>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</si>
  <si>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</si>
  <si>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</si>
  <si>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</si>
  <si>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</si>
  <si>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</si>
  <si>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</si>
  <si>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</si>
  <si>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</si>
  <si>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</si>
  <si>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</si>
  <si>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</si>
  <si>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</si>
  <si>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</si>
  <si>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</si>
  <si>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</si>
  <si>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</si>
  <si>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</si>
  <si>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</si>
  <si>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</si>
  <si>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</si>
  <si>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</si>
  <si>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</si>
  <si>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</si>
  <si>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</si>
  <si>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</si>
  <si>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</si>
  <si>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</si>
  <si>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</si>
  <si>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</si>
  <si>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</si>
  <si>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</si>
  <si>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</si>
  <si>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</si>
  <si>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</si>
  <si>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</si>
  <si>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</si>
  <si>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</si>
  <si>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</si>
  <si>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</si>
  <si>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</si>
  <si>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</si>
  <si>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</si>
  <si>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</si>
  <si>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</si>
  <si>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</si>
  <si>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</si>
  <si>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</si>
  <si>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</si>
  <si>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</si>
  <si>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</si>
  <si>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</si>
  <si>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</si>
  <si>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</si>
  <si>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11:09:05</t>
  </si>
  <si>
    <t>11:09:05</t>
  </si>
  <si>
    <t>none</t>
  </si>
  <si>
    <t>0: Broadleaf</t>
  </si>
  <si>
    <t>11:07:23</t>
  </si>
  <si>
    <t>0/0</t>
  </si>
  <si>
    <t>00000000</t>
  </si>
  <si>
    <t>iiiiiiii</t>
  </si>
  <si>
    <t>off</t>
  </si>
  <si>
    <t>20230724 11:09:06</t>
  </si>
  <si>
    <t>11:09:06</t>
  </si>
  <si>
    <t>20230724 11:09:07</t>
  </si>
  <si>
    <t>11:09:07</t>
  </si>
  <si>
    <t>20230724 11:09:08</t>
  </si>
  <si>
    <t>11:09:08</t>
  </si>
  <si>
    <t>20230724 11:09:09</t>
  </si>
  <si>
    <t>11:09:09</t>
  </si>
  <si>
    <t>20230724 11:15:44</t>
  </si>
  <si>
    <t>11:15:44</t>
  </si>
  <si>
    <t>20230724 11:15:54</t>
  </si>
  <si>
    <t>11:15:54</t>
  </si>
  <si>
    <t>20230724 11:16:04</t>
  </si>
  <si>
    <t>11:16:04</t>
  </si>
  <si>
    <t>20230724 11:16:14</t>
  </si>
  <si>
    <t>11:16:14</t>
  </si>
  <si>
    <t>20230724 11:16:24</t>
  </si>
  <si>
    <t>11:16:24</t>
  </si>
  <si>
    <t>20230724 11:16:34</t>
  </si>
  <si>
    <t>11:16:34</t>
  </si>
  <si>
    <t>20230724 11:16:44</t>
  </si>
  <si>
    <t>11:16:44</t>
  </si>
  <si>
    <t>20230724 11:16:54</t>
  </si>
  <si>
    <t>11:16:54</t>
  </si>
  <si>
    <t>20230724 11:17:04</t>
  </si>
  <si>
    <t>11:17:04</t>
  </si>
  <si>
    <t>20230724 11:17:14</t>
  </si>
  <si>
    <t>11:17:14</t>
  </si>
  <si>
    <t>20230724 11:17:24</t>
  </si>
  <si>
    <t>11:17:24</t>
  </si>
  <si>
    <t>20230724 11:17:34</t>
  </si>
  <si>
    <t>11:17:34</t>
  </si>
  <si>
    <t>20230724 11:17:44</t>
  </si>
  <si>
    <t>11:17:44</t>
  </si>
  <si>
    <t>20230724 11:17:54</t>
  </si>
  <si>
    <t>11:17:54</t>
  </si>
  <si>
    <t>20230724 11:18:04</t>
  </si>
  <si>
    <t>11:18:04</t>
  </si>
  <si>
    <t>20230724 11:18:14</t>
  </si>
  <si>
    <t>11:18:14</t>
  </si>
  <si>
    <t>20230724 11:18:24</t>
  </si>
  <si>
    <t>11:18:24</t>
  </si>
  <si>
    <t>20230724 11:18:34</t>
  </si>
  <si>
    <t>11:18:34</t>
  </si>
  <si>
    <t>20230724 11:18:44</t>
  </si>
  <si>
    <t>11:18:44</t>
  </si>
  <si>
    <t>20230724 11:18:54</t>
  </si>
  <si>
    <t>11:18:54</t>
  </si>
  <si>
    <t>20230724 11:19:04</t>
  </si>
  <si>
    <t>11:19:04</t>
  </si>
  <si>
    <t>20230724 11:19:14</t>
  </si>
  <si>
    <t>11:19:14</t>
  </si>
  <si>
    <t>20230724 11:19:24</t>
  </si>
  <si>
    <t>11:19:24</t>
  </si>
  <si>
    <t>20230724 11:19:34</t>
  </si>
  <si>
    <t>11:19:34</t>
  </si>
  <si>
    <t>20230724 11:19:44</t>
  </si>
  <si>
    <t>11:19:44</t>
  </si>
  <si>
    <t>20230724 11:19:54</t>
  </si>
  <si>
    <t>11:19:54</t>
  </si>
  <si>
    <t>20230724 11:20:04</t>
  </si>
  <si>
    <t>11:20:04</t>
  </si>
  <si>
    <t>20230724 11:20:14</t>
  </si>
  <si>
    <t>11:20:14</t>
  </si>
  <si>
    <t>20230724 11:20:24</t>
  </si>
  <si>
    <t>11:20:24</t>
  </si>
  <si>
    <t>20230724 11:20:34</t>
  </si>
  <si>
    <t>11:20:34</t>
  </si>
  <si>
    <t>20230724 11:20:44</t>
  </si>
  <si>
    <t>11:20:44</t>
  </si>
  <si>
    <t>20230724 11:20:54</t>
  </si>
  <si>
    <t>11:20:54</t>
  </si>
  <si>
    <t>20230724 11:21:04</t>
  </si>
  <si>
    <t>11:21:04</t>
  </si>
  <si>
    <t>20230724 11:21:14</t>
  </si>
  <si>
    <t>11:21:14</t>
  </si>
  <si>
    <t>20230724 11:21:24</t>
  </si>
  <si>
    <t>11:21:24</t>
  </si>
  <si>
    <t>20230724 11:21:34</t>
  </si>
  <si>
    <t>11:21:34</t>
  </si>
  <si>
    <t>20230724 11:21:44</t>
  </si>
  <si>
    <t>11:21:44</t>
  </si>
  <si>
    <t>20230724 11:21:54</t>
  </si>
  <si>
    <t>11:21:54</t>
  </si>
  <si>
    <t>20230724 11:22:04</t>
  </si>
  <si>
    <t>11:22:04</t>
  </si>
  <si>
    <t>20230724 11:22:14</t>
  </si>
  <si>
    <t>11:22:14</t>
  </si>
  <si>
    <t>20230724 11:22:24</t>
  </si>
  <si>
    <t>11:22:24</t>
  </si>
  <si>
    <t>20230724 11:22:34</t>
  </si>
  <si>
    <t>11:22:34</t>
  </si>
  <si>
    <t>20230724 11:22:44</t>
  </si>
  <si>
    <t>11:22:44</t>
  </si>
  <si>
    <t>20230724 11:22:54</t>
  </si>
  <si>
    <t>11:22:54</t>
  </si>
  <si>
    <t>20230724 11:23:04</t>
  </si>
  <si>
    <t>11:23:04</t>
  </si>
  <si>
    <t>20230724 11:23:14</t>
  </si>
  <si>
    <t>11:23:14</t>
  </si>
  <si>
    <t>20230724 11:23:24</t>
  </si>
  <si>
    <t>11:23:24</t>
  </si>
  <si>
    <t>20230724 11:23:34</t>
  </si>
  <si>
    <t>11:23:34</t>
  </si>
  <si>
    <t>20230724 11:23:44</t>
  </si>
  <si>
    <t>11:23:44</t>
  </si>
  <si>
    <t>20230724 11:23:54</t>
  </si>
  <si>
    <t>11:23:54</t>
  </si>
  <si>
    <t>20230724 11:24:04</t>
  </si>
  <si>
    <t>11:24:04</t>
  </si>
  <si>
    <t>20230724 11:24:14</t>
  </si>
  <si>
    <t>11:24:14</t>
  </si>
  <si>
    <t>20230724 11:24:24</t>
  </si>
  <si>
    <t>11:24:24</t>
  </si>
  <si>
    <t>20230724 11:24:34</t>
  </si>
  <si>
    <t>11:24:34</t>
  </si>
  <si>
    <t>20230724 11:24:44</t>
  </si>
  <si>
    <t>11:24:44</t>
  </si>
  <si>
    <t>20230724 11:24:54</t>
  </si>
  <si>
    <t>11:24:54</t>
  </si>
  <si>
    <t>20230724 11:25:04</t>
  </si>
  <si>
    <t>11:25:04</t>
  </si>
  <si>
    <t>20230724 11:25:14</t>
  </si>
  <si>
    <t>11:25:14</t>
  </si>
  <si>
    <t>20230724 11:25:24</t>
  </si>
  <si>
    <t>11:25:24</t>
  </si>
  <si>
    <t>20230724 11:25:34</t>
  </si>
  <si>
    <t>11:25:34</t>
  </si>
  <si>
    <t>20230724 11:25:44</t>
  </si>
  <si>
    <t>11:25:44</t>
  </si>
  <si>
    <t>20230724 11:25:54</t>
  </si>
  <si>
    <t>11:25:54</t>
  </si>
  <si>
    <t>20230724 11:26:04</t>
  </si>
  <si>
    <t>11:26:04</t>
  </si>
  <si>
    <t>20230724 11:26:14</t>
  </si>
  <si>
    <t>11:26:14</t>
  </si>
  <si>
    <t>20230724 11:26:24</t>
  </si>
  <si>
    <t>11:26:24</t>
  </si>
  <si>
    <t>20230724 11:26:34</t>
  </si>
  <si>
    <t>11:26:34</t>
  </si>
  <si>
    <t>20230724 11:26:44</t>
  </si>
  <si>
    <t>11:26:44</t>
  </si>
  <si>
    <t>20230724 11:26:54</t>
  </si>
  <si>
    <t>11:26:54</t>
  </si>
  <si>
    <t>20230724 11:27:04</t>
  </si>
  <si>
    <t>11:27:04</t>
  </si>
  <si>
    <t>20230724 11:27:14</t>
  </si>
  <si>
    <t>11:27:14</t>
  </si>
  <si>
    <t>20230724 11:27:24</t>
  </si>
  <si>
    <t>11:27:24</t>
  </si>
  <si>
    <t>20230724 11:27:34</t>
  </si>
  <si>
    <t>11:27:34</t>
  </si>
  <si>
    <t>20230724 11:27:44</t>
  </si>
  <si>
    <t>11:27:44</t>
  </si>
  <si>
    <t>20230724 11:27:54</t>
  </si>
  <si>
    <t>11:27:54</t>
  </si>
  <si>
    <t>20230724 11:28:04</t>
  </si>
  <si>
    <t>11:28:04</t>
  </si>
  <si>
    <t>20230724 11:28:14</t>
  </si>
  <si>
    <t>11:28:14</t>
  </si>
  <si>
    <t>20230724 11:28:24</t>
  </si>
  <si>
    <t>11:28:24</t>
  </si>
  <si>
    <t>20230724 11:28:34</t>
  </si>
  <si>
    <t>11:28:34</t>
  </si>
  <si>
    <t>20230724 11:28:44</t>
  </si>
  <si>
    <t>11:28:44</t>
  </si>
  <si>
    <t>20230724 11:28:54</t>
  </si>
  <si>
    <t>11:28:54</t>
  </si>
  <si>
    <t>20230724 11:29:04</t>
  </si>
  <si>
    <t>11:29:04</t>
  </si>
  <si>
    <t>20230724 11:29:14</t>
  </si>
  <si>
    <t>11:29:14</t>
  </si>
  <si>
    <t>20230724 11:29:24</t>
  </si>
  <si>
    <t>11:29:24</t>
  </si>
  <si>
    <t>20230724 11:29:34</t>
  </si>
  <si>
    <t>11:29:34</t>
  </si>
  <si>
    <t>20230724 11:29:44</t>
  </si>
  <si>
    <t>11:29:44</t>
  </si>
  <si>
    <t>20230724 11:29:54</t>
  </si>
  <si>
    <t>11:29:54</t>
  </si>
  <si>
    <t>20230724 11:30:04</t>
  </si>
  <si>
    <t>11:30:04</t>
  </si>
  <si>
    <t>20230724 11:30:14</t>
  </si>
  <si>
    <t>11:30:14</t>
  </si>
  <si>
    <t>20230724 11:30:24</t>
  </si>
  <si>
    <t>11:30:24</t>
  </si>
  <si>
    <t>20230724 11:30:34</t>
  </si>
  <si>
    <t>11:30:34</t>
  </si>
  <si>
    <t>20230724 11:30:44</t>
  </si>
  <si>
    <t>11:30:44</t>
  </si>
  <si>
    <t>20230724 11:30:54</t>
  </si>
  <si>
    <t>11:30:54</t>
  </si>
  <si>
    <t>20230724 11:31:04</t>
  </si>
  <si>
    <t>11:31:04</t>
  </si>
  <si>
    <t>20230724 11:31:14</t>
  </si>
  <si>
    <t>11:31:14</t>
  </si>
  <si>
    <t>20230724 11:31:24</t>
  </si>
  <si>
    <t>11:31:24</t>
  </si>
  <si>
    <t>20230724 11:31:34</t>
  </si>
  <si>
    <t>11:31:34</t>
  </si>
  <si>
    <t>20230724 11:31:44</t>
  </si>
  <si>
    <t>11:31:44</t>
  </si>
  <si>
    <t>20230724 11:31:54</t>
  </si>
  <si>
    <t>11:31:54</t>
  </si>
  <si>
    <t>20230724 11:32:04</t>
  </si>
  <si>
    <t>11:32:04</t>
  </si>
  <si>
    <t>20230724 11:32:14</t>
  </si>
  <si>
    <t>11:32:14</t>
  </si>
  <si>
    <t>20230724 11:32:24</t>
  </si>
  <si>
    <t>11:32:24</t>
  </si>
  <si>
    <t>20230724 11:32:34</t>
  </si>
  <si>
    <t>11:32:34</t>
  </si>
  <si>
    <t>20230724 11:32:44</t>
  </si>
  <si>
    <t>11:32:44</t>
  </si>
  <si>
    <t>20230724 11:32:54</t>
  </si>
  <si>
    <t>11:32:54</t>
  </si>
  <si>
    <t>20230724 11:33:04</t>
  </si>
  <si>
    <t>11:33:04</t>
  </si>
  <si>
    <t>20230724 11:33:14</t>
  </si>
  <si>
    <t>11:33:14</t>
  </si>
  <si>
    <t>20230724 11:33:24</t>
  </si>
  <si>
    <t>11:33:24</t>
  </si>
  <si>
    <t>20230724 11:33:34</t>
  </si>
  <si>
    <t>11:33:34</t>
  </si>
  <si>
    <t>20230724 11:33:44</t>
  </si>
  <si>
    <t>11:33:44</t>
  </si>
  <si>
    <t>20230724 11:33:54</t>
  </si>
  <si>
    <t>11:33:54</t>
  </si>
  <si>
    <t>20230724 11:34:04</t>
  </si>
  <si>
    <t>11:34:04</t>
  </si>
  <si>
    <t>20230724 11:34:14</t>
  </si>
  <si>
    <t>11:34:14</t>
  </si>
  <si>
    <t>20230724 11:34:24</t>
  </si>
  <si>
    <t>11:34:24</t>
  </si>
  <si>
    <t>20230724 11:34:34</t>
  </si>
  <si>
    <t>11:34:34</t>
  </si>
  <si>
    <t>20230724 11:34:44</t>
  </si>
  <si>
    <t>11:34:44</t>
  </si>
  <si>
    <t>20230724 11:34:54</t>
  </si>
  <si>
    <t>11:34:54</t>
  </si>
  <si>
    <t>20230724 11:35:04</t>
  </si>
  <si>
    <t>11:35:04</t>
  </si>
  <si>
    <t>20230724 11:35:14</t>
  </si>
  <si>
    <t>11:35:14</t>
  </si>
  <si>
    <t>20230724 11:35:24</t>
  </si>
  <si>
    <t>11:35:24</t>
  </si>
  <si>
    <t>20230724 11:35:34</t>
  </si>
  <si>
    <t>11:35:34</t>
  </si>
  <si>
    <t>20230724 11:35:44</t>
  </si>
  <si>
    <t>11:35:44</t>
  </si>
  <si>
    <t>20230724 11:35:54</t>
  </si>
  <si>
    <t>11:35:54</t>
  </si>
  <si>
    <t>20230724 11:36:04</t>
  </si>
  <si>
    <t>11:36:04</t>
  </si>
  <si>
    <t>20230724 11:36:14</t>
  </si>
  <si>
    <t>11:36:14</t>
  </si>
  <si>
    <t>20230724 11:36:24</t>
  </si>
  <si>
    <t>11:36:24</t>
  </si>
  <si>
    <t>20230724 11:36:34</t>
  </si>
  <si>
    <t>11:36:34</t>
  </si>
  <si>
    <t>20230724 11:36:44</t>
  </si>
  <si>
    <t>11:36:44</t>
  </si>
  <si>
    <t>20230724 11:36:54</t>
  </si>
  <si>
    <t>11:36:54</t>
  </si>
  <si>
    <t>20230724 11:37:04</t>
  </si>
  <si>
    <t>11:37:04</t>
  </si>
  <si>
    <t>20230724 11:37:14</t>
  </si>
  <si>
    <t>11:37:14</t>
  </si>
  <si>
    <t>20230724 11:37:24</t>
  </si>
  <si>
    <t>11:37:24</t>
  </si>
  <si>
    <t>20230724 11:37:34</t>
  </si>
  <si>
    <t>11:37:34</t>
  </si>
  <si>
    <t>20230724 11:37:44</t>
  </si>
  <si>
    <t>11:37:44</t>
  </si>
  <si>
    <t>20230724 11:37:54</t>
  </si>
  <si>
    <t>11:37:54</t>
  </si>
  <si>
    <t>20230724 11:38:04</t>
  </si>
  <si>
    <t>11:38:04</t>
  </si>
  <si>
    <t>20230724 11:38:14</t>
  </si>
  <si>
    <t>11:38:14</t>
  </si>
  <si>
    <t>20230724 11:38:24</t>
  </si>
  <si>
    <t>11:38:24</t>
  </si>
  <si>
    <t>20230724 11:38:34</t>
  </si>
  <si>
    <t>11:38:34</t>
  </si>
  <si>
    <t>20230724 11:38:44</t>
  </si>
  <si>
    <t>11:38:44</t>
  </si>
  <si>
    <t>20230724 11:38:54</t>
  </si>
  <si>
    <t>11:38:54</t>
  </si>
  <si>
    <t>20230724 11:39:04</t>
  </si>
  <si>
    <t>11:39:04</t>
  </si>
  <si>
    <t>20230724 11:39:14</t>
  </si>
  <si>
    <t>11:39:14</t>
  </si>
  <si>
    <t>20230724 11:39:24</t>
  </si>
  <si>
    <t>11:39:24</t>
  </si>
  <si>
    <t>20230724 11:39:34</t>
  </si>
  <si>
    <t>11:39:34</t>
  </si>
  <si>
    <t>20230724 11:39:44</t>
  </si>
  <si>
    <t>11:39:44</t>
  </si>
  <si>
    <t>20230724 11:39:54</t>
  </si>
  <si>
    <t>11:39:54</t>
  </si>
  <si>
    <t>20230724 11:40:04</t>
  </si>
  <si>
    <t>11:40:04</t>
  </si>
  <si>
    <t>20230724 11:40:14</t>
  </si>
  <si>
    <t>11:40:14</t>
  </si>
  <si>
    <t>20230724 11:40:24</t>
  </si>
  <si>
    <t>11:40:24</t>
  </si>
  <si>
    <t>20230724 11:40:34</t>
  </si>
  <si>
    <t>11:40:34</t>
  </si>
  <si>
    <t>20230724 11:40:44</t>
  </si>
  <si>
    <t>11:40:44</t>
  </si>
  <si>
    <t>20230724 11:40:54</t>
  </si>
  <si>
    <t>11:40:54</t>
  </si>
  <si>
    <t>20230724 11:41:04</t>
  </si>
  <si>
    <t>11:41:04</t>
  </si>
  <si>
    <t>20230724 11:41:14</t>
  </si>
  <si>
    <t>11:41:14</t>
  </si>
  <si>
    <t>20230724 11:41:24</t>
  </si>
  <si>
    <t>11:41:24</t>
  </si>
  <si>
    <t>20230724 11:41:34</t>
  </si>
  <si>
    <t>11:41:34</t>
  </si>
  <si>
    <t>20230724 11:41:44</t>
  </si>
  <si>
    <t>11:41:44</t>
  </si>
  <si>
    <t>20230724 11:41:54</t>
  </si>
  <si>
    <t>11:41:54</t>
  </si>
  <si>
    <t>20230724 11:42:04</t>
  </si>
  <si>
    <t>11:42:04</t>
  </si>
  <si>
    <t>20230724 11:42:14</t>
  </si>
  <si>
    <t>11:42:14</t>
  </si>
  <si>
    <t>20230724 11:42:24</t>
  </si>
  <si>
    <t>11:42:24</t>
  </si>
  <si>
    <t>20230724 11:42:34</t>
  </si>
  <si>
    <t>11:42:34</t>
  </si>
  <si>
    <t>20230724 11:42:44</t>
  </si>
  <si>
    <t>11:42:44</t>
  </si>
  <si>
    <t>20230724 11:42:54</t>
  </si>
  <si>
    <t>11:42:54</t>
  </si>
  <si>
    <t>20230724 11:43:04</t>
  </si>
  <si>
    <t>11:43:04</t>
  </si>
  <si>
    <t>20230724 11:43:14</t>
  </si>
  <si>
    <t>11:43:14</t>
  </si>
  <si>
    <t>20230724 11:43:24</t>
  </si>
  <si>
    <t>11:43:24</t>
  </si>
  <si>
    <t>20230724 11:43:34</t>
  </si>
  <si>
    <t>11:43:34</t>
  </si>
  <si>
    <t>20230724 11:43:44</t>
  </si>
  <si>
    <t>11:43:44</t>
  </si>
  <si>
    <t>20230724 11:43:54</t>
  </si>
  <si>
    <t>11:43:54</t>
  </si>
  <si>
    <t>20230724 11:44:04</t>
  </si>
  <si>
    <t>11:44:04</t>
  </si>
  <si>
    <t>20230724 11:44:14</t>
  </si>
  <si>
    <t>11:44:14</t>
  </si>
  <si>
    <t>20230724 11:44:24</t>
  </si>
  <si>
    <t>11:44:24</t>
  </si>
  <si>
    <t>20230724 11:44:34</t>
  </si>
  <si>
    <t>11:44:34</t>
  </si>
  <si>
    <t>20230724 11:44:44</t>
  </si>
  <si>
    <t>11:44:44</t>
  </si>
  <si>
    <t>20230724 11:44:54</t>
  </si>
  <si>
    <t>11:44:54</t>
  </si>
  <si>
    <t>20230724 11:45:04</t>
  </si>
  <si>
    <t>11:45:04</t>
  </si>
  <si>
    <t>20230724 11:45:14</t>
  </si>
  <si>
    <t>11:45:14</t>
  </si>
  <si>
    <t>20230724 11:45:24</t>
  </si>
  <si>
    <t>11:45:24</t>
  </si>
  <si>
    <t>20230724 11:45:34</t>
  </si>
  <si>
    <t>11:45:34</t>
  </si>
  <si>
    <t>20230724 11:45:44</t>
  </si>
  <si>
    <t>11:45:44</t>
  </si>
  <si>
    <t>20230724 11:45:54</t>
  </si>
  <si>
    <t>11:45:54</t>
  </si>
  <si>
    <t>20230724 11:46:04</t>
  </si>
  <si>
    <t>11:46:04</t>
  </si>
  <si>
    <t>20230724 11:46:15</t>
  </si>
  <si>
    <t>11:46:15</t>
  </si>
  <si>
    <t>20230724 11:46:25</t>
  </si>
  <si>
    <t>11:46:25</t>
  </si>
  <si>
    <t>20230724 11:46:35</t>
  </si>
  <si>
    <t>11:46:35</t>
  </si>
  <si>
    <t>20230724 11:46:45</t>
  </si>
  <si>
    <t>11:46:45</t>
  </si>
  <si>
    <t>20230724 11:46:55</t>
  </si>
  <si>
    <t>11:46:55</t>
  </si>
  <si>
    <t>20230724 11:47:05</t>
  </si>
  <si>
    <t>11:47:05</t>
  </si>
  <si>
    <t>20230724 11:47:15</t>
  </si>
  <si>
    <t>11:47:15</t>
  </si>
  <si>
    <t>20230724 11:47:25</t>
  </si>
  <si>
    <t>11:47:25</t>
  </si>
  <si>
    <t>20230724 11:47:35</t>
  </si>
  <si>
    <t>11:47:35</t>
  </si>
  <si>
    <t>20230724 11:47:45</t>
  </si>
  <si>
    <t>11:47:45</t>
  </si>
  <si>
    <t>20230724 11:47:55</t>
  </si>
  <si>
    <t>11:47:55</t>
  </si>
  <si>
    <t>20230724 11:48:05</t>
  </si>
  <si>
    <t>11:48:05</t>
  </si>
  <si>
    <t>20230724 11:48:15</t>
  </si>
  <si>
    <t>11:48:15</t>
  </si>
  <si>
    <t>20230724 11:48:25</t>
  </si>
  <si>
    <t>11:48:25</t>
  </si>
  <si>
    <t>20230724 11:48:35</t>
  </si>
  <si>
    <t>11:48:35</t>
  </si>
  <si>
    <t>20230724 11:48:45</t>
  </si>
  <si>
    <t>11:48:45</t>
  </si>
  <si>
    <t>20230724 11:48:55</t>
  </si>
  <si>
    <t>11:48:55</t>
  </si>
  <si>
    <t>20230724 11:49:05</t>
  </si>
  <si>
    <t>11:49:05</t>
  </si>
  <si>
    <t>20230724 11:49:15</t>
  </si>
  <si>
    <t>11:49:15</t>
  </si>
  <si>
    <t>20230724 11:49:25</t>
  </si>
  <si>
    <t>11:49:25</t>
  </si>
  <si>
    <t>20230724 11:49:35</t>
  </si>
  <si>
    <t>11:49:35</t>
  </si>
  <si>
    <t>20230724 11:49:45</t>
  </si>
  <si>
    <t>11:49:45</t>
  </si>
  <si>
    <t>20230724 11:49:55</t>
  </si>
  <si>
    <t>11:49:55</t>
  </si>
  <si>
    <t>20230724 11:50:05</t>
  </si>
  <si>
    <t>11:50:05</t>
  </si>
  <si>
    <t>20230724 11:50:15</t>
  </si>
  <si>
    <t>11:50:15</t>
  </si>
  <si>
    <t>20230724 11:50:25</t>
  </si>
  <si>
    <t>11:50:25</t>
  </si>
  <si>
    <t>20230724 11:50:35</t>
  </si>
  <si>
    <t>11:50:35</t>
  </si>
  <si>
    <t>20230724 11:50:45</t>
  </si>
  <si>
    <t>11:50:45</t>
  </si>
  <si>
    <t>20230724 11:50:55</t>
  </si>
  <si>
    <t>11:50:55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</si>
</sst>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33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1690214945.5</v>
      </c>
      <c r="C17">
        <v>0</v>
      </c>
      <c r="D17" t="s">
        <v>328</v>
      </c>
      <c r="E17" t="s">
        <v>329</v>
      </c>
      <c r="F17" t="s">
        <v>330</v>
      </c>
      <c r="H17">
        <v>1690214945.5</v>
      </c>
      <c r="I17">
        <f t="shared" ref="I17:I80" si="0">(J17)/1000</f>
        <v>4.2261731984394692E-4</v>
      </c>
      <c r="J17">
        <f t="shared" ref="J17:J80" si="1">1000*AZ17*AH17*(AV17-AW17)/(100*AO17*(1000-AH17*AV17))</f>
        <v>0.4226173198439469</v>
      </c>
      <c r="K17">
        <f t="shared" ref="K17:K80" si="2">AZ17*AH17*(AU17-AT17*(1000-AH17*AW17)/(1000-AH17*AV17))/(100*AO17)</f>
        <v>-0.97920103012525306</v>
      </c>
      <c r="L17">
        <f t="shared" ref="L17:L80" si="3">AT17 - IF(AH17&gt;1, K17*AO17*100/(AJ17*BH17), 0)</f>
        <v>807.15200000000004</v>
      </c>
      <c r="M17">
        <f t="shared" ref="M17:M80" si="4">((S17-I17/2)*L17-K17)/(S17+I17/2)</f>
        <v>867.13749768843866</v>
      </c>
      <c r="N17">
        <f t="shared" ref="N17:N80" si="5">M17*(BA17+BB17)/1000</f>
        <v>86.001155163554714</v>
      </c>
      <c r="O17">
        <f t="shared" ref="O17:O80" si="6">(AT17 - IF(AH17&gt;1, K17*AO17*100/(AJ17*BH17), 0))*(BA17+BB17)/1000</f>
        <v>80.05190016302879</v>
      </c>
      <c r="P17">
        <f t="shared" ref="P17:P80" si="7">2/((1/R17-1/Q17)+SIGN(R17)*SQRT((1/R17-1/Q17)*(1/R17-1/Q17) + 4*AP17/((AP17+1)*(AP17+1))*(2*1/R17*1/Q17-1/Q17*1/Q17)))</f>
        <v>1.6745914177548657E-2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2.0658541062178548</v>
      </c>
      <c r="R17">
        <f t="shared" ref="R17:R80" si="9">I17*(1000-(1000*0.61365*EXP(17.502*V17/(240.97+V17))/(BA17+BB17)+AV17)/2)/(1000*0.61365*EXP(17.502*V17/(240.97+V17))/(BA17+BB17)-AV17)</f>
        <v>1.667086620824763E-2</v>
      </c>
      <c r="S17">
        <f t="shared" ref="S17:S80" si="10">1/((AP17+1)/(P17/1.6)+1/(Q17/1.37)) + AP17/((AP17+1)/(P17/1.6) + AP17/(Q17/1.37))</f>
        <v>1.0426006020582109E-2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26.644958371625528</v>
      </c>
      <c r="V17">
        <f t="shared" ref="V17:V80" si="13">($C$7*BD17+$D$7*BE17+$E$7*U17)</f>
        <v>26.644958371625528</v>
      </c>
      <c r="W17">
        <f t="shared" ref="W17:W80" si="14">0.61365*EXP(17.502*V17/(240.97+V17))</f>
        <v>3.5052011622367041</v>
      </c>
      <c r="X17">
        <f t="shared" ref="X17:X80" si="15">(Y17/Z17*100)</f>
        <v>29.652477947198108</v>
      </c>
      <c r="Y17">
        <f t="shared" ref="Y17:Y80" si="16">AV17*(BA17+BB17)/1000</f>
        <v>1.0486906827262201</v>
      </c>
      <c r="Z17">
        <f t="shared" ref="Z17:Z80" si="17">0.61365*EXP(17.502*BC17/(240.97+BC17))</f>
        <v>3.5366038703194178</v>
      </c>
      <c r="AA17">
        <f t="shared" ref="AA17:AA80" si="18">(W17-AV17*(BA17+BB17)/1000)</f>
        <v>2.456510479510484</v>
      </c>
      <c r="AB17">
        <f t="shared" ref="AB17:AB80" si="19">(-I17*44100)</f>
        <v>-18.637423805118058</v>
      </c>
      <c r="AC17">
        <f t="shared" ref="AC17:AC80" si="20">2*29.3*Q17*0.92*(BC17-V17)</f>
        <v>16.877846808197621</v>
      </c>
      <c r="AD17">
        <f t="shared" ref="AD17:AD80" si="21">2*0.95*0.0000000567*(((BC17+$B$7)+273)^4-(V17+273)^4)</f>
        <v>1.7582432956401997</v>
      </c>
      <c r="AE17">
        <f t="shared" ref="AE17:AE80" si="22">T17+AD17+AB17+AC17</f>
        <v>-1.3337012802381309E-3</v>
      </c>
      <c r="AF17">
        <v>47</v>
      </c>
      <c r="AG17">
        <v>16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52503.787385353127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33.6</v>
      </c>
      <c r="AP17">
        <v>0.5</v>
      </c>
      <c r="AQ17" t="s">
        <v>331</v>
      </c>
      <c r="AR17">
        <v>2</v>
      </c>
      <c r="AS17">
        <v>1690214945.5</v>
      </c>
      <c r="AT17">
        <v>807.15200000000004</v>
      </c>
      <c r="AU17">
        <v>800.00900000000001</v>
      </c>
      <c r="AV17">
        <v>10.5738</v>
      </c>
      <c r="AW17">
        <v>5.8928599999999998</v>
      </c>
      <c r="AX17">
        <v>807.54600000000005</v>
      </c>
      <c r="AY17">
        <v>10.592499999999999</v>
      </c>
      <c r="AZ17">
        <v>300.149</v>
      </c>
      <c r="BA17">
        <v>99.078299999999999</v>
      </c>
      <c r="BB17">
        <v>9.9921899999999994E-2</v>
      </c>
      <c r="BC17">
        <v>26.796500000000002</v>
      </c>
      <c r="BD17">
        <v>26.9953</v>
      </c>
      <c r="BE17">
        <v>26.342700000000001</v>
      </c>
      <c r="BF17">
        <v>0</v>
      </c>
      <c r="BG17">
        <v>0</v>
      </c>
      <c r="BH17">
        <v>10015.6</v>
      </c>
      <c r="BI17">
        <v>0.67633299999999996</v>
      </c>
      <c r="BJ17">
        <v>1.38764</v>
      </c>
      <c r="BK17">
        <v>7.1426999999999996</v>
      </c>
      <c r="BL17">
        <v>815.77800000000002</v>
      </c>
      <c r="BM17">
        <v>804.75099999999998</v>
      </c>
      <c r="BN17">
        <v>4.6809099999999999</v>
      </c>
      <c r="BO17">
        <v>800.00900000000001</v>
      </c>
      <c r="BP17">
        <v>5.8928599999999998</v>
      </c>
      <c r="BQ17">
        <v>1.0476300000000001</v>
      </c>
      <c r="BR17">
        <v>0.58385500000000001</v>
      </c>
      <c r="BS17">
        <v>7.5962100000000001</v>
      </c>
      <c r="BT17">
        <v>-0.68332499999999996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1690214843</v>
      </c>
      <c r="CC17" t="s">
        <v>332</v>
      </c>
      <c r="CD17">
        <v>1690214842</v>
      </c>
      <c r="CE17">
        <v>1690214843</v>
      </c>
      <c r="CF17">
        <v>8</v>
      </c>
      <c r="CG17">
        <v>-6.3E-2</v>
      </c>
      <c r="CH17">
        <v>1E-3</v>
      </c>
      <c r="CI17">
        <v>-0.38900000000000001</v>
      </c>
      <c r="CJ17">
        <v>-6.6000000000000003E-2</v>
      </c>
      <c r="CK17">
        <v>800</v>
      </c>
      <c r="CL17">
        <v>6</v>
      </c>
      <c r="CM17">
        <v>0.23</v>
      </c>
      <c r="CN17">
        <v>0.02</v>
      </c>
      <c r="CO17">
        <v>7.1272599999999997</v>
      </c>
      <c r="CP17">
        <v>0.42719909943714712</v>
      </c>
      <c r="CQ17">
        <v>5.3587722567767268E-2</v>
      </c>
      <c r="CR17">
        <v>-1</v>
      </c>
      <c r="CS17">
        <v>4.7354297499999998</v>
      </c>
      <c r="CT17">
        <v>-0.33353212007505018</v>
      </c>
      <c r="CU17">
        <v>3.2103559108570837E-2</v>
      </c>
      <c r="CV17">
        <v>-1</v>
      </c>
      <c r="CW17">
        <v>0</v>
      </c>
      <c r="CX17">
        <v>0</v>
      </c>
      <c r="CY17" t="s">
        <v>333</v>
      </c>
      <c r="CZ17">
        <v>2.3643299999999998</v>
      </c>
      <c r="DA17">
        <v>2.71373</v>
      </c>
      <c r="DB17">
        <v>0.14738799999999999</v>
      </c>
      <c r="DC17">
        <v>0.146067</v>
      </c>
      <c r="DD17">
        <v>6.28161E-2</v>
      </c>
      <c r="DE17">
        <v>3.88685E-2</v>
      </c>
      <c r="DF17">
        <v>31120.3</v>
      </c>
      <c r="DG17">
        <v>27500.799999999999</v>
      </c>
      <c r="DH17">
        <v>31160.7</v>
      </c>
      <c r="DI17">
        <v>28062.6</v>
      </c>
      <c r="DJ17">
        <v>39664.800000000003</v>
      </c>
      <c r="DK17">
        <v>38351.300000000003</v>
      </c>
      <c r="DL17">
        <v>44343.199999999997</v>
      </c>
      <c r="DM17">
        <v>42527.5</v>
      </c>
      <c r="DN17">
        <v>1.3526</v>
      </c>
      <c r="DO17">
        <v>2.03355</v>
      </c>
      <c r="DP17">
        <v>8.5130300000000006E-2</v>
      </c>
      <c r="DQ17">
        <v>3.9570000000000001E-2</v>
      </c>
      <c r="DR17">
        <v>25.601500000000001</v>
      </c>
      <c r="DS17">
        <v>25.694500000000001</v>
      </c>
      <c r="DT17">
        <v>17.5</v>
      </c>
      <c r="DU17">
        <v>29.8</v>
      </c>
      <c r="DV17">
        <v>7.4388699999999996</v>
      </c>
      <c r="DW17">
        <v>61.501199999999997</v>
      </c>
      <c r="DX17">
        <v>36.029600000000002</v>
      </c>
      <c r="DY17">
        <v>1</v>
      </c>
      <c r="DZ17">
        <v>-8.2108700000000007E-2</v>
      </c>
      <c r="EA17">
        <v>-2.3170000000000002</v>
      </c>
      <c r="EB17">
        <v>20.285299999999999</v>
      </c>
      <c r="EC17">
        <v>5.2411000000000003</v>
      </c>
      <c r="ED17">
        <v>12.039899999999999</v>
      </c>
      <c r="EE17">
        <v>5.0174000000000003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1.8689100000000001</v>
      </c>
      <c r="EL17">
        <v>1.86463</v>
      </c>
      <c r="EM17">
        <v>1.86917</v>
      </c>
      <c r="EN17">
        <v>1.8672200000000001</v>
      </c>
      <c r="EO17">
        <v>1.8633900000000001</v>
      </c>
      <c r="EP17">
        <v>1.8645</v>
      </c>
      <c r="EQ17">
        <v>1.8701399999999999</v>
      </c>
      <c r="ER17">
        <v>1.8694200000000001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-0.39400000000000002</v>
      </c>
      <c r="FG17">
        <v>-1.8700000000000001E-2</v>
      </c>
      <c r="FH17">
        <v>0.16202357103534001</v>
      </c>
      <c r="FI17">
        <v>-6.1462078757559423E-4</v>
      </c>
      <c r="FJ17">
        <v>-1.8861989874597051E-7</v>
      </c>
      <c r="FK17">
        <v>1.1980462299894961E-10</v>
      </c>
      <c r="FL17">
        <v>-3.0039189969545878E-2</v>
      </c>
      <c r="FM17">
        <v>-1.6848085045870601E-2</v>
      </c>
      <c r="FN17">
        <v>1.9789084769509481E-3</v>
      </c>
      <c r="FO17">
        <v>-2.7142391389806329E-5</v>
      </c>
      <c r="FP17">
        <v>3</v>
      </c>
      <c r="FQ17">
        <v>2158</v>
      </c>
      <c r="FR17">
        <v>1</v>
      </c>
      <c r="FS17">
        <v>19</v>
      </c>
      <c r="FT17">
        <v>1.7</v>
      </c>
      <c r="FU17">
        <v>1.7</v>
      </c>
      <c r="FV17">
        <v>1.77979</v>
      </c>
      <c r="FW17">
        <v>2.5769000000000002</v>
      </c>
      <c r="FX17">
        <v>1.5490699999999999</v>
      </c>
      <c r="FY17">
        <v>2.3290999999999999</v>
      </c>
      <c r="FZ17">
        <v>1.50146</v>
      </c>
      <c r="GA17">
        <v>2.3791500000000001</v>
      </c>
      <c r="GB17">
        <v>33.828299999999999</v>
      </c>
      <c r="GC17">
        <v>24.026199999999999</v>
      </c>
      <c r="GD17">
        <v>19</v>
      </c>
      <c r="GE17">
        <v>233.86600000000001</v>
      </c>
      <c r="GF17">
        <v>581.53499999999997</v>
      </c>
      <c r="GG17">
        <v>28.7255</v>
      </c>
      <c r="GH17">
        <v>26.3352</v>
      </c>
      <c r="GI17">
        <v>30.001200000000001</v>
      </c>
      <c r="GJ17">
        <v>26.4191</v>
      </c>
      <c r="GK17">
        <v>26.4008</v>
      </c>
      <c r="GL17">
        <v>35.5809</v>
      </c>
      <c r="GM17">
        <v>-30</v>
      </c>
      <c r="GN17">
        <v>-30</v>
      </c>
      <c r="GO17">
        <v>28.762799999999999</v>
      </c>
      <c r="GP17">
        <v>800</v>
      </c>
      <c r="GQ17">
        <v>12.5298</v>
      </c>
      <c r="GR17">
        <v>99.699100000000001</v>
      </c>
      <c r="GS17">
        <v>99.492000000000004</v>
      </c>
    </row>
    <row r="18" spans="1:201" x14ac:dyDescent="0.25">
      <c r="A18">
        <v>2</v>
      </c>
      <c r="B18">
        <v>1690214946.5</v>
      </c>
      <c r="C18">
        <v>1</v>
      </c>
      <c r="D18" t="s">
        <v>337</v>
      </c>
      <c r="E18" t="s">
        <v>338</v>
      </c>
      <c r="F18" t="s">
        <v>330</v>
      </c>
      <c r="H18">
        <v>1690214946.5</v>
      </c>
      <c r="I18">
        <f t="shared" si="0"/>
        <v>4.22147814166576E-4</v>
      </c>
      <c r="J18">
        <f t="shared" si="1"/>
        <v>0.42214781416657599</v>
      </c>
      <c r="K18">
        <f t="shared" si="2"/>
        <v>-0.97886330875014016</v>
      </c>
      <c r="L18">
        <f t="shared" si="3"/>
        <v>807.16399999999999</v>
      </c>
      <c r="M18">
        <f t="shared" si="4"/>
        <v>867.24753816372549</v>
      </c>
      <c r="N18">
        <f t="shared" si="5"/>
        <v>86.011881543487192</v>
      </c>
      <c r="O18">
        <f t="shared" si="6"/>
        <v>80.052916034983994</v>
      </c>
      <c r="P18">
        <f t="shared" si="7"/>
        <v>1.671927962000672E-2</v>
      </c>
      <c r="Q18">
        <f t="shared" si="8"/>
        <v>2.0657849454887414</v>
      </c>
      <c r="R18">
        <f t="shared" si="9"/>
        <v>1.6644467121961298E-2</v>
      </c>
      <c r="S18">
        <f t="shared" si="10"/>
        <v>1.0409485566916628E-2</v>
      </c>
      <c r="T18">
        <f t="shared" si="11"/>
        <v>0</v>
      </c>
      <c r="U18">
        <f t="shared" si="12"/>
        <v>26.648422609018041</v>
      </c>
      <c r="V18">
        <f t="shared" si="13"/>
        <v>26.648422609018041</v>
      </c>
      <c r="W18">
        <f t="shared" si="14"/>
        <v>3.5059162990863251</v>
      </c>
      <c r="X18">
        <f t="shared" si="15"/>
        <v>29.634321488427862</v>
      </c>
      <c r="Y18">
        <f t="shared" si="16"/>
        <v>1.0482520166164</v>
      </c>
      <c r="Z18">
        <f t="shared" si="17"/>
        <v>3.5372904253122179</v>
      </c>
      <c r="AA18">
        <f t="shared" si="18"/>
        <v>2.4576642824699251</v>
      </c>
      <c r="AB18">
        <f t="shared" si="19"/>
        <v>-18.616718604746001</v>
      </c>
      <c r="AC18">
        <f t="shared" si="20"/>
        <v>16.858990554493111</v>
      </c>
      <c r="AD18">
        <f t="shared" si="21"/>
        <v>1.7563972084880723</v>
      </c>
      <c r="AE18">
        <f t="shared" si="22"/>
        <v>-1.330841764819013E-3</v>
      </c>
      <c r="AF18">
        <v>47</v>
      </c>
      <c r="AG18">
        <v>16</v>
      </c>
      <c r="AH18">
        <f t="shared" si="23"/>
        <v>1</v>
      </c>
      <c r="AI18">
        <f t="shared" si="24"/>
        <v>0</v>
      </c>
      <c r="AJ18">
        <f t="shared" si="25"/>
        <v>52500.034916611592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33.6</v>
      </c>
      <c r="AP18">
        <v>0.5</v>
      </c>
      <c r="AQ18" t="s">
        <v>331</v>
      </c>
      <c r="AR18">
        <v>2</v>
      </c>
      <c r="AS18">
        <v>1690214946.5</v>
      </c>
      <c r="AT18">
        <v>807.16399999999999</v>
      </c>
      <c r="AU18">
        <v>800.02</v>
      </c>
      <c r="AV18">
        <v>10.5694</v>
      </c>
      <c r="AW18">
        <v>5.8932500000000001</v>
      </c>
      <c r="AX18">
        <v>807.55799999999999</v>
      </c>
      <c r="AY18">
        <v>10.588200000000001</v>
      </c>
      <c r="AZ18">
        <v>300.12400000000002</v>
      </c>
      <c r="BA18">
        <v>99.078000000000003</v>
      </c>
      <c r="BB18">
        <v>0.100006</v>
      </c>
      <c r="BC18">
        <v>26.799800000000001</v>
      </c>
      <c r="BD18">
        <v>26.997</v>
      </c>
      <c r="BE18">
        <v>26.3477</v>
      </c>
      <c r="BF18">
        <v>0</v>
      </c>
      <c r="BG18">
        <v>0</v>
      </c>
      <c r="BH18">
        <v>10015</v>
      </c>
      <c r="BI18">
        <v>0.66420599999999996</v>
      </c>
      <c r="BJ18">
        <v>1.38764</v>
      </c>
      <c r="BK18">
        <v>7.1440999999999999</v>
      </c>
      <c r="BL18">
        <v>815.78599999999994</v>
      </c>
      <c r="BM18">
        <v>804.76300000000003</v>
      </c>
      <c r="BN18">
        <v>4.6761499999999998</v>
      </c>
      <c r="BO18">
        <v>800.02</v>
      </c>
      <c r="BP18">
        <v>5.8932500000000001</v>
      </c>
      <c r="BQ18">
        <v>1.0471900000000001</v>
      </c>
      <c r="BR18">
        <v>0.58389100000000005</v>
      </c>
      <c r="BS18">
        <v>7.5900800000000004</v>
      </c>
      <c r="BT18">
        <v>-0.68248500000000001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1690214843</v>
      </c>
      <c r="CC18" t="s">
        <v>332</v>
      </c>
      <c r="CD18">
        <v>1690214842</v>
      </c>
      <c r="CE18">
        <v>1690214843</v>
      </c>
      <c r="CF18">
        <v>8</v>
      </c>
      <c r="CG18">
        <v>-6.3E-2</v>
      </c>
      <c r="CH18">
        <v>1E-3</v>
      </c>
      <c r="CI18">
        <v>-0.38900000000000001</v>
      </c>
      <c r="CJ18">
        <v>-6.6000000000000003E-2</v>
      </c>
      <c r="CK18">
        <v>800</v>
      </c>
      <c r="CL18">
        <v>6</v>
      </c>
      <c r="CM18">
        <v>0.23</v>
      </c>
      <c r="CN18">
        <v>0.02</v>
      </c>
      <c r="CO18">
        <v>7.1272599999999997</v>
      </c>
      <c r="CP18">
        <v>0.42719909943714712</v>
      </c>
      <c r="CQ18">
        <v>5.3587722567767268E-2</v>
      </c>
      <c r="CR18">
        <v>-1</v>
      </c>
      <c r="CS18">
        <v>4.7354297499999998</v>
      </c>
      <c r="CT18">
        <v>-0.33353212007505018</v>
      </c>
      <c r="CU18">
        <v>3.2103559108570837E-2</v>
      </c>
      <c r="CV18">
        <v>-1</v>
      </c>
      <c r="CW18">
        <v>0</v>
      </c>
      <c r="CX18">
        <v>0</v>
      </c>
      <c r="CY18" t="s">
        <v>333</v>
      </c>
      <c r="CZ18">
        <v>2.3642500000000002</v>
      </c>
      <c r="DA18">
        <v>2.7138100000000001</v>
      </c>
      <c r="DB18">
        <v>0.14738999999999999</v>
      </c>
      <c r="DC18">
        <v>0.146068</v>
      </c>
      <c r="DD18">
        <v>6.2796500000000005E-2</v>
      </c>
      <c r="DE18">
        <v>3.8870700000000001E-2</v>
      </c>
      <c r="DF18">
        <v>31120.1</v>
      </c>
      <c r="DG18">
        <v>27500.799999999999</v>
      </c>
      <c r="DH18">
        <v>31160.6</v>
      </c>
      <c r="DI18">
        <v>28062.7</v>
      </c>
      <c r="DJ18">
        <v>39665.5</v>
      </c>
      <c r="DK18">
        <v>38351.199999999997</v>
      </c>
      <c r="DL18">
        <v>44343.1</v>
      </c>
      <c r="DM18">
        <v>42527.5</v>
      </c>
      <c r="DN18">
        <v>1.3525799999999999</v>
      </c>
      <c r="DO18">
        <v>2.0335200000000002</v>
      </c>
      <c r="DP18">
        <v>8.5197400000000006E-2</v>
      </c>
      <c r="DQ18">
        <v>3.9875500000000001E-2</v>
      </c>
      <c r="DR18">
        <v>25.6021</v>
      </c>
      <c r="DS18">
        <v>25.694500000000001</v>
      </c>
      <c r="DT18">
        <v>17.5</v>
      </c>
      <c r="DU18">
        <v>29.8</v>
      </c>
      <c r="DV18">
        <v>7.4404300000000001</v>
      </c>
      <c r="DW18">
        <v>61.851199999999999</v>
      </c>
      <c r="DX18">
        <v>37.291699999999999</v>
      </c>
      <c r="DY18">
        <v>1</v>
      </c>
      <c r="DZ18">
        <v>-8.2309499999999994E-2</v>
      </c>
      <c r="EA18">
        <v>-2.19007</v>
      </c>
      <c r="EB18">
        <v>20.287400000000002</v>
      </c>
      <c r="EC18">
        <v>5.2411000000000003</v>
      </c>
      <c r="ED18">
        <v>12.039899999999999</v>
      </c>
      <c r="EE18">
        <v>5.0175999999999998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1.8689100000000001</v>
      </c>
      <c r="EL18">
        <v>1.86463</v>
      </c>
      <c r="EM18">
        <v>1.86917</v>
      </c>
      <c r="EN18">
        <v>1.8672299999999999</v>
      </c>
      <c r="EO18">
        <v>1.8633999999999999</v>
      </c>
      <c r="EP18">
        <v>1.8645</v>
      </c>
      <c r="EQ18">
        <v>1.8701399999999999</v>
      </c>
      <c r="ER18">
        <v>1.86941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-0.39400000000000002</v>
      </c>
      <c r="FG18">
        <v>-1.8800000000000001E-2</v>
      </c>
      <c r="FH18">
        <v>0.16202357103534001</v>
      </c>
      <c r="FI18">
        <v>-6.1462078757559423E-4</v>
      </c>
      <c r="FJ18">
        <v>-1.8861989874597051E-7</v>
      </c>
      <c r="FK18">
        <v>1.1980462299894961E-10</v>
      </c>
      <c r="FL18">
        <v>-3.0039189969545878E-2</v>
      </c>
      <c r="FM18">
        <v>-1.6848085045870601E-2</v>
      </c>
      <c r="FN18">
        <v>1.9789084769509481E-3</v>
      </c>
      <c r="FO18">
        <v>-2.7142391389806329E-5</v>
      </c>
      <c r="FP18">
        <v>3</v>
      </c>
      <c r="FQ18">
        <v>2158</v>
      </c>
      <c r="FR18">
        <v>1</v>
      </c>
      <c r="FS18">
        <v>19</v>
      </c>
      <c r="FT18">
        <v>1.7</v>
      </c>
      <c r="FU18">
        <v>1.7</v>
      </c>
      <c r="FV18">
        <v>1.77979</v>
      </c>
      <c r="FW18">
        <v>2.5854499999999998</v>
      </c>
      <c r="FX18">
        <v>1.5490699999999999</v>
      </c>
      <c r="FY18">
        <v>2.3290999999999999</v>
      </c>
      <c r="FZ18">
        <v>1.50146</v>
      </c>
      <c r="GA18">
        <v>2.2997999999999998</v>
      </c>
      <c r="GB18">
        <v>33.828299999999999</v>
      </c>
      <c r="GC18">
        <v>24.017499999999998</v>
      </c>
      <c r="GD18">
        <v>19</v>
      </c>
      <c r="GE18">
        <v>233.857</v>
      </c>
      <c r="GF18">
        <v>581.51400000000001</v>
      </c>
      <c r="GG18">
        <v>28.7577</v>
      </c>
      <c r="GH18">
        <v>26.3352</v>
      </c>
      <c r="GI18">
        <v>30.000800000000002</v>
      </c>
      <c r="GJ18">
        <v>26.4191</v>
      </c>
      <c r="GK18">
        <v>26.4008</v>
      </c>
      <c r="GL18">
        <v>35.579900000000002</v>
      </c>
      <c r="GM18">
        <v>-30</v>
      </c>
      <c r="GN18">
        <v>-30</v>
      </c>
      <c r="GO18">
        <v>28.762799999999999</v>
      </c>
      <c r="GP18">
        <v>800</v>
      </c>
      <c r="GQ18">
        <v>12.5298</v>
      </c>
      <c r="GR18">
        <v>99.698800000000006</v>
      </c>
      <c r="GS18">
        <v>99.492099999999994</v>
      </c>
    </row>
    <row r="19" spans="1:201" x14ac:dyDescent="0.25">
      <c r="A19">
        <v>3</v>
      </c>
      <c r="B19">
        <v>1690214947</v>
      </c>
      <c r="C19">
        <v>1.5</v>
      </c>
      <c r="D19" t="s">
        <v>339</v>
      </c>
      <c r="E19" t="s">
        <v>340</v>
      </c>
      <c r="F19" t="s">
        <v>330</v>
      </c>
      <c r="H19">
        <v>1690214947</v>
      </c>
      <c r="I19">
        <f t="shared" si="0"/>
        <v>4.2195500038001563E-4</v>
      </c>
      <c r="J19">
        <f t="shared" si="1"/>
        <v>0.42195500038001565</v>
      </c>
      <c r="K19">
        <f t="shared" si="2"/>
        <v>-0.97818662615173624</v>
      </c>
      <c r="L19">
        <f t="shared" si="3"/>
        <v>807.15899999999999</v>
      </c>
      <c r="M19">
        <f t="shared" si="4"/>
        <v>867.23522581216253</v>
      </c>
      <c r="N19">
        <f t="shared" si="5"/>
        <v>86.010637447276537</v>
      </c>
      <c r="O19">
        <f t="shared" si="6"/>
        <v>80.052398755240503</v>
      </c>
      <c r="P19">
        <f t="shared" si="7"/>
        <v>1.6707587856185868E-2</v>
      </c>
      <c r="Q19">
        <f t="shared" si="8"/>
        <v>2.0659166083338882</v>
      </c>
      <c r="R19">
        <f t="shared" si="9"/>
        <v>1.6632884439952731E-2</v>
      </c>
      <c r="S19">
        <f t="shared" si="10"/>
        <v>1.0402236652003261E-2</v>
      </c>
      <c r="T19">
        <f t="shared" si="11"/>
        <v>0</v>
      </c>
      <c r="U19">
        <f t="shared" si="12"/>
        <v>26.650200725450777</v>
      </c>
      <c r="V19">
        <f t="shared" si="13"/>
        <v>26.650200725450777</v>
      </c>
      <c r="W19">
        <f t="shared" si="14"/>
        <v>3.5062834124842976</v>
      </c>
      <c r="X19">
        <f t="shared" si="15"/>
        <v>29.625182759129636</v>
      </c>
      <c r="Y19">
        <f t="shared" si="16"/>
        <v>1.0480335449724001</v>
      </c>
      <c r="Z19">
        <f t="shared" si="17"/>
        <v>3.5376441505645264</v>
      </c>
      <c r="AA19">
        <f t="shared" si="18"/>
        <v>2.4582498675118973</v>
      </c>
      <c r="AB19">
        <f t="shared" si="19"/>
        <v>-18.60821551675869</v>
      </c>
      <c r="AC19">
        <f t="shared" si="20"/>
        <v>16.851364634283414</v>
      </c>
      <c r="AD19">
        <f t="shared" si="21"/>
        <v>1.7555213985735896</v>
      </c>
      <c r="AE19">
        <f t="shared" si="22"/>
        <v>-1.3294839016886328E-3</v>
      </c>
      <c r="AF19">
        <v>47</v>
      </c>
      <c r="AG19">
        <v>16</v>
      </c>
      <c r="AH19">
        <f t="shared" si="23"/>
        <v>1</v>
      </c>
      <c r="AI19">
        <f t="shared" si="24"/>
        <v>0</v>
      </c>
      <c r="AJ19">
        <f t="shared" si="25"/>
        <v>52505.768265454535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33.6</v>
      </c>
      <c r="AP19">
        <v>0.5</v>
      </c>
      <c r="AQ19" t="s">
        <v>331</v>
      </c>
      <c r="AR19">
        <v>2</v>
      </c>
      <c r="AS19">
        <v>1690214947</v>
      </c>
      <c r="AT19">
        <v>807.15899999999999</v>
      </c>
      <c r="AU19">
        <v>800.02099999999996</v>
      </c>
      <c r="AV19">
        <v>10.5672</v>
      </c>
      <c r="AW19">
        <v>5.8933</v>
      </c>
      <c r="AX19">
        <v>807.553</v>
      </c>
      <c r="AY19">
        <v>10.5861</v>
      </c>
      <c r="AZ19">
        <v>300.13200000000001</v>
      </c>
      <c r="BA19">
        <v>99.078000000000003</v>
      </c>
      <c r="BB19">
        <v>9.9979499999999999E-2</v>
      </c>
      <c r="BC19">
        <v>26.801500000000001</v>
      </c>
      <c r="BD19">
        <v>26.999099999999999</v>
      </c>
      <c r="BE19">
        <v>26.346599999999999</v>
      </c>
      <c r="BF19">
        <v>0</v>
      </c>
      <c r="BG19">
        <v>0</v>
      </c>
      <c r="BH19">
        <v>10016.200000000001</v>
      </c>
      <c r="BI19">
        <v>0.64965600000000001</v>
      </c>
      <c r="BJ19">
        <v>1.37923</v>
      </c>
      <c r="BK19">
        <v>7.1380600000000003</v>
      </c>
      <c r="BL19">
        <v>815.78</v>
      </c>
      <c r="BM19">
        <v>804.76400000000001</v>
      </c>
      <c r="BN19">
        <v>4.6739199999999999</v>
      </c>
      <c r="BO19">
        <v>800.02099999999996</v>
      </c>
      <c r="BP19">
        <v>5.8933</v>
      </c>
      <c r="BQ19">
        <v>1.04698</v>
      </c>
      <c r="BR19">
        <v>0.583897</v>
      </c>
      <c r="BS19">
        <v>7.5870800000000003</v>
      </c>
      <c r="BT19">
        <v>-0.68235100000000004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1690214843</v>
      </c>
      <c r="CC19" t="s">
        <v>332</v>
      </c>
      <c r="CD19">
        <v>1690214842</v>
      </c>
      <c r="CE19">
        <v>1690214843</v>
      </c>
      <c r="CF19">
        <v>8</v>
      </c>
      <c r="CG19">
        <v>-6.3E-2</v>
      </c>
      <c r="CH19">
        <v>1E-3</v>
      </c>
      <c r="CI19">
        <v>-0.38900000000000001</v>
      </c>
      <c r="CJ19">
        <v>-6.6000000000000003E-2</v>
      </c>
      <c r="CK19">
        <v>800</v>
      </c>
      <c r="CL19">
        <v>6</v>
      </c>
      <c r="CM19">
        <v>0.23</v>
      </c>
      <c r="CN19">
        <v>0.02</v>
      </c>
      <c r="CO19">
        <v>7.1337458536585352</v>
      </c>
      <c r="CP19">
        <v>0.31907268292684321</v>
      </c>
      <c r="CQ19">
        <v>4.6991581652701189E-2</v>
      </c>
      <c r="CR19">
        <v>-1</v>
      </c>
      <c r="CS19">
        <v>4.7286436585365852</v>
      </c>
      <c r="CT19">
        <v>-0.32944662020905341</v>
      </c>
      <c r="CU19">
        <v>3.250801670403388E-2</v>
      </c>
      <c r="CV19">
        <v>-1</v>
      </c>
      <c r="CW19">
        <v>0</v>
      </c>
      <c r="CX19">
        <v>0</v>
      </c>
      <c r="CY19" t="s">
        <v>333</v>
      </c>
      <c r="CZ19">
        <v>2.3642699999999999</v>
      </c>
      <c r="DA19">
        <v>2.7137799999999999</v>
      </c>
      <c r="DB19">
        <v>0.14738999999999999</v>
      </c>
      <c r="DC19">
        <v>0.146069</v>
      </c>
      <c r="DD19">
        <v>6.2786800000000004E-2</v>
      </c>
      <c r="DE19">
        <v>3.8871000000000003E-2</v>
      </c>
      <c r="DF19">
        <v>31120.1</v>
      </c>
      <c r="DG19">
        <v>27500.799999999999</v>
      </c>
      <c r="DH19">
        <v>31160.6</v>
      </c>
      <c r="DI19">
        <v>28062.7</v>
      </c>
      <c r="DJ19">
        <v>39665.9</v>
      </c>
      <c r="DK19">
        <v>38351.199999999997</v>
      </c>
      <c r="DL19">
        <v>44343</v>
      </c>
      <c r="DM19">
        <v>42527.6</v>
      </c>
      <c r="DN19">
        <v>1.35267</v>
      </c>
      <c r="DO19">
        <v>2.0335200000000002</v>
      </c>
      <c r="DP19">
        <v>8.5309099999999999E-2</v>
      </c>
      <c r="DQ19">
        <v>3.9808499999999997E-2</v>
      </c>
      <c r="DR19">
        <v>25.602399999999999</v>
      </c>
      <c r="DS19">
        <v>25.694500000000001</v>
      </c>
      <c r="DT19">
        <v>17.5</v>
      </c>
      <c r="DU19">
        <v>29.8</v>
      </c>
      <c r="DV19">
        <v>7.4391699999999998</v>
      </c>
      <c r="DW19">
        <v>61.811199999999999</v>
      </c>
      <c r="DX19">
        <v>36.298099999999998</v>
      </c>
      <c r="DY19">
        <v>1</v>
      </c>
      <c r="DZ19">
        <v>-8.2403500000000005E-2</v>
      </c>
      <c r="EA19">
        <v>-2.1440899999999998</v>
      </c>
      <c r="EB19">
        <v>20.2881</v>
      </c>
      <c r="EC19">
        <v>5.2409499999999998</v>
      </c>
      <c r="ED19">
        <v>12.039899999999999</v>
      </c>
      <c r="EE19">
        <v>5.0176499999999997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</v>
      </c>
      <c r="EL19">
        <v>1.8646199999999999</v>
      </c>
      <c r="EM19">
        <v>1.86917</v>
      </c>
      <c r="EN19">
        <v>1.8672299999999999</v>
      </c>
      <c r="EO19">
        <v>1.8633999999999999</v>
      </c>
      <c r="EP19">
        <v>1.8645</v>
      </c>
      <c r="EQ19">
        <v>1.8701399999999999</v>
      </c>
      <c r="ER19">
        <v>1.86941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-0.39400000000000002</v>
      </c>
      <c r="FG19">
        <v>-1.89E-2</v>
      </c>
      <c r="FH19">
        <v>0.16202357103534001</v>
      </c>
      <c r="FI19">
        <v>-6.1462078757559423E-4</v>
      </c>
      <c r="FJ19">
        <v>-1.8861989874597051E-7</v>
      </c>
      <c r="FK19">
        <v>1.1980462299894961E-10</v>
      </c>
      <c r="FL19">
        <v>-3.0039189969545878E-2</v>
      </c>
      <c r="FM19">
        <v>-1.6848085045870601E-2</v>
      </c>
      <c r="FN19">
        <v>1.9789084769509481E-3</v>
      </c>
      <c r="FO19">
        <v>-2.7142391389806329E-5</v>
      </c>
      <c r="FP19">
        <v>3</v>
      </c>
      <c r="FQ19">
        <v>2158</v>
      </c>
      <c r="FR19">
        <v>1</v>
      </c>
      <c r="FS19">
        <v>19</v>
      </c>
      <c r="FT19">
        <v>1.8</v>
      </c>
      <c r="FU19">
        <v>1.7</v>
      </c>
      <c r="FV19">
        <v>1.77979</v>
      </c>
      <c r="FW19">
        <v>2.5805699999999998</v>
      </c>
      <c r="FX19">
        <v>1.5490699999999999</v>
      </c>
      <c r="FY19">
        <v>2.3290999999999999</v>
      </c>
      <c r="FZ19">
        <v>1.50146</v>
      </c>
      <c r="GA19">
        <v>2.3144499999999999</v>
      </c>
      <c r="GB19">
        <v>33.828299999999999</v>
      </c>
      <c r="GC19">
        <v>24.017499999999998</v>
      </c>
      <c r="GD19">
        <v>19</v>
      </c>
      <c r="GE19">
        <v>233.89400000000001</v>
      </c>
      <c r="GF19">
        <v>581.51400000000001</v>
      </c>
      <c r="GG19">
        <v>28.768000000000001</v>
      </c>
      <c r="GH19">
        <v>26.3352</v>
      </c>
      <c r="GI19">
        <v>30.000599999999999</v>
      </c>
      <c r="GJ19">
        <v>26.4191</v>
      </c>
      <c r="GK19">
        <v>26.4008</v>
      </c>
      <c r="GL19">
        <v>35.578600000000002</v>
      </c>
      <c r="GM19">
        <v>-30</v>
      </c>
      <c r="GN19">
        <v>-30</v>
      </c>
      <c r="GO19">
        <v>28.762799999999999</v>
      </c>
      <c r="GP19">
        <v>800</v>
      </c>
      <c r="GQ19">
        <v>12.5298</v>
      </c>
      <c r="GR19">
        <v>99.698700000000002</v>
      </c>
      <c r="GS19">
        <v>99.492099999999994</v>
      </c>
    </row>
    <row r="20" spans="1:201" x14ac:dyDescent="0.25">
      <c r="A20">
        <v>4</v>
      </c>
      <c r="B20">
        <v>1690214948</v>
      </c>
      <c r="C20">
        <v>2.5</v>
      </c>
      <c r="D20" t="s">
        <v>341</v>
      </c>
      <c r="E20" t="s">
        <v>342</v>
      </c>
      <c r="F20" t="s">
        <v>330</v>
      </c>
      <c r="H20">
        <v>1690214948</v>
      </c>
      <c r="I20">
        <f t="shared" si="0"/>
        <v>4.215820995128862E-4</v>
      </c>
      <c r="J20">
        <f t="shared" si="1"/>
        <v>0.42158209951288622</v>
      </c>
      <c r="K20">
        <f t="shared" si="2"/>
        <v>-0.97931020212342701</v>
      </c>
      <c r="L20">
        <f t="shared" si="3"/>
        <v>807.16800000000001</v>
      </c>
      <c r="M20">
        <f t="shared" si="4"/>
        <v>867.45832028229108</v>
      </c>
      <c r="N20">
        <f t="shared" si="5"/>
        <v>86.033499544446258</v>
      </c>
      <c r="O20">
        <f t="shared" si="6"/>
        <v>80.053976239104003</v>
      </c>
      <c r="P20">
        <f t="shared" si="7"/>
        <v>1.6685156128508898E-2</v>
      </c>
      <c r="Q20">
        <f t="shared" si="8"/>
        <v>2.0646960283687221</v>
      </c>
      <c r="R20">
        <f t="shared" si="9"/>
        <v>1.6610608857959494E-2</v>
      </c>
      <c r="S20">
        <f t="shared" si="10"/>
        <v>1.0388300463305331E-2</v>
      </c>
      <c r="T20">
        <f t="shared" si="11"/>
        <v>0</v>
      </c>
      <c r="U20">
        <f t="shared" si="12"/>
        <v>26.653553984847079</v>
      </c>
      <c r="V20">
        <f t="shared" si="13"/>
        <v>26.653553984847079</v>
      </c>
      <c r="W20">
        <f t="shared" si="14"/>
        <v>3.5069758243103979</v>
      </c>
      <c r="X20">
        <f t="shared" si="15"/>
        <v>29.606792683088663</v>
      </c>
      <c r="Y20">
        <f t="shared" si="16"/>
        <v>1.0475862886328</v>
      </c>
      <c r="Z20">
        <f t="shared" si="17"/>
        <v>3.5383308818559707</v>
      </c>
      <c r="AA20">
        <f t="shared" si="18"/>
        <v>2.4593895356775981</v>
      </c>
      <c r="AB20">
        <f t="shared" si="19"/>
        <v>-18.59177058851828</v>
      </c>
      <c r="AC20">
        <f t="shared" si="20"/>
        <v>16.835480146695151</v>
      </c>
      <c r="AD20">
        <f t="shared" si="21"/>
        <v>1.7549618643400378</v>
      </c>
      <c r="AE20">
        <f t="shared" si="22"/>
        <v>-1.3285774830897878E-3</v>
      </c>
      <c r="AF20">
        <v>47</v>
      </c>
      <c r="AG20">
        <v>16</v>
      </c>
      <c r="AH20">
        <f t="shared" si="23"/>
        <v>1</v>
      </c>
      <c r="AI20">
        <f t="shared" si="24"/>
        <v>0</v>
      </c>
      <c r="AJ20">
        <f t="shared" si="25"/>
        <v>52449.316463352268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33.6</v>
      </c>
      <c r="AP20">
        <v>0.5</v>
      </c>
      <c r="AQ20" t="s">
        <v>331</v>
      </c>
      <c r="AR20">
        <v>2</v>
      </c>
      <c r="AS20">
        <v>1690214948</v>
      </c>
      <c r="AT20">
        <v>807.16800000000001</v>
      </c>
      <c r="AU20">
        <v>800.01499999999999</v>
      </c>
      <c r="AV20">
        <v>10.5626</v>
      </c>
      <c r="AW20">
        <v>5.8933999999999997</v>
      </c>
      <c r="AX20">
        <v>807.56200000000001</v>
      </c>
      <c r="AY20">
        <v>10.5815</v>
      </c>
      <c r="AZ20">
        <v>300.17</v>
      </c>
      <c r="BA20">
        <v>99.078800000000001</v>
      </c>
      <c r="BB20">
        <v>0.10002800000000001</v>
      </c>
      <c r="BC20">
        <v>26.8048</v>
      </c>
      <c r="BD20">
        <v>26.998799999999999</v>
      </c>
      <c r="BE20">
        <v>26.3477</v>
      </c>
      <c r="BF20">
        <v>0</v>
      </c>
      <c r="BG20">
        <v>0</v>
      </c>
      <c r="BH20">
        <v>10005</v>
      </c>
      <c r="BI20">
        <v>0.64722999999999997</v>
      </c>
      <c r="BJ20">
        <v>1.34839</v>
      </c>
      <c r="BK20">
        <v>7.1529499999999997</v>
      </c>
      <c r="BL20">
        <v>815.78499999999997</v>
      </c>
      <c r="BM20">
        <v>804.75800000000004</v>
      </c>
      <c r="BN20">
        <v>4.6692499999999999</v>
      </c>
      <c r="BO20">
        <v>800.01499999999999</v>
      </c>
      <c r="BP20">
        <v>5.8933999999999997</v>
      </c>
      <c r="BQ20">
        <v>1.04653</v>
      </c>
      <c r="BR20">
        <v>0.58391000000000004</v>
      </c>
      <c r="BS20">
        <v>7.5808400000000002</v>
      </c>
      <c r="BT20">
        <v>-0.68203000000000003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1690214843</v>
      </c>
      <c r="CC20" t="s">
        <v>332</v>
      </c>
      <c r="CD20">
        <v>1690214842</v>
      </c>
      <c r="CE20">
        <v>1690214843</v>
      </c>
      <c r="CF20">
        <v>8</v>
      </c>
      <c r="CG20">
        <v>-6.3E-2</v>
      </c>
      <c r="CH20">
        <v>1E-3</v>
      </c>
      <c r="CI20">
        <v>-0.38900000000000001</v>
      </c>
      <c r="CJ20">
        <v>-6.6000000000000003E-2</v>
      </c>
      <c r="CK20">
        <v>800</v>
      </c>
      <c r="CL20">
        <v>6</v>
      </c>
      <c r="CM20">
        <v>0.23</v>
      </c>
      <c r="CN20">
        <v>0.02</v>
      </c>
      <c r="CO20">
        <v>7.1337458536585352</v>
      </c>
      <c r="CP20">
        <v>0.31907268292684321</v>
      </c>
      <c r="CQ20">
        <v>4.6991581652701189E-2</v>
      </c>
      <c r="CR20">
        <v>-1</v>
      </c>
      <c r="CS20">
        <v>4.7286436585365852</v>
      </c>
      <c r="CT20">
        <v>-0.32944662020905341</v>
      </c>
      <c r="CU20">
        <v>3.250801670403388E-2</v>
      </c>
      <c r="CV20">
        <v>-1</v>
      </c>
      <c r="CW20">
        <v>0</v>
      </c>
      <c r="CX20">
        <v>0</v>
      </c>
      <c r="CY20" t="s">
        <v>333</v>
      </c>
      <c r="CZ20">
        <v>2.3643999999999998</v>
      </c>
      <c r="DA20">
        <v>2.7138200000000001</v>
      </c>
      <c r="DB20">
        <v>0.14738999999999999</v>
      </c>
      <c r="DC20">
        <v>0.146067</v>
      </c>
      <c r="DD20">
        <v>6.2765899999999999E-2</v>
      </c>
      <c r="DE20">
        <v>3.8871299999999998E-2</v>
      </c>
      <c r="DF20">
        <v>31120</v>
      </c>
      <c r="DG20">
        <v>27500.9</v>
      </c>
      <c r="DH20">
        <v>31160.5</v>
      </c>
      <c r="DI20">
        <v>28062.7</v>
      </c>
      <c r="DJ20">
        <v>39666.699999999997</v>
      </c>
      <c r="DK20">
        <v>38351.199999999997</v>
      </c>
      <c r="DL20">
        <v>44343</v>
      </c>
      <c r="DM20">
        <v>42527.6</v>
      </c>
      <c r="DN20">
        <v>1.35293</v>
      </c>
      <c r="DO20">
        <v>2.0334699999999999</v>
      </c>
      <c r="DP20">
        <v>8.5256999999999999E-2</v>
      </c>
      <c r="DQ20">
        <v>3.9875500000000001E-2</v>
      </c>
      <c r="DR20">
        <v>25.603000000000002</v>
      </c>
      <c r="DS20">
        <v>25.694500000000001</v>
      </c>
      <c r="DT20">
        <v>17.399999999999999</v>
      </c>
      <c r="DU20">
        <v>29.8</v>
      </c>
      <c r="DV20">
        <v>7.3956400000000002</v>
      </c>
      <c r="DW20">
        <v>61.891199999999998</v>
      </c>
      <c r="DX20">
        <v>36.902999999999999</v>
      </c>
      <c r="DY20">
        <v>1</v>
      </c>
      <c r="DZ20">
        <v>-8.2642300000000002E-2</v>
      </c>
      <c r="EA20">
        <v>-2.0697299999999998</v>
      </c>
      <c r="EB20">
        <v>20.289300000000001</v>
      </c>
      <c r="EC20">
        <v>5.2409499999999998</v>
      </c>
      <c r="ED20">
        <v>12.039899999999999</v>
      </c>
      <c r="EE20">
        <v>5.0174500000000002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1.8646199999999999</v>
      </c>
      <c r="EM20">
        <v>1.86917</v>
      </c>
      <c r="EN20">
        <v>1.8672299999999999</v>
      </c>
      <c r="EO20">
        <v>1.8633999999999999</v>
      </c>
      <c r="EP20">
        <v>1.8645</v>
      </c>
      <c r="EQ20">
        <v>1.8701399999999999</v>
      </c>
      <c r="ER20">
        <v>1.8694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-0.39400000000000002</v>
      </c>
      <c r="FG20">
        <v>-1.89E-2</v>
      </c>
      <c r="FH20">
        <v>0.16202357103534001</v>
      </c>
      <c r="FI20">
        <v>-6.1462078757559423E-4</v>
      </c>
      <c r="FJ20">
        <v>-1.8861989874597051E-7</v>
      </c>
      <c r="FK20">
        <v>1.1980462299894961E-10</v>
      </c>
      <c r="FL20">
        <v>-3.0039189969545878E-2</v>
      </c>
      <c r="FM20">
        <v>-1.6848085045870601E-2</v>
      </c>
      <c r="FN20">
        <v>1.9789084769509481E-3</v>
      </c>
      <c r="FO20">
        <v>-2.7142391389806329E-5</v>
      </c>
      <c r="FP20">
        <v>3</v>
      </c>
      <c r="FQ20">
        <v>2158</v>
      </c>
      <c r="FR20">
        <v>1</v>
      </c>
      <c r="FS20">
        <v>19</v>
      </c>
      <c r="FT20">
        <v>1.8</v>
      </c>
      <c r="FU20">
        <v>1.8</v>
      </c>
      <c r="FV20">
        <v>1.77979</v>
      </c>
      <c r="FW20">
        <v>2.5817899999999998</v>
      </c>
      <c r="FX20">
        <v>1.5490699999999999</v>
      </c>
      <c r="FY20">
        <v>2.3290999999999999</v>
      </c>
      <c r="FZ20">
        <v>1.50146</v>
      </c>
      <c r="GA20">
        <v>2.3742700000000001</v>
      </c>
      <c r="GB20">
        <v>33.828299999999999</v>
      </c>
      <c r="GC20">
        <v>24.017499999999998</v>
      </c>
      <c r="GD20">
        <v>19</v>
      </c>
      <c r="GE20">
        <v>233.98699999999999</v>
      </c>
      <c r="GF20">
        <v>581.47299999999996</v>
      </c>
      <c r="GG20">
        <v>28.782499999999999</v>
      </c>
      <c r="GH20">
        <v>26.3352</v>
      </c>
      <c r="GI20">
        <v>30.000299999999999</v>
      </c>
      <c r="GJ20">
        <v>26.4191</v>
      </c>
      <c r="GK20">
        <v>26.4008</v>
      </c>
      <c r="GL20">
        <v>35.578600000000002</v>
      </c>
      <c r="GM20">
        <v>-30</v>
      </c>
      <c r="GN20">
        <v>-30</v>
      </c>
      <c r="GO20">
        <v>28.762799999999999</v>
      </c>
      <c r="GP20">
        <v>800</v>
      </c>
      <c r="GQ20">
        <v>12.5298</v>
      </c>
      <c r="GR20">
        <v>99.698499999999996</v>
      </c>
      <c r="GS20">
        <v>99.492099999999994</v>
      </c>
    </row>
    <row r="21" spans="1:201" x14ac:dyDescent="0.25">
      <c r="A21">
        <v>5</v>
      </c>
      <c r="B21">
        <v>1690214949</v>
      </c>
      <c r="C21">
        <v>3.5</v>
      </c>
      <c r="D21" t="s">
        <v>343</v>
      </c>
      <c r="E21" t="s">
        <v>344</v>
      </c>
      <c r="F21" t="s">
        <v>330</v>
      </c>
      <c r="H21">
        <v>1690214949</v>
      </c>
      <c r="I21">
        <f t="shared" si="0"/>
        <v>4.2111505980339814E-4</v>
      </c>
      <c r="J21">
        <f t="shared" si="1"/>
        <v>0.42111505980339814</v>
      </c>
      <c r="K21">
        <f t="shared" si="2"/>
        <v>-0.9781815605240658</v>
      </c>
      <c r="L21">
        <f t="shared" si="3"/>
        <v>807.16099999999994</v>
      </c>
      <c r="M21">
        <f t="shared" si="4"/>
        <v>867.47178405158343</v>
      </c>
      <c r="N21">
        <f t="shared" si="5"/>
        <v>86.034842672551193</v>
      </c>
      <c r="O21">
        <f t="shared" si="6"/>
        <v>80.053289251756993</v>
      </c>
      <c r="P21">
        <f t="shared" si="7"/>
        <v>1.6659818769090777E-2</v>
      </c>
      <c r="Q21">
        <f t="shared" si="8"/>
        <v>2.0614645278841932</v>
      </c>
      <c r="R21">
        <f t="shared" si="9"/>
        <v>1.6585381248123043E-2</v>
      </c>
      <c r="S21">
        <f t="shared" si="10"/>
        <v>1.0372523386310277E-2</v>
      </c>
      <c r="T21">
        <f t="shared" si="11"/>
        <v>0</v>
      </c>
      <c r="U21">
        <f t="shared" si="12"/>
        <v>26.656007474197757</v>
      </c>
      <c r="V21">
        <f t="shared" si="13"/>
        <v>26.656007474197757</v>
      </c>
      <c r="W21">
        <f t="shared" si="14"/>
        <v>3.5074825189729237</v>
      </c>
      <c r="X21">
        <f t="shared" si="15"/>
        <v>29.588149074377295</v>
      </c>
      <c r="Y21">
        <f t="shared" si="16"/>
        <v>1.0470805716275</v>
      </c>
      <c r="Z21">
        <f t="shared" si="17"/>
        <v>3.5388512103119334</v>
      </c>
      <c r="AA21">
        <f t="shared" si="18"/>
        <v>2.4604019473454235</v>
      </c>
      <c r="AB21">
        <f t="shared" si="19"/>
        <v>-18.571174137329859</v>
      </c>
      <c r="AC21">
        <f t="shared" si="20"/>
        <v>16.814299657443616</v>
      </c>
      <c r="AD21">
        <f t="shared" si="21"/>
        <v>1.7555450631215355</v>
      </c>
      <c r="AE21">
        <f t="shared" si="22"/>
        <v>-1.3294167647082133E-3</v>
      </c>
      <c r="AF21">
        <v>47</v>
      </c>
      <c r="AG21">
        <v>16</v>
      </c>
      <c r="AH21">
        <f t="shared" si="23"/>
        <v>1</v>
      </c>
      <c r="AI21">
        <f t="shared" si="24"/>
        <v>0</v>
      </c>
      <c r="AJ21">
        <f t="shared" si="25"/>
        <v>52301.111608567022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33.6</v>
      </c>
      <c r="AP21">
        <v>0.5</v>
      </c>
      <c r="AQ21" t="s">
        <v>331</v>
      </c>
      <c r="AR21">
        <v>2</v>
      </c>
      <c r="AS21">
        <v>1690214949</v>
      </c>
      <c r="AT21">
        <v>807.16099999999994</v>
      </c>
      <c r="AU21">
        <v>800.01599999999996</v>
      </c>
      <c r="AV21">
        <v>10.557499999999999</v>
      </c>
      <c r="AW21">
        <v>5.8932000000000002</v>
      </c>
      <c r="AX21">
        <v>807.55499999999995</v>
      </c>
      <c r="AY21">
        <v>10.576499999999999</v>
      </c>
      <c r="AZ21">
        <v>300.154</v>
      </c>
      <c r="BA21">
        <v>99.078800000000001</v>
      </c>
      <c r="BB21">
        <v>0.100037</v>
      </c>
      <c r="BC21">
        <v>26.807300000000001</v>
      </c>
      <c r="BD21">
        <v>27.003399999999999</v>
      </c>
      <c r="BE21">
        <v>26.3505</v>
      </c>
      <c r="BF21">
        <v>0</v>
      </c>
      <c r="BG21">
        <v>0</v>
      </c>
      <c r="BH21">
        <v>9975.6200000000008</v>
      </c>
      <c r="BI21">
        <v>0.64480300000000002</v>
      </c>
      <c r="BJ21">
        <v>1.3063400000000001</v>
      </c>
      <c r="BK21">
        <v>7.1446500000000004</v>
      </c>
      <c r="BL21">
        <v>815.774</v>
      </c>
      <c r="BM21">
        <v>804.75900000000001</v>
      </c>
      <c r="BN21">
        <v>4.6642900000000003</v>
      </c>
      <c r="BO21">
        <v>800.01599999999996</v>
      </c>
      <c r="BP21">
        <v>5.8932000000000002</v>
      </c>
      <c r="BQ21">
        <v>1.0460199999999999</v>
      </c>
      <c r="BR21">
        <v>0.58389199999999997</v>
      </c>
      <c r="BS21">
        <v>7.5737100000000002</v>
      </c>
      <c r="BT21">
        <v>-0.68246600000000002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1690214843</v>
      </c>
      <c r="CC21" t="s">
        <v>332</v>
      </c>
      <c r="CD21">
        <v>1690214842</v>
      </c>
      <c r="CE21">
        <v>1690214843</v>
      </c>
      <c r="CF21">
        <v>8</v>
      </c>
      <c r="CG21">
        <v>-6.3E-2</v>
      </c>
      <c r="CH21">
        <v>1E-3</v>
      </c>
      <c r="CI21">
        <v>-0.38900000000000001</v>
      </c>
      <c r="CJ21">
        <v>-6.6000000000000003E-2</v>
      </c>
      <c r="CK21">
        <v>800</v>
      </c>
      <c r="CL21">
        <v>6</v>
      </c>
      <c r="CM21">
        <v>0.23</v>
      </c>
      <c r="CN21">
        <v>0.02</v>
      </c>
      <c r="CO21">
        <v>7.1452082499999996</v>
      </c>
      <c r="CP21">
        <v>0.13658262664162951</v>
      </c>
      <c r="CQ21">
        <v>3.0592379515779759E-2</v>
      </c>
      <c r="CR21">
        <v>-1</v>
      </c>
      <c r="CS21">
        <v>4.719157</v>
      </c>
      <c r="CT21">
        <v>-0.3225717073170844</v>
      </c>
      <c r="CU21">
        <v>3.1059541142779309E-2</v>
      </c>
      <c r="CV21">
        <v>-1</v>
      </c>
      <c r="CW21">
        <v>0</v>
      </c>
      <c r="CX21">
        <v>0</v>
      </c>
      <c r="CY21" t="s">
        <v>333</v>
      </c>
      <c r="CZ21">
        <v>2.3643399999999999</v>
      </c>
      <c r="DA21">
        <v>2.7138100000000001</v>
      </c>
      <c r="DB21">
        <v>0.14739099999999999</v>
      </c>
      <c r="DC21">
        <v>0.146069</v>
      </c>
      <c r="DD21">
        <v>6.2743400000000005E-2</v>
      </c>
      <c r="DE21">
        <v>3.8870799999999997E-2</v>
      </c>
      <c r="DF21">
        <v>31120</v>
      </c>
      <c r="DG21">
        <v>27500.799999999999</v>
      </c>
      <c r="DH21">
        <v>31160.6</v>
      </c>
      <c r="DI21">
        <v>28062.7</v>
      </c>
      <c r="DJ21">
        <v>39667.699999999997</v>
      </c>
      <c r="DK21">
        <v>38351.1</v>
      </c>
      <c r="DL21">
        <v>44343</v>
      </c>
      <c r="DM21">
        <v>42527.4</v>
      </c>
      <c r="DN21">
        <v>1.35293</v>
      </c>
      <c r="DO21">
        <v>2.03355</v>
      </c>
      <c r="DP21">
        <v>8.5502900000000007E-2</v>
      </c>
      <c r="DQ21">
        <v>4.0046900000000003E-2</v>
      </c>
      <c r="DR21">
        <v>25.6035</v>
      </c>
      <c r="DS21">
        <v>25.694500000000001</v>
      </c>
      <c r="DT21">
        <v>17.399999999999999</v>
      </c>
      <c r="DU21">
        <v>29.8</v>
      </c>
      <c r="DV21">
        <v>7.39689</v>
      </c>
      <c r="DW21">
        <v>61.941200000000002</v>
      </c>
      <c r="DX21">
        <v>36.310099999999998</v>
      </c>
      <c r="DY21">
        <v>1</v>
      </c>
      <c r="DZ21">
        <v>-8.2848099999999994E-2</v>
      </c>
      <c r="EA21">
        <v>-2.00116</v>
      </c>
      <c r="EB21">
        <v>20.290299999999998</v>
      </c>
      <c r="EC21">
        <v>5.24125</v>
      </c>
      <c r="ED21">
        <v>12.039899999999999</v>
      </c>
      <c r="EE21">
        <v>5.0173500000000004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</v>
      </c>
      <c r="EL21">
        <v>1.8646199999999999</v>
      </c>
      <c r="EM21">
        <v>1.86917</v>
      </c>
      <c r="EN21">
        <v>1.8672299999999999</v>
      </c>
      <c r="EO21">
        <v>1.8633999999999999</v>
      </c>
      <c r="EP21">
        <v>1.86449</v>
      </c>
      <c r="EQ21">
        <v>1.87015</v>
      </c>
      <c r="ER21">
        <v>1.86941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-0.39400000000000002</v>
      </c>
      <c r="FG21">
        <v>-1.9E-2</v>
      </c>
      <c r="FH21">
        <v>0.16202357103534001</v>
      </c>
      <c r="FI21">
        <v>-6.1462078757559423E-4</v>
      </c>
      <c r="FJ21">
        <v>-1.8861989874597051E-7</v>
      </c>
      <c r="FK21">
        <v>1.1980462299894961E-10</v>
      </c>
      <c r="FL21">
        <v>-3.0039189969545878E-2</v>
      </c>
      <c r="FM21">
        <v>-1.6848085045870601E-2</v>
      </c>
      <c r="FN21">
        <v>1.9789084769509481E-3</v>
      </c>
      <c r="FO21">
        <v>-2.7142391389806329E-5</v>
      </c>
      <c r="FP21">
        <v>3</v>
      </c>
      <c r="FQ21">
        <v>2158</v>
      </c>
      <c r="FR21">
        <v>1</v>
      </c>
      <c r="FS21">
        <v>19</v>
      </c>
      <c r="FT21">
        <v>1.8</v>
      </c>
      <c r="FU21">
        <v>1.8</v>
      </c>
      <c r="FV21">
        <v>1.77979</v>
      </c>
      <c r="FW21">
        <v>2.5793499999999998</v>
      </c>
      <c r="FX21">
        <v>1.5490699999999999</v>
      </c>
      <c r="FY21">
        <v>2.3290999999999999</v>
      </c>
      <c r="FZ21">
        <v>1.50146</v>
      </c>
      <c r="GA21">
        <v>2.323</v>
      </c>
      <c r="GB21">
        <v>33.828299999999999</v>
      </c>
      <c r="GC21">
        <v>24.026199999999999</v>
      </c>
      <c r="GD21">
        <v>19</v>
      </c>
      <c r="GE21">
        <v>233.989</v>
      </c>
      <c r="GF21">
        <v>581.53499999999997</v>
      </c>
      <c r="GG21">
        <v>28.7925</v>
      </c>
      <c r="GH21">
        <v>26.3352</v>
      </c>
      <c r="GI21">
        <v>30</v>
      </c>
      <c r="GJ21">
        <v>26.419599999999999</v>
      </c>
      <c r="GK21">
        <v>26.4008</v>
      </c>
      <c r="GL21">
        <v>35.580300000000001</v>
      </c>
      <c r="GM21">
        <v>-30</v>
      </c>
      <c r="GN21">
        <v>-30</v>
      </c>
      <c r="GO21">
        <v>28.764299999999999</v>
      </c>
      <c r="GP21">
        <v>800</v>
      </c>
      <c r="GQ21">
        <v>12.5298</v>
      </c>
      <c r="GR21">
        <v>99.698599999999999</v>
      </c>
      <c r="GS21">
        <v>99.491900000000001</v>
      </c>
    </row>
    <row r="22" spans="1:201" x14ac:dyDescent="0.25">
      <c r="A22">
        <v>6</v>
      </c>
      <c r="B22">
        <v>1690215344.5</v>
      </c>
      <c r="C22">
        <v>399</v>
      </c>
      <c r="D22" t="s">
        <v>345</v>
      </c>
      <c r="E22" t="s">
        <v>346</v>
      </c>
      <c r="F22" t="s">
        <v>330</v>
      </c>
      <c r="H22">
        <v>1690215344.5</v>
      </c>
      <c r="I22">
        <f t="shared" si="0"/>
        <v>3.3444459748934439E-4</v>
      </c>
      <c r="J22">
        <f t="shared" si="1"/>
        <v>0.33444459748934441</v>
      </c>
      <c r="K22">
        <f t="shared" si="2"/>
        <v>-0.99360448255805134</v>
      </c>
      <c r="L22">
        <f t="shared" si="3"/>
        <v>808.05799999999999</v>
      </c>
      <c r="M22">
        <f t="shared" si="4"/>
        <v>918.62642834682549</v>
      </c>
      <c r="N22">
        <f t="shared" si="5"/>
        <v>91.100935254199499</v>
      </c>
      <c r="O22">
        <f t="shared" si="6"/>
        <v>80.135773659502007</v>
      </c>
      <c r="P22">
        <f t="shared" si="7"/>
        <v>1.0223888257053608E-2</v>
      </c>
      <c r="Q22">
        <f t="shared" si="8"/>
        <v>2.0644754910671619</v>
      </c>
      <c r="R22">
        <f t="shared" si="9"/>
        <v>1.0195842859447713E-2</v>
      </c>
      <c r="S22">
        <f t="shared" si="10"/>
        <v>6.3749150981171811E-3</v>
      </c>
      <c r="T22">
        <f t="shared" si="11"/>
        <v>276.06926764752302</v>
      </c>
      <c r="U22">
        <f t="shared" si="12"/>
        <v>29.419787720251602</v>
      </c>
      <c r="V22">
        <f t="shared" si="13"/>
        <v>29.419787720251602</v>
      </c>
      <c r="W22">
        <f t="shared" si="14"/>
        <v>4.1205073671751773</v>
      </c>
      <c r="X22">
        <f t="shared" si="15"/>
        <v>26.106070376278961</v>
      </c>
      <c r="Y22">
        <f t="shared" si="16"/>
        <v>0.9506732885141802</v>
      </c>
      <c r="Z22">
        <f t="shared" si="17"/>
        <v>3.6415794288902275</v>
      </c>
      <c r="AA22">
        <f t="shared" si="18"/>
        <v>3.1698340786609971</v>
      </c>
      <c r="AB22">
        <f t="shared" si="19"/>
        <v>-14.749006749280088</v>
      </c>
      <c r="AC22">
        <f t="shared" si="20"/>
        <v>-236.52226894736529</v>
      </c>
      <c r="AD22">
        <f t="shared" si="21"/>
        <v>-25.062466974786734</v>
      </c>
      <c r="AE22">
        <f t="shared" si="22"/>
        <v>-0.26447502390908539</v>
      </c>
      <c r="AF22">
        <v>47</v>
      </c>
      <c r="AG22">
        <v>16</v>
      </c>
      <c r="AH22">
        <f t="shared" si="23"/>
        <v>1</v>
      </c>
      <c r="AI22">
        <f t="shared" si="24"/>
        <v>0</v>
      </c>
      <c r="AJ22">
        <f t="shared" si="25"/>
        <v>52353.50006313379</v>
      </c>
      <c r="AK22">
        <f t="shared" si="26"/>
        <v>1799.7</v>
      </c>
      <c r="AL22">
        <f t="shared" si="27"/>
        <v>1498.8623891598002</v>
      </c>
      <c r="AM22">
        <f t="shared" si="28"/>
        <v>0.83284013400000001</v>
      </c>
      <c r="AN22">
        <f t="shared" si="29"/>
        <v>0.15339738158999999</v>
      </c>
      <c r="AO22">
        <v>33.6</v>
      </c>
      <c r="AP22">
        <v>0.5</v>
      </c>
      <c r="AQ22" t="s">
        <v>331</v>
      </c>
      <c r="AR22">
        <v>2</v>
      </c>
      <c r="AS22">
        <v>1690215344.5</v>
      </c>
      <c r="AT22">
        <v>808.05799999999999</v>
      </c>
      <c r="AU22">
        <v>799.96</v>
      </c>
      <c r="AV22">
        <v>9.5862200000000009</v>
      </c>
      <c r="AW22">
        <v>5.87798</v>
      </c>
      <c r="AX22">
        <v>808.45299999999997</v>
      </c>
      <c r="AY22">
        <v>9.6193799999999996</v>
      </c>
      <c r="AZ22">
        <v>300.13200000000001</v>
      </c>
      <c r="BA22">
        <v>99.070800000000006</v>
      </c>
      <c r="BB22">
        <v>0.100019</v>
      </c>
      <c r="BC22">
        <v>27.294699999999999</v>
      </c>
      <c r="BD22">
        <v>27.561499999999999</v>
      </c>
      <c r="BE22">
        <v>28.028300000000002</v>
      </c>
      <c r="BF22">
        <v>0</v>
      </c>
      <c r="BG22">
        <v>0</v>
      </c>
      <c r="BH22">
        <v>10003.799999999999</v>
      </c>
      <c r="BI22">
        <v>1070.58</v>
      </c>
      <c r="BJ22">
        <v>1.59788</v>
      </c>
      <c r="BK22">
        <v>8.0977800000000002</v>
      </c>
      <c r="BL22">
        <v>815.87900000000002</v>
      </c>
      <c r="BM22">
        <v>804.69</v>
      </c>
      <c r="BN22">
        <v>3.70825</v>
      </c>
      <c r="BO22">
        <v>799.96</v>
      </c>
      <c r="BP22">
        <v>5.87798</v>
      </c>
      <c r="BQ22">
        <v>0.94971499999999998</v>
      </c>
      <c r="BR22">
        <v>0.58233599999999996</v>
      </c>
      <c r="BS22">
        <v>6.1669400000000003</v>
      </c>
      <c r="BT22">
        <v>-0.71899299999999999</v>
      </c>
      <c r="BU22">
        <v>1799.7</v>
      </c>
      <c r="BV22">
        <v>0.91000300000000001</v>
      </c>
      <c r="BW22">
        <v>3.39999E-2</v>
      </c>
      <c r="BX22">
        <v>2.2000700000000002E-2</v>
      </c>
      <c r="BY22">
        <v>3.3996100000000001E-2</v>
      </c>
      <c r="BZ22">
        <v>26</v>
      </c>
      <c r="CA22">
        <v>33522.699999999997</v>
      </c>
      <c r="CB22">
        <v>1690214843</v>
      </c>
      <c r="CC22" t="s">
        <v>332</v>
      </c>
      <c r="CD22">
        <v>1690214842</v>
      </c>
      <c r="CE22">
        <v>1690214843</v>
      </c>
      <c r="CF22">
        <v>8</v>
      </c>
      <c r="CG22">
        <v>-6.3E-2</v>
      </c>
      <c r="CH22">
        <v>1E-3</v>
      </c>
      <c r="CI22">
        <v>-0.38900000000000001</v>
      </c>
      <c r="CJ22">
        <v>-6.6000000000000003E-2</v>
      </c>
      <c r="CK22">
        <v>800</v>
      </c>
      <c r="CL22">
        <v>6</v>
      </c>
      <c r="CM22">
        <v>0.23</v>
      </c>
      <c r="CN22">
        <v>0.02</v>
      </c>
      <c r="CO22">
        <v>8.5252243902439009</v>
      </c>
      <c r="CP22">
        <v>-0.62048466898953214</v>
      </c>
      <c r="CQ22">
        <v>9.3007531508534913E-2</v>
      </c>
      <c r="CR22">
        <v>-1</v>
      </c>
      <c r="CS22">
        <v>3.6864151219512191</v>
      </c>
      <c r="CT22">
        <v>-3.6088641114967297E-2</v>
      </c>
      <c r="CU22">
        <v>6.0462922006277358E-3</v>
      </c>
      <c r="CV22">
        <v>-1</v>
      </c>
      <c r="CW22">
        <v>0</v>
      </c>
      <c r="CX22">
        <v>0</v>
      </c>
      <c r="CY22" t="s">
        <v>333</v>
      </c>
      <c r="CZ22">
        <v>2.3642599999999998</v>
      </c>
      <c r="DA22">
        <v>2.7138100000000001</v>
      </c>
      <c r="DB22">
        <v>0.14746100000000001</v>
      </c>
      <c r="DC22">
        <v>0.14604500000000001</v>
      </c>
      <c r="DD22">
        <v>5.8289399999999998E-2</v>
      </c>
      <c r="DE22">
        <v>3.8783600000000001E-2</v>
      </c>
      <c r="DF22">
        <v>31117.8</v>
      </c>
      <c r="DG22">
        <v>27502</v>
      </c>
      <c r="DH22">
        <v>31161</v>
      </c>
      <c r="DI22">
        <v>28063.200000000001</v>
      </c>
      <c r="DJ22">
        <v>39857.599999999999</v>
      </c>
      <c r="DK22">
        <v>38355.9</v>
      </c>
      <c r="DL22">
        <v>44343.5</v>
      </c>
      <c r="DM22">
        <v>42528.800000000003</v>
      </c>
      <c r="DN22">
        <v>1.3531500000000001</v>
      </c>
      <c r="DO22">
        <v>2.03315</v>
      </c>
      <c r="DP22">
        <v>0.116535</v>
      </c>
      <c r="DQ22">
        <v>0.140622</v>
      </c>
      <c r="DR22">
        <v>25.654499999999999</v>
      </c>
      <c r="DS22">
        <v>25.728200000000001</v>
      </c>
      <c r="DT22">
        <v>17.399999999999999</v>
      </c>
      <c r="DU22">
        <v>29.8</v>
      </c>
      <c r="DV22">
        <v>7.3974099999999998</v>
      </c>
      <c r="DW22">
        <v>61.651200000000003</v>
      </c>
      <c r="DX22">
        <v>37.403799999999997</v>
      </c>
      <c r="DY22">
        <v>1</v>
      </c>
      <c r="DZ22">
        <v>-8.3490900000000007E-2</v>
      </c>
      <c r="EA22">
        <v>-1.2631300000000001</v>
      </c>
      <c r="EB22">
        <v>20.183399999999999</v>
      </c>
      <c r="EC22">
        <v>5.2409499999999998</v>
      </c>
      <c r="ED22">
        <v>12.039899999999999</v>
      </c>
      <c r="EE22">
        <v>5.0169499999999996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1.8646199999999999</v>
      </c>
      <c r="EM22">
        <v>1.86917</v>
      </c>
      <c r="EN22">
        <v>1.86724</v>
      </c>
      <c r="EO22">
        <v>1.8633999999999999</v>
      </c>
      <c r="EP22">
        <v>1.8645</v>
      </c>
      <c r="EQ22">
        <v>1.8701700000000001</v>
      </c>
      <c r="ER22">
        <v>1.8694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-0.39500000000000002</v>
      </c>
      <c r="FG22">
        <v>-3.32E-2</v>
      </c>
      <c r="FH22">
        <v>0.16202357103534001</v>
      </c>
      <c r="FI22">
        <v>-6.1462078757559423E-4</v>
      </c>
      <c r="FJ22">
        <v>-1.8861989874597051E-7</v>
      </c>
      <c r="FK22">
        <v>1.1980462299894961E-10</v>
      </c>
      <c r="FL22">
        <v>-3.0039189969545878E-2</v>
      </c>
      <c r="FM22">
        <v>-1.6848085045870601E-2</v>
      </c>
      <c r="FN22">
        <v>1.9789084769509481E-3</v>
      </c>
      <c r="FO22">
        <v>-2.7142391389806329E-5</v>
      </c>
      <c r="FP22">
        <v>3</v>
      </c>
      <c r="FQ22">
        <v>2158</v>
      </c>
      <c r="FR22">
        <v>1</v>
      </c>
      <c r="FS22">
        <v>19</v>
      </c>
      <c r="FT22">
        <v>8.4</v>
      </c>
      <c r="FU22">
        <v>8.4</v>
      </c>
      <c r="FV22">
        <v>1.77979</v>
      </c>
      <c r="FW22">
        <v>2.5842299999999998</v>
      </c>
      <c r="FX22">
        <v>1.5490699999999999</v>
      </c>
      <c r="FY22">
        <v>2.3290999999999999</v>
      </c>
      <c r="FZ22">
        <v>1.50024</v>
      </c>
      <c r="GA22">
        <v>2.2839399999999999</v>
      </c>
      <c r="GB22">
        <v>33.783200000000001</v>
      </c>
      <c r="GC22">
        <v>23.982399999999998</v>
      </c>
      <c r="GD22">
        <v>19</v>
      </c>
      <c r="GE22">
        <v>234.14699999999999</v>
      </c>
      <c r="GF22">
        <v>581.37900000000002</v>
      </c>
      <c r="GG22">
        <v>28.599599999999999</v>
      </c>
      <c r="GH22">
        <v>26.348700000000001</v>
      </c>
      <c r="GI22">
        <v>29.9999</v>
      </c>
      <c r="GJ22">
        <v>26.441299999999998</v>
      </c>
      <c r="GK22">
        <v>26.4162</v>
      </c>
      <c r="GL22">
        <v>35.577100000000002</v>
      </c>
      <c r="GM22">
        <v>-30</v>
      </c>
      <c r="GN22">
        <v>-30</v>
      </c>
      <c r="GO22">
        <v>28.242000000000001</v>
      </c>
      <c r="GP22">
        <v>800</v>
      </c>
      <c r="GQ22">
        <v>12.5298</v>
      </c>
      <c r="GR22">
        <v>99.699799999999996</v>
      </c>
      <c r="GS22">
        <v>99.494600000000005</v>
      </c>
    </row>
    <row r="23" spans="1:201" x14ac:dyDescent="0.25">
      <c r="A23">
        <v>7</v>
      </c>
      <c r="B23">
        <v>1690215354.5</v>
      </c>
      <c r="C23">
        <v>409</v>
      </c>
      <c r="D23" t="s">
        <v>347</v>
      </c>
      <c r="E23" t="s">
        <v>348</v>
      </c>
      <c r="F23" t="s">
        <v>330</v>
      </c>
      <c r="H23">
        <v>1690215354.5</v>
      </c>
      <c r="I23">
        <f t="shared" si="0"/>
        <v>3.4627678413552264E-4</v>
      </c>
      <c r="J23">
        <f t="shared" si="1"/>
        <v>0.34627678413552265</v>
      </c>
      <c r="K23">
        <f t="shared" si="2"/>
        <v>-0.8617771228576846</v>
      </c>
      <c r="L23">
        <f t="shared" si="3"/>
        <v>806.49199999999996</v>
      </c>
      <c r="M23">
        <f t="shared" si="4"/>
        <v>894.20408416635848</v>
      </c>
      <c r="N23">
        <f t="shared" si="5"/>
        <v>88.680269436742762</v>
      </c>
      <c r="O23">
        <f t="shared" si="6"/>
        <v>79.981660926155996</v>
      </c>
      <c r="P23">
        <f t="shared" si="7"/>
        <v>1.0373522058365992E-2</v>
      </c>
      <c r="Q23">
        <f t="shared" si="8"/>
        <v>2.0646239351152293</v>
      </c>
      <c r="R23">
        <f t="shared" si="9"/>
        <v>1.0344653046080518E-2</v>
      </c>
      <c r="S23">
        <f t="shared" si="10"/>
        <v>6.4679951781008525E-3</v>
      </c>
      <c r="T23">
        <f t="shared" si="11"/>
        <v>276.10523550259217</v>
      </c>
      <c r="U23">
        <f t="shared" si="12"/>
        <v>29.738847303965713</v>
      </c>
      <c r="V23">
        <f t="shared" si="13"/>
        <v>29.738847303965713</v>
      </c>
      <c r="W23">
        <f t="shared" si="14"/>
        <v>4.1969575393187561</v>
      </c>
      <c r="X23">
        <f t="shared" si="15"/>
        <v>25.96528666962185</v>
      </c>
      <c r="Y23">
        <f t="shared" si="16"/>
        <v>0.96363832834533003</v>
      </c>
      <c r="Z23">
        <f t="shared" si="17"/>
        <v>3.7112562653611714</v>
      </c>
      <c r="AA23">
        <f t="shared" si="18"/>
        <v>3.2333192109734261</v>
      </c>
      <c r="AB23">
        <f t="shared" si="19"/>
        <v>-15.270806180376548</v>
      </c>
      <c r="AC23">
        <f t="shared" si="20"/>
        <v>-236.01162956241325</v>
      </c>
      <c r="AD23">
        <f t="shared" si="21"/>
        <v>-25.086660182752816</v>
      </c>
      <c r="AE23">
        <f t="shared" si="22"/>
        <v>-0.26386042295044376</v>
      </c>
      <c r="AF23">
        <v>48</v>
      </c>
      <c r="AG23">
        <v>16</v>
      </c>
      <c r="AH23">
        <f t="shared" si="23"/>
        <v>1</v>
      </c>
      <c r="AI23">
        <f t="shared" si="24"/>
        <v>0</v>
      </c>
      <c r="AJ23">
        <f t="shared" si="25"/>
        <v>52303.917533835396</v>
      </c>
      <c r="AK23">
        <f t="shared" si="26"/>
        <v>1799.93</v>
      </c>
      <c r="AL23">
        <f t="shared" si="27"/>
        <v>1499.0523188537602</v>
      </c>
      <c r="AM23">
        <f t="shared" si="28"/>
        <v>0.8328392320000001</v>
      </c>
      <c r="AN23">
        <f t="shared" si="29"/>
        <v>0.15339776297000002</v>
      </c>
      <c r="AO23">
        <v>33.6</v>
      </c>
      <c r="AP23">
        <v>0.5</v>
      </c>
      <c r="AQ23" t="s">
        <v>331</v>
      </c>
      <c r="AR23">
        <v>2</v>
      </c>
      <c r="AS23">
        <v>1690215354.5</v>
      </c>
      <c r="AT23">
        <v>806.49199999999996</v>
      </c>
      <c r="AU23">
        <v>799.97199999999998</v>
      </c>
      <c r="AV23">
        <v>9.7168100000000006</v>
      </c>
      <c r="AW23">
        <v>5.8785999999999996</v>
      </c>
      <c r="AX23">
        <v>806.88599999999997</v>
      </c>
      <c r="AY23">
        <v>9.7481799999999996</v>
      </c>
      <c r="AZ23">
        <v>300.18799999999999</v>
      </c>
      <c r="BA23">
        <v>99.072299999999998</v>
      </c>
      <c r="BB23">
        <v>9.9992999999999999E-2</v>
      </c>
      <c r="BC23">
        <v>27.618500000000001</v>
      </c>
      <c r="BD23">
        <v>27.930399999999999</v>
      </c>
      <c r="BE23">
        <v>28.9572</v>
      </c>
      <c r="BF23">
        <v>0</v>
      </c>
      <c r="BG23">
        <v>0</v>
      </c>
      <c r="BH23">
        <v>10005</v>
      </c>
      <c r="BI23">
        <v>1074.18</v>
      </c>
      <c r="BJ23">
        <v>1.8501799999999999</v>
      </c>
      <c r="BK23">
        <v>6.5198999999999998</v>
      </c>
      <c r="BL23">
        <v>814.40499999999997</v>
      </c>
      <c r="BM23">
        <v>804.70299999999997</v>
      </c>
      <c r="BN23">
        <v>3.8382100000000001</v>
      </c>
      <c r="BO23">
        <v>799.97199999999998</v>
      </c>
      <c r="BP23">
        <v>5.8785999999999996</v>
      </c>
      <c r="BQ23">
        <v>0.96266700000000005</v>
      </c>
      <c r="BR23">
        <v>0.58240700000000001</v>
      </c>
      <c r="BS23">
        <v>6.36327</v>
      </c>
      <c r="BT23">
        <v>-0.71731500000000004</v>
      </c>
      <c r="BU23">
        <v>1799.93</v>
      </c>
      <c r="BV23">
        <v>0.90998900000000005</v>
      </c>
      <c r="BW23">
        <v>3.4001799999999999E-2</v>
      </c>
      <c r="BX23">
        <v>2.20051E-2</v>
      </c>
      <c r="BY23">
        <v>3.4003699999999998E-2</v>
      </c>
      <c r="BZ23">
        <v>26</v>
      </c>
      <c r="CA23">
        <v>33527</v>
      </c>
      <c r="CB23">
        <v>1690214843</v>
      </c>
      <c r="CC23" t="s">
        <v>332</v>
      </c>
      <c r="CD23">
        <v>1690214842</v>
      </c>
      <c r="CE23">
        <v>1690214843</v>
      </c>
      <c r="CF23">
        <v>8</v>
      </c>
      <c r="CG23">
        <v>-6.3E-2</v>
      </c>
      <c r="CH23">
        <v>1E-3</v>
      </c>
      <c r="CI23">
        <v>-0.38900000000000001</v>
      </c>
      <c r="CJ23">
        <v>-6.6000000000000003E-2</v>
      </c>
      <c r="CK23">
        <v>800</v>
      </c>
      <c r="CL23">
        <v>6</v>
      </c>
      <c r="CM23">
        <v>0.23</v>
      </c>
      <c r="CN23">
        <v>0.02</v>
      </c>
      <c r="CO23">
        <v>7.9980440000000002</v>
      </c>
      <c r="CP23">
        <v>-6.0519300562851823</v>
      </c>
      <c r="CQ23">
        <v>0.61617749172133829</v>
      </c>
      <c r="CR23">
        <v>-1</v>
      </c>
      <c r="CS23">
        <v>3.7191512499999999</v>
      </c>
      <c r="CT23">
        <v>0.43741294559099692</v>
      </c>
      <c r="CU23">
        <v>4.5917928044909663E-2</v>
      </c>
      <c r="CV23">
        <v>-1</v>
      </c>
      <c r="CW23">
        <v>0</v>
      </c>
      <c r="CX23">
        <v>0</v>
      </c>
      <c r="CY23" t="s">
        <v>333</v>
      </c>
      <c r="CZ23">
        <v>2.3644400000000001</v>
      </c>
      <c r="DA23">
        <v>2.7137899999999999</v>
      </c>
      <c r="DB23">
        <v>0.14727499999999999</v>
      </c>
      <c r="DC23">
        <v>0.14604800000000001</v>
      </c>
      <c r="DD23">
        <v>5.8896900000000002E-2</v>
      </c>
      <c r="DE23">
        <v>3.87874E-2</v>
      </c>
      <c r="DF23">
        <v>31123.9</v>
      </c>
      <c r="DG23">
        <v>27501.9</v>
      </c>
      <c r="DH23">
        <v>31160.400000000001</v>
      </c>
      <c r="DI23">
        <v>28063.200000000001</v>
      </c>
      <c r="DJ23">
        <v>39830.9</v>
      </c>
      <c r="DK23">
        <v>38356</v>
      </c>
      <c r="DL23">
        <v>44342.5</v>
      </c>
      <c r="DM23">
        <v>42529.2</v>
      </c>
      <c r="DN23">
        <v>1.35145</v>
      </c>
      <c r="DO23">
        <v>2.0331700000000001</v>
      </c>
      <c r="DP23">
        <v>0.13584599999999999</v>
      </c>
      <c r="DQ23">
        <v>0.19563</v>
      </c>
      <c r="DR23">
        <v>25.708100000000002</v>
      </c>
      <c r="DS23">
        <v>25.759699999999999</v>
      </c>
      <c r="DT23">
        <v>17.399999999999999</v>
      </c>
      <c r="DU23">
        <v>29.7</v>
      </c>
      <c r="DV23">
        <v>7.35494</v>
      </c>
      <c r="DW23">
        <v>61.821199999999997</v>
      </c>
      <c r="DX23">
        <v>37.123399999999997</v>
      </c>
      <c r="DY23">
        <v>1</v>
      </c>
      <c r="DZ23">
        <v>-8.1054399999999999E-2</v>
      </c>
      <c r="EA23">
        <v>1.87416</v>
      </c>
      <c r="EB23">
        <v>20.167300000000001</v>
      </c>
      <c r="EC23">
        <v>5.2408000000000001</v>
      </c>
      <c r="ED23">
        <v>12.039899999999999</v>
      </c>
      <c r="EE23">
        <v>5.0168999999999997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1.8689</v>
      </c>
      <c r="EL23">
        <v>1.86463</v>
      </c>
      <c r="EM23">
        <v>1.86914</v>
      </c>
      <c r="EN23">
        <v>1.8672200000000001</v>
      </c>
      <c r="EO23">
        <v>1.8633999999999999</v>
      </c>
      <c r="EP23">
        <v>1.86453</v>
      </c>
      <c r="EQ23">
        <v>1.8701700000000001</v>
      </c>
      <c r="ER23">
        <v>1.8694200000000001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-0.39400000000000002</v>
      </c>
      <c r="FG23">
        <v>-3.1399999999999997E-2</v>
      </c>
      <c r="FH23">
        <v>0.16202357103534001</v>
      </c>
      <c r="FI23">
        <v>-6.1462078757559423E-4</v>
      </c>
      <c r="FJ23">
        <v>-1.8861989874597051E-7</v>
      </c>
      <c r="FK23">
        <v>1.1980462299894961E-10</v>
      </c>
      <c r="FL23">
        <v>-3.0039189969545878E-2</v>
      </c>
      <c r="FM23">
        <v>-1.6848085045870601E-2</v>
      </c>
      <c r="FN23">
        <v>1.9789084769509481E-3</v>
      </c>
      <c r="FO23">
        <v>-2.7142391389806329E-5</v>
      </c>
      <c r="FP23">
        <v>3</v>
      </c>
      <c r="FQ23">
        <v>2158</v>
      </c>
      <c r="FR23">
        <v>1</v>
      </c>
      <c r="FS23">
        <v>19</v>
      </c>
      <c r="FT23">
        <v>8.5</v>
      </c>
      <c r="FU23">
        <v>8.5</v>
      </c>
      <c r="FV23">
        <v>1.77979</v>
      </c>
      <c r="FW23">
        <v>2.5842299999999998</v>
      </c>
      <c r="FX23">
        <v>1.5490699999999999</v>
      </c>
      <c r="FY23">
        <v>2.3290999999999999</v>
      </c>
      <c r="FZ23">
        <v>1.50146</v>
      </c>
      <c r="GA23">
        <v>2.33643</v>
      </c>
      <c r="GB23">
        <v>33.783200000000001</v>
      </c>
      <c r="GC23">
        <v>23.947399999999998</v>
      </c>
      <c r="GD23">
        <v>19</v>
      </c>
      <c r="GE23">
        <v>233.51900000000001</v>
      </c>
      <c r="GF23">
        <v>581.41800000000001</v>
      </c>
      <c r="GG23">
        <v>27.722000000000001</v>
      </c>
      <c r="GH23">
        <v>26.3508</v>
      </c>
      <c r="GI23">
        <v>30.0016</v>
      </c>
      <c r="GJ23">
        <v>26.442499999999999</v>
      </c>
      <c r="GK23">
        <v>26.417899999999999</v>
      </c>
      <c r="GL23">
        <v>35.579300000000003</v>
      </c>
      <c r="GM23">
        <v>-30</v>
      </c>
      <c r="GN23">
        <v>-30</v>
      </c>
      <c r="GO23">
        <v>26.6905</v>
      </c>
      <c r="GP23">
        <v>800</v>
      </c>
      <c r="GQ23">
        <v>12.5298</v>
      </c>
      <c r="GR23">
        <v>99.697800000000001</v>
      </c>
      <c r="GS23">
        <v>99.495099999999994</v>
      </c>
    </row>
    <row r="24" spans="1:201" x14ac:dyDescent="0.25">
      <c r="A24">
        <v>8</v>
      </c>
      <c r="B24">
        <v>1690215364.5</v>
      </c>
      <c r="C24">
        <v>419</v>
      </c>
      <c r="D24" t="s">
        <v>349</v>
      </c>
      <c r="E24" t="s">
        <v>350</v>
      </c>
      <c r="F24" t="s">
        <v>330</v>
      </c>
      <c r="H24">
        <v>1690215364.5</v>
      </c>
      <c r="I24">
        <f t="shared" si="0"/>
        <v>3.558662317925985E-4</v>
      </c>
      <c r="J24">
        <f t="shared" si="1"/>
        <v>0.35586623179259852</v>
      </c>
      <c r="K24">
        <f t="shared" si="2"/>
        <v>-0.71194755979406843</v>
      </c>
      <c r="L24">
        <f t="shared" si="3"/>
        <v>804.80600000000004</v>
      </c>
      <c r="M24">
        <f t="shared" si="4"/>
        <v>866.89939143947788</v>
      </c>
      <c r="N24">
        <f t="shared" si="5"/>
        <v>85.970409961664899</v>
      </c>
      <c r="O24">
        <f t="shared" si="6"/>
        <v>79.812608525101382</v>
      </c>
      <c r="P24">
        <f t="shared" si="7"/>
        <v>1.0706935778155176E-2</v>
      </c>
      <c r="Q24">
        <f t="shared" si="8"/>
        <v>2.0634314014963615</v>
      </c>
      <c r="R24">
        <f t="shared" si="9"/>
        <v>1.0676166446978923E-2</v>
      </c>
      <c r="S24">
        <f t="shared" si="10"/>
        <v>6.6753611137282797E-3</v>
      </c>
      <c r="T24">
        <f t="shared" si="11"/>
        <v>276.10521703197185</v>
      </c>
      <c r="U24">
        <f t="shared" si="12"/>
        <v>29.725338892644082</v>
      </c>
      <c r="V24">
        <f t="shared" si="13"/>
        <v>29.725338892644082</v>
      </c>
      <c r="W24">
        <f t="shared" si="14"/>
        <v>4.1936958884515994</v>
      </c>
      <c r="X24">
        <f t="shared" si="15"/>
        <v>26.26747837021809</v>
      </c>
      <c r="Y24">
        <f t="shared" si="16"/>
        <v>0.97421530684656077</v>
      </c>
      <c r="Z24">
        <f t="shared" si="17"/>
        <v>3.7088269118025439</v>
      </c>
      <c r="AA24">
        <f t="shared" si="18"/>
        <v>3.2194805816050387</v>
      </c>
      <c r="AB24">
        <f t="shared" si="19"/>
        <v>-15.693700822053593</v>
      </c>
      <c r="AC24">
        <f t="shared" si="20"/>
        <v>-235.6185122157695</v>
      </c>
      <c r="AD24">
        <f t="shared" si="21"/>
        <v>-25.056269284830403</v>
      </c>
      <c r="AE24">
        <f t="shared" si="22"/>
        <v>-0.2632652906816304</v>
      </c>
      <c r="AF24">
        <v>48</v>
      </c>
      <c r="AG24">
        <v>16</v>
      </c>
      <c r="AH24">
        <f t="shared" si="23"/>
        <v>1</v>
      </c>
      <c r="AI24">
        <f t="shared" si="24"/>
        <v>0</v>
      </c>
      <c r="AJ24">
        <f t="shared" si="25"/>
        <v>52251.399860613172</v>
      </c>
      <c r="AK24">
        <f t="shared" si="26"/>
        <v>1799.94</v>
      </c>
      <c r="AL24">
        <f t="shared" si="27"/>
        <v>1499.06164621278</v>
      </c>
      <c r="AM24">
        <f t="shared" si="28"/>
        <v>0.83283978700000005</v>
      </c>
      <c r="AN24">
        <f t="shared" si="29"/>
        <v>0.15339690047000001</v>
      </c>
      <c r="AO24">
        <v>33.6</v>
      </c>
      <c r="AP24">
        <v>0.5</v>
      </c>
      <c r="AQ24" t="s">
        <v>331</v>
      </c>
      <c r="AR24">
        <v>2</v>
      </c>
      <c r="AS24">
        <v>1690215364.5</v>
      </c>
      <c r="AT24">
        <v>804.80600000000004</v>
      </c>
      <c r="AU24">
        <v>800.04100000000005</v>
      </c>
      <c r="AV24">
        <v>9.8236899999999991</v>
      </c>
      <c r="AW24">
        <v>5.87805</v>
      </c>
      <c r="AX24">
        <v>805.19799999999998</v>
      </c>
      <c r="AY24">
        <v>9.8535799999999991</v>
      </c>
      <c r="AZ24">
        <v>300.06900000000002</v>
      </c>
      <c r="BA24">
        <v>99.07</v>
      </c>
      <c r="BB24">
        <v>9.99969E-2</v>
      </c>
      <c r="BC24">
        <v>27.607299999999999</v>
      </c>
      <c r="BD24">
        <v>27.937799999999999</v>
      </c>
      <c r="BE24">
        <v>29.101600000000001</v>
      </c>
      <c r="BF24">
        <v>0</v>
      </c>
      <c r="BG24">
        <v>0</v>
      </c>
      <c r="BH24">
        <v>9994.3799999999992</v>
      </c>
      <c r="BI24">
        <v>1076.1199999999999</v>
      </c>
      <c r="BJ24">
        <v>1.8501799999999999</v>
      </c>
      <c r="BK24">
        <v>4.7648900000000003</v>
      </c>
      <c r="BL24">
        <v>812.79</v>
      </c>
      <c r="BM24">
        <v>804.77099999999996</v>
      </c>
      <c r="BN24">
        <v>3.94564</v>
      </c>
      <c r="BO24">
        <v>800.04100000000005</v>
      </c>
      <c r="BP24">
        <v>5.87805</v>
      </c>
      <c r="BQ24">
        <v>0.97323400000000004</v>
      </c>
      <c r="BR24">
        <v>0.58233900000000005</v>
      </c>
      <c r="BS24">
        <v>6.5217099999999997</v>
      </c>
      <c r="BT24">
        <v>-0.71892400000000001</v>
      </c>
      <c r="BU24">
        <v>1799.94</v>
      </c>
      <c r="BV24">
        <v>0.91000800000000004</v>
      </c>
      <c r="BW24">
        <v>3.4001799999999999E-2</v>
      </c>
      <c r="BX24">
        <v>2.1993599999999999E-2</v>
      </c>
      <c r="BY24">
        <v>3.3996499999999999E-2</v>
      </c>
      <c r="BZ24">
        <v>26</v>
      </c>
      <c r="CA24">
        <v>33527.4</v>
      </c>
      <c r="CB24">
        <v>1690214843</v>
      </c>
      <c r="CC24" t="s">
        <v>332</v>
      </c>
      <c r="CD24">
        <v>1690214842</v>
      </c>
      <c r="CE24">
        <v>1690214843</v>
      </c>
      <c r="CF24">
        <v>8</v>
      </c>
      <c r="CG24">
        <v>-6.3E-2</v>
      </c>
      <c r="CH24">
        <v>1E-3</v>
      </c>
      <c r="CI24">
        <v>-0.38900000000000001</v>
      </c>
      <c r="CJ24">
        <v>-6.6000000000000003E-2</v>
      </c>
      <c r="CK24">
        <v>800</v>
      </c>
      <c r="CL24">
        <v>6</v>
      </c>
      <c r="CM24">
        <v>0.23</v>
      </c>
      <c r="CN24">
        <v>0.02</v>
      </c>
      <c r="CO24">
        <v>6.6732278048780493</v>
      </c>
      <c r="CP24">
        <v>-9.3965491986062659</v>
      </c>
      <c r="CQ24">
        <v>0.92761389579436071</v>
      </c>
      <c r="CR24">
        <v>-1</v>
      </c>
      <c r="CS24">
        <v>3.8219692682926829</v>
      </c>
      <c r="CT24">
        <v>0.74094418118465533</v>
      </c>
      <c r="CU24">
        <v>7.3150563220419615E-2</v>
      </c>
      <c r="CV24">
        <v>-1</v>
      </c>
      <c r="CW24">
        <v>0</v>
      </c>
      <c r="CX24">
        <v>0</v>
      </c>
      <c r="CY24" t="s">
        <v>333</v>
      </c>
      <c r="CZ24">
        <v>2.3640500000000002</v>
      </c>
      <c r="DA24">
        <v>2.7137799999999999</v>
      </c>
      <c r="DB24">
        <v>0.147068</v>
      </c>
      <c r="DC24">
        <v>0.14605299999999999</v>
      </c>
      <c r="DD24">
        <v>5.9389900000000002E-2</v>
      </c>
      <c r="DE24">
        <v>3.8783499999999999E-2</v>
      </c>
      <c r="DF24">
        <v>31130.400000000001</v>
      </c>
      <c r="DG24">
        <v>27500.7</v>
      </c>
      <c r="DH24">
        <v>31159.200000000001</v>
      </c>
      <c r="DI24">
        <v>28062.1</v>
      </c>
      <c r="DJ24">
        <v>39808.6</v>
      </c>
      <c r="DK24">
        <v>38354.300000000003</v>
      </c>
      <c r="DL24">
        <v>44341.1</v>
      </c>
      <c r="DM24">
        <v>42527.1</v>
      </c>
      <c r="DN24">
        <v>1.3493200000000001</v>
      </c>
      <c r="DO24">
        <v>2.0331999999999999</v>
      </c>
      <c r="DP24">
        <v>0.13209099999999999</v>
      </c>
      <c r="DQ24">
        <v>0.20170199999999999</v>
      </c>
      <c r="DR24">
        <v>25.777100000000001</v>
      </c>
      <c r="DS24">
        <v>25.805299999999999</v>
      </c>
      <c r="DT24">
        <v>17.399999999999999</v>
      </c>
      <c r="DU24">
        <v>29.7</v>
      </c>
      <c r="DV24">
        <v>7.3545699999999998</v>
      </c>
      <c r="DW24">
        <v>62.141199999999998</v>
      </c>
      <c r="DX24">
        <v>37.115400000000001</v>
      </c>
      <c r="DY24">
        <v>1</v>
      </c>
      <c r="DZ24">
        <v>-7.0774900000000002E-2</v>
      </c>
      <c r="EA24">
        <v>5.1174499999999998</v>
      </c>
      <c r="EB24">
        <v>20.077100000000002</v>
      </c>
      <c r="EC24">
        <v>5.2409499999999998</v>
      </c>
      <c r="ED24">
        <v>12.039899999999999</v>
      </c>
      <c r="EE24">
        <v>5.0168999999999997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1.8646199999999999</v>
      </c>
      <c r="EM24">
        <v>1.86914</v>
      </c>
      <c r="EN24">
        <v>1.8672200000000001</v>
      </c>
      <c r="EO24">
        <v>1.8633999999999999</v>
      </c>
      <c r="EP24">
        <v>1.8645400000000001</v>
      </c>
      <c r="EQ24">
        <v>1.87016</v>
      </c>
      <c r="ER24">
        <v>1.8693900000000001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-0.39200000000000002</v>
      </c>
      <c r="FG24">
        <v>-2.9899999999999999E-2</v>
      </c>
      <c r="FH24">
        <v>0.16202357103534001</v>
      </c>
      <c r="FI24">
        <v>-6.1462078757559423E-4</v>
      </c>
      <c r="FJ24">
        <v>-1.8861989874597051E-7</v>
      </c>
      <c r="FK24">
        <v>1.1980462299894961E-10</v>
      </c>
      <c r="FL24">
        <v>-3.0039189969545878E-2</v>
      </c>
      <c r="FM24">
        <v>-1.6848085045870601E-2</v>
      </c>
      <c r="FN24">
        <v>1.9789084769509481E-3</v>
      </c>
      <c r="FO24">
        <v>-2.7142391389806329E-5</v>
      </c>
      <c r="FP24">
        <v>3</v>
      </c>
      <c r="FQ24">
        <v>2158</v>
      </c>
      <c r="FR24">
        <v>1</v>
      </c>
      <c r="FS24">
        <v>19</v>
      </c>
      <c r="FT24">
        <v>8.6999999999999993</v>
      </c>
      <c r="FU24">
        <v>8.6999999999999993</v>
      </c>
      <c r="FV24">
        <v>1.77979</v>
      </c>
      <c r="FW24">
        <v>2.5805699999999998</v>
      </c>
      <c r="FX24">
        <v>1.5490699999999999</v>
      </c>
      <c r="FY24">
        <v>2.3290999999999999</v>
      </c>
      <c r="FZ24">
        <v>1.50146</v>
      </c>
      <c r="GA24">
        <v>2.33765</v>
      </c>
      <c r="GB24">
        <v>33.783200000000001</v>
      </c>
      <c r="GC24">
        <v>23.8949</v>
      </c>
      <c r="GD24">
        <v>19</v>
      </c>
      <c r="GE24">
        <v>232.73400000000001</v>
      </c>
      <c r="GF24">
        <v>581.44500000000005</v>
      </c>
      <c r="GG24">
        <v>25.8659</v>
      </c>
      <c r="GH24">
        <v>26.351500000000001</v>
      </c>
      <c r="GI24">
        <v>30.004899999999999</v>
      </c>
      <c r="GJ24">
        <v>26.4435</v>
      </c>
      <c r="GK24">
        <v>26.418399999999998</v>
      </c>
      <c r="GL24">
        <v>35.576099999999997</v>
      </c>
      <c r="GM24">
        <v>-30</v>
      </c>
      <c r="GN24">
        <v>-30</v>
      </c>
      <c r="GO24">
        <v>24.7942</v>
      </c>
      <c r="GP24">
        <v>800</v>
      </c>
      <c r="GQ24">
        <v>12.5298</v>
      </c>
      <c r="GR24">
        <v>99.694400000000002</v>
      </c>
      <c r="GS24">
        <v>99.490600000000001</v>
      </c>
    </row>
    <row r="25" spans="1:201" x14ac:dyDescent="0.25">
      <c r="A25">
        <v>9</v>
      </c>
      <c r="B25">
        <v>1690215374.5</v>
      </c>
      <c r="C25">
        <v>429</v>
      </c>
      <c r="D25" t="s">
        <v>351</v>
      </c>
      <c r="E25" t="s">
        <v>352</v>
      </c>
      <c r="F25" t="s">
        <v>330</v>
      </c>
      <c r="H25">
        <v>1690215374.5</v>
      </c>
      <c r="I25">
        <f t="shared" si="0"/>
        <v>3.6118453923416596E-4</v>
      </c>
      <c r="J25">
        <f t="shared" si="1"/>
        <v>0.36118453923416594</v>
      </c>
      <c r="K25">
        <f t="shared" si="2"/>
        <v>-0.44605516109266441</v>
      </c>
      <c r="L25">
        <f t="shared" si="3"/>
        <v>801.73400000000004</v>
      </c>
      <c r="M25">
        <f t="shared" si="4"/>
        <v>823.89393810822185</v>
      </c>
      <c r="N25">
        <f t="shared" si="5"/>
        <v>81.704752778345153</v>
      </c>
      <c r="O25">
        <f t="shared" si="6"/>
        <v>79.507173477212007</v>
      </c>
      <c r="P25">
        <f t="shared" si="7"/>
        <v>1.1037425705514928E-2</v>
      </c>
      <c r="Q25">
        <f t="shared" si="8"/>
        <v>2.059771926744955</v>
      </c>
      <c r="R25">
        <f t="shared" si="9"/>
        <v>1.1004672780604668E-2</v>
      </c>
      <c r="S25">
        <f t="shared" si="10"/>
        <v>6.8808550570900479E-3</v>
      </c>
      <c r="T25">
        <f t="shared" si="11"/>
        <v>276.10828083247998</v>
      </c>
      <c r="U25">
        <f t="shared" si="12"/>
        <v>29.546421887701033</v>
      </c>
      <c r="V25">
        <f t="shared" si="13"/>
        <v>29.546421887701033</v>
      </c>
      <c r="W25">
        <f t="shared" si="14"/>
        <v>4.1507037427195597</v>
      </c>
      <c r="X25">
        <f t="shared" si="15"/>
        <v>26.706470147278054</v>
      </c>
      <c r="Y25">
        <f t="shared" si="16"/>
        <v>0.98007451292166015</v>
      </c>
      <c r="Z25">
        <f t="shared" si="17"/>
        <v>3.6698017653282053</v>
      </c>
      <c r="AA25">
        <f t="shared" si="18"/>
        <v>3.1706292297978997</v>
      </c>
      <c r="AB25">
        <f t="shared" si="19"/>
        <v>-15.928238180226719</v>
      </c>
      <c r="AC25">
        <f t="shared" si="20"/>
        <v>-235.4097450316292</v>
      </c>
      <c r="AD25">
        <f t="shared" si="21"/>
        <v>-25.033715913478815</v>
      </c>
      <c r="AE25">
        <f t="shared" si="22"/>
        <v>-0.26341829285476592</v>
      </c>
      <c r="AF25">
        <v>49</v>
      </c>
      <c r="AG25">
        <v>16</v>
      </c>
      <c r="AH25">
        <f t="shared" si="23"/>
        <v>1</v>
      </c>
      <c r="AI25">
        <f t="shared" si="24"/>
        <v>0</v>
      </c>
      <c r="AJ25">
        <f t="shared" si="25"/>
        <v>52115.988581783669</v>
      </c>
      <c r="AK25">
        <f t="shared" si="26"/>
        <v>1799.95</v>
      </c>
      <c r="AL25">
        <f t="shared" si="27"/>
        <v>1499.0703580000002</v>
      </c>
      <c r="AM25">
        <f t="shared" si="28"/>
        <v>0.83284000000000002</v>
      </c>
      <c r="AN25">
        <f t="shared" si="29"/>
        <v>0.15339775039999998</v>
      </c>
      <c r="AO25">
        <v>33.6</v>
      </c>
      <c r="AP25">
        <v>0.5</v>
      </c>
      <c r="AQ25" t="s">
        <v>331</v>
      </c>
      <c r="AR25">
        <v>2</v>
      </c>
      <c r="AS25">
        <v>1690215374.5</v>
      </c>
      <c r="AT25">
        <v>801.73400000000004</v>
      </c>
      <c r="AU25">
        <v>799.98199999999997</v>
      </c>
      <c r="AV25">
        <v>9.8828700000000005</v>
      </c>
      <c r="AW25">
        <v>5.8789300000000004</v>
      </c>
      <c r="AX25">
        <v>802.125</v>
      </c>
      <c r="AY25">
        <v>9.9119200000000003</v>
      </c>
      <c r="AZ25">
        <v>300.101</v>
      </c>
      <c r="BA25">
        <v>99.069000000000003</v>
      </c>
      <c r="BB25">
        <v>0.100018</v>
      </c>
      <c r="BC25">
        <v>27.426500000000001</v>
      </c>
      <c r="BD25">
        <v>27.733699999999999</v>
      </c>
      <c r="BE25">
        <v>28.96</v>
      </c>
      <c r="BF25">
        <v>0</v>
      </c>
      <c r="BG25">
        <v>0</v>
      </c>
      <c r="BH25">
        <v>9961.25</v>
      </c>
      <c r="BI25">
        <v>1077.17</v>
      </c>
      <c r="BJ25">
        <v>1.8501799999999999</v>
      </c>
      <c r="BK25">
        <v>1.7524999999999999</v>
      </c>
      <c r="BL25">
        <v>809.73699999999997</v>
      </c>
      <c r="BM25">
        <v>804.71299999999997</v>
      </c>
      <c r="BN25">
        <v>4.0039400000000001</v>
      </c>
      <c r="BO25">
        <v>799.98199999999997</v>
      </c>
      <c r="BP25">
        <v>5.8789300000000004</v>
      </c>
      <c r="BQ25">
        <v>0.97908600000000001</v>
      </c>
      <c r="BR25">
        <v>0.58242000000000005</v>
      </c>
      <c r="BS25">
        <v>6.6088199999999997</v>
      </c>
      <c r="BT25">
        <v>-0.71702100000000002</v>
      </c>
      <c r="BU25">
        <v>1799.95</v>
      </c>
      <c r="BV25">
        <v>0.90998999999999997</v>
      </c>
      <c r="BW25">
        <v>3.39946E-2</v>
      </c>
      <c r="BX25">
        <v>2.2003999999999999E-2</v>
      </c>
      <c r="BY25">
        <v>3.4011600000000003E-2</v>
      </c>
      <c r="BZ25">
        <v>26</v>
      </c>
      <c r="CA25">
        <v>33527.4</v>
      </c>
      <c r="CB25">
        <v>1690214843</v>
      </c>
      <c r="CC25" t="s">
        <v>332</v>
      </c>
      <c r="CD25">
        <v>1690214842</v>
      </c>
      <c r="CE25">
        <v>1690214843</v>
      </c>
      <c r="CF25">
        <v>8</v>
      </c>
      <c r="CG25">
        <v>-6.3E-2</v>
      </c>
      <c r="CH25">
        <v>1E-3</v>
      </c>
      <c r="CI25">
        <v>-0.38900000000000001</v>
      </c>
      <c r="CJ25">
        <v>-6.6000000000000003E-2</v>
      </c>
      <c r="CK25">
        <v>800</v>
      </c>
      <c r="CL25">
        <v>6</v>
      </c>
      <c r="CM25">
        <v>0.23</v>
      </c>
      <c r="CN25">
        <v>0.02</v>
      </c>
      <c r="CO25">
        <v>4.7328043902439019</v>
      </c>
      <c r="CP25">
        <v>-13.82610188153309</v>
      </c>
      <c r="CQ25">
        <v>1.381044359542672</v>
      </c>
      <c r="CR25">
        <v>-1</v>
      </c>
      <c r="CS25">
        <v>3.9280429268292689</v>
      </c>
      <c r="CT25">
        <v>0.52535101045296262</v>
      </c>
      <c r="CU25">
        <v>5.2313051966672873E-2</v>
      </c>
      <c r="CV25">
        <v>-1</v>
      </c>
      <c r="CW25">
        <v>0</v>
      </c>
      <c r="CX25">
        <v>0</v>
      </c>
      <c r="CY25" t="s">
        <v>333</v>
      </c>
      <c r="CZ25">
        <v>2.36416</v>
      </c>
      <c r="DA25">
        <v>2.7137699999999998</v>
      </c>
      <c r="DB25">
        <v>0.14669299999999999</v>
      </c>
      <c r="DC25">
        <v>0.14604400000000001</v>
      </c>
      <c r="DD25">
        <v>5.9662199999999999E-2</v>
      </c>
      <c r="DE25">
        <v>3.8787799999999997E-2</v>
      </c>
      <c r="DF25">
        <v>31143</v>
      </c>
      <c r="DG25">
        <v>27499.5</v>
      </c>
      <c r="DH25">
        <v>31158.2</v>
      </c>
      <c r="DI25">
        <v>28060.6</v>
      </c>
      <c r="DJ25">
        <v>39795.800000000003</v>
      </c>
      <c r="DK25">
        <v>38352.199999999997</v>
      </c>
      <c r="DL25">
        <v>44339.7</v>
      </c>
      <c r="DM25">
        <v>42525</v>
      </c>
      <c r="DN25">
        <v>1.34857</v>
      </c>
      <c r="DO25">
        <v>2.0331999999999999</v>
      </c>
      <c r="DP25">
        <v>0.115678</v>
      </c>
      <c r="DQ25">
        <v>0.19112199999999999</v>
      </c>
      <c r="DR25">
        <v>25.8413</v>
      </c>
      <c r="DS25">
        <v>25.836400000000001</v>
      </c>
      <c r="DT25">
        <v>17.399999999999999</v>
      </c>
      <c r="DU25">
        <v>29.8</v>
      </c>
      <c r="DV25">
        <v>7.3976300000000004</v>
      </c>
      <c r="DW25">
        <v>62.461199999999998</v>
      </c>
      <c r="DX25">
        <v>37.0473</v>
      </c>
      <c r="DY25">
        <v>1</v>
      </c>
      <c r="DZ25">
        <v>-6.4098100000000005E-2</v>
      </c>
      <c r="EA25">
        <v>6.8848000000000003</v>
      </c>
      <c r="EB25">
        <v>20.002800000000001</v>
      </c>
      <c r="EC25">
        <v>5.2406499999999996</v>
      </c>
      <c r="ED25">
        <v>12.039899999999999</v>
      </c>
      <c r="EE25">
        <v>5.0167999999999999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1.8646199999999999</v>
      </c>
      <c r="EM25">
        <v>1.8691500000000001</v>
      </c>
      <c r="EN25">
        <v>1.8672200000000001</v>
      </c>
      <c r="EO25">
        <v>1.8633999999999999</v>
      </c>
      <c r="EP25">
        <v>1.8645099999999999</v>
      </c>
      <c r="EQ25">
        <v>1.8701399999999999</v>
      </c>
      <c r="ER25">
        <v>1.86941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-0.39100000000000001</v>
      </c>
      <c r="FG25">
        <v>-2.9000000000000001E-2</v>
      </c>
      <c r="FH25">
        <v>0.16202357103534001</v>
      </c>
      <c r="FI25">
        <v>-6.1462078757559423E-4</v>
      </c>
      <c r="FJ25">
        <v>-1.8861989874597051E-7</v>
      </c>
      <c r="FK25">
        <v>1.1980462299894961E-10</v>
      </c>
      <c r="FL25">
        <v>-3.0039189969545878E-2</v>
      </c>
      <c r="FM25">
        <v>-1.6848085045870601E-2</v>
      </c>
      <c r="FN25">
        <v>1.9789084769509481E-3</v>
      </c>
      <c r="FO25">
        <v>-2.7142391389806329E-5</v>
      </c>
      <c r="FP25">
        <v>3</v>
      </c>
      <c r="FQ25">
        <v>2158</v>
      </c>
      <c r="FR25">
        <v>1</v>
      </c>
      <c r="FS25">
        <v>19</v>
      </c>
      <c r="FT25">
        <v>8.9</v>
      </c>
      <c r="FU25">
        <v>8.9</v>
      </c>
      <c r="FV25">
        <v>1.7785599999999999</v>
      </c>
      <c r="FW25">
        <v>2.5817899999999998</v>
      </c>
      <c r="FX25">
        <v>1.5490699999999999</v>
      </c>
      <c r="FY25">
        <v>2.3290999999999999</v>
      </c>
      <c r="FZ25">
        <v>1.50146</v>
      </c>
      <c r="GA25">
        <v>2.33521</v>
      </c>
      <c r="GB25">
        <v>33.783200000000001</v>
      </c>
      <c r="GC25">
        <v>23.868600000000001</v>
      </c>
      <c r="GD25">
        <v>19</v>
      </c>
      <c r="GE25">
        <v>232.45500000000001</v>
      </c>
      <c r="GF25">
        <v>581.44600000000003</v>
      </c>
      <c r="GG25">
        <v>23.888300000000001</v>
      </c>
      <c r="GH25">
        <v>26.353200000000001</v>
      </c>
      <c r="GI25">
        <v>30.003499999999999</v>
      </c>
      <c r="GJ25">
        <v>26.4435</v>
      </c>
      <c r="GK25">
        <v>26.418399999999998</v>
      </c>
      <c r="GL25">
        <v>35.573799999999999</v>
      </c>
      <c r="GM25">
        <v>-30</v>
      </c>
      <c r="GN25">
        <v>-30</v>
      </c>
      <c r="GO25">
        <v>23.101299999999998</v>
      </c>
      <c r="GP25">
        <v>800</v>
      </c>
      <c r="GQ25">
        <v>12.5298</v>
      </c>
      <c r="GR25">
        <v>99.691100000000006</v>
      </c>
      <c r="GS25">
        <v>99.485600000000005</v>
      </c>
    </row>
    <row r="26" spans="1:201" x14ac:dyDescent="0.25">
      <c r="A26">
        <v>10</v>
      </c>
      <c r="B26">
        <v>1690215384.5</v>
      </c>
      <c r="C26">
        <v>439</v>
      </c>
      <c r="D26" t="s">
        <v>353</v>
      </c>
      <c r="E26" t="s">
        <v>354</v>
      </c>
      <c r="F26" t="s">
        <v>330</v>
      </c>
      <c r="H26">
        <v>1690215384.5</v>
      </c>
      <c r="I26">
        <f t="shared" si="0"/>
        <v>3.6320379511220176E-4</v>
      </c>
      <c r="J26">
        <f t="shared" si="1"/>
        <v>0.36320379511220174</v>
      </c>
      <c r="K26">
        <f t="shared" si="2"/>
        <v>-0.16972223220585311</v>
      </c>
      <c r="L26">
        <f t="shared" si="3"/>
        <v>798.65099999999995</v>
      </c>
      <c r="M26">
        <f t="shared" si="4"/>
        <v>782.02801246624847</v>
      </c>
      <c r="N26">
        <f t="shared" si="5"/>
        <v>77.555227779558734</v>
      </c>
      <c r="O26">
        <f t="shared" si="6"/>
        <v>79.203761545620594</v>
      </c>
      <c r="P26">
        <f t="shared" si="7"/>
        <v>1.1322938203626346E-2</v>
      </c>
      <c r="Q26">
        <f t="shared" si="8"/>
        <v>2.0642800759005748</v>
      </c>
      <c r="R26">
        <f t="shared" si="9"/>
        <v>1.1288546759127573E-2</v>
      </c>
      <c r="S26">
        <f t="shared" si="10"/>
        <v>7.0584229006301459E-3</v>
      </c>
      <c r="T26">
        <f t="shared" si="11"/>
        <v>276.11030557887511</v>
      </c>
      <c r="U26">
        <f t="shared" si="12"/>
        <v>29.296616623885924</v>
      </c>
      <c r="V26">
        <f t="shared" si="13"/>
        <v>29.296616623885924</v>
      </c>
      <c r="W26">
        <f t="shared" si="14"/>
        <v>4.0913206804236983</v>
      </c>
      <c r="X26">
        <f t="shared" si="15"/>
        <v>27.150042752031702</v>
      </c>
      <c r="Y26">
        <f t="shared" si="16"/>
        <v>0.98212739687236794</v>
      </c>
      <c r="Z26">
        <f t="shared" si="17"/>
        <v>3.6174064469893814</v>
      </c>
      <c r="AA26">
        <f t="shared" si="18"/>
        <v>3.1091932835513303</v>
      </c>
      <c r="AB26">
        <f t="shared" si="19"/>
        <v>-16.017287364448098</v>
      </c>
      <c r="AC26">
        <f t="shared" si="20"/>
        <v>-235.43471845801545</v>
      </c>
      <c r="AD26">
        <f t="shared" si="21"/>
        <v>-24.920194471814373</v>
      </c>
      <c r="AE26">
        <f t="shared" si="22"/>
        <v>-0.26189471540280351</v>
      </c>
      <c r="AF26">
        <v>49</v>
      </c>
      <c r="AG26">
        <v>16</v>
      </c>
      <c r="AH26">
        <f t="shared" si="23"/>
        <v>1</v>
      </c>
      <c r="AI26">
        <f t="shared" si="24"/>
        <v>0</v>
      </c>
      <c r="AJ26">
        <f t="shared" si="25"/>
        <v>52364.406950039767</v>
      </c>
      <c r="AK26">
        <f t="shared" si="26"/>
        <v>1799.97</v>
      </c>
      <c r="AL26">
        <f t="shared" si="27"/>
        <v>1499.0869392012601</v>
      </c>
      <c r="AM26">
        <f t="shared" si="28"/>
        <v>0.83283995799999999</v>
      </c>
      <c r="AN26">
        <f t="shared" si="29"/>
        <v>0.15339717083000001</v>
      </c>
      <c r="AO26">
        <v>33.6</v>
      </c>
      <c r="AP26">
        <v>0.5</v>
      </c>
      <c r="AQ26" t="s">
        <v>331</v>
      </c>
      <c r="AR26">
        <v>2</v>
      </c>
      <c r="AS26">
        <v>1690215384.5</v>
      </c>
      <c r="AT26">
        <v>798.65099999999995</v>
      </c>
      <c r="AU26">
        <v>799.99800000000005</v>
      </c>
      <c r="AV26">
        <v>9.9032800000000005</v>
      </c>
      <c r="AW26">
        <v>5.8784599999999996</v>
      </c>
      <c r="AX26">
        <v>799.03899999999999</v>
      </c>
      <c r="AY26">
        <v>9.9320400000000006</v>
      </c>
      <c r="AZ26">
        <v>300.20699999999999</v>
      </c>
      <c r="BA26">
        <v>99.072000000000003</v>
      </c>
      <c r="BB26">
        <v>9.9930599999999994E-2</v>
      </c>
      <c r="BC26">
        <v>27.181100000000001</v>
      </c>
      <c r="BD26">
        <v>27.438600000000001</v>
      </c>
      <c r="BE26">
        <v>28.6905</v>
      </c>
      <c r="BF26">
        <v>0</v>
      </c>
      <c r="BG26">
        <v>0</v>
      </c>
      <c r="BH26">
        <v>10001.9</v>
      </c>
      <c r="BI26">
        <v>1077.46</v>
      </c>
      <c r="BJ26">
        <v>1.8501799999999999</v>
      </c>
      <c r="BK26">
        <v>-1.3478399999999999</v>
      </c>
      <c r="BL26">
        <v>806.63900000000001</v>
      </c>
      <c r="BM26">
        <v>804.72900000000004</v>
      </c>
      <c r="BN26">
        <v>4.0248200000000001</v>
      </c>
      <c r="BO26">
        <v>799.99800000000005</v>
      </c>
      <c r="BP26">
        <v>5.8784599999999996</v>
      </c>
      <c r="BQ26">
        <v>0.98113799999999995</v>
      </c>
      <c r="BR26">
        <v>0.58239099999999999</v>
      </c>
      <c r="BS26">
        <v>6.6392499999999997</v>
      </c>
      <c r="BT26">
        <v>-0.71769799999999995</v>
      </c>
      <c r="BU26">
        <v>1799.97</v>
      </c>
      <c r="BV26">
        <v>0.91000300000000001</v>
      </c>
      <c r="BW26">
        <v>3.4002400000000002E-2</v>
      </c>
      <c r="BX26">
        <v>2.1995899999999999E-2</v>
      </c>
      <c r="BY26">
        <v>3.3999099999999997E-2</v>
      </c>
      <c r="BZ26">
        <v>26</v>
      </c>
      <c r="CA26">
        <v>33527.800000000003</v>
      </c>
      <c r="CB26">
        <v>1690214843</v>
      </c>
      <c r="CC26" t="s">
        <v>332</v>
      </c>
      <c r="CD26">
        <v>1690214842</v>
      </c>
      <c r="CE26">
        <v>1690214843</v>
      </c>
      <c r="CF26">
        <v>8</v>
      </c>
      <c r="CG26">
        <v>-6.3E-2</v>
      </c>
      <c r="CH26">
        <v>1E-3</v>
      </c>
      <c r="CI26">
        <v>-0.38900000000000001</v>
      </c>
      <c r="CJ26">
        <v>-6.6000000000000003E-2</v>
      </c>
      <c r="CK26">
        <v>800</v>
      </c>
      <c r="CL26">
        <v>6</v>
      </c>
      <c r="CM26">
        <v>0.23</v>
      </c>
      <c r="CN26">
        <v>0.02</v>
      </c>
      <c r="CO26">
        <v>1.8194292325000001</v>
      </c>
      <c r="CP26">
        <v>-18.46422313058163</v>
      </c>
      <c r="CQ26">
        <v>1.7763135181544469</v>
      </c>
      <c r="CR26">
        <v>-1</v>
      </c>
      <c r="CS26">
        <v>3.9968667500000001</v>
      </c>
      <c r="CT26">
        <v>0.2402826641651005</v>
      </c>
      <c r="CU26">
        <v>2.3807153587472381E-2</v>
      </c>
      <c r="CV26">
        <v>-1</v>
      </c>
      <c r="CW26">
        <v>0</v>
      </c>
      <c r="CX26">
        <v>0</v>
      </c>
      <c r="CY26" t="s">
        <v>333</v>
      </c>
      <c r="CZ26">
        <v>2.3645</v>
      </c>
      <c r="DA26">
        <v>2.7137199999999999</v>
      </c>
      <c r="DB26">
        <v>0.14632100000000001</v>
      </c>
      <c r="DC26">
        <v>0.14605000000000001</v>
      </c>
      <c r="DD26">
        <v>5.9757699999999997E-2</v>
      </c>
      <c r="DE26">
        <v>3.8786500000000002E-2</v>
      </c>
      <c r="DF26">
        <v>31156.5</v>
      </c>
      <c r="DG26">
        <v>27499.200000000001</v>
      </c>
      <c r="DH26">
        <v>31158.1</v>
      </c>
      <c r="DI26">
        <v>28060.6</v>
      </c>
      <c r="DJ26">
        <v>39791.4</v>
      </c>
      <c r="DK26">
        <v>38352.300000000003</v>
      </c>
      <c r="DL26">
        <v>44339.4</v>
      </c>
      <c r="DM26">
        <v>42525</v>
      </c>
      <c r="DN26">
        <v>1.3486</v>
      </c>
      <c r="DO26">
        <v>2.0331000000000001</v>
      </c>
      <c r="DP26">
        <v>9.48161E-2</v>
      </c>
      <c r="DQ26">
        <v>0.174396</v>
      </c>
      <c r="DR26">
        <v>25.8871</v>
      </c>
      <c r="DS26">
        <v>25.839700000000001</v>
      </c>
      <c r="DT26">
        <v>17.399999999999999</v>
      </c>
      <c r="DU26">
        <v>29.8</v>
      </c>
      <c r="DV26">
        <v>7.39663</v>
      </c>
      <c r="DW26">
        <v>62.151200000000003</v>
      </c>
      <c r="DX26">
        <v>36.931100000000001</v>
      </c>
      <c r="DY26">
        <v>1</v>
      </c>
      <c r="DZ26">
        <v>-6.37017E-2</v>
      </c>
      <c r="EA26">
        <v>6.8099699999999999</v>
      </c>
      <c r="EB26">
        <v>20.014900000000001</v>
      </c>
      <c r="EC26">
        <v>5.2409499999999998</v>
      </c>
      <c r="ED26">
        <v>12.039899999999999</v>
      </c>
      <c r="EE26">
        <v>5.0170000000000003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1.8689100000000001</v>
      </c>
      <c r="EL26">
        <v>1.8646199999999999</v>
      </c>
      <c r="EM26">
        <v>1.86917</v>
      </c>
      <c r="EN26">
        <v>1.8672200000000001</v>
      </c>
      <c r="EO26">
        <v>1.8633999999999999</v>
      </c>
      <c r="EP26">
        <v>1.86452</v>
      </c>
      <c r="EQ26">
        <v>1.8701300000000001</v>
      </c>
      <c r="ER26">
        <v>1.8693900000000001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-0.38800000000000001</v>
      </c>
      <c r="FG26">
        <v>-2.8799999999999999E-2</v>
      </c>
      <c r="FH26">
        <v>0.16202357103534001</v>
      </c>
      <c r="FI26">
        <v>-6.1462078757559423E-4</v>
      </c>
      <c r="FJ26">
        <v>-1.8861989874597051E-7</v>
      </c>
      <c r="FK26">
        <v>1.1980462299894961E-10</v>
      </c>
      <c r="FL26">
        <v>-3.0039189969545878E-2</v>
      </c>
      <c r="FM26">
        <v>-1.6848085045870601E-2</v>
      </c>
      <c r="FN26">
        <v>1.9789084769509481E-3</v>
      </c>
      <c r="FO26">
        <v>-2.7142391389806329E-5</v>
      </c>
      <c r="FP26">
        <v>3</v>
      </c>
      <c r="FQ26">
        <v>2158</v>
      </c>
      <c r="FR26">
        <v>1</v>
      </c>
      <c r="FS26">
        <v>19</v>
      </c>
      <c r="FT26">
        <v>9</v>
      </c>
      <c r="FU26">
        <v>9</v>
      </c>
      <c r="FV26">
        <v>1.7785599999999999</v>
      </c>
      <c r="FW26">
        <v>2.5769000000000002</v>
      </c>
      <c r="FX26">
        <v>1.5490699999999999</v>
      </c>
      <c r="FY26">
        <v>2.3290999999999999</v>
      </c>
      <c r="FZ26">
        <v>1.50146</v>
      </c>
      <c r="GA26">
        <v>2.35107</v>
      </c>
      <c r="GB26">
        <v>33.783200000000001</v>
      </c>
      <c r="GC26">
        <v>23.903600000000001</v>
      </c>
      <c r="GD26">
        <v>19</v>
      </c>
      <c r="GE26">
        <v>232.47300000000001</v>
      </c>
      <c r="GF26">
        <v>581.36300000000006</v>
      </c>
      <c r="GG26">
        <v>22.3034</v>
      </c>
      <c r="GH26">
        <v>26.357600000000001</v>
      </c>
      <c r="GI26">
        <v>30.000499999999999</v>
      </c>
      <c r="GJ26">
        <v>26.445799999999998</v>
      </c>
      <c r="GK26">
        <v>26.418399999999998</v>
      </c>
      <c r="GL26">
        <v>35.572800000000001</v>
      </c>
      <c r="GM26">
        <v>-30</v>
      </c>
      <c r="GN26">
        <v>-30</v>
      </c>
      <c r="GO26">
        <v>21.9194</v>
      </c>
      <c r="GP26">
        <v>800</v>
      </c>
      <c r="GQ26">
        <v>12.5298</v>
      </c>
      <c r="GR26">
        <v>99.690600000000003</v>
      </c>
      <c r="GS26">
        <v>99.485500000000002</v>
      </c>
    </row>
    <row r="27" spans="1:201" x14ac:dyDescent="0.25">
      <c r="A27">
        <v>11</v>
      </c>
      <c r="B27">
        <v>1690215394.5</v>
      </c>
      <c r="C27">
        <v>449</v>
      </c>
      <c r="D27" t="s">
        <v>355</v>
      </c>
      <c r="E27" t="s">
        <v>356</v>
      </c>
      <c r="F27" t="s">
        <v>330</v>
      </c>
      <c r="H27">
        <v>1690215394.5</v>
      </c>
      <c r="I27">
        <f t="shared" si="0"/>
        <v>3.6288599607947565E-4</v>
      </c>
      <c r="J27">
        <f t="shared" si="1"/>
        <v>0.36288599607947564</v>
      </c>
      <c r="K27">
        <f t="shared" si="2"/>
        <v>0.11289464403463079</v>
      </c>
      <c r="L27">
        <f t="shared" si="3"/>
        <v>795.48599999999999</v>
      </c>
      <c r="M27">
        <f t="shared" si="4"/>
        <v>740.98616264412146</v>
      </c>
      <c r="N27">
        <f t="shared" si="5"/>
        <v>73.48504341342084</v>
      </c>
      <c r="O27">
        <f t="shared" si="6"/>
        <v>78.889898613186006</v>
      </c>
      <c r="P27">
        <f t="shared" si="7"/>
        <v>1.1529373080695305E-2</v>
      </c>
      <c r="Q27">
        <f t="shared" si="8"/>
        <v>2.0624207106436545</v>
      </c>
      <c r="R27">
        <f t="shared" si="9"/>
        <v>1.1493686279842544E-2</v>
      </c>
      <c r="S27">
        <f t="shared" si="10"/>
        <v>7.1867509818748579E-3</v>
      </c>
      <c r="T27">
        <f t="shared" si="11"/>
        <v>276.11029225909709</v>
      </c>
      <c r="U27">
        <f t="shared" si="12"/>
        <v>29.051453508705574</v>
      </c>
      <c r="V27">
        <f t="shared" si="13"/>
        <v>29.051453508705574</v>
      </c>
      <c r="W27">
        <f t="shared" si="14"/>
        <v>4.0337626827041744</v>
      </c>
      <c r="X27">
        <f t="shared" si="15"/>
        <v>27.538797287099033</v>
      </c>
      <c r="Y27">
        <f t="shared" si="16"/>
        <v>0.98182016585118004</v>
      </c>
      <c r="Z27">
        <f t="shared" si="17"/>
        <v>3.5652252914876885</v>
      </c>
      <c r="AA27">
        <f t="shared" si="18"/>
        <v>3.0519425168529946</v>
      </c>
      <c r="AB27">
        <f t="shared" si="19"/>
        <v>-16.003272427104875</v>
      </c>
      <c r="AC27">
        <f t="shared" si="20"/>
        <v>-235.48249104245559</v>
      </c>
      <c r="AD27">
        <f t="shared" si="21"/>
        <v>-24.886572155848548</v>
      </c>
      <c r="AE27">
        <f t="shared" si="22"/>
        <v>-0.26204336631190017</v>
      </c>
      <c r="AF27">
        <v>49</v>
      </c>
      <c r="AG27">
        <v>16</v>
      </c>
      <c r="AH27">
        <f t="shared" si="23"/>
        <v>1</v>
      </c>
      <c r="AI27">
        <f t="shared" si="24"/>
        <v>0</v>
      </c>
      <c r="AJ27">
        <f t="shared" si="25"/>
        <v>52322.614748739143</v>
      </c>
      <c r="AK27">
        <f t="shared" si="26"/>
        <v>1799.97</v>
      </c>
      <c r="AL27">
        <f t="shared" si="27"/>
        <v>1499.0898371529597</v>
      </c>
      <c r="AM27">
        <f t="shared" si="28"/>
        <v>0.83284156799999987</v>
      </c>
      <c r="AN27">
        <f t="shared" si="29"/>
        <v>0.15339716342999998</v>
      </c>
      <c r="AO27">
        <v>33.6</v>
      </c>
      <c r="AP27">
        <v>0.5</v>
      </c>
      <c r="AQ27" t="s">
        <v>331</v>
      </c>
      <c r="AR27">
        <v>2</v>
      </c>
      <c r="AS27">
        <v>1690215394.5</v>
      </c>
      <c r="AT27">
        <v>795.48599999999999</v>
      </c>
      <c r="AU27">
        <v>799.98099999999999</v>
      </c>
      <c r="AV27">
        <v>9.9001800000000006</v>
      </c>
      <c r="AW27">
        <v>5.8783599999999998</v>
      </c>
      <c r="AX27">
        <v>795.87199999999996</v>
      </c>
      <c r="AY27">
        <v>9.9289799999999993</v>
      </c>
      <c r="AZ27">
        <v>300.16899999999998</v>
      </c>
      <c r="BA27">
        <v>99.071899999999999</v>
      </c>
      <c r="BB27">
        <v>0.100051</v>
      </c>
      <c r="BC27">
        <v>26.933599999999998</v>
      </c>
      <c r="BD27">
        <v>27.148199999999999</v>
      </c>
      <c r="BE27">
        <v>28.411300000000001</v>
      </c>
      <c r="BF27">
        <v>0</v>
      </c>
      <c r="BG27">
        <v>0</v>
      </c>
      <c r="BH27">
        <v>9985</v>
      </c>
      <c r="BI27">
        <v>1077.02</v>
      </c>
      <c r="BJ27">
        <v>1.68198</v>
      </c>
      <c r="BK27">
        <v>-4.4950599999999996</v>
      </c>
      <c r="BL27">
        <v>803.44</v>
      </c>
      <c r="BM27">
        <v>804.71100000000001</v>
      </c>
      <c r="BN27">
        <v>4.02182</v>
      </c>
      <c r="BO27">
        <v>799.98099999999999</v>
      </c>
      <c r="BP27">
        <v>5.8783599999999998</v>
      </c>
      <c r="BQ27">
        <v>0.98082999999999998</v>
      </c>
      <c r="BR27">
        <v>0.58238000000000001</v>
      </c>
      <c r="BS27">
        <v>6.6346800000000004</v>
      </c>
      <c r="BT27">
        <v>-0.71795100000000001</v>
      </c>
      <c r="BU27">
        <v>1799.97</v>
      </c>
      <c r="BV27">
        <v>0.91001699999999996</v>
      </c>
      <c r="BW27">
        <v>3.3993599999999999E-2</v>
      </c>
      <c r="BX27">
        <v>2.1998899999999998E-2</v>
      </c>
      <c r="BY27">
        <v>3.3990300000000001E-2</v>
      </c>
      <c r="BZ27">
        <v>26</v>
      </c>
      <c r="CA27">
        <v>33528</v>
      </c>
      <c r="CB27">
        <v>1690214843</v>
      </c>
      <c r="CC27" t="s">
        <v>332</v>
      </c>
      <c r="CD27">
        <v>1690214842</v>
      </c>
      <c r="CE27">
        <v>1690214843</v>
      </c>
      <c r="CF27">
        <v>8</v>
      </c>
      <c r="CG27">
        <v>-6.3E-2</v>
      </c>
      <c r="CH27">
        <v>1E-3</v>
      </c>
      <c r="CI27">
        <v>-0.38900000000000001</v>
      </c>
      <c r="CJ27">
        <v>-6.6000000000000003E-2</v>
      </c>
      <c r="CK27">
        <v>800</v>
      </c>
      <c r="CL27">
        <v>6</v>
      </c>
      <c r="CM27">
        <v>0.23</v>
      </c>
      <c r="CN27">
        <v>0.02</v>
      </c>
      <c r="CO27">
        <v>-0.96687426750000005</v>
      </c>
      <c r="CP27">
        <v>-18.630760107692311</v>
      </c>
      <c r="CQ27">
        <v>1.7924150404566199</v>
      </c>
      <c r="CR27">
        <v>-1</v>
      </c>
      <c r="CS27">
        <v>4.01979825</v>
      </c>
      <c r="CT27">
        <v>6.7026303939952639E-2</v>
      </c>
      <c r="CU27">
        <v>7.5164931608762732E-3</v>
      </c>
      <c r="CV27">
        <v>-1</v>
      </c>
      <c r="CW27">
        <v>0</v>
      </c>
      <c r="CX27">
        <v>0</v>
      </c>
      <c r="CY27" t="s">
        <v>333</v>
      </c>
      <c r="CZ27">
        <v>2.36436</v>
      </c>
      <c r="DA27">
        <v>2.7138300000000002</v>
      </c>
      <c r="DB27">
        <v>0.14593300000000001</v>
      </c>
      <c r="DC27">
        <v>0.14604700000000001</v>
      </c>
      <c r="DD27">
        <v>5.9743200000000003E-2</v>
      </c>
      <c r="DE27">
        <v>3.8785600000000003E-2</v>
      </c>
      <c r="DF27">
        <v>31172.2</v>
      </c>
      <c r="DG27">
        <v>27500.7</v>
      </c>
      <c r="DH27">
        <v>31159.7</v>
      </c>
      <c r="DI27">
        <v>28062</v>
      </c>
      <c r="DJ27">
        <v>39794.1</v>
      </c>
      <c r="DK27">
        <v>38354.1</v>
      </c>
      <c r="DL27">
        <v>44341.8</v>
      </c>
      <c r="DM27">
        <v>42527</v>
      </c>
      <c r="DN27">
        <v>1.34897</v>
      </c>
      <c r="DO27">
        <v>2.03288</v>
      </c>
      <c r="DP27">
        <v>7.5720300000000004E-2</v>
      </c>
      <c r="DQ27">
        <v>0.15887599999999999</v>
      </c>
      <c r="DR27">
        <v>25.908999999999999</v>
      </c>
      <c r="DS27">
        <v>25.813500000000001</v>
      </c>
      <c r="DT27">
        <v>17.399999999999999</v>
      </c>
      <c r="DU27">
        <v>29.8</v>
      </c>
      <c r="DV27">
        <v>7.3973699999999996</v>
      </c>
      <c r="DW27">
        <v>62.471200000000003</v>
      </c>
      <c r="DX27">
        <v>36.9191</v>
      </c>
      <c r="DY27">
        <v>1</v>
      </c>
      <c r="DZ27">
        <v>-6.8356200000000006E-2</v>
      </c>
      <c r="EA27">
        <v>5.5086199999999996</v>
      </c>
      <c r="EB27">
        <v>20.079799999999999</v>
      </c>
      <c r="EC27">
        <v>5.2404999999999999</v>
      </c>
      <c r="ED27">
        <v>12.039899999999999</v>
      </c>
      <c r="EE27">
        <v>5.0168999999999997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1.8646199999999999</v>
      </c>
      <c r="EM27">
        <v>1.86914</v>
      </c>
      <c r="EN27">
        <v>1.86724</v>
      </c>
      <c r="EO27">
        <v>1.8633999999999999</v>
      </c>
      <c r="EP27">
        <v>1.8645499999999999</v>
      </c>
      <c r="EQ27">
        <v>1.87012</v>
      </c>
      <c r="ER27">
        <v>1.86941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-0.38600000000000001</v>
      </c>
      <c r="FG27">
        <v>-2.8799999999999999E-2</v>
      </c>
      <c r="FH27">
        <v>0.16202357103534001</v>
      </c>
      <c r="FI27">
        <v>-6.1462078757559423E-4</v>
      </c>
      <c r="FJ27">
        <v>-1.8861989874597051E-7</v>
      </c>
      <c r="FK27">
        <v>1.1980462299894961E-10</v>
      </c>
      <c r="FL27">
        <v>-3.0039189969545878E-2</v>
      </c>
      <c r="FM27">
        <v>-1.6848085045870601E-2</v>
      </c>
      <c r="FN27">
        <v>1.9789084769509481E-3</v>
      </c>
      <c r="FO27">
        <v>-2.7142391389806329E-5</v>
      </c>
      <c r="FP27">
        <v>3</v>
      </c>
      <c r="FQ27">
        <v>2158</v>
      </c>
      <c r="FR27">
        <v>1</v>
      </c>
      <c r="FS27">
        <v>19</v>
      </c>
      <c r="FT27">
        <v>9.1999999999999993</v>
      </c>
      <c r="FU27">
        <v>9.1999999999999993</v>
      </c>
      <c r="FV27">
        <v>1.77979</v>
      </c>
      <c r="FW27">
        <v>2.5805699999999998</v>
      </c>
      <c r="FX27">
        <v>1.5490699999999999</v>
      </c>
      <c r="FY27">
        <v>2.3290999999999999</v>
      </c>
      <c r="FZ27">
        <v>1.50146</v>
      </c>
      <c r="GA27">
        <v>2.32178</v>
      </c>
      <c r="GB27">
        <v>33.783200000000001</v>
      </c>
      <c r="GC27">
        <v>23.947399999999998</v>
      </c>
      <c r="GD27">
        <v>19</v>
      </c>
      <c r="GE27">
        <v>232.613</v>
      </c>
      <c r="GF27">
        <v>581.20299999999997</v>
      </c>
      <c r="GG27">
        <v>21.3506</v>
      </c>
      <c r="GH27">
        <v>26.364799999999999</v>
      </c>
      <c r="GI27">
        <v>29.998200000000001</v>
      </c>
      <c r="GJ27">
        <v>26.446400000000001</v>
      </c>
      <c r="GK27">
        <v>26.4207</v>
      </c>
      <c r="GL27">
        <v>35.578600000000002</v>
      </c>
      <c r="GM27">
        <v>-30</v>
      </c>
      <c r="GN27">
        <v>-30</v>
      </c>
      <c r="GO27">
        <v>21.3186</v>
      </c>
      <c r="GP27">
        <v>800</v>
      </c>
      <c r="GQ27">
        <v>12.5298</v>
      </c>
      <c r="GR27">
        <v>99.695899999999995</v>
      </c>
      <c r="GS27">
        <v>99.490300000000005</v>
      </c>
    </row>
    <row r="28" spans="1:201" x14ac:dyDescent="0.25">
      <c r="A28">
        <v>12</v>
      </c>
      <c r="B28">
        <v>1690215404.5</v>
      </c>
      <c r="C28">
        <v>459</v>
      </c>
      <c r="D28" t="s">
        <v>357</v>
      </c>
      <c r="E28" t="s">
        <v>358</v>
      </c>
      <c r="F28" t="s">
        <v>330</v>
      </c>
      <c r="H28">
        <v>1690215404.5</v>
      </c>
      <c r="I28">
        <f t="shared" si="0"/>
        <v>3.6200373601771629E-4</v>
      </c>
      <c r="J28">
        <f t="shared" si="1"/>
        <v>0.36200373601771629</v>
      </c>
      <c r="K28">
        <f t="shared" si="2"/>
        <v>0.36059736127854031</v>
      </c>
      <c r="L28">
        <f t="shared" si="3"/>
        <v>792.71</v>
      </c>
      <c r="M28">
        <f t="shared" si="4"/>
        <v>705.75523474936915</v>
      </c>
      <c r="N28">
        <f t="shared" si="5"/>
        <v>69.991440230931772</v>
      </c>
      <c r="O28">
        <f t="shared" si="6"/>
        <v>78.614952966187005</v>
      </c>
      <c r="P28">
        <f t="shared" si="7"/>
        <v>1.165699456475312E-2</v>
      </c>
      <c r="Q28">
        <f t="shared" si="8"/>
        <v>2.0639383829445501</v>
      </c>
      <c r="R28">
        <f t="shared" si="9"/>
        <v>1.162054142275573E-2</v>
      </c>
      <c r="S28">
        <f t="shared" si="10"/>
        <v>7.2661040035402165E-3</v>
      </c>
      <c r="T28">
        <f t="shared" si="11"/>
        <v>276.10834042882448</v>
      </c>
      <c r="U28">
        <f t="shared" si="12"/>
        <v>28.874896216138595</v>
      </c>
      <c r="V28">
        <f t="shared" si="13"/>
        <v>28.874896216138595</v>
      </c>
      <c r="W28">
        <f t="shared" si="14"/>
        <v>3.9927501144875341</v>
      </c>
      <c r="X28">
        <f t="shared" si="15"/>
        <v>27.795868362279474</v>
      </c>
      <c r="Y28">
        <f t="shared" si="16"/>
        <v>0.98079420682906304</v>
      </c>
      <c r="Z28">
        <f t="shared" si="17"/>
        <v>3.5285611301860058</v>
      </c>
      <c r="AA28">
        <f t="shared" si="18"/>
        <v>3.011955907658471</v>
      </c>
      <c r="AB28">
        <f t="shared" si="19"/>
        <v>-15.964364758381288</v>
      </c>
      <c r="AC28">
        <f t="shared" si="20"/>
        <v>-235.57151066685938</v>
      </c>
      <c r="AD28">
        <f t="shared" si="21"/>
        <v>-24.834014410836026</v>
      </c>
      <c r="AE28">
        <f t="shared" si="22"/>
        <v>-0.26154940725223241</v>
      </c>
      <c r="AF28">
        <v>48</v>
      </c>
      <c r="AG28">
        <v>16</v>
      </c>
      <c r="AH28">
        <f t="shared" si="23"/>
        <v>1</v>
      </c>
      <c r="AI28">
        <f t="shared" si="24"/>
        <v>0</v>
      </c>
      <c r="AJ28">
        <f t="shared" si="25"/>
        <v>52422.724575948901</v>
      </c>
      <c r="AK28">
        <f t="shared" si="26"/>
        <v>1799.95</v>
      </c>
      <c r="AL28">
        <f t="shared" si="27"/>
        <v>1499.0691988321998</v>
      </c>
      <c r="AM28">
        <f t="shared" si="28"/>
        <v>0.83283935599999992</v>
      </c>
      <c r="AN28">
        <f t="shared" si="29"/>
        <v>0.15339778351</v>
      </c>
      <c r="AO28">
        <v>33.6</v>
      </c>
      <c r="AP28">
        <v>0.5</v>
      </c>
      <c r="AQ28" t="s">
        <v>331</v>
      </c>
      <c r="AR28">
        <v>2</v>
      </c>
      <c r="AS28">
        <v>1690215404.5</v>
      </c>
      <c r="AT28">
        <v>792.71</v>
      </c>
      <c r="AU28">
        <v>799.95799999999997</v>
      </c>
      <c r="AV28">
        <v>9.8897899999999996</v>
      </c>
      <c r="AW28">
        <v>5.8780400000000004</v>
      </c>
      <c r="AX28">
        <v>793.09400000000005</v>
      </c>
      <c r="AY28">
        <v>9.9187399999999997</v>
      </c>
      <c r="AZ28">
        <v>300.19400000000002</v>
      </c>
      <c r="BA28">
        <v>99.072400000000002</v>
      </c>
      <c r="BB28">
        <v>9.9999699999999997E-2</v>
      </c>
      <c r="BC28">
        <v>26.7578</v>
      </c>
      <c r="BD28">
        <v>26.929500000000001</v>
      </c>
      <c r="BE28">
        <v>28.1568</v>
      </c>
      <c r="BF28">
        <v>0</v>
      </c>
      <c r="BG28">
        <v>0</v>
      </c>
      <c r="BH28">
        <v>9998.75</v>
      </c>
      <c r="BI28">
        <v>1076.4100000000001</v>
      </c>
      <c r="BJ28">
        <v>1.9202600000000001</v>
      </c>
      <c r="BK28">
        <v>-7.2477999999999998</v>
      </c>
      <c r="BL28">
        <v>800.62800000000004</v>
      </c>
      <c r="BM28">
        <v>804.68799999999999</v>
      </c>
      <c r="BN28">
        <v>4.0117500000000001</v>
      </c>
      <c r="BO28">
        <v>799.95799999999997</v>
      </c>
      <c r="BP28">
        <v>5.8780400000000004</v>
      </c>
      <c r="BQ28">
        <v>0.97980500000000004</v>
      </c>
      <c r="BR28">
        <v>0.58235199999999998</v>
      </c>
      <c r="BS28">
        <v>6.6194899999999999</v>
      </c>
      <c r="BT28">
        <v>-0.71861200000000003</v>
      </c>
      <c r="BU28">
        <v>1799.95</v>
      </c>
      <c r="BV28">
        <v>0.90998599999999996</v>
      </c>
      <c r="BW28">
        <v>3.40016E-2</v>
      </c>
      <c r="BX28">
        <v>2.20033E-2</v>
      </c>
      <c r="BY28">
        <v>3.4009499999999998E-2</v>
      </c>
      <c r="BZ28">
        <v>26</v>
      </c>
      <c r="CA28">
        <v>33527.4</v>
      </c>
      <c r="CB28">
        <v>1690214843</v>
      </c>
      <c r="CC28" t="s">
        <v>332</v>
      </c>
      <c r="CD28">
        <v>1690214842</v>
      </c>
      <c r="CE28">
        <v>1690214843</v>
      </c>
      <c r="CF28">
        <v>8</v>
      </c>
      <c r="CG28">
        <v>-6.3E-2</v>
      </c>
      <c r="CH28">
        <v>1E-3</v>
      </c>
      <c r="CI28">
        <v>-0.38900000000000001</v>
      </c>
      <c r="CJ28">
        <v>-6.6000000000000003E-2</v>
      </c>
      <c r="CK28">
        <v>800</v>
      </c>
      <c r="CL28">
        <v>6</v>
      </c>
      <c r="CM28">
        <v>0.23</v>
      </c>
      <c r="CN28">
        <v>0.02</v>
      </c>
      <c r="CO28">
        <v>-4.0889026829268298</v>
      </c>
      <c r="CP28">
        <v>-17.86455867595819</v>
      </c>
      <c r="CQ28">
        <v>1.762579798221255</v>
      </c>
      <c r="CR28">
        <v>-1</v>
      </c>
      <c r="CS28">
        <v>4.0213160975609759</v>
      </c>
      <c r="CT28">
        <v>-4.0561672473868958E-2</v>
      </c>
      <c r="CU28">
        <v>4.2841340178809686E-3</v>
      </c>
      <c r="CV28">
        <v>-1</v>
      </c>
      <c r="CW28">
        <v>0</v>
      </c>
      <c r="CX28">
        <v>0</v>
      </c>
      <c r="CY28" t="s">
        <v>333</v>
      </c>
      <c r="CZ28">
        <v>2.3644500000000002</v>
      </c>
      <c r="DA28">
        <v>2.7137899999999999</v>
      </c>
      <c r="DB28">
        <v>0.145592</v>
      </c>
      <c r="DC28">
        <v>0.14604500000000001</v>
      </c>
      <c r="DD28">
        <v>5.9695199999999997E-2</v>
      </c>
      <c r="DE28">
        <v>3.8784100000000002E-2</v>
      </c>
      <c r="DF28">
        <v>31185.3</v>
      </c>
      <c r="DG28">
        <v>27502.1</v>
      </c>
      <c r="DH28">
        <v>31160.400000000001</v>
      </c>
      <c r="DI28">
        <v>28063.4</v>
      </c>
      <c r="DJ28">
        <v>39797</v>
      </c>
      <c r="DK28">
        <v>38356.1</v>
      </c>
      <c r="DL28">
        <v>44342.8</v>
      </c>
      <c r="DM28">
        <v>42529.1</v>
      </c>
      <c r="DN28">
        <v>1.3498000000000001</v>
      </c>
      <c r="DO28">
        <v>2.0330300000000001</v>
      </c>
      <c r="DP28">
        <v>6.2212299999999998E-2</v>
      </c>
      <c r="DQ28">
        <v>0.14610600000000001</v>
      </c>
      <c r="DR28">
        <v>25.911200000000001</v>
      </c>
      <c r="DS28">
        <v>25.767299999999999</v>
      </c>
      <c r="DT28">
        <v>17.399999999999999</v>
      </c>
      <c r="DU28">
        <v>29.7</v>
      </c>
      <c r="DV28">
        <v>7.3545199999999999</v>
      </c>
      <c r="DW28">
        <v>61.831200000000003</v>
      </c>
      <c r="DX28">
        <v>36.406199999999998</v>
      </c>
      <c r="DY28">
        <v>1</v>
      </c>
      <c r="DZ28">
        <v>-7.4801800000000002E-2</v>
      </c>
      <c r="EA28">
        <v>2.6331199999999999</v>
      </c>
      <c r="EB28">
        <v>20.1188</v>
      </c>
      <c r="EC28">
        <v>5.2408000000000001</v>
      </c>
      <c r="ED28">
        <v>12.039899999999999</v>
      </c>
      <c r="EE28">
        <v>5.0170500000000002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1.8646199999999999</v>
      </c>
      <c r="EM28">
        <v>1.8691800000000001</v>
      </c>
      <c r="EN28">
        <v>1.86724</v>
      </c>
      <c r="EO28">
        <v>1.8633999999999999</v>
      </c>
      <c r="EP28">
        <v>1.8645400000000001</v>
      </c>
      <c r="EQ28">
        <v>1.8701399999999999</v>
      </c>
      <c r="ER28">
        <v>1.8694200000000001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-0.38400000000000001</v>
      </c>
      <c r="FG28">
        <v>-2.9000000000000001E-2</v>
      </c>
      <c r="FH28">
        <v>0.16202357103534001</v>
      </c>
      <c r="FI28">
        <v>-6.1462078757559423E-4</v>
      </c>
      <c r="FJ28">
        <v>-1.8861989874597051E-7</v>
      </c>
      <c r="FK28">
        <v>1.1980462299894961E-10</v>
      </c>
      <c r="FL28">
        <v>-3.0039189969545878E-2</v>
      </c>
      <c r="FM28">
        <v>-1.6848085045870601E-2</v>
      </c>
      <c r="FN28">
        <v>1.9789084769509481E-3</v>
      </c>
      <c r="FO28">
        <v>-2.7142391389806329E-5</v>
      </c>
      <c r="FP28">
        <v>3</v>
      </c>
      <c r="FQ28">
        <v>2158</v>
      </c>
      <c r="FR28">
        <v>1</v>
      </c>
      <c r="FS28">
        <v>19</v>
      </c>
      <c r="FT28">
        <v>9.4</v>
      </c>
      <c r="FU28">
        <v>9.4</v>
      </c>
      <c r="FV28">
        <v>1.77979</v>
      </c>
      <c r="FW28">
        <v>2.5781200000000002</v>
      </c>
      <c r="FX28">
        <v>1.5490699999999999</v>
      </c>
      <c r="FY28">
        <v>2.3290999999999999</v>
      </c>
      <c r="FZ28">
        <v>1.50146</v>
      </c>
      <c r="GA28">
        <v>2.3584000000000001</v>
      </c>
      <c r="GB28">
        <v>33.783200000000001</v>
      </c>
      <c r="GC28">
        <v>23.912400000000002</v>
      </c>
      <c r="GD28">
        <v>19</v>
      </c>
      <c r="GE28">
        <v>232.93</v>
      </c>
      <c r="GF28">
        <v>581.33199999999999</v>
      </c>
      <c r="GG28">
        <v>21.051400000000001</v>
      </c>
      <c r="GH28">
        <v>26.3733</v>
      </c>
      <c r="GI28">
        <v>29.997199999999999</v>
      </c>
      <c r="GJ28">
        <v>26.4498</v>
      </c>
      <c r="GK28">
        <v>26.421199999999999</v>
      </c>
      <c r="GL28">
        <v>35.580800000000004</v>
      </c>
      <c r="GM28">
        <v>-30</v>
      </c>
      <c r="GN28">
        <v>-30</v>
      </c>
      <c r="GO28">
        <v>24.8445</v>
      </c>
      <c r="GP28">
        <v>800</v>
      </c>
      <c r="GQ28">
        <v>12.5298</v>
      </c>
      <c r="GR28">
        <v>99.6982</v>
      </c>
      <c r="GS28">
        <v>99.4953</v>
      </c>
    </row>
    <row r="29" spans="1:201" x14ac:dyDescent="0.25">
      <c r="A29">
        <v>13</v>
      </c>
      <c r="B29">
        <v>1690215414.5</v>
      </c>
      <c r="C29">
        <v>469</v>
      </c>
      <c r="D29" t="s">
        <v>359</v>
      </c>
      <c r="E29" t="s">
        <v>360</v>
      </c>
      <c r="F29" t="s">
        <v>330</v>
      </c>
      <c r="H29">
        <v>1690215414.5</v>
      </c>
      <c r="I29">
        <f t="shared" si="0"/>
        <v>3.6448081170851993E-4</v>
      </c>
      <c r="J29">
        <f t="shared" si="1"/>
        <v>0.36448081170851993</v>
      </c>
      <c r="K29">
        <f t="shared" si="2"/>
        <v>0.54779817733035163</v>
      </c>
      <c r="L29">
        <f t="shared" si="3"/>
        <v>790.63699999999994</v>
      </c>
      <c r="M29">
        <f t="shared" si="4"/>
        <v>678.97581373093419</v>
      </c>
      <c r="N29">
        <f t="shared" si="5"/>
        <v>67.332271542387559</v>
      </c>
      <c r="O29">
        <f t="shared" si="6"/>
        <v>78.405421958896</v>
      </c>
      <c r="P29">
        <f t="shared" si="7"/>
        <v>1.1718646467689844E-2</v>
      </c>
      <c r="Q29">
        <f t="shared" si="8"/>
        <v>2.0636773943304019</v>
      </c>
      <c r="R29">
        <f t="shared" si="9"/>
        <v>1.1681802731499798E-2</v>
      </c>
      <c r="S29">
        <f t="shared" si="10"/>
        <v>7.3044272607665772E-3</v>
      </c>
      <c r="T29">
        <f t="shared" si="11"/>
        <v>276.11011812999925</v>
      </c>
      <c r="U29">
        <f t="shared" si="12"/>
        <v>28.905501392447903</v>
      </c>
      <c r="V29">
        <f t="shared" si="13"/>
        <v>28.905501392447903</v>
      </c>
      <c r="W29">
        <f t="shared" si="14"/>
        <v>3.9998332399944503</v>
      </c>
      <c r="X29">
        <f t="shared" si="15"/>
        <v>27.820675324487581</v>
      </c>
      <c r="Y29">
        <f t="shared" si="16"/>
        <v>0.98347888540288009</v>
      </c>
      <c r="Z29">
        <f t="shared" si="17"/>
        <v>3.5350647456685866</v>
      </c>
      <c r="AA29">
        <f t="shared" si="18"/>
        <v>3.0163543545915701</v>
      </c>
      <c r="AB29">
        <f t="shared" si="19"/>
        <v>-16.073603796345729</v>
      </c>
      <c r="AC29">
        <f t="shared" si="20"/>
        <v>-235.46441825534117</v>
      </c>
      <c r="AD29">
        <f t="shared" si="21"/>
        <v>-24.833527890409325</v>
      </c>
      <c r="AE29">
        <f t="shared" si="22"/>
        <v>-0.26143181209698696</v>
      </c>
      <c r="AF29">
        <v>46</v>
      </c>
      <c r="AG29">
        <v>15</v>
      </c>
      <c r="AH29">
        <f t="shared" si="23"/>
        <v>1</v>
      </c>
      <c r="AI29">
        <f t="shared" si="24"/>
        <v>0</v>
      </c>
      <c r="AJ29">
        <f t="shared" si="25"/>
        <v>52405.20324629471</v>
      </c>
      <c r="AK29">
        <f t="shared" si="26"/>
        <v>1799.97</v>
      </c>
      <c r="AL29">
        <f t="shared" si="27"/>
        <v>1499.0866980052799</v>
      </c>
      <c r="AM29">
        <f t="shared" si="28"/>
        <v>0.8328398239999999</v>
      </c>
      <c r="AN29">
        <f t="shared" si="29"/>
        <v>0.15339706668999997</v>
      </c>
      <c r="AO29">
        <v>33.6</v>
      </c>
      <c r="AP29">
        <v>0.5</v>
      </c>
      <c r="AQ29" t="s">
        <v>331</v>
      </c>
      <c r="AR29">
        <v>2</v>
      </c>
      <c r="AS29">
        <v>1690215414.5</v>
      </c>
      <c r="AT29">
        <v>790.63699999999994</v>
      </c>
      <c r="AU29">
        <v>799.995</v>
      </c>
      <c r="AV29">
        <v>9.9173600000000004</v>
      </c>
      <c r="AW29">
        <v>5.8777600000000003</v>
      </c>
      <c r="AX29">
        <v>791.02</v>
      </c>
      <c r="AY29">
        <v>9.9459199999999992</v>
      </c>
      <c r="AZ29">
        <v>300.15600000000001</v>
      </c>
      <c r="BA29">
        <v>99.067400000000006</v>
      </c>
      <c r="BB29">
        <v>0.100008</v>
      </c>
      <c r="BC29">
        <v>26.789100000000001</v>
      </c>
      <c r="BD29">
        <v>26.942</v>
      </c>
      <c r="BE29">
        <v>28.084299999999999</v>
      </c>
      <c r="BF29">
        <v>0</v>
      </c>
      <c r="BG29">
        <v>0</v>
      </c>
      <c r="BH29">
        <v>9996.8799999999992</v>
      </c>
      <c r="BI29">
        <v>1075.99</v>
      </c>
      <c r="BJ29">
        <v>1.96231</v>
      </c>
      <c r="BK29">
        <v>-9.3582800000000006</v>
      </c>
      <c r="BL29">
        <v>798.55600000000004</v>
      </c>
      <c r="BM29">
        <v>804.72500000000002</v>
      </c>
      <c r="BN29">
        <v>4.0396000000000001</v>
      </c>
      <c r="BO29">
        <v>799.995</v>
      </c>
      <c r="BP29">
        <v>5.8777600000000003</v>
      </c>
      <c r="BQ29">
        <v>0.982487</v>
      </c>
      <c r="BR29">
        <v>0.58229399999999998</v>
      </c>
      <c r="BS29">
        <v>6.65923</v>
      </c>
      <c r="BT29">
        <v>-0.71996700000000002</v>
      </c>
      <c r="BU29">
        <v>1799.97</v>
      </c>
      <c r="BV29">
        <v>0.91000499999999995</v>
      </c>
      <c r="BW29">
        <v>3.4004300000000001E-2</v>
      </c>
      <c r="BX29">
        <v>2.1994699999999999E-2</v>
      </c>
      <c r="BY29">
        <v>3.39963E-2</v>
      </c>
      <c r="BZ29">
        <v>26</v>
      </c>
      <c r="CA29">
        <v>33527.9</v>
      </c>
      <c r="CB29">
        <v>1690214843</v>
      </c>
      <c r="CC29" t="s">
        <v>332</v>
      </c>
      <c r="CD29">
        <v>1690214842</v>
      </c>
      <c r="CE29">
        <v>1690214843</v>
      </c>
      <c r="CF29">
        <v>8</v>
      </c>
      <c r="CG29">
        <v>-6.3E-2</v>
      </c>
      <c r="CH29">
        <v>1E-3</v>
      </c>
      <c r="CI29">
        <v>-0.38900000000000001</v>
      </c>
      <c r="CJ29">
        <v>-6.6000000000000003E-2</v>
      </c>
      <c r="CK29">
        <v>800</v>
      </c>
      <c r="CL29">
        <v>6</v>
      </c>
      <c r="CM29">
        <v>0.23</v>
      </c>
      <c r="CN29">
        <v>0.02</v>
      </c>
      <c r="CO29">
        <v>-6.8168810000000004</v>
      </c>
      <c r="CP29">
        <v>-15.47970529080674</v>
      </c>
      <c r="CQ29">
        <v>1.491390727723289</v>
      </c>
      <c r="CR29">
        <v>-1</v>
      </c>
      <c r="CS29">
        <v>4.0156899999999993</v>
      </c>
      <c r="CT29">
        <v>-1.6578686679171391E-2</v>
      </c>
      <c r="CU29">
        <v>4.8883315149445203E-3</v>
      </c>
      <c r="CV29">
        <v>-1</v>
      </c>
      <c r="CW29">
        <v>0</v>
      </c>
      <c r="CX29">
        <v>0</v>
      </c>
      <c r="CY29" t="s">
        <v>333</v>
      </c>
      <c r="CZ29">
        <v>2.3643100000000001</v>
      </c>
      <c r="DA29">
        <v>2.7138</v>
      </c>
      <c r="DB29">
        <v>0.14532900000000001</v>
      </c>
      <c r="DC29">
        <v>0.14604200000000001</v>
      </c>
      <c r="DD29">
        <v>5.98186E-2</v>
      </c>
      <c r="DE29">
        <v>3.87804E-2</v>
      </c>
      <c r="DF29">
        <v>31194.9</v>
      </c>
      <c r="DG29">
        <v>27501.9</v>
      </c>
      <c r="DH29">
        <v>31160.5</v>
      </c>
      <c r="DI29">
        <v>28063.1</v>
      </c>
      <c r="DJ29">
        <v>39791.699999999997</v>
      </c>
      <c r="DK29">
        <v>38355.800000000003</v>
      </c>
      <c r="DL29">
        <v>44342.8</v>
      </c>
      <c r="DM29">
        <v>42528.7</v>
      </c>
      <c r="DN29">
        <v>1.35497</v>
      </c>
      <c r="DO29">
        <v>2.0326499999999998</v>
      </c>
      <c r="DP29">
        <v>6.3777E-2</v>
      </c>
      <c r="DQ29">
        <v>0.14504</v>
      </c>
      <c r="DR29">
        <v>25.898099999999999</v>
      </c>
      <c r="DS29">
        <v>25.7119</v>
      </c>
      <c r="DT29">
        <v>17.399999999999999</v>
      </c>
      <c r="DU29">
        <v>29.7</v>
      </c>
      <c r="DV29">
        <v>7.3555799999999998</v>
      </c>
      <c r="DW29">
        <v>62.061199999999999</v>
      </c>
      <c r="DX29">
        <v>36.302100000000003</v>
      </c>
      <c r="DY29">
        <v>1</v>
      </c>
      <c r="DZ29">
        <v>-6.9311499999999998E-2</v>
      </c>
      <c r="EA29">
        <v>-6.1620600000000003</v>
      </c>
      <c r="EB29">
        <v>20.028400000000001</v>
      </c>
      <c r="EC29">
        <v>5.2408000000000001</v>
      </c>
      <c r="ED29">
        <v>12.039899999999999</v>
      </c>
      <c r="EE29">
        <v>5.0169499999999996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1.8691599999999999</v>
      </c>
      <c r="EN29">
        <v>1.8672299999999999</v>
      </c>
      <c r="EO29">
        <v>1.8633999999999999</v>
      </c>
      <c r="EP29">
        <v>1.8645400000000001</v>
      </c>
      <c r="EQ29">
        <v>1.87012</v>
      </c>
      <c r="ER29">
        <v>1.8694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-0.38300000000000001</v>
      </c>
      <c r="FG29">
        <v>-2.86E-2</v>
      </c>
      <c r="FH29">
        <v>0.16202357103534001</v>
      </c>
      <c r="FI29">
        <v>-6.1462078757559423E-4</v>
      </c>
      <c r="FJ29">
        <v>-1.8861989874597051E-7</v>
      </c>
      <c r="FK29">
        <v>1.1980462299894961E-10</v>
      </c>
      <c r="FL29">
        <v>-3.0039189969545878E-2</v>
      </c>
      <c r="FM29">
        <v>-1.6848085045870601E-2</v>
      </c>
      <c r="FN29">
        <v>1.9789084769509481E-3</v>
      </c>
      <c r="FO29">
        <v>-2.7142391389806329E-5</v>
      </c>
      <c r="FP29">
        <v>3</v>
      </c>
      <c r="FQ29">
        <v>2158</v>
      </c>
      <c r="FR29">
        <v>1</v>
      </c>
      <c r="FS29">
        <v>19</v>
      </c>
      <c r="FT29">
        <v>9.5</v>
      </c>
      <c r="FU29">
        <v>9.5</v>
      </c>
      <c r="FV29">
        <v>1.77979</v>
      </c>
      <c r="FW29">
        <v>2.5781200000000002</v>
      </c>
      <c r="FX29">
        <v>1.5490699999999999</v>
      </c>
      <c r="FY29">
        <v>2.3290999999999999</v>
      </c>
      <c r="FZ29">
        <v>1.50146</v>
      </c>
      <c r="GA29">
        <v>2.3877000000000002</v>
      </c>
      <c r="GB29">
        <v>33.783200000000001</v>
      </c>
      <c r="GC29">
        <v>23.956199999999999</v>
      </c>
      <c r="GD29">
        <v>19</v>
      </c>
      <c r="GE29">
        <v>234.869</v>
      </c>
      <c r="GF29">
        <v>581.04200000000003</v>
      </c>
      <c r="GG29">
        <v>25.153500000000001</v>
      </c>
      <c r="GH29">
        <v>26.383299999999998</v>
      </c>
      <c r="GI29">
        <v>30.0015</v>
      </c>
      <c r="GJ29">
        <v>26.453099999999999</v>
      </c>
      <c r="GK29">
        <v>26.422799999999999</v>
      </c>
      <c r="GL29">
        <v>35.580599999999997</v>
      </c>
      <c r="GM29">
        <v>-30</v>
      </c>
      <c r="GN29">
        <v>-30</v>
      </c>
      <c r="GO29">
        <v>24.9922</v>
      </c>
      <c r="GP29">
        <v>800</v>
      </c>
      <c r="GQ29">
        <v>12.5298</v>
      </c>
      <c r="GR29">
        <v>99.6982</v>
      </c>
      <c r="GS29">
        <v>99.494200000000006</v>
      </c>
    </row>
    <row r="30" spans="1:201" x14ac:dyDescent="0.25">
      <c r="A30">
        <v>14</v>
      </c>
      <c r="B30">
        <v>1690215424.5</v>
      </c>
      <c r="C30">
        <v>479</v>
      </c>
      <c r="D30" t="s">
        <v>361</v>
      </c>
      <c r="E30" t="s">
        <v>362</v>
      </c>
      <c r="F30" t="s">
        <v>330</v>
      </c>
      <c r="H30">
        <v>1690215424.5</v>
      </c>
      <c r="I30">
        <f t="shared" si="0"/>
        <v>3.7004290353096121E-4</v>
      </c>
      <c r="J30">
        <f t="shared" si="1"/>
        <v>0.3700429035309612</v>
      </c>
      <c r="K30">
        <f t="shared" si="2"/>
        <v>0.70607468851960964</v>
      </c>
      <c r="L30">
        <f t="shared" si="3"/>
        <v>788.77800000000002</v>
      </c>
      <c r="M30">
        <f t="shared" si="4"/>
        <v>655.1578733572353</v>
      </c>
      <c r="N30">
        <f t="shared" si="5"/>
        <v>64.973669746677473</v>
      </c>
      <c r="O30">
        <f t="shared" si="6"/>
        <v>78.225116967342004</v>
      </c>
      <c r="P30">
        <f t="shared" si="7"/>
        <v>1.1685074910037551E-2</v>
      </c>
      <c r="Q30">
        <f t="shared" si="8"/>
        <v>2.0667559961801638</v>
      </c>
      <c r="R30">
        <f t="shared" si="9"/>
        <v>1.1648495998836064E-2</v>
      </c>
      <c r="S30">
        <f t="shared" si="10"/>
        <v>7.2835868706095184E-3</v>
      </c>
      <c r="T30">
        <f t="shared" si="11"/>
        <v>276.11331333820783</v>
      </c>
      <c r="U30">
        <f t="shared" si="12"/>
        <v>29.162355468227631</v>
      </c>
      <c r="V30">
        <f t="shared" si="13"/>
        <v>29.162355468227631</v>
      </c>
      <c r="W30">
        <f t="shared" si="14"/>
        <v>4.059711556010023</v>
      </c>
      <c r="X30">
        <f t="shared" si="15"/>
        <v>27.561698503655379</v>
      </c>
      <c r="Y30">
        <f t="shared" si="16"/>
        <v>0.98945334713151012</v>
      </c>
      <c r="Z30">
        <f t="shared" si="17"/>
        <v>3.5899578068466407</v>
      </c>
      <c r="AA30">
        <f t="shared" si="18"/>
        <v>3.0702582088785126</v>
      </c>
      <c r="AB30">
        <f t="shared" si="19"/>
        <v>-16.318892045715391</v>
      </c>
      <c r="AC30">
        <f t="shared" si="20"/>
        <v>-235.22002633417625</v>
      </c>
      <c r="AD30">
        <f t="shared" si="21"/>
        <v>-24.834958745309553</v>
      </c>
      <c r="AE30">
        <f t="shared" si="22"/>
        <v>-0.26056378699337301</v>
      </c>
      <c r="AF30">
        <v>47</v>
      </c>
      <c r="AG30">
        <v>16</v>
      </c>
      <c r="AH30">
        <f t="shared" si="23"/>
        <v>1</v>
      </c>
      <c r="AI30">
        <f t="shared" si="24"/>
        <v>0</v>
      </c>
      <c r="AJ30">
        <f t="shared" si="25"/>
        <v>52500.366569470563</v>
      </c>
      <c r="AK30">
        <f t="shared" si="26"/>
        <v>1799.98</v>
      </c>
      <c r="AL30">
        <f t="shared" si="27"/>
        <v>1499.0974509765797</v>
      </c>
      <c r="AM30">
        <f t="shared" si="28"/>
        <v>0.83284117099999988</v>
      </c>
      <c r="AN30">
        <f t="shared" si="29"/>
        <v>0.15339798961000001</v>
      </c>
      <c r="AO30">
        <v>33.6</v>
      </c>
      <c r="AP30">
        <v>0.5</v>
      </c>
      <c r="AQ30" t="s">
        <v>331</v>
      </c>
      <c r="AR30">
        <v>2</v>
      </c>
      <c r="AS30">
        <v>1690215424.5</v>
      </c>
      <c r="AT30">
        <v>788.77800000000002</v>
      </c>
      <c r="AU30">
        <v>799.94799999999998</v>
      </c>
      <c r="AV30">
        <v>9.9770900000000005</v>
      </c>
      <c r="AW30">
        <v>5.8765700000000001</v>
      </c>
      <c r="AX30">
        <v>789.15899999999999</v>
      </c>
      <c r="AY30">
        <v>10.004799999999999</v>
      </c>
      <c r="AZ30">
        <v>300.19099999999997</v>
      </c>
      <c r="BA30">
        <v>99.072599999999994</v>
      </c>
      <c r="BB30">
        <v>9.9939E-2</v>
      </c>
      <c r="BC30">
        <v>27.051300000000001</v>
      </c>
      <c r="BD30">
        <v>27.221699999999998</v>
      </c>
      <c r="BE30">
        <v>28.3432</v>
      </c>
      <c r="BF30">
        <v>0</v>
      </c>
      <c r="BG30">
        <v>0</v>
      </c>
      <c r="BH30">
        <v>10024.4</v>
      </c>
      <c r="BI30">
        <v>1076.51</v>
      </c>
      <c r="BJ30">
        <v>1.90625</v>
      </c>
      <c r="BK30">
        <v>-11.1708</v>
      </c>
      <c r="BL30">
        <v>796.72699999999998</v>
      </c>
      <c r="BM30">
        <v>804.67700000000002</v>
      </c>
      <c r="BN30">
        <v>4.1005200000000004</v>
      </c>
      <c r="BO30">
        <v>799.94799999999998</v>
      </c>
      <c r="BP30">
        <v>5.8765700000000001</v>
      </c>
      <c r="BQ30">
        <v>0.988456</v>
      </c>
      <c r="BR30">
        <v>0.58220700000000003</v>
      </c>
      <c r="BS30">
        <v>6.7473200000000002</v>
      </c>
      <c r="BT30">
        <v>-0.72201400000000004</v>
      </c>
      <c r="BU30">
        <v>1799.98</v>
      </c>
      <c r="BV30">
        <v>0.91000300000000001</v>
      </c>
      <c r="BW30">
        <v>3.3999500000000002E-2</v>
      </c>
      <c r="BX30">
        <v>2.20098E-2</v>
      </c>
      <c r="BY30">
        <v>3.3987299999999998E-2</v>
      </c>
      <c r="BZ30">
        <v>26</v>
      </c>
      <c r="CA30">
        <v>33527.800000000003</v>
      </c>
      <c r="CB30">
        <v>1690214843</v>
      </c>
      <c r="CC30" t="s">
        <v>332</v>
      </c>
      <c r="CD30">
        <v>1690214842</v>
      </c>
      <c r="CE30">
        <v>1690214843</v>
      </c>
      <c r="CF30">
        <v>8</v>
      </c>
      <c r="CG30">
        <v>-6.3E-2</v>
      </c>
      <c r="CH30">
        <v>1E-3</v>
      </c>
      <c r="CI30">
        <v>-0.38900000000000001</v>
      </c>
      <c r="CJ30">
        <v>-6.6000000000000003E-2</v>
      </c>
      <c r="CK30">
        <v>800</v>
      </c>
      <c r="CL30">
        <v>6</v>
      </c>
      <c r="CM30">
        <v>0.23</v>
      </c>
      <c r="CN30">
        <v>0.02</v>
      </c>
      <c r="CO30">
        <v>-9.1500929268292666</v>
      </c>
      <c r="CP30">
        <v>-11.940630940766569</v>
      </c>
      <c r="CQ30">
        <v>1.1793953750477899</v>
      </c>
      <c r="CR30">
        <v>-1</v>
      </c>
      <c r="CS30">
        <v>4.0406734146341474</v>
      </c>
      <c r="CT30">
        <v>0.29518327526132848</v>
      </c>
      <c r="CU30">
        <v>3.040518806899584E-2</v>
      </c>
      <c r="CV30">
        <v>-1</v>
      </c>
      <c r="CW30">
        <v>0</v>
      </c>
      <c r="CX30">
        <v>0</v>
      </c>
      <c r="CY30" t="s">
        <v>333</v>
      </c>
      <c r="CZ30">
        <v>2.3643999999999998</v>
      </c>
      <c r="DA30">
        <v>2.7137500000000001</v>
      </c>
      <c r="DB30">
        <v>0.14510799999999999</v>
      </c>
      <c r="DC30">
        <v>0.14604200000000001</v>
      </c>
      <c r="DD30">
        <v>6.00954E-2</v>
      </c>
      <c r="DE30">
        <v>3.8775700000000003E-2</v>
      </c>
      <c r="DF30">
        <v>31203.4</v>
      </c>
      <c r="DG30">
        <v>27502</v>
      </c>
      <c r="DH30">
        <v>31160.9</v>
      </c>
      <c r="DI30">
        <v>28063.3</v>
      </c>
      <c r="DJ30">
        <v>39780</v>
      </c>
      <c r="DK30">
        <v>38356.199999999997</v>
      </c>
      <c r="DL30">
        <v>44342.8</v>
      </c>
      <c r="DM30">
        <v>42528.9</v>
      </c>
      <c r="DN30">
        <v>1.35223</v>
      </c>
      <c r="DO30">
        <v>2.0326</v>
      </c>
      <c r="DP30">
        <v>8.1911700000000004E-2</v>
      </c>
      <c r="DQ30">
        <v>0.16348099999999999</v>
      </c>
      <c r="DR30">
        <v>25.8811</v>
      </c>
      <c r="DS30">
        <v>25.669599999999999</v>
      </c>
      <c r="DT30">
        <v>17.399999999999999</v>
      </c>
      <c r="DU30">
        <v>29.7</v>
      </c>
      <c r="DV30">
        <v>7.3545699999999998</v>
      </c>
      <c r="DW30">
        <v>61.841200000000001</v>
      </c>
      <c r="DX30">
        <v>36.286099999999998</v>
      </c>
      <c r="DY30">
        <v>1</v>
      </c>
      <c r="DZ30">
        <v>-8.1783499999999995E-2</v>
      </c>
      <c r="EA30">
        <v>-0.19703399999999999</v>
      </c>
      <c r="EB30">
        <v>20.186299999999999</v>
      </c>
      <c r="EC30">
        <v>5.2411000000000003</v>
      </c>
      <c r="ED30">
        <v>12.039899999999999</v>
      </c>
      <c r="EE30">
        <v>5.01715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1.8646199999999999</v>
      </c>
      <c r="EM30">
        <v>1.8691899999999999</v>
      </c>
      <c r="EN30">
        <v>1.8672500000000001</v>
      </c>
      <c r="EO30">
        <v>1.8633999999999999</v>
      </c>
      <c r="EP30">
        <v>1.8645799999999999</v>
      </c>
      <c r="EQ30">
        <v>1.8701399999999999</v>
      </c>
      <c r="ER30">
        <v>1.86937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-0.38100000000000001</v>
      </c>
      <c r="FG30">
        <v>-2.7699999999999999E-2</v>
      </c>
      <c r="FH30">
        <v>0.16202357103534001</v>
      </c>
      <c r="FI30">
        <v>-6.1462078757559423E-4</v>
      </c>
      <c r="FJ30">
        <v>-1.8861989874597051E-7</v>
      </c>
      <c r="FK30">
        <v>1.1980462299894961E-10</v>
      </c>
      <c r="FL30">
        <v>-3.0039189969545878E-2</v>
      </c>
      <c r="FM30">
        <v>-1.6848085045870601E-2</v>
      </c>
      <c r="FN30">
        <v>1.9789084769509481E-3</v>
      </c>
      <c r="FO30">
        <v>-2.7142391389806329E-5</v>
      </c>
      <c r="FP30">
        <v>3</v>
      </c>
      <c r="FQ30">
        <v>2158</v>
      </c>
      <c r="FR30">
        <v>1</v>
      </c>
      <c r="FS30">
        <v>19</v>
      </c>
      <c r="FT30">
        <v>9.6999999999999993</v>
      </c>
      <c r="FU30">
        <v>9.6999999999999993</v>
      </c>
      <c r="FV30">
        <v>1.77979</v>
      </c>
      <c r="FW30">
        <v>2.5793499999999998</v>
      </c>
      <c r="FX30">
        <v>1.5490699999999999</v>
      </c>
      <c r="FY30">
        <v>2.3290999999999999</v>
      </c>
      <c r="FZ30">
        <v>1.50146</v>
      </c>
      <c r="GA30">
        <v>2.3889200000000002</v>
      </c>
      <c r="GB30">
        <v>33.805700000000002</v>
      </c>
      <c r="GC30">
        <v>23.991199999999999</v>
      </c>
      <c r="GD30">
        <v>19</v>
      </c>
      <c r="GE30">
        <v>233.86</v>
      </c>
      <c r="GF30">
        <v>581.03700000000003</v>
      </c>
      <c r="GG30">
        <v>25.860700000000001</v>
      </c>
      <c r="GH30">
        <v>26.394400000000001</v>
      </c>
      <c r="GI30">
        <v>29.995799999999999</v>
      </c>
      <c r="GJ30">
        <v>26.458100000000002</v>
      </c>
      <c r="GK30">
        <v>26.426100000000002</v>
      </c>
      <c r="GL30">
        <v>35.582999999999998</v>
      </c>
      <c r="GM30">
        <v>-30</v>
      </c>
      <c r="GN30">
        <v>-30</v>
      </c>
      <c r="GO30">
        <v>25.243400000000001</v>
      </c>
      <c r="GP30">
        <v>800</v>
      </c>
      <c r="GQ30">
        <v>12.5298</v>
      </c>
      <c r="GR30">
        <v>99.698800000000006</v>
      </c>
      <c r="GS30">
        <v>99.494799999999998</v>
      </c>
    </row>
    <row r="31" spans="1:201" x14ac:dyDescent="0.25">
      <c r="A31">
        <v>15</v>
      </c>
      <c r="B31">
        <v>1690215434.5</v>
      </c>
      <c r="C31">
        <v>489</v>
      </c>
      <c r="D31" t="s">
        <v>363</v>
      </c>
      <c r="E31" t="s">
        <v>364</v>
      </c>
      <c r="F31" t="s">
        <v>330</v>
      </c>
      <c r="H31">
        <v>1690215434.5</v>
      </c>
      <c r="I31">
        <f t="shared" si="0"/>
        <v>3.7361344045771974E-4</v>
      </c>
      <c r="J31">
        <f t="shared" si="1"/>
        <v>0.37361344045771971</v>
      </c>
      <c r="K31">
        <f t="shared" si="2"/>
        <v>0.85184320292082516</v>
      </c>
      <c r="L31">
        <f t="shared" si="3"/>
        <v>787.16800000000001</v>
      </c>
      <c r="M31">
        <f t="shared" si="4"/>
        <v>634.36753534820423</v>
      </c>
      <c r="N31">
        <f t="shared" si="5"/>
        <v>62.910222834610344</v>
      </c>
      <c r="O31">
        <f t="shared" si="6"/>
        <v>78.063443554204781</v>
      </c>
      <c r="P31">
        <f t="shared" si="7"/>
        <v>1.1732063841474218E-2</v>
      </c>
      <c r="Q31">
        <f t="shared" si="8"/>
        <v>2.0645325227858149</v>
      </c>
      <c r="R31">
        <f t="shared" si="9"/>
        <v>1.1695151074951919E-2</v>
      </c>
      <c r="S31">
        <f t="shared" si="10"/>
        <v>7.312776152313006E-3</v>
      </c>
      <c r="T31">
        <f t="shared" si="11"/>
        <v>276.11127588870301</v>
      </c>
      <c r="U31">
        <f t="shared" si="12"/>
        <v>29.250042283049197</v>
      </c>
      <c r="V31">
        <f t="shared" si="13"/>
        <v>29.250042283049197</v>
      </c>
      <c r="W31">
        <f t="shared" si="14"/>
        <v>4.0803314564497448</v>
      </c>
      <c r="X31">
        <f t="shared" si="15"/>
        <v>27.527396692302059</v>
      </c>
      <c r="Y31">
        <f t="shared" si="16"/>
        <v>0.99328663085759994</v>
      </c>
      <c r="Z31">
        <f t="shared" si="17"/>
        <v>3.6083565836625922</v>
      </c>
      <c r="AA31">
        <f t="shared" si="18"/>
        <v>3.087044825592145</v>
      </c>
      <c r="AB31">
        <f t="shared" si="19"/>
        <v>-16.476352724185439</v>
      </c>
      <c r="AC31">
        <f t="shared" si="20"/>
        <v>-235.03228440467046</v>
      </c>
      <c r="AD31">
        <f t="shared" si="21"/>
        <v>-24.863498791850823</v>
      </c>
      <c r="AE31">
        <f t="shared" si="22"/>
        <v>-0.26086003200370556</v>
      </c>
      <c r="AF31">
        <v>48</v>
      </c>
      <c r="AG31">
        <v>16</v>
      </c>
      <c r="AH31">
        <f t="shared" si="23"/>
        <v>1</v>
      </c>
      <c r="AI31">
        <f t="shared" si="24"/>
        <v>0</v>
      </c>
      <c r="AJ31">
        <f t="shared" si="25"/>
        <v>52383.353588693724</v>
      </c>
      <c r="AK31">
        <f t="shared" si="26"/>
        <v>1799.97</v>
      </c>
      <c r="AL31">
        <f t="shared" si="27"/>
        <v>1499.0867988036</v>
      </c>
      <c r="AM31">
        <f t="shared" si="28"/>
        <v>0.83283987999999998</v>
      </c>
      <c r="AN31">
        <f t="shared" si="29"/>
        <v>0.15339770990000001</v>
      </c>
      <c r="AO31">
        <v>33.6</v>
      </c>
      <c r="AP31">
        <v>0.5</v>
      </c>
      <c r="AQ31" t="s">
        <v>331</v>
      </c>
      <c r="AR31">
        <v>2</v>
      </c>
      <c r="AS31">
        <v>1690215434.5</v>
      </c>
      <c r="AT31">
        <v>787.16800000000001</v>
      </c>
      <c r="AU31">
        <v>799.995</v>
      </c>
      <c r="AV31">
        <v>10.016</v>
      </c>
      <c r="AW31">
        <v>5.8758699999999999</v>
      </c>
      <c r="AX31">
        <v>787.548</v>
      </c>
      <c r="AY31">
        <v>10.043200000000001</v>
      </c>
      <c r="AZ31">
        <v>300.17599999999999</v>
      </c>
      <c r="BA31">
        <v>99.07</v>
      </c>
      <c r="BB31">
        <v>9.9991099999999999E-2</v>
      </c>
      <c r="BC31">
        <v>27.138400000000001</v>
      </c>
      <c r="BD31">
        <v>27.344200000000001</v>
      </c>
      <c r="BE31">
        <v>28.515799999999999</v>
      </c>
      <c r="BF31">
        <v>0</v>
      </c>
      <c r="BG31">
        <v>0</v>
      </c>
      <c r="BH31">
        <v>10004.4</v>
      </c>
      <c r="BI31">
        <v>1077.03</v>
      </c>
      <c r="BJ31">
        <v>1.90625</v>
      </c>
      <c r="BK31">
        <v>-12.8279</v>
      </c>
      <c r="BL31">
        <v>795.13199999999995</v>
      </c>
      <c r="BM31">
        <v>804.72400000000005</v>
      </c>
      <c r="BN31">
        <v>4.1401700000000003</v>
      </c>
      <c r="BO31">
        <v>799.995</v>
      </c>
      <c r="BP31">
        <v>5.8758699999999999</v>
      </c>
      <c r="BQ31">
        <v>0.99228799999999995</v>
      </c>
      <c r="BR31">
        <v>0.58212200000000003</v>
      </c>
      <c r="BS31">
        <v>6.8036399999999997</v>
      </c>
      <c r="BT31">
        <v>-0.72401700000000002</v>
      </c>
      <c r="BU31">
        <v>1799.97</v>
      </c>
      <c r="BV31">
        <v>0.90999099999999999</v>
      </c>
      <c r="BW31">
        <v>3.39922E-2</v>
      </c>
      <c r="BX31">
        <v>2.2005E-2</v>
      </c>
      <c r="BY31">
        <v>3.4011399999999997E-2</v>
      </c>
      <c r="BZ31">
        <v>26</v>
      </c>
      <c r="CA31">
        <v>33527.800000000003</v>
      </c>
      <c r="CB31">
        <v>1690214843</v>
      </c>
      <c r="CC31" t="s">
        <v>332</v>
      </c>
      <c r="CD31">
        <v>1690214842</v>
      </c>
      <c r="CE31">
        <v>1690214843</v>
      </c>
      <c r="CF31">
        <v>8</v>
      </c>
      <c r="CG31">
        <v>-6.3E-2</v>
      </c>
      <c r="CH31">
        <v>1E-3</v>
      </c>
      <c r="CI31">
        <v>-0.38900000000000001</v>
      </c>
      <c r="CJ31">
        <v>-6.6000000000000003E-2</v>
      </c>
      <c r="CK31">
        <v>800</v>
      </c>
      <c r="CL31">
        <v>6</v>
      </c>
      <c r="CM31">
        <v>0.23</v>
      </c>
      <c r="CN31">
        <v>0.02</v>
      </c>
      <c r="CO31">
        <v>-10.98657195121951</v>
      </c>
      <c r="CP31">
        <v>-10.433366550522649</v>
      </c>
      <c r="CQ31">
        <v>1.0298172942600881</v>
      </c>
      <c r="CR31">
        <v>-1</v>
      </c>
      <c r="CS31">
        <v>4.0914212195121964</v>
      </c>
      <c r="CT31">
        <v>0.30498731707316751</v>
      </c>
      <c r="CU31">
        <v>3.0347715403636299E-2</v>
      </c>
      <c r="CV31">
        <v>-1</v>
      </c>
      <c r="CW31">
        <v>0</v>
      </c>
      <c r="CX31">
        <v>0</v>
      </c>
      <c r="CY31" t="s">
        <v>333</v>
      </c>
      <c r="CZ31">
        <v>2.36435</v>
      </c>
      <c r="DA31">
        <v>2.7137899999999999</v>
      </c>
      <c r="DB31">
        <v>0.14490500000000001</v>
      </c>
      <c r="DC31">
        <v>0.14604300000000001</v>
      </c>
      <c r="DD31">
        <v>6.0271699999999997E-2</v>
      </c>
      <c r="DE31">
        <v>3.8770499999999999E-2</v>
      </c>
      <c r="DF31">
        <v>31210.6</v>
      </c>
      <c r="DG31">
        <v>27501.8</v>
      </c>
      <c r="DH31">
        <v>31160.799999999999</v>
      </c>
      <c r="DI31">
        <v>28063.1</v>
      </c>
      <c r="DJ31">
        <v>39772.400000000001</v>
      </c>
      <c r="DK31">
        <v>38356.400000000001</v>
      </c>
      <c r="DL31">
        <v>44342.7</v>
      </c>
      <c r="DM31">
        <v>42528.9</v>
      </c>
      <c r="DN31">
        <v>1.3504799999999999</v>
      </c>
      <c r="DO31">
        <v>2.0325500000000001</v>
      </c>
      <c r="DP31">
        <v>8.9772000000000005E-2</v>
      </c>
      <c r="DQ31">
        <v>0.17478299999999999</v>
      </c>
      <c r="DR31">
        <v>25.8751</v>
      </c>
      <c r="DS31">
        <v>25.657699999999998</v>
      </c>
      <c r="DT31">
        <v>17.399999999999999</v>
      </c>
      <c r="DU31">
        <v>29.8</v>
      </c>
      <c r="DV31">
        <v>7.3971299999999998</v>
      </c>
      <c r="DW31">
        <v>61.591200000000001</v>
      </c>
      <c r="DX31">
        <v>36.069699999999997</v>
      </c>
      <c r="DY31">
        <v>1</v>
      </c>
      <c r="DZ31">
        <v>-7.8780500000000003E-2</v>
      </c>
      <c r="EA31">
        <v>2.2508499999999998</v>
      </c>
      <c r="EB31">
        <v>20.168900000000001</v>
      </c>
      <c r="EC31">
        <v>5.2411000000000003</v>
      </c>
      <c r="ED31">
        <v>12.039899999999999</v>
      </c>
      <c r="EE31">
        <v>5.0170000000000003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</v>
      </c>
      <c r="EL31">
        <v>1.8646499999999999</v>
      </c>
      <c r="EM31">
        <v>1.86917</v>
      </c>
      <c r="EN31">
        <v>1.8672299999999999</v>
      </c>
      <c r="EO31">
        <v>1.8633999999999999</v>
      </c>
      <c r="EP31">
        <v>1.8645400000000001</v>
      </c>
      <c r="EQ31">
        <v>1.8701399999999999</v>
      </c>
      <c r="ER31">
        <v>1.8694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-0.38</v>
      </c>
      <c r="FG31">
        <v>-2.7199999999999998E-2</v>
      </c>
      <c r="FH31">
        <v>0.16202357103534001</v>
      </c>
      <c r="FI31">
        <v>-6.1462078757559423E-4</v>
      </c>
      <c r="FJ31">
        <v>-1.8861989874597051E-7</v>
      </c>
      <c r="FK31">
        <v>1.1980462299894961E-10</v>
      </c>
      <c r="FL31">
        <v>-3.0039189969545878E-2</v>
      </c>
      <c r="FM31">
        <v>-1.6848085045870601E-2</v>
      </c>
      <c r="FN31">
        <v>1.9789084769509481E-3</v>
      </c>
      <c r="FO31">
        <v>-2.7142391389806329E-5</v>
      </c>
      <c r="FP31">
        <v>3</v>
      </c>
      <c r="FQ31">
        <v>2158</v>
      </c>
      <c r="FR31">
        <v>1</v>
      </c>
      <c r="FS31">
        <v>19</v>
      </c>
      <c r="FT31">
        <v>9.9</v>
      </c>
      <c r="FU31">
        <v>9.9</v>
      </c>
      <c r="FV31">
        <v>1.77979</v>
      </c>
      <c r="FW31">
        <v>2.5769000000000002</v>
      </c>
      <c r="FX31">
        <v>1.5490699999999999</v>
      </c>
      <c r="FY31">
        <v>2.3290999999999999</v>
      </c>
      <c r="FZ31">
        <v>1.50146</v>
      </c>
      <c r="GA31">
        <v>2.3791500000000001</v>
      </c>
      <c r="GB31">
        <v>33.805700000000002</v>
      </c>
      <c r="GC31">
        <v>23.973700000000001</v>
      </c>
      <c r="GD31">
        <v>19</v>
      </c>
      <c r="GE31">
        <v>233.22900000000001</v>
      </c>
      <c r="GF31">
        <v>581.03399999999999</v>
      </c>
      <c r="GG31">
        <v>25.160900000000002</v>
      </c>
      <c r="GH31">
        <v>26.403300000000002</v>
      </c>
      <c r="GI31">
        <v>30.001200000000001</v>
      </c>
      <c r="GJ31">
        <v>26.463699999999999</v>
      </c>
      <c r="GK31">
        <v>26.429400000000001</v>
      </c>
      <c r="GL31">
        <v>35.583500000000001</v>
      </c>
      <c r="GM31">
        <v>-30</v>
      </c>
      <c r="GN31">
        <v>-30</v>
      </c>
      <c r="GO31">
        <v>24.645</v>
      </c>
      <c r="GP31">
        <v>800</v>
      </c>
      <c r="GQ31">
        <v>12.5298</v>
      </c>
      <c r="GR31">
        <v>99.698499999999996</v>
      </c>
      <c r="GS31">
        <v>99.494600000000005</v>
      </c>
    </row>
    <row r="32" spans="1:201" x14ac:dyDescent="0.25">
      <c r="A32">
        <v>16</v>
      </c>
      <c r="B32">
        <v>1690215444.5</v>
      </c>
      <c r="C32">
        <v>499</v>
      </c>
      <c r="D32" t="s">
        <v>365</v>
      </c>
      <c r="E32" t="s">
        <v>366</v>
      </c>
      <c r="F32" t="s">
        <v>330</v>
      </c>
      <c r="H32">
        <v>1690215444.5</v>
      </c>
      <c r="I32">
        <f t="shared" si="0"/>
        <v>3.774046786941616E-4</v>
      </c>
      <c r="J32">
        <f t="shared" si="1"/>
        <v>0.37740467869416161</v>
      </c>
      <c r="K32">
        <f t="shared" si="2"/>
        <v>0.97946013961932232</v>
      </c>
      <c r="L32">
        <f t="shared" si="3"/>
        <v>785.73199999999997</v>
      </c>
      <c r="M32">
        <f t="shared" si="4"/>
        <v>617.91356772960887</v>
      </c>
      <c r="N32">
        <f t="shared" si="5"/>
        <v>61.279457214845436</v>
      </c>
      <c r="O32">
        <f t="shared" si="6"/>
        <v>77.922274232056395</v>
      </c>
      <c r="P32">
        <f t="shared" si="7"/>
        <v>1.1896158408676184E-2</v>
      </c>
      <c r="Q32">
        <f t="shared" si="8"/>
        <v>2.0613163838750372</v>
      </c>
      <c r="R32">
        <f t="shared" si="9"/>
        <v>1.1858148629714651E-2</v>
      </c>
      <c r="S32">
        <f t="shared" si="10"/>
        <v>7.414747742722199E-3</v>
      </c>
      <c r="T32">
        <f t="shared" si="11"/>
        <v>276.11106270025624</v>
      </c>
      <c r="U32">
        <f t="shared" si="12"/>
        <v>29.218527382392782</v>
      </c>
      <c r="V32">
        <f t="shared" si="13"/>
        <v>29.218527382392782</v>
      </c>
      <c r="W32">
        <f t="shared" si="14"/>
        <v>4.0729101163874795</v>
      </c>
      <c r="X32">
        <f t="shared" si="15"/>
        <v>27.692490799334486</v>
      </c>
      <c r="Y32">
        <f t="shared" si="16"/>
        <v>0.99729903626150995</v>
      </c>
      <c r="Z32">
        <f t="shared" si="17"/>
        <v>3.6013338182113883</v>
      </c>
      <c r="AA32">
        <f t="shared" si="18"/>
        <v>3.0756110801259693</v>
      </c>
      <c r="AB32">
        <f t="shared" si="19"/>
        <v>-16.643546330412526</v>
      </c>
      <c r="AC32">
        <f t="shared" si="20"/>
        <v>-234.85341452268341</v>
      </c>
      <c r="AD32">
        <f t="shared" si="21"/>
        <v>-24.875321692794554</v>
      </c>
      <c r="AE32">
        <f t="shared" si="22"/>
        <v>-0.26121984563425826</v>
      </c>
      <c r="AF32">
        <v>48</v>
      </c>
      <c r="AG32">
        <v>16</v>
      </c>
      <c r="AH32">
        <f t="shared" si="23"/>
        <v>1</v>
      </c>
      <c r="AI32">
        <f t="shared" si="24"/>
        <v>0</v>
      </c>
      <c r="AJ32">
        <f t="shared" si="25"/>
        <v>52242.2815417151</v>
      </c>
      <c r="AK32">
        <f t="shared" si="26"/>
        <v>1799.97</v>
      </c>
      <c r="AL32">
        <f t="shared" si="27"/>
        <v>1499.0852976286201</v>
      </c>
      <c r="AM32">
        <f t="shared" si="28"/>
        <v>0.83283904600000003</v>
      </c>
      <c r="AN32">
        <f t="shared" si="29"/>
        <v>0.15339759146000001</v>
      </c>
      <c r="AO32">
        <v>33.6</v>
      </c>
      <c r="AP32">
        <v>0.5</v>
      </c>
      <c r="AQ32" t="s">
        <v>331</v>
      </c>
      <c r="AR32">
        <v>2</v>
      </c>
      <c r="AS32">
        <v>1690215444.5</v>
      </c>
      <c r="AT32">
        <v>785.73199999999997</v>
      </c>
      <c r="AU32">
        <v>800.01599999999996</v>
      </c>
      <c r="AV32">
        <v>10.0563</v>
      </c>
      <c r="AW32">
        <v>5.8739800000000004</v>
      </c>
      <c r="AX32">
        <v>786.11199999999997</v>
      </c>
      <c r="AY32">
        <v>10.0829</v>
      </c>
      <c r="AZ32">
        <v>300.15100000000001</v>
      </c>
      <c r="BA32">
        <v>99.071600000000004</v>
      </c>
      <c r="BB32">
        <v>9.9967700000000007E-2</v>
      </c>
      <c r="BC32">
        <v>27.1052</v>
      </c>
      <c r="BD32">
        <v>27.290900000000001</v>
      </c>
      <c r="BE32">
        <v>28.537800000000001</v>
      </c>
      <c r="BF32">
        <v>0</v>
      </c>
      <c r="BG32">
        <v>0</v>
      </c>
      <c r="BH32">
        <v>9975</v>
      </c>
      <c r="BI32">
        <v>1077.43</v>
      </c>
      <c r="BJ32">
        <v>1.9202600000000001</v>
      </c>
      <c r="BK32">
        <v>-14.283799999999999</v>
      </c>
      <c r="BL32">
        <v>793.71400000000006</v>
      </c>
      <c r="BM32">
        <v>804.74300000000005</v>
      </c>
      <c r="BN32">
        <v>4.1823399999999999</v>
      </c>
      <c r="BO32">
        <v>800.01599999999996</v>
      </c>
      <c r="BP32">
        <v>5.8739800000000004</v>
      </c>
      <c r="BQ32">
        <v>0.99629599999999996</v>
      </c>
      <c r="BR32">
        <v>0.58194400000000002</v>
      </c>
      <c r="BS32">
        <v>6.8623200000000004</v>
      </c>
      <c r="BT32">
        <v>-0.72819100000000003</v>
      </c>
      <c r="BU32">
        <v>1799.97</v>
      </c>
      <c r="BV32">
        <v>0.90998900000000005</v>
      </c>
      <c r="BW32">
        <v>3.40057E-2</v>
      </c>
      <c r="BX32">
        <v>2.2000800000000001E-2</v>
      </c>
      <c r="BY32">
        <v>3.4004800000000002E-2</v>
      </c>
      <c r="BZ32">
        <v>26</v>
      </c>
      <c r="CA32">
        <v>33527.800000000003</v>
      </c>
      <c r="CB32">
        <v>1690214843</v>
      </c>
      <c r="CC32" t="s">
        <v>332</v>
      </c>
      <c r="CD32">
        <v>1690214842</v>
      </c>
      <c r="CE32">
        <v>1690214843</v>
      </c>
      <c r="CF32">
        <v>8</v>
      </c>
      <c r="CG32">
        <v>-6.3E-2</v>
      </c>
      <c r="CH32">
        <v>1E-3</v>
      </c>
      <c r="CI32">
        <v>-0.38900000000000001</v>
      </c>
      <c r="CJ32">
        <v>-6.6000000000000003E-2</v>
      </c>
      <c r="CK32">
        <v>800</v>
      </c>
      <c r="CL32">
        <v>6</v>
      </c>
      <c r="CM32">
        <v>0.23</v>
      </c>
      <c r="CN32">
        <v>0.02</v>
      </c>
      <c r="CO32">
        <v>-12.594642500000001</v>
      </c>
      <c r="CP32">
        <v>-9.5515846153846145</v>
      </c>
      <c r="CQ32">
        <v>0.92002207606325959</v>
      </c>
      <c r="CR32">
        <v>-1</v>
      </c>
      <c r="CS32">
        <v>4.1354164999999998</v>
      </c>
      <c r="CT32">
        <v>0.239495459662287</v>
      </c>
      <c r="CU32">
        <v>2.3042361158310189E-2</v>
      </c>
      <c r="CV32">
        <v>-1</v>
      </c>
      <c r="CW32">
        <v>0</v>
      </c>
      <c r="CX32">
        <v>0</v>
      </c>
      <c r="CY32" t="s">
        <v>333</v>
      </c>
      <c r="CZ32">
        <v>2.3642500000000002</v>
      </c>
      <c r="DA32">
        <v>2.71374</v>
      </c>
      <c r="DB32">
        <v>0.14473</v>
      </c>
      <c r="DC32">
        <v>0.14604700000000001</v>
      </c>
      <c r="DD32">
        <v>6.0456500000000003E-2</v>
      </c>
      <c r="DE32">
        <v>3.8760599999999999E-2</v>
      </c>
      <c r="DF32">
        <v>31216</v>
      </c>
      <c r="DG32">
        <v>27500.3</v>
      </c>
      <c r="DH32">
        <v>31159.8</v>
      </c>
      <c r="DI32">
        <v>28061.7</v>
      </c>
      <c r="DJ32">
        <v>39763</v>
      </c>
      <c r="DK32">
        <v>38354.9</v>
      </c>
      <c r="DL32">
        <v>44341.1</v>
      </c>
      <c r="DM32">
        <v>42526.8</v>
      </c>
      <c r="DN32">
        <v>1.3502700000000001</v>
      </c>
      <c r="DO32">
        <v>2.03207</v>
      </c>
      <c r="DP32">
        <v>8.6382E-2</v>
      </c>
      <c r="DQ32">
        <v>0.17613200000000001</v>
      </c>
      <c r="DR32">
        <v>25.877300000000002</v>
      </c>
      <c r="DS32">
        <v>25.657699999999998</v>
      </c>
      <c r="DT32">
        <v>17.399999999999999</v>
      </c>
      <c r="DU32">
        <v>29.8</v>
      </c>
      <c r="DV32">
        <v>7.3972800000000003</v>
      </c>
      <c r="DW32">
        <v>62.061199999999999</v>
      </c>
      <c r="DX32">
        <v>36.161900000000003</v>
      </c>
      <c r="DY32">
        <v>1</v>
      </c>
      <c r="DZ32">
        <v>-7.5279499999999999E-2</v>
      </c>
      <c r="EA32">
        <v>2.9114900000000001</v>
      </c>
      <c r="EB32">
        <v>20.155899999999999</v>
      </c>
      <c r="EC32">
        <v>5.2406499999999996</v>
      </c>
      <c r="ED32">
        <v>12.039899999999999</v>
      </c>
      <c r="EE32">
        <v>5.0168999999999997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1.8689100000000001</v>
      </c>
      <c r="EL32">
        <v>1.86463</v>
      </c>
      <c r="EM32">
        <v>1.8691899999999999</v>
      </c>
      <c r="EN32">
        <v>1.8672299999999999</v>
      </c>
      <c r="EO32">
        <v>1.8633999999999999</v>
      </c>
      <c r="EP32">
        <v>1.8646</v>
      </c>
      <c r="EQ32">
        <v>1.8701399999999999</v>
      </c>
      <c r="ER32">
        <v>1.8694299999999999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-0.38</v>
      </c>
      <c r="FG32">
        <v>-2.6599999999999999E-2</v>
      </c>
      <c r="FH32">
        <v>0.16202357103534001</v>
      </c>
      <c r="FI32">
        <v>-6.1462078757559423E-4</v>
      </c>
      <c r="FJ32">
        <v>-1.8861989874597051E-7</v>
      </c>
      <c r="FK32">
        <v>1.1980462299894961E-10</v>
      </c>
      <c r="FL32">
        <v>-3.0039189969545878E-2</v>
      </c>
      <c r="FM32">
        <v>-1.6848085045870601E-2</v>
      </c>
      <c r="FN32">
        <v>1.9789084769509481E-3</v>
      </c>
      <c r="FO32">
        <v>-2.7142391389806329E-5</v>
      </c>
      <c r="FP32">
        <v>3</v>
      </c>
      <c r="FQ32">
        <v>2158</v>
      </c>
      <c r="FR32">
        <v>1</v>
      </c>
      <c r="FS32">
        <v>19</v>
      </c>
      <c r="FT32">
        <v>10</v>
      </c>
      <c r="FU32">
        <v>10</v>
      </c>
      <c r="FV32">
        <v>1.77979</v>
      </c>
      <c r="FW32">
        <v>2.5793499999999998</v>
      </c>
      <c r="FX32">
        <v>1.5490699999999999</v>
      </c>
      <c r="FY32">
        <v>2.3290999999999999</v>
      </c>
      <c r="FZ32">
        <v>1.50146</v>
      </c>
      <c r="GA32">
        <v>2.3962400000000001</v>
      </c>
      <c r="GB32">
        <v>33.805700000000002</v>
      </c>
      <c r="GC32">
        <v>23.973700000000001</v>
      </c>
      <c r="GD32">
        <v>19</v>
      </c>
      <c r="GE32">
        <v>233.17099999999999</v>
      </c>
      <c r="GF32">
        <v>580.673</v>
      </c>
      <c r="GG32">
        <v>24.314399999999999</v>
      </c>
      <c r="GH32">
        <v>26.411200000000001</v>
      </c>
      <c r="GI32">
        <v>30.0016</v>
      </c>
      <c r="GJ32">
        <v>26.468699999999998</v>
      </c>
      <c r="GK32">
        <v>26.432200000000002</v>
      </c>
      <c r="GL32">
        <v>35.581600000000002</v>
      </c>
      <c r="GM32">
        <v>-30</v>
      </c>
      <c r="GN32">
        <v>-30</v>
      </c>
      <c r="GO32">
        <v>23.988</v>
      </c>
      <c r="GP32">
        <v>800</v>
      </c>
      <c r="GQ32">
        <v>12.5298</v>
      </c>
      <c r="GR32">
        <v>99.694999999999993</v>
      </c>
      <c r="GS32">
        <v>99.489800000000002</v>
      </c>
    </row>
    <row r="33" spans="1:201" x14ac:dyDescent="0.25">
      <c r="A33">
        <v>17</v>
      </c>
      <c r="B33">
        <v>1690215454.5</v>
      </c>
      <c r="C33">
        <v>509</v>
      </c>
      <c r="D33" t="s">
        <v>367</v>
      </c>
      <c r="E33" t="s">
        <v>368</v>
      </c>
      <c r="F33" t="s">
        <v>330</v>
      </c>
      <c r="H33">
        <v>1690215454.5</v>
      </c>
      <c r="I33">
        <f t="shared" si="0"/>
        <v>3.8165409694487903E-4</v>
      </c>
      <c r="J33">
        <f t="shared" si="1"/>
        <v>0.38165409694487901</v>
      </c>
      <c r="K33">
        <f t="shared" si="2"/>
        <v>1.1105821989053417</v>
      </c>
      <c r="L33">
        <f t="shared" si="3"/>
        <v>784.20500000000004</v>
      </c>
      <c r="M33">
        <f t="shared" si="4"/>
        <v>602.391202376367</v>
      </c>
      <c r="N33">
        <f t="shared" si="5"/>
        <v>59.739624078929445</v>
      </c>
      <c r="O33">
        <f t="shared" si="6"/>
        <v>77.770245840255015</v>
      </c>
      <c r="P33">
        <f t="shared" si="7"/>
        <v>1.213578198588719E-2</v>
      </c>
      <c r="Q33">
        <f t="shared" si="8"/>
        <v>2.0612381049471113</v>
      </c>
      <c r="R33">
        <f t="shared" si="9"/>
        <v>1.2096226779223689E-2</v>
      </c>
      <c r="S33">
        <f t="shared" si="10"/>
        <v>7.5636848116150063E-3</v>
      </c>
      <c r="T33">
        <f t="shared" si="11"/>
        <v>276.11180562096041</v>
      </c>
      <c r="U33">
        <f t="shared" si="12"/>
        <v>29.125363697448453</v>
      </c>
      <c r="V33">
        <f t="shared" si="13"/>
        <v>29.125363697448453</v>
      </c>
      <c r="W33">
        <f t="shared" si="14"/>
        <v>4.0510400808319869</v>
      </c>
      <c r="X33">
        <f t="shared" si="15"/>
        <v>27.966951481160287</v>
      </c>
      <c r="Y33">
        <f t="shared" si="16"/>
        <v>1.0017640302354001</v>
      </c>
      <c r="Z33">
        <f t="shared" si="17"/>
        <v>3.5819564778457549</v>
      </c>
      <c r="AA33">
        <f t="shared" si="18"/>
        <v>3.0492760505965868</v>
      </c>
      <c r="AB33">
        <f t="shared" si="19"/>
        <v>-16.830945675269167</v>
      </c>
      <c r="AC33">
        <f t="shared" si="20"/>
        <v>-234.70406833259023</v>
      </c>
      <c r="AD33">
        <f t="shared" si="21"/>
        <v>-24.837539028514016</v>
      </c>
      <c r="AE33">
        <f t="shared" si="22"/>
        <v>-0.26074741541299318</v>
      </c>
      <c r="AF33">
        <v>48</v>
      </c>
      <c r="AG33">
        <v>16</v>
      </c>
      <c r="AH33">
        <f t="shared" si="23"/>
        <v>1</v>
      </c>
      <c r="AI33">
        <f t="shared" si="24"/>
        <v>0</v>
      </c>
      <c r="AJ33">
        <f t="shared" si="25"/>
        <v>52254.692320541508</v>
      </c>
      <c r="AK33">
        <f t="shared" si="26"/>
        <v>1799.98</v>
      </c>
      <c r="AL33">
        <f t="shared" si="27"/>
        <v>1499.0962035904399</v>
      </c>
      <c r="AM33">
        <f t="shared" si="28"/>
        <v>0.83284047799999994</v>
      </c>
      <c r="AN33">
        <f t="shared" si="29"/>
        <v>0.15339715198000001</v>
      </c>
      <c r="AO33">
        <v>33.6</v>
      </c>
      <c r="AP33">
        <v>0.5</v>
      </c>
      <c r="AQ33" t="s">
        <v>331</v>
      </c>
      <c r="AR33">
        <v>2</v>
      </c>
      <c r="AS33">
        <v>1690215454.5</v>
      </c>
      <c r="AT33">
        <v>784.20500000000004</v>
      </c>
      <c r="AU33">
        <v>799.98500000000001</v>
      </c>
      <c r="AV33">
        <v>10.1014</v>
      </c>
      <c r="AW33">
        <v>5.8728999999999996</v>
      </c>
      <c r="AX33">
        <v>784.58399999999995</v>
      </c>
      <c r="AY33">
        <v>10.1273</v>
      </c>
      <c r="AZ33">
        <v>300.202</v>
      </c>
      <c r="BA33">
        <v>99.070700000000002</v>
      </c>
      <c r="BB33">
        <v>0.10011100000000001</v>
      </c>
      <c r="BC33">
        <v>27.013300000000001</v>
      </c>
      <c r="BD33">
        <v>27.2028</v>
      </c>
      <c r="BE33">
        <v>28.455300000000001</v>
      </c>
      <c r="BF33">
        <v>0</v>
      </c>
      <c r="BG33">
        <v>0</v>
      </c>
      <c r="BH33">
        <v>9974.3799999999992</v>
      </c>
      <c r="BI33">
        <v>1077.3499999999999</v>
      </c>
      <c r="BJ33">
        <v>1.96231</v>
      </c>
      <c r="BK33">
        <v>-15.7797</v>
      </c>
      <c r="BL33">
        <v>792.20799999999997</v>
      </c>
      <c r="BM33">
        <v>804.71100000000001</v>
      </c>
      <c r="BN33">
        <v>4.2285500000000003</v>
      </c>
      <c r="BO33">
        <v>799.98500000000001</v>
      </c>
      <c r="BP33">
        <v>5.8728999999999996</v>
      </c>
      <c r="BQ33">
        <v>1.0007600000000001</v>
      </c>
      <c r="BR33">
        <v>0.58183200000000002</v>
      </c>
      <c r="BS33">
        <v>6.9274199999999997</v>
      </c>
      <c r="BT33">
        <v>-0.73082599999999998</v>
      </c>
      <c r="BU33">
        <v>1799.98</v>
      </c>
      <c r="BV33">
        <v>0.91000700000000001</v>
      </c>
      <c r="BW33">
        <v>3.3998899999999999E-2</v>
      </c>
      <c r="BX33">
        <v>2.1996399999999999E-2</v>
      </c>
      <c r="BY33">
        <v>3.3998E-2</v>
      </c>
      <c r="BZ33">
        <v>26</v>
      </c>
      <c r="CA33">
        <v>33528</v>
      </c>
      <c r="CB33">
        <v>1690214843</v>
      </c>
      <c r="CC33" t="s">
        <v>332</v>
      </c>
      <c r="CD33">
        <v>1690214842</v>
      </c>
      <c r="CE33">
        <v>1690214843</v>
      </c>
      <c r="CF33">
        <v>8</v>
      </c>
      <c r="CG33">
        <v>-6.3E-2</v>
      </c>
      <c r="CH33">
        <v>1E-3</v>
      </c>
      <c r="CI33">
        <v>-0.38900000000000001</v>
      </c>
      <c r="CJ33">
        <v>-6.6000000000000003E-2</v>
      </c>
      <c r="CK33">
        <v>800</v>
      </c>
      <c r="CL33">
        <v>6</v>
      </c>
      <c r="CM33">
        <v>0.23</v>
      </c>
      <c r="CN33">
        <v>0.02</v>
      </c>
      <c r="CO33">
        <v>-14.169792682926831</v>
      </c>
      <c r="CP33">
        <v>-8.9107149825783889</v>
      </c>
      <c r="CQ33">
        <v>0.87898294980279412</v>
      </c>
      <c r="CR33">
        <v>-1</v>
      </c>
      <c r="CS33">
        <v>4.1782631707317073</v>
      </c>
      <c r="CT33">
        <v>0.26178585365853968</v>
      </c>
      <c r="CU33">
        <v>2.5824739267592659E-2</v>
      </c>
      <c r="CV33">
        <v>-1</v>
      </c>
      <c r="CW33">
        <v>0</v>
      </c>
      <c r="CX33">
        <v>0</v>
      </c>
      <c r="CY33" t="s">
        <v>333</v>
      </c>
      <c r="CZ33">
        <v>2.36442</v>
      </c>
      <c r="DA33">
        <v>2.7138800000000001</v>
      </c>
      <c r="DB33">
        <v>0.144539</v>
      </c>
      <c r="DC33">
        <v>0.146041</v>
      </c>
      <c r="DD33">
        <v>6.0661600000000003E-2</v>
      </c>
      <c r="DE33">
        <v>3.87541E-2</v>
      </c>
      <c r="DF33">
        <v>31221.9</v>
      </c>
      <c r="DG33">
        <v>27499.5</v>
      </c>
      <c r="DH33">
        <v>31158.7</v>
      </c>
      <c r="DI33">
        <v>28060.799999999999</v>
      </c>
      <c r="DJ33">
        <v>39753.199999999997</v>
      </c>
      <c r="DK33">
        <v>38353.9</v>
      </c>
      <c r="DL33">
        <v>44339.9</v>
      </c>
      <c r="DM33">
        <v>42525.4</v>
      </c>
      <c r="DN33">
        <v>1.3504799999999999</v>
      </c>
      <c r="DO33">
        <v>2.03207</v>
      </c>
      <c r="DP33">
        <v>8.0756800000000004E-2</v>
      </c>
      <c r="DQ33">
        <v>0.17127400000000001</v>
      </c>
      <c r="DR33">
        <v>25.8811</v>
      </c>
      <c r="DS33">
        <v>25.654499999999999</v>
      </c>
      <c r="DT33">
        <v>17.399999999999999</v>
      </c>
      <c r="DU33">
        <v>29.8</v>
      </c>
      <c r="DV33">
        <v>7.3974900000000003</v>
      </c>
      <c r="DW33">
        <v>61.751199999999997</v>
      </c>
      <c r="DX33">
        <v>35.877400000000002</v>
      </c>
      <c r="DY33">
        <v>1</v>
      </c>
      <c r="DZ33">
        <v>-7.4784000000000003E-2</v>
      </c>
      <c r="EA33">
        <v>2.87201</v>
      </c>
      <c r="EB33">
        <v>20.157499999999999</v>
      </c>
      <c r="EC33">
        <v>5.2408000000000001</v>
      </c>
      <c r="ED33">
        <v>12.039899999999999</v>
      </c>
      <c r="EE33">
        <v>5.0170000000000003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1.8689100000000001</v>
      </c>
      <c r="EL33">
        <v>1.8646499999999999</v>
      </c>
      <c r="EM33">
        <v>1.8692</v>
      </c>
      <c r="EN33">
        <v>1.8672299999999999</v>
      </c>
      <c r="EO33">
        <v>1.8633999999999999</v>
      </c>
      <c r="EP33">
        <v>1.8646</v>
      </c>
      <c r="EQ33">
        <v>1.8701700000000001</v>
      </c>
      <c r="ER33">
        <v>1.8694500000000001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-0.379</v>
      </c>
      <c r="FG33">
        <v>-2.5899999999999999E-2</v>
      </c>
      <c r="FH33">
        <v>0.16202357103534001</v>
      </c>
      <c r="FI33">
        <v>-6.1462078757559423E-4</v>
      </c>
      <c r="FJ33">
        <v>-1.8861989874597051E-7</v>
      </c>
      <c r="FK33">
        <v>1.1980462299894961E-10</v>
      </c>
      <c r="FL33">
        <v>-3.0039189969545878E-2</v>
      </c>
      <c r="FM33">
        <v>-1.6848085045870601E-2</v>
      </c>
      <c r="FN33">
        <v>1.9789084769509481E-3</v>
      </c>
      <c r="FO33">
        <v>-2.7142391389806329E-5</v>
      </c>
      <c r="FP33">
        <v>3</v>
      </c>
      <c r="FQ33">
        <v>2158</v>
      </c>
      <c r="FR33">
        <v>1</v>
      </c>
      <c r="FS33">
        <v>19</v>
      </c>
      <c r="FT33">
        <v>10.199999999999999</v>
      </c>
      <c r="FU33">
        <v>10.199999999999999</v>
      </c>
      <c r="FV33">
        <v>1.77979</v>
      </c>
      <c r="FW33">
        <v>2.5781200000000002</v>
      </c>
      <c r="FX33">
        <v>1.5490699999999999</v>
      </c>
      <c r="FY33">
        <v>2.3290999999999999</v>
      </c>
      <c r="FZ33">
        <v>1.50146</v>
      </c>
      <c r="GA33">
        <v>2.3889200000000002</v>
      </c>
      <c r="GB33">
        <v>33.805700000000002</v>
      </c>
      <c r="GC33">
        <v>23.973700000000001</v>
      </c>
      <c r="GD33">
        <v>19</v>
      </c>
      <c r="GE33">
        <v>233.26300000000001</v>
      </c>
      <c r="GF33">
        <v>580.71699999999998</v>
      </c>
      <c r="GG33">
        <v>23.652200000000001</v>
      </c>
      <c r="GH33">
        <v>26.418299999999999</v>
      </c>
      <c r="GI33">
        <v>30.000599999999999</v>
      </c>
      <c r="GJ33">
        <v>26.473700000000001</v>
      </c>
      <c r="GK33">
        <v>26.4361</v>
      </c>
      <c r="GL33">
        <v>35.5809</v>
      </c>
      <c r="GM33">
        <v>-30</v>
      </c>
      <c r="GN33">
        <v>-30</v>
      </c>
      <c r="GO33">
        <v>23.470500000000001</v>
      </c>
      <c r="GP33">
        <v>800</v>
      </c>
      <c r="GQ33">
        <v>12.5298</v>
      </c>
      <c r="GR33">
        <v>99.691999999999993</v>
      </c>
      <c r="GS33">
        <v>99.486400000000003</v>
      </c>
    </row>
    <row r="34" spans="1:201" x14ac:dyDescent="0.25">
      <c r="A34">
        <v>18</v>
      </c>
      <c r="B34">
        <v>1690215464.5</v>
      </c>
      <c r="C34">
        <v>519</v>
      </c>
      <c r="D34" t="s">
        <v>369</v>
      </c>
      <c r="E34" t="s">
        <v>370</v>
      </c>
      <c r="F34" t="s">
        <v>330</v>
      </c>
      <c r="H34">
        <v>1690215464.5</v>
      </c>
      <c r="I34">
        <f t="shared" si="0"/>
        <v>3.8666243373914461E-4</v>
      </c>
      <c r="J34">
        <f t="shared" si="1"/>
        <v>0.38666243373914461</v>
      </c>
      <c r="K34">
        <f t="shared" si="2"/>
        <v>1.2538649029393456</v>
      </c>
      <c r="L34">
        <f t="shared" si="3"/>
        <v>782.63099999999997</v>
      </c>
      <c r="M34">
        <f t="shared" si="4"/>
        <v>586.31227249543883</v>
      </c>
      <c r="N34">
        <f t="shared" si="5"/>
        <v>58.144886261794461</v>
      </c>
      <c r="O34">
        <f t="shared" si="6"/>
        <v>77.613914316126596</v>
      </c>
      <c r="P34">
        <f t="shared" si="7"/>
        <v>1.2411420864956243E-2</v>
      </c>
      <c r="Q34">
        <f t="shared" si="8"/>
        <v>2.0619241862886426</v>
      </c>
      <c r="R34">
        <f t="shared" si="9"/>
        <v>1.2370065447287977E-2</v>
      </c>
      <c r="S34">
        <f t="shared" si="10"/>
        <v>7.7349949795341016E-3</v>
      </c>
      <c r="T34">
        <f t="shared" si="11"/>
        <v>276.1126476943241</v>
      </c>
      <c r="U34">
        <f t="shared" si="12"/>
        <v>29.028524832889701</v>
      </c>
      <c r="V34">
        <f t="shared" si="13"/>
        <v>29.028524832889701</v>
      </c>
      <c r="W34">
        <f t="shared" si="14"/>
        <v>4.0284159025957234</v>
      </c>
      <c r="X34">
        <f t="shared" si="15"/>
        <v>28.276960765515391</v>
      </c>
      <c r="Y34">
        <f t="shared" si="16"/>
        <v>1.0072550217484801</v>
      </c>
      <c r="Z34">
        <f t="shared" si="17"/>
        <v>3.5621049592318923</v>
      </c>
      <c r="AA34">
        <f t="shared" si="18"/>
        <v>3.0211608808472432</v>
      </c>
      <c r="AB34">
        <f t="shared" si="19"/>
        <v>-17.051813327896276</v>
      </c>
      <c r="AC34">
        <f t="shared" si="20"/>
        <v>-234.53331169649843</v>
      </c>
      <c r="AD34">
        <f t="shared" si="21"/>
        <v>-24.787552603622892</v>
      </c>
      <c r="AE34">
        <f t="shared" si="22"/>
        <v>-0.26002993369348815</v>
      </c>
      <c r="AF34">
        <v>48</v>
      </c>
      <c r="AG34">
        <v>16</v>
      </c>
      <c r="AH34">
        <f t="shared" si="23"/>
        <v>1</v>
      </c>
      <c r="AI34">
        <f t="shared" si="24"/>
        <v>0</v>
      </c>
      <c r="AJ34">
        <f t="shared" si="25"/>
        <v>52302.503399409754</v>
      </c>
      <c r="AK34">
        <f t="shared" si="26"/>
        <v>1799.99</v>
      </c>
      <c r="AL34">
        <f t="shared" si="27"/>
        <v>1499.1065407840601</v>
      </c>
      <c r="AM34">
        <f t="shared" si="28"/>
        <v>0.83284159400000002</v>
      </c>
      <c r="AN34">
        <f t="shared" si="29"/>
        <v>0.15339676758999998</v>
      </c>
      <c r="AO34">
        <v>33.6</v>
      </c>
      <c r="AP34">
        <v>0.5</v>
      </c>
      <c r="AQ34" t="s">
        <v>331</v>
      </c>
      <c r="AR34">
        <v>2</v>
      </c>
      <c r="AS34">
        <v>1690215464.5</v>
      </c>
      <c r="AT34">
        <v>782.63099999999997</v>
      </c>
      <c r="AU34">
        <v>800.05700000000002</v>
      </c>
      <c r="AV34">
        <v>10.1568</v>
      </c>
      <c r="AW34">
        <v>5.8717800000000002</v>
      </c>
      <c r="AX34">
        <v>783.00900000000001</v>
      </c>
      <c r="AY34">
        <v>10.181900000000001</v>
      </c>
      <c r="AZ34">
        <v>300.113</v>
      </c>
      <c r="BA34">
        <v>99.070599999999999</v>
      </c>
      <c r="BB34">
        <v>9.99086E-2</v>
      </c>
      <c r="BC34">
        <v>26.918700000000001</v>
      </c>
      <c r="BD34">
        <v>27.0962</v>
      </c>
      <c r="BE34">
        <v>28.338699999999999</v>
      </c>
      <c r="BF34">
        <v>0</v>
      </c>
      <c r="BG34">
        <v>0</v>
      </c>
      <c r="BH34">
        <v>9980.6200000000008</v>
      </c>
      <c r="BI34">
        <v>1077.19</v>
      </c>
      <c r="BJ34">
        <v>1.96231</v>
      </c>
      <c r="BK34">
        <v>-17.426100000000002</v>
      </c>
      <c r="BL34">
        <v>790.66200000000003</v>
      </c>
      <c r="BM34">
        <v>804.78300000000002</v>
      </c>
      <c r="BN34">
        <v>4.2850099999999998</v>
      </c>
      <c r="BO34">
        <v>800.05700000000002</v>
      </c>
      <c r="BP34">
        <v>5.8717800000000002</v>
      </c>
      <c r="BQ34">
        <v>1.00624</v>
      </c>
      <c r="BR34">
        <v>0.58172100000000004</v>
      </c>
      <c r="BS34">
        <v>7.0070300000000003</v>
      </c>
      <c r="BT34">
        <v>-0.73345199999999999</v>
      </c>
      <c r="BU34">
        <v>1799.99</v>
      </c>
      <c r="BV34">
        <v>0.910022</v>
      </c>
      <c r="BW34">
        <v>3.3993200000000001E-2</v>
      </c>
      <c r="BX34">
        <v>2.19927E-2</v>
      </c>
      <c r="BY34">
        <v>3.3992300000000003E-2</v>
      </c>
      <c r="BZ34">
        <v>25.791699999999999</v>
      </c>
      <c r="CA34">
        <v>33528.300000000003</v>
      </c>
      <c r="CB34">
        <v>1690214843</v>
      </c>
      <c r="CC34" t="s">
        <v>332</v>
      </c>
      <c r="CD34">
        <v>1690214842</v>
      </c>
      <c r="CE34">
        <v>1690214843</v>
      </c>
      <c r="CF34">
        <v>8</v>
      </c>
      <c r="CG34">
        <v>-6.3E-2</v>
      </c>
      <c r="CH34">
        <v>1E-3</v>
      </c>
      <c r="CI34">
        <v>-0.38900000000000001</v>
      </c>
      <c r="CJ34">
        <v>-6.6000000000000003E-2</v>
      </c>
      <c r="CK34">
        <v>800</v>
      </c>
      <c r="CL34">
        <v>6</v>
      </c>
      <c r="CM34">
        <v>0.23</v>
      </c>
      <c r="CN34">
        <v>0.02</v>
      </c>
      <c r="CO34">
        <v>-15.668707317073171</v>
      </c>
      <c r="CP34">
        <v>-9.0877630662020952</v>
      </c>
      <c r="CQ34">
        <v>0.89689685852081658</v>
      </c>
      <c r="CR34">
        <v>-1</v>
      </c>
      <c r="CS34">
        <v>4.2256702439024396</v>
      </c>
      <c r="CT34">
        <v>0.30511379790940552</v>
      </c>
      <c r="CU34">
        <v>3.0129297830274609E-2</v>
      </c>
      <c r="CV34">
        <v>-1</v>
      </c>
      <c r="CW34">
        <v>0</v>
      </c>
      <c r="CX34">
        <v>0</v>
      </c>
      <c r="CY34" t="s">
        <v>333</v>
      </c>
      <c r="CZ34">
        <v>2.3641100000000002</v>
      </c>
      <c r="DA34">
        <v>2.7136800000000001</v>
      </c>
      <c r="DB34">
        <v>0.144344</v>
      </c>
      <c r="DC34">
        <v>0.14604900000000001</v>
      </c>
      <c r="DD34">
        <v>6.0913399999999999E-2</v>
      </c>
      <c r="DE34">
        <v>3.8747700000000003E-2</v>
      </c>
      <c r="DF34">
        <v>31228.7</v>
      </c>
      <c r="DG34">
        <v>27499.200000000001</v>
      </c>
      <c r="DH34">
        <v>31158.5</v>
      </c>
      <c r="DI34">
        <v>28060.7</v>
      </c>
      <c r="DJ34">
        <v>39741.9</v>
      </c>
      <c r="DK34">
        <v>38354.300000000003</v>
      </c>
      <c r="DL34">
        <v>44339.3</v>
      </c>
      <c r="DM34">
        <v>42525.599999999999</v>
      </c>
      <c r="DN34">
        <v>1.3503000000000001</v>
      </c>
      <c r="DO34">
        <v>2.0320499999999999</v>
      </c>
      <c r="DP34">
        <v>7.4237600000000001E-2</v>
      </c>
      <c r="DQ34">
        <v>0.16505300000000001</v>
      </c>
      <c r="DR34">
        <v>25.8811</v>
      </c>
      <c r="DS34">
        <v>25.639399999999998</v>
      </c>
      <c r="DT34">
        <v>17.399999999999999</v>
      </c>
      <c r="DU34">
        <v>29.8</v>
      </c>
      <c r="DV34">
        <v>7.3971900000000002</v>
      </c>
      <c r="DW34">
        <v>61.921199999999999</v>
      </c>
      <c r="DX34">
        <v>36.117800000000003</v>
      </c>
      <c r="DY34">
        <v>1</v>
      </c>
      <c r="DZ34">
        <v>-7.4913599999999997E-2</v>
      </c>
      <c r="EA34">
        <v>2.5365199999999999</v>
      </c>
      <c r="EB34">
        <v>20.165900000000001</v>
      </c>
      <c r="EC34">
        <v>5.2409499999999998</v>
      </c>
      <c r="ED34">
        <v>12.039899999999999</v>
      </c>
      <c r="EE34">
        <v>5.0168999999999997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1.8689100000000001</v>
      </c>
      <c r="EL34">
        <v>1.8646499999999999</v>
      </c>
      <c r="EM34">
        <v>1.8692</v>
      </c>
      <c r="EN34">
        <v>1.86724</v>
      </c>
      <c r="EO34">
        <v>1.8633999999999999</v>
      </c>
      <c r="EP34">
        <v>1.8645700000000001</v>
      </c>
      <c r="EQ34">
        <v>1.87016</v>
      </c>
      <c r="ER34">
        <v>1.8694200000000001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-0.378</v>
      </c>
      <c r="FG34">
        <v>-2.5100000000000001E-2</v>
      </c>
      <c r="FH34">
        <v>0.16202357103534001</v>
      </c>
      <c r="FI34">
        <v>-6.1462078757559423E-4</v>
      </c>
      <c r="FJ34">
        <v>-1.8861989874597051E-7</v>
      </c>
      <c r="FK34">
        <v>1.1980462299894961E-10</v>
      </c>
      <c r="FL34">
        <v>-3.0039189969545878E-2</v>
      </c>
      <c r="FM34">
        <v>-1.6848085045870601E-2</v>
      </c>
      <c r="FN34">
        <v>1.9789084769509481E-3</v>
      </c>
      <c r="FO34">
        <v>-2.7142391389806329E-5</v>
      </c>
      <c r="FP34">
        <v>3</v>
      </c>
      <c r="FQ34">
        <v>2158</v>
      </c>
      <c r="FR34">
        <v>1</v>
      </c>
      <c r="FS34">
        <v>19</v>
      </c>
      <c r="FT34">
        <v>10.4</v>
      </c>
      <c r="FU34">
        <v>10.4</v>
      </c>
      <c r="FV34">
        <v>1.77979</v>
      </c>
      <c r="FW34">
        <v>2.5756800000000002</v>
      </c>
      <c r="FX34">
        <v>1.5490699999999999</v>
      </c>
      <c r="FY34">
        <v>2.3290999999999999</v>
      </c>
      <c r="FZ34">
        <v>1.50146</v>
      </c>
      <c r="GA34">
        <v>2.3828100000000001</v>
      </c>
      <c r="GB34">
        <v>33.805700000000002</v>
      </c>
      <c r="GC34">
        <v>23.982399999999998</v>
      </c>
      <c r="GD34">
        <v>19</v>
      </c>
      <c r="GE34">
        <v>233.215</v>
      </c>
      <c r="GF34">
        <v>580.721</v>
      </c>
      <c r="GG34">
        <v>23.221499999999999</v>
      </c>
      <c r="GH34">
        <v>26.424499999999998</v>
      </c>
      <c r="GI34">
        <v>30</v>
      </c>
      <c r="GJ34">
        <v>26.4787</v>
      </c>
      <c r="GK34">
        <v>26.438300000000002</v>
      </c>
      <c r="GL34">
        <v>35.582000000000001</v>
      </c>
      <c r="GM34">
        <v>-30</v>
      </c>
      <c r="GN34">
        <v>-30</v>
      </c>
      <c r="GO34">
        <v>23.1617</v>
      </c>
      <c r="GP34">
        <v>800</v>
      </c>
      <c r="GQ34">
        <v>12.5298</v>
      </c>
      <c r="GR34">
        <v>99.690899999999999</v>
      </c>
      <c r="GS34">
        <v>99.486599999999996</v>
      </c>
    </row>
    <row r="35" spans="1:201" x14ac:dyDescent="0.25">
      <c r="A35">
        <v>19</v>
      </c>
      <c r="B35">
        <v>1690215474.5</v>
      </c>
      <c r="C35">
        <v>529</v>
      </c>
      <c r="D35" t="s">
        <v>371</v>
      </c>
      <c r="E35" t="s">
        <v>372</v>
      </c>
      <c r="F35" t="s">
        <v>330</v>
      </c>
      <c r="H35">
        <v>1690215474.5</v>
      </c>
      <c r="I35">
        <f t="shared" si="0"/>
        <v>3.928634402256956E-4</v>
      </c>
      <c r="J35">
        <f t="shared" si="1"/>
        <v>0.39286344022569558</v>
      </c>
      <c r="K35">
        <f t="shared" si="2"/>
        <v>1.399924221846947</v>
      </c>
      <c r="L35">
        <f t="shared" si="3"/>
        <v>780.87199999999996</v>
      </c>
      <c r="M35">
        <f t="shared" si="4"/>
        <v>570.78076923485582</v>
      </c>
      <c r="N35">
        <f t="shared" si="5"/>
        <v>56.604692472370651</v>
      </c>
      <c r="O35">
        <f t="shared" si="6"/>
        <v>77.439573655463988</v>
      </c>
      <c r="P35">
        <f t="shared" si="7"/>
        <v>1.2720652496926622E-2</v>
      </c>
      <c r="Q35">
        <f t="shared" si="8"/>
        <v>2.0649455079317689</v>
      </c>
      <c r="R35">
        <f t="shared" si="9"/>
        <v>1.2677277875159586E-2</v>
      </c>
      <c r="S35">
        <f t="shared" si="10"/>
        <v>7.9271833204918041E-3</v>
      </c>
      <c r="T35">
        <f t="shared" si="11"/>
        <v>276.11465405317762</v>
      </c>
      <c r="U35">
        <f t="shared" si="12"/>
        <v>28.945477515166033</v>
      </c>
      <c r="V35">
        <f t="shared" si="13"/>
        <v>28.945477515166033</v>
      </c>
      <c r="W35">
        <f t="shared" si="14"/>
        <v>4.0091016374379729</v>
      </c>
      <c r="X35">
        <f t="shared" si="15"/>
        <v>28.588243971607451</v>
      </c>
      <c r="Y35">
        <f t="shared" si="16"/>
        <v>1.0136726660955</v>
      </c>
      <c r="Z35">
        <f t="shared" si="17"/>
        <v>3.5457675088481606</v>
      </c>
      <c r="AA35">
        <f t="shared" si="18"/>
        <v>2.9954289713424727</v>
      </c>
      <c r="AB35">
        <f t="shared" si="19"/>
        <v>-17.325277713953177</v>
      </c>
      <c r="AC35">
        <f t="shared" si="20"/>
        <v>-234.33734224887883</v>
      </c>
      <c r="AD35">
        <f t="shared" si="21"/>
        <v>-24.71073313235707</v>
      </c>
      <c r="AE35">
        <f t="shared" si="22"/>
        <v>-0.25869904201144323</v>
      </c>
      <c r="AF35">
        <v>48</v>
      </c>
      <c r="AG35">
        <v>16</v>
      </c>
      <c r="AH35">
        <f t="shared" si="23"/>
        <v>1</v>
      </c>
      <c r="AI35">
        <f t="shared" si="24"/>
        <v>0</v>
      </c>
      <c r="AJ35">
        <f t="shared" si="25"/>
        <v>52454.312486912539</v>
      </c>
      <c r="AK35">
        <f t="shared" si="26"/>
        <v>1799.99</v>
      </c>
      <c r="AL35">
        <f t="shared" si="27"/>
        <v>1499.1047317941097</v>
      </c>
      <c r="AM35">
        <f t="shared" si="28"/>
        <v>0.83284058899999991</v>
      </c>
      <c r="AN35">
        <f t="shared" si="29"/>
        <v>0.15339788224000001</v>
      </c>
      <c r="AO35">
        <v>33.6</v>
      </c>
      <c r="AP35">
        <v>0.5</v>
      </c>
      <c r="AQ35" t="s">
        <v>331</v>
      </c>
      <c r="AR35">
        <v>2</v>
      </c>
      <c r="AS35">
        <v>1690215474.5</v>
      </c>
      <c r="AT35">
        <v>780.87199999999996</v>
      </c>
      <c r="AU35">
        <v>799.971</v>
      </c>
      <c r="AV35">
        <v>10.221500000000001</v>
      </c>
      <c r="AW35">
        <v>5.8700599999999996</v>
      </c>
      <c r="AX35">
        <v>781.24800000000005</v>
      </c>
      <c r="AY35">
        <v>10.2456</v>
      </c>
      <c r="AZ35">
        <v>300.25200000000001</v>
      </c>
      <c r="BA35">
        <v>99.070599999999999</v>
      </c>
      <c r="BB35">
        <v>0.100037</v>
      </c>
      <c r="BC35">
        <v>26.840499999999999</v>
      </c>
      <c r="BD35">
        <v>27.015599999999999</v>
      </c>
      <c r="BE35">
        <v>28.264700000000001</v>
      </c>
      <c r="BF35">
        <v>0</v>
      </c>
      <c r="BG35">
        <v>0</v>
      </c>
      <c r="BH35">
        <v>10008.1</v>
      </c>
      <c r="BI35">
        <v>1076.92</v>
      </c>
      <c r="BJ35">
        <v>1.93428</v>
      </c>
      <c r="BK35">
        <v>-19.0991</v>
      </c>
      <c r="BL35">
        <v>788.93600000000004</v>
      </c>
      <c r="BM35">
        <v>804.69500000000005</v>
      </c>
      <c r="BN35">
        <v>4.3514499999999998</v>
      </c>
      <c r="BO35">
        <v>799.971</v>
      </c>
      <c r="BP35">
        <v>5.8700599999999996</v>
      </c>
      <c r="BQ35">
        <v>1.0126500000000001</v>
      </c>
      <c r="BR35">
        <v>0.58155000000000001</v>
      </c>
      <c r="BS35">
        <v>7.0996899999999998</v>
      </c>
      <c r="BT35">
        <v>-0.73746199999999995</v>
      </c>
      <c r="BU35">
        <v>1799.99</v>
      </c>
      <c r="BV35">
        <v>0.91</v>
      </c>
      <c r="BW35">
        <v>3.4007900000000001E-2</v>
      </c>
      <c r="BX35">
        <v>2.20057E-2</v>
      </c>
      <c r="BY35">
        <v>3.3986799999999998E-2</v>
      </c>
      <c r="BZ35">
        <v>25.666699999999999</v>
      </c>
      <c r="CA35">
        <v>33528.1</v>
      </c>
      <c r="CB35">
        <v>1690214843</v>
      </c>
      <c r="CC35" t="s">
        <v>332</v>
      </c>
      <c r="CD35">
        <v>1690214842</v>
      </c>
      <c r="CE35">
        <v>1690214843</v>
      </c>
      <c r="CF35">
        <v>8</v>
      </c>
      <c r="CG35">
        <v>-6.3E-2</v>
      </c>
      <c r="CH35">
        <v>1E-3</v>
      </c>
      <c r="CI35">
        <v>-0.38900000000000001</v>
      </c>
      <c r="CJ35">
        <v>-6.6000000000000003E-2</v>
      </c>
      <c r="CK35">
        <v>800</v>
      </c>
      <c r="CL35">
        <v>6</v>
      </c>
      <c r="CM35">
        <v>0.23</v>
      </c>
      <c r="CN35">
        <v>0.02</v>
      </c>
      <c r="CO35">
        <v>-17.206009999999999</v>
      </c>
      <c r="CP35">
        <v>-9.8706754221388167</v>
      </c>
      <c r="CQ35">
        <v>0.95035091040099495</v>
      </c>
      <c r="CR35">
        <v>-1</v>
      </c>
      <c r="CS35">
        <v>4.2797335000000007</v>
      </c>
      <c r="CT35">
        <v>0.36207129455909182</v>
      </c>
      <c r="CU35">
        <v>3.4860979801921793E-2</v>
      </c>
      <c r="CV35">
        <v>-1</v>
      </c>
      <c r="CW35">
        <v>0</v>
      </c>
      <c r="CX35">
        <v>0</v>
      </c>
      <c r="CY35" t="s">
        <v>333</v>
      </c>
      <c r="CZ35">
        <v>2.3645499999999999</v>
      </c>
      <c r="DA35">
        <v>2.7138399999999998</v>
      </c>
      <c r="DB35">
        <v>0.144126</v>
      </c>
      <c r="DC35">
        <v>0.146037</v>
      </c>
      <c r="DD35">
        <v>6.1207600000000001E-2</v>
      </c>
      <c r="DE35">
        <v>3.8738000000000002E-2</v>
      </c>
      <c r="DF35">
        <v>31236.2</v>
      </c>
      <c r="DG35">
        <v>27499.599999999999</v>
      </c>
      <c r="DH35">
        <v>31158</v>
      </c>
      <c r="DI35">
        <v>28060.7</v>
      </c>
      <c r="DJ35">
        <v>39728.9</v>
      </c>
      <c r="DK35">
        <v>38354.5</v>
      </c>
      <c r="DL35">
        <v>44338.8</v>
      </c>
      <c r="DM35">
        <v>42525.4</v>
      </c>
      <c r="DN35">
        <v>1.3512999999999999</v>
      </c>
      <c r="DO35">
        <v>2.0315699999999999</v>
      </c>
      <c r="DP35">
        <v>6.9707599999999995E-2</v>
      </c>
      <c r="DQ35">
        <v>0.16200500000000001</v>
      </c>
      <c r="DR35">
        <v>25.874600000000001</v>
      </c>
      <c r="DS35">
        <v>25.614999999999998</v>
      </c>
      <c r="DT35">
        <v>17.399999999999999</v>
      </c>
      <c r="DU35">
        <v>29.8</v>
      </c>
      <c r="DV35">
        <v>7.3982099999999997</v>
      </c>
      <c r="DW35">
        <v>61.821199999999997</v>
      </c>
      <c r="DX35">
        <v>35.945500000000003</v>
      </c>
      <c r="DY35">
        <v>1</v>
      </c>
      <c r="DZ35">
        <v>-7.5807899999999998E-2</v>
      </c>
      <c r="EA35">
        <v>2.1239400000000002</v>
      </c>
      <c r="EB35">
        <v>20.173500000000001</v>
      </c>
      <c r="EC35">
        <v>5.2411000000000003</v>
      </c>
      <c r="ED35">
        <v>12.039899999999999</v>
      </c>
      <c r="EE35">
        <v>5.0172999999999996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1.8689199999999999</v>
      </c>
      <c r="EL35">
        <v>1.8646400000000001</v>
      </c>
      <c r="EM35">
        <v>1.8692</v>
      </c>
      <c r="EN35">
        <v>1.8672500000000001</v>
      </c>
      <c r="EO35">
        <v>1.8633999999999999</v>
      </c>
      <c r="EP35">
        <v>1.8645700000000001</v>
      </c>
      <c r="EQ35">
        <v>1.87016</v>
      </c>
      <c r="ER35">
        <v>1.86941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-0.376</v>
      </c>
      <c r="FG35">
        <v>-2.41E-2</v>
      </c>
      <c r="FH35">
        <v>0.16202357103534001</v>
      </c>
      <c r="FI35">
        <v>-6.1462078757559423E-4</v>
      </c>
      <c r="FJ35">
        <v>-1.8861989874597051E-7</v>
      </c>
      <c r="FK35">
        <v>1.1980462299894961E-10</v>
      </c>
      <c r="FL35">
        <v>-3.0039189969545878E-2</v>
      </c>
      <c r="FM35">
        <v>-1.6848085045870601E-2</v>
      </c>
      <c r="FN35">
        <v>1.9789084769509481E-3</v>
      </c>
      <c r="FO35">
        <v>-2.7142391389806329E-5</v>
      </c>
      <c r="FP35">
        <v>3</v>
      </c>
      <c r="FQ35">
        <v>2158</v>
      </c>
      <c r="FR35">
        <v>1</v>
      </c>
      <c r="FS35">
        <v>19</v>
      </c>
      <c r="FT35">
        <v>10.5</v>
      </c>
      <c r="FU35">
        <v>10.5</v>
      </c>
      <c r="FV35">
        <v>1.77979</v>
      </c>
      <c r="FW35">
        <v>2.5805699999999998</v>
      </c>
      <c r="FX35">
        <v>1.5490699999999999</v>
      </c>
      <c r="FY35">
        <v>2.3290999999999999</v>
      </c>
      <c r="FZ35">
        <v>1.50146</v>
      </c>
      <c r="GA35">
        <v>2.4121100000000002</v>
      </c>
      <c r="GB35">
        <v>33.805700000000002</v>
      </c>
      <c r="GC35">
        <v>23.982399999999998</v>
      </c>
      <c r="GD35">
        <v>19</v>
      </c>
      <c r="GE35">
        <v>233.60300000000001</v>
      </c>
      <c r="GF35">
        <v>580.37300000000005</v>
      </c>
      <c r="GG35">
        <v>23.0154</v>
      </c>
      <c r="GH35">
        <v>26.430599999999998</v>
      </c>
      <c r="GI35">
        <v>29.9998</v>
      </c>
      <c r="GJ35">
        <v>26.483599999999999</v>
      </c>
      <c r="GK35">
        <v>26.4422</v>
      </c>
      <c r="GL35">
        <v>35.582700000000003</v>
      </c>
      <c r="GM35">
        <v>-30</v>
      </c>
      <c r="GN35">
        <v>-30</v>
      </c>
      <c r="GO35">
        <v>23.021899999999999</v>
      </c>
      <c r="GP35">
        <v>800</v>
      </c>
      <c r="GQ35">
        <v>12.5298</v>
      </c>
      <c r="GR35">
        <v>99.689700000000002</v>
      </c>
      <c r="GS35">
        <v>99.4863</v>
      </c>
    </row>
    <row r="36" spans="1:201" x14ac:dyDescent="0.25">
      <c r="A36">
        <v>20</v>
      </c>
      <c r="B36">
        <v>1690215484.5</v>
      </c>
      <c r="C36">
        <v>539</v>
      </c>
      <c r="D36" t="s">
        <v>373</v>
      </c>
      <c r="E36" t="s">
        <v>374</v>
      </c>
      <c r="F36" t="s">
        <v>330</v>
      </c>
      <c r="H36">
        <v>1690215484.5</v>
      </c>
      <c r="I36">
        <f t="shared" si="0"/>
        <v>4.0025122335298239E-4</v>
      </c>
      <c r="J36">
        <f t="shared" si="1"/>
        <v>0.40025122335298241</v>
      </c>
      <c r="K36">
        <f t="shared" si="2"/>
        <v>1.5615287385275889</v>
      </c>
      <c r="L36">
        <f t="shared" si="3"/>
        <v>778.98400000000004</v>
      </c>
      <c r="M36">
        <f t="shared" si="4"/>
        <v>554.0476147655753</v>
      </c>
      <c r="N36">
        <f t="shared" si="5"/>
        <v>54.947415670330294</v>
      </c>
      <c r="O36">
        <f t="shared" si="6"/>
        <v>77.255377530407998</v>
      </c>
      <c r="P36">
        <f t="shared" si="7"/>
        <v>1.3044155707934066E-2</v>
      </c>
      <c r="Q36">
        <f t="shared" si="8"/>
        <v>2.0572102612146059</v>
      </c>
      <c r="R36">
        <f t="shared" si="9"/>
        <v>1.2998380327101159E-2</v>
      </c>
      <c r="S36">
        <f t="shared" si="10"/>
        <v>8.1280869873996877E-3</v>
      </c>
      <c r="T36">
        <f t="shared" si="11"/>
        <v>276.11346045057314</v>
      </c>
      <c r="U36">
        <f t="shared" si="12"/>
        <v>28.898576209638531</v>
      </c>
      <c r="V36">
        <f t="shared" si="13"/>
        <v>28.898576209638531</v>
      </c>
      <c r="W36">
        <f t="shared" si="14"/>
        <v>3.998229548125706</v>
      </c>
      <c r="X36">
        <f t="shared" si="15"/>
        <v>28.901934301948124</v>
      </c>
      <c r="Y36">
        <f t="shared" si="16"/>
        <v>1.0216960801739998</v>
      </c>
      <c r="Z36">
        <f t="shared" si="17"/>
        <v>3.5350439506920228</v>
      </c>
      <c r="AA36">
        <f t="shared" si="18"/>
        <v>2.9765334679517061</v>
      </c>
      <c r="AB36">
        <f t="shared" si="19"/>
        <v>-17.651078949866523</v>
      </c>
      <c r="AC36">
        <f t="shared" si="20"/>
        <v>-233.96955248463539</v>
      </c>
      <c r="AD36">
        <f t="shared" si="21"/>
        <v>-24.752573253561632</v>
      </c>
      <c r="AE36">
        <f t="shared" si="22"/>
        <v>-0.25974423749039488</v>
      </c>
      <c r="AF36">
        <v>47</v>
      </c>
      <c r="AG36">
        <v>16</v>
      </c>
      <c r="AH36">
        <f t="shared" si="23"/>
        <v>1</v>
      </c>
      <c r="AI36">
        <f t="shared" si="24"/>
        <v>0</v>
      </c>
      <c r="AJ36">
        <f t="shared" si="25"/>
        <v>52110.116218793199</v>
      </c>
      <c r="AK36">
        <f t="shared" si="26"/>
        <v>1799.98</v>
      </c>
      <c r="AL36">
        <f t="shared" si="27"/>
        <v>1499.0935234202198</v>
      </c>
      <c r="AM36">
        <f t="shared" si="28"/>
        <v>0.83283898899999986</v>
      </c>
      <c r="AN36">
        <f t="shared" si="29"/>
        <v>0.15339807133999997</v>
      </c>
      <c r="AO36">
        <v>33.6</v>
      </c>
      <c r="AP36">
        <v>0.5</v>
      </c>
      <c r="AQ36" t="s">
        <v>331</v>
      </c>
      <c r="AR36">
        <v>2</v>
      </c>
      <c r="AS36">
        <v>1690215484.5</v>
      </c>
      <c r="AT36">
        <v>778.98400000000004</v>
      </c>
      <c r="AU36">
        <v>799.95299999999997</v>
      </c>
      <c r="AV36">
        <v>10.302</v>
      </c>
      <c r="AW36">
        <v>5.8679399999999999</v>
      </c>
      <c r="AX36">
        <v>779.35900000000004</v>
      </c>
      <c r="AY36">
        <v>10.3249</v>
      </c>
      <c r="AZ36">
        <v>300.17399999999998</v>
      </c>
      <c r="BA36">
        <v>99.0745</v>
      </c>
      <c r="BB36">
        <v>0.100037</v>
      </c>
      <c r="BC36">
        <v>26.789000000000001</v>
      </c>
      <c r="BD36">
        <v>26.941299999999998</v>
      </c>
      <c r="BE36">
        <v>28.1861</v>
      </c>
      <c r="BF36">
        <v>0</v>
      </c>
      <c r="BG36">
        <v>0</v>
      </c>
      <c r="BH36">
        <v>9937.5</v>
      </c>
      <c r="BI36">
        <v>1076.5</v>
      </c>
      <c r="BJ36">
        <v>1.9482999999999999</v>
      </c>
      <c r="BK36">
        <v>-20.968900000000001</v>
      </c>
      <c r="BL36">
        <v>787.09299999999996</v>
      </c>
      <c r="BM36">
        <v>804.67499999999995</v>
      </c>
      <c r="BN36">
        <v>4.4340799999999998</v>
      </c>
      <c r="BO36">
        <v>799.95299999999997</v>
      </c>
      <c r="BP36">
        <v>5.8679399999999999</v>
      </c>
      <c r="BQ36">
        <v>1.02067</v>
      </c>
      <c r="BR36">
        <v>0.58136299999999996</v>
      </c>
      <c r="BS36">
        <v>7.2147800000000002</v>
      </c>
      <c r="BT36">
        <v>-0.74187499999999995</v>
      </c>
      <c r="BU36">
        <v>1799.98</v>
      </c>
      <c r="BV36">
        <v>0.90997799999999995</v>
      </c>
      <c r="BW36">
        <v>3.4002699999999997E-2</v>
      </c>
      <c r="BX36">
        <v>2.2006700000000001E-2</v>
      </c>
      <c r="BY36">
        <v>3.4013000000000002E-2</v>
      </c>
      <c r="BZ36">
        <v>25.375</v>
      </c>
      <c r="CA36">
        <v>33527.9</v>
      </c>
      <c r="CB36">
        <v>1690214843</v>
      </c>
      <c r="CC36" t="s">
        <v>332</v>
      </c>
      <c r="CD36">
        <v>1690214842</v>
      </c>
      <c r="CE36">
        <v>1690214843</v>
      </c>
      <c r="CF36">
        <v>8</v>
      </c>
      <c r="CG36">
        <v>-6.3E-2</v>
      </c>
      <c r="CH36">
        <v>1E-3</v>
      </c>
      <c r="CI36">
        <v>-0.38900000000000001</v>
      </c>
      <c r="CJ36">
        <v>-6.6000000000000003E-2</v>
      </c>
      <c r="CK36">
        <v>800</v>
      </c>
      <c r="CL36">
        <v>6</v>
      </c>
      <c r="CM36">
        <v>0.23</v>
      </c>
      <c r="CN36">
        <v>0.02</v>
      </c>
      <c r="CO36">
        <v>-18.964075609756101</v>
      </c>
      <c r="CP36">
        <v>-10.588722648083641</v>
      </c>
      <c r="CQ36">
        <v>1.044572708950011</v>
      </c>
      <c r="CR36">
        <v>-1</v>
      </c>
      <c r="CS36">
        <v>4.3473826829268294</v>
      </c>
      <c r="CT36">
        <v>0.43230773519163901</v>
      </c>
      <c r="CU36">
        <v>4.2681757171430149E-2</v>
      </c>
      <c r="CV36">
        <v>-1</v>
      </c>
      <c r="CW36">
        <v>0</v>
      </c>
      <c r="CX36">
        <v>0</v>
      </c>
      <c r="CY36" t="s">
        <v>333</v>
      </c>
      <c r="CZ36">
        <v>2.3643200000000002</v>
      </c>
      <c r="DA36">
        <v>2.7137699999999998</v>
      </c>
      <c r="DB36">
        <v>0.143898</v>
      </c>
      <c r="DC36">
        <v>0.14604</v>
      </c>
      <c r="DD36">
        <v>6.1575100000000001E-2</v>
      </c>
      <c r="DE36">
        <v>3.87278E-2</v>
      </c>
      <c r="DF36">
        <v>31244.7</v>
      </c>
      <c r="DG36">
        <v>27499.200000000001</v>
      </c>
      <c r="DH36">
        <v>31158.3</v>
      </c>
      <c r="DI36">
        <v>28060.400000000001</v>
      </c>
      <c r="DJ36">
        <v>39713.5</v>
      </c>
      <c r="DK36">
        <v>38354.699999999997</v>
      </c>
      <c r="DL36">
        <v>44339</v>
      </c>
      <c r="DM36">
        <v>42525.1</v>
      </c>
      <c r="DN36">
        <v>1.3526499999999999</v>
      </c>
      <c r="DO36">
        <v>2.0315699999999999</v>
      </c>
      <c r="DP36">
        <v>6.5967399999999995E-2</v>
      </c>
      <c r="DQ36">
        <v>0.158995</v>
      </c>
      <c r="DR36">
        <v>25.861499999999999</v>
      </c>
      <c r="DS36">
        <v>25.5854</v>
      </c>
      <c r="DT36">
        <v>17.399999999999999</v>
      </c>
      <c r="DU36">
        <v>29.7</v>
      </c>
      <c r="DV36">
        <v>7.3543500000000002</v>
      </c>
      <c r="DW36">
        <v>62.171199999999999</v>
      </c>
      <c r="DX36">
        <v>35.9495</v>
      </c>
      <c r="DY36">
        <v>1</v>
      </c>
      <c r="DZ36">
        <v>-7.4789099999999997E-2</v>
      </c>
      <c r="EA36">
        <v>-1.96546</v>
      </c>
      <c r="EB36">
        <v>20.167400000000001</v>
      </c>
      <c r="EC36">
        <v>5.24125</v>
      </c>
      <c r="ED36">
        <v>12.039899999999999</v>
      </c>
      <c r="EE36">
        <v>5.0169499999999996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1.86893</v>
      </c>
      <c r="EL36">
        <v>1.86466</v>
      </c>
      <c r="EM36">
        <v>1.8691899999999999</v>
      </c>
      <c r="EN36">
        <v>1.8672200000000001</v>
      </c>
      <c r="EO36">
        <v>1.8633999999999999</v>
      </c>
      <c r="EP36">
        <v>1.8646</v>
      </c>
      <c r="EQ36">
        <v>1.8701700000000001</v>
      </c>
      <c r="ER36">
        <v>1.8694299999999999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-0.375</v>
      </c>
      <c r="FG36">
        <v>-2.29E-2</v>
      </c>
      <c r="FH36">
        <v>0.16202357103534001</v>
      </c>
      <c r="FI36">
        <v>-6.1462078757559423E-4</v>
      </c>
      <c r="FJ36">
        <v>-1.8861989874597051E-7</v>
      </c>
      <c r="FK36">
        <v>1.1980462299894961E-10</v>
      </c>
      <c r="FL36">
        <v>-3.0039189969545878E-2</v>
      </c>
      <c r="FM36">
        <v>-1.6848085045870601E-2</v>
      </c>
      <c r="FN36">
        <v>1.9789084769509481E-3</v>
      </c>
      <c r="FO36">
        <v>-2.7142391389806329E-5</v>
      </c>
      <c r="FP36">
        <v>3</v>
      </c>
      <c r="FQ36">
        <v>2158</v>
      </c>
      <c r="FR36">
        <v>1</v>
      </c>
      <c r="FS36">
        <v>19</v>
      </c>
      <c r="FT36">
        <v>10.7</v>
      </c>
      <c r="FU36">
        <v>10.7</v>
      </c>
      <c r="FV36">
        <v>1.77979</v>
      </c>
      <c r="FW36">
        <v>2.5793499999999998</v>
      </c>
      <c r="FX36">
        <v>1.5490699999999999</v>
      </c>
      <c r="FY36">
        <v>2.3290999999999999</v>
      </c>
      <c r="FZ36">
        <v>1.50146</v>
      </c>
      <c r="GA36">
        <v>2.4060100000000002</v>
      </c>
      <c r="GB36">
        <v>33.828299999999999</v>
      </c>
      <c r="GC36">
        <v>23.991199999999999</v>
      </c>
      <c r="GD36">
        <v>19</v>
      </c>
      <c r="GE36">
        <v>234.12100000000001</v>
      </c>
      <c r="GF36">
        <v>580.40499999999997</v>
      </c>
      <c r="GG36">
        <v>23.856100000000001</v>
      </c>
      <c r="GH36">
        <v>26.436699999999998</v>
      </c>
      <c r="GI36">
        <v>30.000699999999998</v>
      </c>
      <c r="GJ36">
        <v>26.488099999999999</v>
      </c>
      <c r="GK36">
        <v>26.444900000000001</v>
      </c>
      <c r="GL36">
        <v>35.584000000000003</v>
      </c>
      <c r="GM36">
        <v>-30</v>
      </c>
      <c r="GN36">
        <v>-30</v>
      </c>
      <c r="GO36">
        <v>24.212199999999999</v>
      </c>
      <c r="GP36">
        <v>800</v>
      </c>
      <c r="GQ36">
        <v>12.5298</v>
      </c>
      <c r="GR36">
        <v>99.690399999999997</v>
      </c>
      <c r="GS36">
        <v>99.485399999999998</v>
      </c>
    </row>
    <row r="37" spans="1:201" x14ac:dyDescent="0.25">
      <c r="A37">
        <v>21</v>
      </c>
      <c r="B37">
        <v>1690215494.5999999</v>
      </c>
      <c r="C37">
        <v>549.09999990463257</v>
      </c>
      <c r="D37" t="s">
        <v>375</v>
      </c>
      <c r="E37" t="s">
        <v>376</v>
      </c>
      <c r="F37" t="s">
        <v>330</v>
      </c>
      <c r="H37">
        <v>1690215494.5999999</v>
      </c>
      <c r="I37">
        <f t="shared" si="0"/>
        <v>4.1081822821411814E-4</v>
      </c>
      <c r="J37">
        <f t="shared" si="1"/>
        <v>0.41081822821411812</v>
      </c>
      <c r="K37">
        <f t="shared" si="2"/>
        <v>1.7401500933389216</v>
      </c>
      <c r="L37">
        <f t="shared" si="3"/>
        <v>776.976</v>
      </c>
      <c r="M37">
        <f t="shared" si="4"/>
        <v>536.27777383985267</v>
      </c>
      <c r="N37">
        <f t="shared" si="5"/>
        <v>53.181629670483581</v>
      </c>
      <c r="O37">
        <f t="shared" si="6"/>
        <v>77.051207248416006</v>
      </c>
      <c r="P37">
        <f t="shared" si="7"/>
        <v>1.3401664340326597E-2</v>
      </c>
      <c r="Q37">
        <f t="shared" si="8"/>
        <v>2.0682824558589381</v>
      </c>
      <c r="R37">
        <f t="shared" si="9"/>
        <v>1.3353608045891991E-2</v>
      </c>
      <c r="S37">
        <f t="shared" si="10"/>
        <v>8.3503082664341602E-3</v>
      </c>
      <c r="T37">
        <f t="shared" si="11"/>
        <v>276.11261429797497</v>
      </c>
      <c r="U37">
        <f t="shared" si="12"/>
        <v>28.933459068780685</v>
      </c>
      <c r="V37">
        <f t="shared" si="13"/>
        <v>28.933459068780685</v>
      </c>
      <c r="W37">
        <f t="shared" si="14"/>
        <v>4.0063132138993973</v>
      </c>
      <c r="X37">
        <f t="shared" si="15"/>
        <v>29.136602667060618</v>
      </c>
      <c r="Y37">
        <f t="shared" si="16"/>
        <v>1.0329643258757999</v>
      </c>
      <c r="Z37">
        <f t="shared" si="17"/>
        <v>3.5452462927106532</v>
      </c>
      <c r="AA37">
        <f t="shared" si="18"/>
        <v>2.9733488880235974</v>
      </c>
      <c r="AB37">
        <f t="shared" si="19"/>
        <v>-18.117083864242609</v>
      </c>
      <c r="AC37">
        <f t="shared" si="20"/>
        <v>-233.65467425405245</v>
      </c>
      <c r="AD37">
        <f t="shared" si="21"/>
        <v>-24.597211217556112</v>
      </c>
      <c r="AE37">
        <f t="shared" si="22"/>
        <v>-0.25635503787620451</v>
      </c>
      <c r="AF37">
        <v>47</v>
      </c>
      <c r="AG37">
        <v>16</v>
      </c>
      <c r="AH37">
        <f t="shared" si="23"/>
        <v>1</v>
      </c>
      <c r="AI37">
        <f t="shared" si="24"/>
        <v>0</v>
      </c>
      <c r="AJ37">
        <f t="shared" si="25"/>
        <v>52607.597804471545</v>
      </c>
      <c r="AK37">
        <f t="shared" si="26"/>
        <v>1799.98</v>
      </c>
      <c r="AL37">
        <f t="shared" si="27"/>
        <v>1499.0938672163998</v>
      </c>
      <c r="AM37">
        <f t="shared" si="28"/>
        <v>0.8328391799999999</v>
      </c>
      <c r="AN37">
        <f t="shared" si="29"/>
        <v>0.15339760124999999</v>
      </c>
      <c r="AO37">
        <v>33.6</v>
      </c>
      <c r="AP37">
        <v>0.5</v>
      </c>
      <c r="AQ37" t="s">
        <v>331</v>
      </c>
      <c r="AR37">
        <v>2</v>
      </c>
      <c r="AS37">
        <v>1690215494.5999999</v>
      </c>
      <c r="AT37">
        <v>776.976</v>
      </c>
      <c r="AU37">
        <v>800.02599999999995</v>
      </c>
      <c r="AV37">
        <v>10.4163</v>
      </c>
      <c r="AW37">
        <v>5.8659600000000003</v>
      </c>
      <c r="AX37">
        <v>777.35</v>
      </c>
      <c r="AY37">
        <v>10.4374</v>
      </c>
      <c r="AZ37">
        <v>300.19099999999997</v>
      </c>
      <c r="BA37">
        <v>99.067999999999998</v>
      </c>
      <c r="BB37">
        <v>0.100066</v>
      </c>
      <c r="BC37">
        <v>26.838000000000001</v>
      </c>
      <c r="BD37">
        <v>27.021699999999999</v>
      </c>
      <c r="BE37">
        <v>28.216100000000001</v>
      </c>
      <c r="BF37">
        <v>0</v>
      </c>
      <c r="BG37">
        <v>0</v>
      </c>
      <c r="BH37">
        <v>10038.799999999999</v>
      </c>
      <c r="BI37">
        <v>1076.4000000000001</v>
      </c>
      <c r="BJ37">
        <v>1.96231</v>
      </c>
      <c r="BK37">
        <v>-23.049299999999999</v>
      </c>
      <c r="BL37">
        <v>785.15499999999997</v>
      </c>
      <c r="BM37">
        <v>804.74599999999998</v>
      </c>
      <c r="BN37">
        <v>4.5503099999999996</v>
      </c>
      <c r="BO37">
        <v>800.02599999999995</v>
      </c>
      <c r="BP37">
        <v>5.8659600000000003</v>
      </c>
      <c r="BQ37">
        <v>1.0319199999999999</v>
      </c>
      <c r="BR37">
        <v>0.58112799999999998</v>
      </c>
      <c r="BS37">
        <v>7.375</v>
      </c>
      <c r="BT37">
        <v>-0.74739100000000003</v>
      </c>
      <c r="BU37">
        <v>1799.98</v>
      </c>
      <c r="BV37">
        <v>0.90998999999999997</v>
      </c>
      <c r="BW37">
        <v>3.3997800000000002E-2</v>
      </c>
      <c r="BX37">
        <v>2.2003499999999999E-2</v>
      </c>
      <c r="BY37">
        <v>3.4008099999999999E-2</v>
      </c>
      <c r="BZ37">
        <v>25</v>
      </c>
      <c r="CA37">
        <v>33528</v>
      </c>
      <c r="CB37">
        <v>1690214843</v>
      </c>
      <c r="CC37" t="s">
        <v>332</v>
      </c>
      <c r="CD37">
        <v>1690214842</v>
      </c>
      <c r="CE37">
        <v>1690214843</v>
      </c>
      <c r="CF37">
        <v>8</v>
      </c>
      <c r="CG37">
        <v>-6.3E-2</v>
      </c>
      <c r="CH37">
        <v>1E-3</v>
      </c>
      <c r="CI37">
        <v>-0.38900000000000001</v>
      </c>
      <c r="CJ37">
        <v>-6.6000000000000003E-2</v>
      </c>
      <c r="CK37">
        <v>800</v>
      </c>
      <c r="CL37">
        <v>6</v>
      </c>
      <c r="CM37">
        <v>0.23</v>
      </c>
      <c r="CN37">
        <v>0.02</v>
      </c>
      <c r="CO37">
        <v>-20.828221951219511</v>
      </c>
      <c r="CP37">
        <v>-11.67659246664167</v>
      </c>
      <c r="CQ37">
        <v>1.1492849258289499</v>
      </c>
      <c r="CR37">
        <v>-1</v>
      </c>
      <c r="CS37">
        <v>4.4315468292682931</v>
      </c>
      <c r="CT37">
        <v>0.58173213554040204</v>
      </c>
      <c r="CU37">
        <v>5.7468954649297813E-2</v>
      </c>
      <c r="CV37">
        <v>-1</v>
      </c>
      <c r="CW37">
        <v>0</v>
      </c>
      <c r="CX37">
        <v>0</v>
      </c>
      <c r="CY37" t="s">
        <v>333</v>
      </c>
      <c r="CZ37">
        <v>2.36436</v>
      </c>
      <c r="DA37">
        <v>2.7138900000000001</v>
      </c>
      <c r="DB37">
        <v>0.14364099999999999</v>
      </c>
      <c r="DC37">
        <v>0.146038</v>
      </c>
      <c r="DD37">
        <v>6.2087799999999999E-2</v>
      </c>
      <c r="DE37">
        <v>3.8714199999999997E-2</v>
      </c>
      <c r="DF37">
        <v>31253.8</v>
      </c>
      <c r="DG37">
        <v>27500</v>
      </c>
      <c r="DH37">
        <v>31157.9</v>
      </c>
      <c r="DI37">
        <v>28061.200000000001</v>
      </c>
      <c r="DJ37">
        <v>39691.1</v>
      </c>
      <c r="DK37">
        <v>38356.199999999997</v>
      </c>
      <c r="DL37">
        <v>44338.5</v>
      </c>
      <c r="DM37">
        <v>42526.2</v>
      </c>
      <c r="DN37">
        <v>1.3521700000000001</v>
      </c>
      <c r="DO37">
        <v>2.0315699999999999</v>
      </c>
      <c r="DP37">
        <v>7.2058300000000006E-2</v>
      </c>
      <c r="DQ37">
        <v>0.16256000000000001</v>
      </c>
      <c r="DR37">
        <v>25.842199999999998</v>
      </c>
      <c r="DS37">
        <v>25.557099999999998</v>
      </c>
      <c r="DT37">
        <v>17.399999999999999</v>
      </c>
      <c r="DU37">
        <v>29.8</v>
      </c>
      <c r="DV37">
        <v>7.3984399999999999</v>
      </c>
      <c r="DW37">
        <v>61.6785</v>
      </c>
      <c r="DX37">
        <v>37.203499999999998</v>
      </c>
      <c r="DY37">
        <v>1</v>
      </c>
      <c r="DZ37">
        <v>-7.81834E-2</v>
      </c>
      <c r="EA37">
        <v>0.30105399999999999</v>
      </c>
      <c r="EB37">
        <v>20.189499999999999</v>
      </c>
      <c r="EC37">
        <v>5.2408000000000001</v>
      </c>
      <c r="ED37">
        <v>12.039899999999999</v>
      </c>
      <c r="EE37">
        <v>5.0168999999999997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1.8689100000000001</v>
      </c>
      <c r="EL37">
        <v>1.86466</v>
      </c>
      <c r="EM37">
        <v>1.8692</v>
      </c>
      <c r="EN37">
        <v>1.8672299999999999</v>
      </c>
      <c r="EO37">
        <v>1.8633999999999999</v>
      </c>
      <c r="EP37">
        <v>1.8645799999999999</v>
      </c>
      <c r="EQ37">
        <v>1.87015</v>
      </c>
      <c r="ER37">
        <v>1.8694200000000001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-0.374</v>
      </c>
      <c r="FG37">
        <v>-2.1100000000000001E-2</v>
      </c>
      <c r="FH37">
        <v>0.16202357103534001</v>
      </c>
      <c r="FI37">
        <v>-6.1462078757559423E-4</v>
      </c>
      <c r="FJ37">
        <v>-1.8861989874597051E-7</v>
      </c>
      <c r="FK37">
        <v>1.1980462299894961E-10</v>
      </c>
      <c r="FL37">
        <v>-3.0039189969545878E-2</v>
      </c>
      <c r="FM37">
        <v>-1.6848085045870601E-2</v>
      </c>
      <c r="FN37">
        <v>1.9789084769509481E-3</v>
      </c>
      <c r="FO37">
        <v>-2.7142391389806329E-5</v>
      </c>
      <c r="FP37">
        <v>3</v>
      </c>
      <c r="FQ37">
        <v>2158</v>
      </c>
      <c r="FR37">
        <v>1</v>
      </c>
      <c r="FS37">
        <v>19</v>
      </c>
      <c r="FT37">
        <v>10.9</v>
      </c>
      <c r="FU37">
        <v>10.9</v>
      </c>
      <c r="FV37">
        <v>1.77979</v>
      </c>
      <c r="FW37">
        <v>2.5781200000000002</v>
      </c>
      <c r="FX37">
        <v>1.5490699999999999</v>
      </c>
      <c r="FY37">
        <v>2.3290999999999999</v>
      </c>
      <c r="FZ37">
        <v>1.50146</v>
      </c>
      <c r="GA37">
        <v>2.3815900000000001</v>
      </c>
      <c r="GB37">
        <v>33.828299999999999</v>
      </c>
      <c r="GC37">
        <v>23.991199999999999</v>
      </c>
      <c r="GD37">
        <v>19</v>
      </c>
      <c r="GE37">
        <v>233.96100000000001</v>
      </c>
      <c r="GF37">
        <v>580.44799999999998</v>
      </c>
      <c r="GG37">
        <v>24.366399999999999</v>
      </c>
      <c r="GH37">
        <v>26.442399999999999</v>
      </c>
      <c r="GI37">
        <v>29.999500000000001</v>
      </c>
      <c r="GJ37">
        <v>26.492599999999999</v>
      </c>
      <c r="GK37">
        <v>26.448799999999999</v>
      </c>
      <c r="GL37">
        <v>35.580500000000001</v>
      </c>
      <c r="GM37">
        <v>-30</v>
      </c>
      <c r="GN37">
        <v>-30</v>
      </c>
      <c r="GO37">
        <v>24.258299999999998</v>
      </c>
      <c r="GP37">
        <v>800</v>
      </c>
      <c r="GQ37">
        <v>12.5298</v>
      </c>
      <c r="GR37">
        <v>99.689099999999996</v>
      </c>
      <c r="GS37">
        <v>99.488100000000003</v>
      </c>
    </row>
    <row r="38" spans="1:201" x14ac:dyDescent="0.25">
      <c r="A38">
        <v>22</v>
      </c>
      <c r="B38">
        <v>1690215504.5999999</v>
      </c>
      <c r="C38">
        <v>559.09999990463257</v>
      </c>
      <c r="D38" t="s">
        <v>377</v>
      </c>
      <c r="E38" t="s">
        <v>378</v>
      </c>
      <c r="F38" t="s">
        <v>330</v>
      </c>
      <c r="H38">
        <v>1690215504.5999999</v>
      </c>
      <c r="I38">
        <f t="shared" si="0"/>
        <v>4.2137331029629485E-4</v>
      </c>
      <c r="J38">
        <f t="shared" si="1"/>
        <v>0.42137331029629482</v>
      </c>
      <c r="K38">
        <f t="shared" si="2"/>
        <v>1.9303957800638825</v>
      </c>
      <c r="L38">
        <f t="shared" si="3"/>
        <v>774.67700000000002</v>
      </c>
      <c r="M38">
        <f t="shared" si="4"/>
        <v>517.78612253367567</v>
      </c>
      <c r="N38">
        <f t="shared" si="5"/>
        <v>51.34996508297256</v>
      </c>
      <c r="O38">
        <f t="shared" si="6"/>
        <v>76.826386744258002</v>
      </c>
      <c r="P38">
        <f t="shared" si="7"/>
        <v>1.3762576682296879E-2</v>
      </c>
      <c r="Q38">
        <f t="shared" si="8"/>
        <v>2.0670244783996812</v>
      </c>
      <c r="R38">
        <f t="shared" si="9"/>
        <v>1.3711871749185804E-2</v>
      </c>
      <c r="S38">
        <f t="shared" si="10"/>
        <v>8.5744598406052135E-3</v>
      </c>
      <c r="T38">
        <f t="shared" si="11"/>
        <v>276.11211960947162</v>
      </c>
      <c r="U38">
        <f t="shared" si="12"/>
        <v>28.967853866607598</v>
      </c>
      <c r="V38">
        <f t="shared" si="13"/>
        <v>28.967853866607598</v>
      </c>
      <c r="W38">
        <f t="shared" si="14"/>
        <v>4.0142977279272047</v>
      </c>
      <c r="X38">
        <f t="shared" si="15"/>
        <v>29.395306192684728</v>
      </c>
      <c r="Y38">
        <f t="shared" si="16"/>
        <v>1.0444117054202</v>
      </c>
      <c r="Z38">
        <f t="shared" si="17"/>
        <v>3.5529880130321989</v>
      </c>
      <c r="AA38">
        <f t="shared" si="18"/>
        <v>2.969886022507005</v>
      </c>
      <c r="AB38">
        <f t="shared" si="19"/>
        <v>-18.582562984066602</v>
      </c>
      <c r="AC38">
        <f t="shared" si="20"/>
        <v>-233.21109929002847</v>
      </c>
      <c r="AD38">
        <f t="shared" si="21"/>
        <v>-24.574212496516008</v>
      </c>
      <c r="AE38">
        <f t="shared" si="22"/>
        <v>-0.25575516113946151</v>
      </c>
      <c r="AF38">
        <v>48</v>
      </c>
      <c r="AG38">
        <v>16</v>
      </c>
      <c r="AH38">
        <f t="shared" si="23"/>
        <v>1</v>
      </c>
      <c r="AI38">
        <f t="shared" si="24"/>
        <v>0</v>
      </c>
      <c r="AJ38">
        <f t="shared" si="25"/>
        <v>52543.506677103884</v>
      </c>
      <c r="AK38">
        <f t="shared" si="26"/>
        <v>1799.98</v>
      </c>
      <c r="AL38">
        <f t="shared" si="27"/>
        <v>1499.0957247957601</v>
      </c>
      <c r="AM38">
        <f t="shared" si="28"/>
        <v>0.83284021200000002</v>
      </c>
      <c r="AN38">
        <f t="shared" si="29"/>
        <v>0.15339732642000001</v>
      </c>
      <c r="AO38">
        <v>33.6</v>
      </c>
      <c r="AP38">
        <v>0.5</v>
      </c>
      <c r="AQ38" t="s">
        <v>331</v>
      </c>
      <c r="AR38">
        <v>2</v>
      </c>
      <c r="AS38">
        <v>1690215504.5999999</v>
      </c>
      <c r="AT38">
        <v>774.67700000000002</v>
      </c>
      <c r="AU38">
        <v>799.93600000000004</v>
      </c>
      <c r="AV38">
        <v>10.5313</v>
      </c>
      <c r="AW38">
        <v>5.8648400000000001</v>
      </c>
      <c r="AX38">
        <v>775.048</v>
      </c>
      <c r="AY38">
        <v>10.550599999999999</v>
      </c>
      <c r="AZ38">
        <v>300.20699999999999</v>
      </c>
      <c r="BA38">
        <v>99.072100000000006</v>
      </c>
      <c r="BB38">
        <v>0.100054</v>
      </c>
      <c r="BC38">
        <v>26.8751</v>
      </c>
      <c r="BD38">
        <v>27.0398</v>
      </c>
      <c r="BE38">
        <v>28.264900000000001</v>
      </c>
      <c r="BF38">
        <v>0</v>
      </c>
      <c r="BG38">
        <v>0</v>
      </c>
      <c r="BH38">
        <v>10026.9</v>
      </c>
      <c r="BI38">
        <v>1076.3</v>
      </c>
      <c r="BJ38">
        <v>1.9482999999999999</v>
      </c>
      <c r="BK38">
        <v>-25.259799999999998</v>
      </c>
      <c r="BL38">
        <v>782.92200000000003</v>
      </c>
      <c r="BM38">
        <v>804.65599999999995</v>
      </c>
      <c r="BN38">
        <v>4.6664099999999999</v>
      </c>
      <c r="BO38">
        <v>799.93600000000004</v>
      </c>
      <c r="BP38">
        <v>5.8648400000000001</v>
      </c>
      <c r="BQ38">
        <v>1.04335</v>
      </c>
      <c r="BR38">
        <v>0.58104299999999998</v>
      </c>
      <c r="BS38">
        <v>7.53627</v>
      </c>
      <c r="BT38">
        <v>-0.74941400000000002</v>
      </c>
      <c r="BU38">
        <v>1799.98</v>
      </c>
      <c r="BV38">
        <v>0.91000199999999998</v>
      </c>
      <c r="BW38">
        <v>3.3993299999999997E-2</v>
      </c>
      <c r="BX38">
        <v>2.2000599999999999E-2</v>
      </c>
      <c r="BY38">
        <v>3.4003600000000002E-2</v>
      </c>
      <c r="BZ38">
        <v>25</v>
      </c>
      <c r="CA38">
        <v>33528.1</v>
      </c>
      <c r="CB38">
        <v>1690214843</v>
      </c>
      <c r="CC38" t="s">
        <v>332</v>
      </c>
      <c r="CD38">
        <v>1690214842</v>
      </c>
      <c r="CE38">
        <v>1690214843</v>
      </c>
      <c r="CF38">
        <v>8</v>
      </c>
      <c r="CG38">
        <v>-6.3E-2</v>
      </c>
      <c r="CH38">
        <v>1E-3</v>
      </c>
      <c r="CI38">
        <v>-0.38900000000000001</v>
      </c>
      <c r="CJ38">
        <v>-6.6000000000000003E-2</v>
      </c>
      <c r="CK38">
        <v>800</v>
      </c>
      <c r="CL38">
        <v>6</v>
      </c>
      <c r="CM38">
        <v>0.23</v>
      </c>
      <c r="CN38">
        <v>0.02</v>
      </c>
      <c r="CO38">
        <v>-22.92129756097561</v>
      </c>
      <c r="CP38">
        <v>-12.73412171636847</v>
      </c>
      <c r="CQ38">
        <v>1.2201508764138811</v>
      </c>
      <c r="CR38">
        <v>-1</v>
      </c>
      <c r="CS38">
        <v>4.5405721951219506</v>
      </c>
      <c r="CT38">
        <v>0.69254018100292958</v>
      </c>
      <c r="CU38">
        <v>6.6311547812053229E-2</v>
      </c>
      <c r="CV38">
        <v>-1</v>
      </c>
      <c r="CW38">
        <v>0</v>
      </c>
      <c r="CX38">
        <v>0</v>
      </c>
      <c r="CY38" t="s">
        <v>333</v>
      </c>
      <c r="CZ38">
        <v>2.3643900000000002</v>
      </c>
      <c r="DA38">
        <v>2.71387</v>
      </c>
      <c r="DB38">
        <v>0.14336199999999999</v>
      </c>
      <c r="DC38">
        <v>0.146032</v>
      </c>
      <c r="DD38">
        <v>6.2608300000000006E-2</v>
      </c>
      <c r="DE38">
        <v>3.8709399999999998E-2</v>
      </c>
      <c r="DF38">
        <v>31263.200000000001</v>
      </c>
      <c r="DG38">
        <v>27499.3</v>
      </c>
      <c r="DH38">
        <v>31157.200000000001</v>
      </c>
      <c r="DI38">
        <v>28060.400000000001</v>
      </c>
      <c r="DJ38">
        <v>39668.1</v>
      </c>
      <c r="DK38">
        <v>38355.4</v>
      </c>
      <c r="DL38">
        <v>44337.5</v>
      </c>
      <c r="DM38">
        <v>42525.1</v>
      </c>
      <c r="DN38">
        <v>1.35137</v>
      </c>
      <c r="DO38">
        <v>2.0314199999999998</v>
      </c>
      <c r="DP38">
        <v>7.4129600000000004E-2</v>
      </c>
      <c r="DQ38">
        <v>0.16669600000000001</v>
      </c>
      <c r="DR38">
        <v>25.8264</v>
      </c>
      <c r="DS38">
        <v>25.5383</v>
      </c>
      <c r="DT38">
        <v>17.399999999999999</v>
      </c>
      <c r="DU38">
        <v>29.8</v>
      </c>
      <c r="DV38">
        <v>7.3973399999999998</v>
      </c>
      <c r="DW38">
        <v>61.4285</v>
      </c>
      <c r="DX38">
        <v>37.303699999999999</v>
      </c>
      <c r="DY38">
        <v>1</v>
      </c>
      <c r="DZ38">
        <v>-7.6880100000000007E-2</v>
      </c>
      <c r="EA38">
        <v>0.81420999999999999</v>
      </c>
      <c r="EB38">
        <v>20.1875</v>
      </c>
      <c r="EC38">
        <v>5.2404999999999999</v>
      </c>
      <c r="ED38">
        <v>12.039899999999999</v>
      </c>
      <c r="EE38">
        <v>5.0170000000000003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1.8689100000000001</v>
      </c>
      <c r="EL38">
        <v>1.8646400000000001</v>
      </c>
      <c r="EM38">
        <v>1.8692</v>
      </c>
      <c r="EN38">
        <v>1.86724</v>
      </c>
      <c r="EO38">
        <v>1.8633999999999999</v>
      </c>
      <c r="EP38">
        <v>1.86456</v>
      </c>
      <c r="EQ38">
        <v>1.87016</v>
      </c>
      <c r="ER38">
        <v>1.86947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-0.371</v>
      </c>
      <c r="FG38">
        <v>-1.9300000000000001E-2</v>
      </c>
      <c r="FH38">
        <v>0.16202357103534001</v>
      </c>
      <c r="FI38">
        <v>-6.1462078757559423E-4</v>
      </c>
      <c r="FJ38">
        <v>-1.8861989874597051E-7</v>
      </c>
      <c r="FK38">
        <v>1.1980462299894961E-10</v>
      </c>
      <c r="FL38">
        <v>-3.0039189969545878E-2</v>
      </c>
      <c r="FM38">
        <v>-1.6848085045870601E-2</v>
      </c>
      <c r="FN38">
        <v>1.9789084769509481E-3</v>
      </c>
      <c r="FO38">
        <v>-2.7142391389806329E-5</v>
      </c>
      <c r="FP38">
        <v>3</v>
      </c>
      <c r="FQ38">
        <v>2158</v>
      </c>
      <c r="FR38">
        <v>1</v>
      </c>
      <c r="FS38">
        <v>19</v>
      </c>
      <c r="FT38">
        <v>11</v>
      </c>
      <c r="FU38">
        <v>11</v>
      </c>
      <c r="FV38">
        <v>1.77979</v>
      </c>
      <c r="FW38">
        <v>2.5805699999999998</v>
      </c>
      <c r="FX38">
        <v>1.5490699999999999</v>
      </c>
      <c r="FY38">
        <v>2.3290999999999999</v>
      </c>
      <c r="FZ38">
        <v>1.50146</v>
      </c>
      <c r="GA38">
        <v>2.3938000000000001</v>
      </c>
      <c r="GB38">
        <v>33.805700000000002</v>
      </c>
      <c r="GC38">
        <v>23.991199999999999</v>
      </c>
      <c r="GD38">
        <v>19</v>
      </c>
      <c r="GE38">
        <v>233.68</v>
      </c>
      <c r="GF38">
        <v>580.35599999999999</v>
      </c>
      <c r="GG38">
        <v>24.3154</v>
      </c>
      <c r="GH38">
        <v>26.4468</v>
      </c>
      <c r="GI38">
        <v>30.000399999999999</v>
      </c>
      <c r="GJ38">
        <v>26.497599999999998</v>
      </c>
      <c r="GK38">
        <v>26.451599999999999</v>
      </c>
      <c r="GL38">
        <v>35.583300000000001</v>
      </c>
      <c r="GM38">
        <v>-30</v>
      </c>
      <c r="GN38">
        <v>-30</v>
      </c>
      <c r="GO38">
        <v>24.230699999999999</v>
      </c>
      <c r="GP38">
        <v>800</v>
      </c>
      <c r="GQ38">
        <v>12.5298</v>
      </c>
      <c r="GR38">
        <v>99.686899999999994</v>
      </c>
      <c r="GS38">
        <v>99.485399999999998</v>
      </c>
    </row>
    <row r="39" spans="1:201" x14ac:dyDescent="0.25">
      <c r="A39">
        <v>23</v>
      </c>
      <c r="B39">
        <v>1690215514.5999999</v>
      </c>
      <c r="C39">
        <v>569.09999990463257</v>
      </c>
      <c r="D39" t="s">
        <v>379</v>
      </c>
      <c r="E39" t="s">
        <v>380</v>
      </c>
      <c r="F39" t="s">
        <v>330</v>
      </c>
      <c r="H39">
        <v>1690215514.5999999</v>
      </c>
      <c r="I39">
        <f t="shared" si="0"/>
        <v>4.3286942152534523E-4</v>
      </c>
      <c r="J39">
        <f t="shared" si="1"/>
        <v>0.43286942152534524</v>
      </c>
      <c r="K39">
        <f t="shared" si="2"/>
        <v>2.1470559604714556</v>
      </c>
      <c r="L39">
        <f t="shared" si="3"/>
        <v>772.26499999999999</v>
      </c>
      <c r="M39">
        <f t="shared" si="4"/>
        <v>498.50445202117731</v>
      </c>
      <c r="N39">
        <f t="shared" si="5"/>
        <v>49.438160435053447</v>
      </c>
      <c r="O39">
        <f t="shared" si="6"/>
        <v>76.587803405925499</v>
      </c>
      <c r="P39">
        <f t="shared" si="7"/>
        <v>1.4202368350303479E-2</v>
      </c>
      <c r="Q39">
        <f t="shared" si="8"/>
        <v>2.0615389805405862</v>
      </c>
      <c r="R39">
        <f t="shared" si="9"/>
        <v>1.4148234815619149E-2</v>
      </c>
      <c r="S39">
        <f t="shared" si="10"/>
        <v>8.8474931729500498E-3</v>
      </c>
      <c r="T39">
        <f t="shared" si="11"/>
        <v>276.11359972703497</v>
      </c>
      <c r="U39">
        <f t="shared" si="12"/>
        <v>28.964785539117756</v>
      </c>
      <c r="V39">
        <f t="shared" si="13"/>
        <v>28.964785539117756</v>
      </c>
      <c r="W39">
        <f t="shared" si="14"/>
        <v>4.0135848736835458</v>
      </c>
      <c r="X39">
        <f t="shared" si="15"/>
        <v>29.754517406531228</v>
      </c>
      <c r="Y39">
        <f t="shared" si="16"/>
        <v>1.0569258687345799</v>
      </c>
      <c r="Z39">
        <f t="shared" si="17"/>
        <v>3.5521526170092774</v>
      </c>
      <c r="AA39">
        <f t="shared" si="18"/>
        <v>2.9566590049489658</v>
      </c>
      <c r="AB39">
        <f t="shared" si="19"/>
        <v>-19.089541489267724</v>
      </c>
      <c r="AC39">
        <f t="shared" si="20"/>
        <v>-232.69574813884512</v>
      </c>
      <c r="AD39">
        <f t="shared" si="21"/>
        <v>-24.584286746325649</v>
      </c>
      <c r="AE39">
        <f t="shared" si="22"/>
        <v>-0.25597664740354276</v>
      </c>
      <c r="AF39">
        <v>47</v>
      </c>
      <c r="AG39">
        <v>16</v>
      </c>
      <c r="AH39">
        <f t="shared" si="23"/>
        <v>1</v>
      </c>
      <c r="AI39">
        <f t="shared" si="24"/>
        <v>0</v>
      </c>
      <c r="AJ39">
        <f t="shared" si="25"/>
        <v>52293.261192891769</v>
      </c>
      <c r="AK39">
        <f t="shared" si="26"/>
        <v>1799.99</v>
      </c>
      <c r="AL39">
        <f t="shared" si="27"/>
        <v>1499.1019166097499</v>
      </c>
      <c r="AM39">
        <f t="shared" si="28"/>
        <v>0.83283902499999996</v>
      </c>
      <c r="AN39">
        <f t="shared" si="29"/>
        <v>0.15339729649999997</v>
      </c>
      <c r="AO39">
        <v>33.6</v>
      </c>
      <c r="AP39">
        <v>0.5</v>
      </c>
      <c r="AQ39" t="s">
        <v>331</v>
      </c>
      <c r="AR39">
        <v>2</v>
      </c>
      <c r="AS39">
        <v>1690215514.5999999</v>
      </c>
      <c r="AT39">
        <v>772.26499999999999</v>
      </c>
      <c r="AU39">
        <v>800.04200000000003</v>
      </c>
      <c r="AV39">
        <v>10.657400000000001</v>
      </c>
      <c r="AW39">
        <v>5.8633600000000001</v>
      </c>
      <c r="AX39">
        <v>772.63499999999999</v>
      </c>
      <c r="AY39">
        <v>10.674799999999999</v>
      </c>
      <c r="AZ39">
        <v>300.15199999999999</v>
      </c>
      <c r="BA39">
        <v>99.072999999999993</v>
      </c>
      <c r="BB39">
        <v>9.9956699999999996E-2</v>
      </c>
      <c r="BC39">
        <v>26.871099999999998</v>
      </c>
      <c r="BD39">
        <v>27.037400000000002</v>
      </c>
      <c r="BE39">
        <v>28.282800000000002</v>
      </c>
      <c r="BF39">
        <v>0</v>
      </c>
      <c r="BG39">
        <v>0</v>
      </c>
      <c r="BH39">
        <v>9976.8799999999992</v>
      </c>
      <c r="BI39">
        <v>1076.22</v>
      </c>
      <c r="BJ39">
        <v>1.93428</v>
      </c>
      <c r="BK39">
        <v>-27.776700000000002</v>
      </c>
      <c r="BL39">
        <v>780.58399999999995</v>
      </c>
      <c r="BM39">
        <v>804.76</v>
      </c>
      <c r="BN39">
        <v>4.7939999999999996</v>
      </c>
      <c r="BO39">
        <v>800.04200000000003</v>
      </c>
      <c r="BP39">
        <v>5.8633600000000001</v>
      </c>
      <c r="BQ39">
        <v>1.05586</v>
      </c>
      <c r="BR39">
        <v>0.580901</v>
      </c>
      <c r="BS39">
        <v>7.7108299999999996</v>
      </c>
      <c r="BT39">
        <v>-0.75275300000000001</v>
      </c>
      <c r="BU39">
        <v>1799.99</v>
      </c>
      <c r="BV39">
        <v>0.90999600000000003</v>
      </c>
      <c r="BW39">
        <v>3.4007799999999998E-2</v>
      </c>
      <c r="BX39">
        <v>2.19975E-2</v>
      </c>
      <c r="BY39">
        <v>3.3998800000000003E-2</v>
      </c>
      <c r="BZ39">
        <v>25</v>
      </c>
      <c r="CA39">
        <v>33528.1</v>
      </c>
      <c r="CB39">
        <v>1690214843</v>
      </c>
      <c r="CC39" t="s">
        <v>332</v>
      </c>
      <c r="CD39">
        <v>1690214842</v>
      </c>
      <c r="CE39">
        <v>1690214843</v>
      </c>
      <c r="CF39">
        <v>8</v>
      </c>
      <c r="CG39">
        <v>-6.3E-2</v>
      </c>
      <c r="CH39">
        <v>1E-3</v>
      </c>
      <c r="CI39">
        <v>-0.38900000000000001</v>
      </c>
      <c r="CJ39">
        <v>-6.6000000000000003E-2</v>
      </c>
      <c r="CK39">
        <v>800</v>
      </c>
      <c r="CL39">
        <v>6</v>
      </c>
      <c r="CM39">
        <v>0.23</v>
      </c>
      <c r="CN39">
        <v>0.02</v>
      </c>
      <c r="CO39">
        <v>-25.036314999999998</v>
      </c>
      <c r="CP39">
        <v>-13.905683302063791</v>
      </c>
      <c r="CQ39">
        <v>1.3380711628216939</v>
      </c>
      <c r="CR39">
        <v>-1</v>
      </c>
      <c r="CS39">
        <v>4.6530177500000001</v>
      </c>
      <c r="CT39">
        <v>0.71830435272043647</v>
      </c>
      <c r="CU39">
        <v>6.9111865858458077E-2</v>
      </c>
      <c r="CV39">
        <v>-1</v>
      </c>
      <c r="CW39">
        <v>0</v>
      </c>
      <c r="CX39">
        <v>0</v>
      </c>
      <c r="CY39" t="s">
        <v>333</v>
      </c>
      <c r="CZ39">
        <v>2.3642300000000001</v>
      </c>
      <c r="DA39">
        <v>2.71373</v>
      </c>
      <c r="DB39">
        <v>0.143065</v>
      </c>
      <c r="DC39">
        <v>0.14604500000000001</v>
      </c>
      <c r="DD39">
        <v>6.31747E-2</v>
      </c>
      <c r="DE39">
        <v>3.8701300000000001E-2</v>
      </c>
      <c r="DF39">
        <v>31273.3</v>
      </c>
      <c r="DG39">
        <v>27498.5</v>
      </c>
      <c r="DH39">
        <v>31156.5</v>
      </c>
      <c r="DI39">
        <v>28060</v>
      </c>
      <c r="DJ39">
        <v>39643</v>
      </c>
      <c r="DK39">
        <v>38355.199999999997</v>
      </c>
      <c r="DL39">
        <v>44336.4</v>
      </c>
      <c r="DM39">
        <v>42524.5</v>
      </c>
      <c r="DN39">
        <v>1.35162</v>
      </c>
      <c r="DO39">
        <v>2.0312800000000002</v>
      </c>
      <c r="DP39">
        <v>7.4811299999999997E-2</v>
      </c>
      <c r="DQ39">
        <v>0.168543</v>
      </c>
      <c r="DR39">
        <v>25.812899999999999</v>
      </c>
      <c r="DS39">
        <v>25.526</v>
      </c>
      <c r="DT39">
        <v>17.399999999999999</v>
      </c>
      <c r="DU39">
        <v>29.8</v>
      </c>
      <c r="DV39">
        <v>7.3980800000000002</v>
      </c>
      <c r="DW39">
        <v>61.9285</v>
      </c>
      <c r="DX39">
        <v>37.227600000000002</v>
      </c>
      <c r="DY39">
        <v>1</v>
      </c>
      <c r="DZ39">
        <v>-7.6122999999999996E-2</v>
      </c>
      <c r="EA39">
        <v>1.002</v>
      </c>
      <c r="EB39">
        <v>20.186</v>
      </c>
      <c r="EC39">
        <v>5.2401999999999997</v>
      </c>
      <c r="ED39">
        <v>12.039899999999999</v>
      </c>
      <c r="EE39">
        <v>5.0167999999999999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1.8689100000000001</v>
      </c>
      <c r="EL39">
        <v>1.8646199999999999</v>
      </c>
      <c r="EM39">
        <v>1.8691899999999999</v>
      </c>
      <c r="EN39">
        <v>1.8672299999999999</v>
      </c>
      <c r="EO39">
        <v>1.8633999999999999</v>
      </c>
      <c r="EP39">
        <v>1.8645799999999999</v>
      </c>
      <c r="EQ39">
        <v>1.87015</v>
      </c>
      <c r="ER39">
        <v>1.8694299999999999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-0.37</v>
      </c>
      <c r="FG39">
        <v>-1.7399999999999999E-2</v>
      </c>
      <c r="FH39">
        <v>0.16202357103534001</v>
      </c>
      <c r="FI39">
        <v>-6.1462078757559423E-4</v>
      </c>
      <c r="FJ39">
        <v>-1.8861989874597051E-7</v>
      </c>
      <c r="FK39">
        <v>1.1980462299894961E-10</v>
      </c>
      <c r="FL39">
        <v>-3.0039189969545878E-2</v>
      </c>
      <c r="FM39">
        <v>-1.6848085045870601E-2</v>
      </c>
      <c r="FN39">
        <v>1.9789084769509481E-3</v>
      </c>
      <c r="FO39">
        <v>-2.7142391389806329E-5</v>
      </c>
      <c r="FP39">
        <v>3</v>
      </c>
      <c r="FQ39">
        <v>2158</v>
      </c>
      <c r="FR39">
        <v>1</v>
      </c>
      <c r="FS39">
        <v>19</v>
      </c>
      <c r="FT39">
        <v>11.2</v>
      </c>
      <c r="FU39">
        <v>11.2</v>
      </c>
      <c r="FV39">
        <v>1.77979</v>
      </c>
      <c r="FW39">
        <v>2.5793499999999998</v>
      </c>
      <c r="FX39">
        <v>1.5490699999999999</v>
      </c>
      <c r="FY39">
        <v>2.3290999999999999</v>
      </c>
      <c r="FZ39">
        <v>1.50146</v>
      </c>
      <c r="GA39">
        <v>2.3840300000000001</v>
      </c>
      <c r="GB39">
        <v>33.828299999999999</v>
      </c>
      <c r="GC39">
        <v>23.982399999999998</v>
      </c>
      <c r="GD39">
        <v>19</v>
      </c>
      <c r="GE39">
        <v>233.785</v>
      </c>
      <c r="GF39">
        <v>580.27599999999995</v>
      </c>
      <c r="GG39">
        <v>24.199400000000001</v>
      </c>
      <c r="GH39">
        <v>26.4511</v>
      </c>
      <c r="GI39">
        <v>30.000399999999999</v>
      </c>
      <c r="GJ39">
        <v>26.5015</v>
      </c>
      <c r="GK39">
        <v>26.455500000000001</v>
      </c>
      <c r="GL39">
        <v>35.581600000000002</v>
      </c>
      <c r="GM39">
        <v>-30</v>
      </c>
      <c r="GN39">
        <v>-30</v>
      </c>
      <c r="GO39">
        <v>24.1492</v>
      </c>
      <c r="GP39">
        <v>800</v>
      </c>
      <c r="GQ39">
        <v>12.5298</v>
      </c>
      <c r="GR39">
        <v>99.684600000000003</v>
      </c>
      <c r="GS39">
        <v>99.483900000000006</v>
      </c>
    </row>
    <row r="40" spans="1:201" x14ac:dyDescent="0.25">
      <c r="A40">
        <v>24</v>
      </c>
      <c r="B40">
        <v>1690215524.5999999</v>
      </c>
      <c r="C40">
        <v>579.09999990463257</v>
      </c>
      <c r="D40" t="s">
        <v>381</v>
      </c>
      <c r="E40" t="s">
        <v>382</v>
      </c>
      <c r="F40" t="s">
        <v>330</v>
      </c>
      <c r="H40">
        <v>1690215524.5999999</v>
      </c>
      <c r="I40">
        <f t="shared" si="0"/>
        <v>4.4548090500358975E-4</v>
      </c>
      <c r="J40">
        <f t="shared" si="1"/>
        <v>0.44548090500358978</v>
      </c>
      <c r="K40">
        <f t="shared" si="2"/>
        <v>2.3596736707349706</v>
      </c>
      <c r="L40">
        <f t="shared" si="3"/>
        <v>769.69100000000003</v>
      </c>
      <c r="M40">
        <f t="shared" si="4"/>
        <v>481.91913272185872</v>
      </c>
      <c r="N40">
        <f t="shared" si="5"/>
        <v>47.794243338630274</v>
      </c>
      <c r="O40">
        <f t="shared" si="6"/>
        <v>76.333966534558201</v>
      </c>
      <c r="P40">
        <f t="shared" si="7"/>
        <v>1.4719431403350998E-2</v>
      </c>
      <c r="Q40">
        <f t="shared" si="8"/>
        <v>2.0656847248810606</v>
      </c>
      <c r="R40">
        <f t="shared" si="9"/>
        <v>1.4661409351473408E-2</v>
      </c>
      <c r="S40">
        <f t="shared" si="10"/>
        <v>9.1685747568337177E-3</v>
      </c>
      <c r="T40">
        <f t="shared" si="11"/>
        <v>276.11161005313335</v>
      </c>
      <c r="U40">
        <f t="shared" si="12"/>
        <v>28.935483590337583</v>
      </c>
      <c r="V40">
        <f t="shared" si="13"/>
        <v>28.935483590337583</v>
      </c>
      <c r="W40">
        <f t="shared" si="14"/>
        <v>4.0067828086731643</v>
      </c>
      <c r="X40">
        <f t="shared" si="15"/>
        <v>30.174808392542385</v>
      </c>
      <c r="Y40">
        <f t="shared" si="16"/>
        <v>1.0705326791668799</v>
      </c>
      <c r="Z40">
        <f t="shared" si="17"/>
        <v>3.5477696005236568</v>
      </c>
      <c r="AA40">
        <f t="shared" si="18"/>
        <v>2.9362501295062842</v>
      </c>
      <c r="AB40">
        <f t="shared" si="19"/>
        <v>-19.645707910658309</v>
      </c>
      <c r="AC40">
        <f t="shared" si="20"/>
        <v>-232.23914995373931</v>
      </c>
      <c r="AD40">
        <f t="shared" si="21"/>
        <v>-24.480662681598339</v>
      </c>
      <c r="AE40">
        <f t="shared" si="22"/>
        <v>-0.25391049286261591</v>
      </c>
      <c r="AF40">
        <v>47</v>
      </c>
      <c r="AG40">
        <v>16</v>
      </c>
      <c r="AH40">
        <f t="shared" si="23"/>
        <v>1</v>
      </c>
      <c r="AI40">
        <f t="shared" si="24"/>
        <v>0</v>
      </c>
      <c r="AJ40">
        <f t="shared" si="25"/>
        <v>52486.570620407343</v>
      </c>
      <c r="AK40">
        <f t="shared" si="26"/>
        <v>1799.98</v>
      </c>
      <c r="AL40">
        <f t="shared" si="27"/>
        <v>1499.09494360444</v>
      </c>
      <c r="AM40">
        <f t="shared" si="28"/>
        <v>0.83283977799999998</v>
      </c>
      <c r="AN40">
        <f t="shared" si="29"/>
        <v>0.15339704332999998</v>
      </c>
      <c r="AO40">
        <v>33.6</v>
      </c>
      <c r="AP40">
        <v>0.5</v>
      </c>
      <c r="AQ40" t="s">
        <v>331</v>
      </c>
      <c r="AR40">
        <v>2</v>
      </c>
      <c r="AS40">
        <v>1690215524.5999999</v>
      </c>
      <c r="AT40">
        <v>769.69100000000003</v>
      </c>
      <c r="AU40">
        <v>799.94399999999996</v>
      </c>
      <c r="AV40">
        <v>10.7944</v>
      </c>
      <c r="AW40">
        <v>5.8614199999999999</v>
      </c>
      <c r="AX40">
        <v>770.05899999999997</v>
      </c>
      <c r="AY40">
        <v>10.8096</v>
      </c>
      <c r="AZ40">
        <v>300.15499999999997</v>
      </c>
      <c r="BA40">
        <v>99.0749</v>
      </c>
      <c r="BB40">
        <v>9.9920200000000001E-2</v>
      </c>
      <c r="BC40">
        <v>26.850100000000001</v>
      </c>
      <c r="BD40">
        <v>27.0228</v>
      </c>
      <c r="BE40">
        <v>28.2743</v>
      </c>
      <c r="BF40">
        <v>0</v>
      </c>
      <c r="BG40">
        <v>0</v>
      </c>
      <c r="BH40">
        <v>10014.4</v>
      </c>
      <c r="BI40">
        <v>1076.1400000000001</v>
      </c>
      <c r="BJ40">
        <v>1.9482999999999999</v>
      </c>
      <c r="BK40">
        <v>-30.253399999999999</v>
      </c>
      <c r="BL40">
        <v>778.09</v>
      </c>
      <c r="BM40">
        <v>804.66099999999994</v>
      </c>
      <c r="BN40">
        <v>4.9329700000000001</v>
      </c>
      <c r="BO40">
        <v>799.94399999999996</v>
      </c>
      <c r="BP40">
        <v>5.8614199999999999</v>
      </c>
      <c r="BQ40">
        <v>1.06945</v>
      </c>
      <c r="BR40">
        <v>0.58071899999999999</v>
      </c>
      <c r="BS40">
        <v>7.8985799999999999</v>
      </c>
      <c r="BT40">
        <v>-0.75702899999999995</v>
      </c>
      <c r="BU40">
        <v>1799.98</v>
      </c>
      <c r="BV40">
        <v>0.91000599999999998</v>
      </c>
      <c r="BW40">
        <v>3.40045E-2</v>
      </c>
      <c r="BX40">
        <v>2.1994900000000001E-2</v>
      </c>
      <c r="BY40">
        <v>3.3994700000000003E-2</v>
      </c>
      <c r="BZ40">
        <v>25</v>
      </c>
      <c r="CA40">
        <v>33528.1</v>
      </c>
      <c r="CB40">
        <v>1690214843</v>
      </c>
      <c r="CC40" t="s">
        <v>332</v>
      </c>
      <c r="CD40">
        <v>1690214842</v>
      </c>
      <c r="CE40">
        <v>1690214843</v>
      </c>
      <c r="CF40">
        <v>8</v>
      </c>
      <c r="CG40">
        <v>-6.3E-2</v>
      </c>
      <c r="CH40">
        <v>1E-3</v>
      </c>
      <c r="CI40">
        <v>-0.38900000000000001</v>
      </c>
      <c r="CJ40">
        <v>-6.6000000000000003E-2</v>
      </c>
      <c r="CK40">
        <v>800</v>
      </c>
      <c r="CL40">
        <v>6</v>
      </c>
      <c r="CM40">
        <v>0.23</v>
      </c>
      <c r="CN40">
        <v>0.02</v>
      </c>
      <c r="CO40">
        <v>-27.497426829268299</v>
      </c>
      <c r="CP40">
        <v>-14.856089895470451</v>
      </c>
      <c r="CQ40">
        <v>1.4651187322275601</v>
      </c>
      <c r="CR40">
        <v>-1</v>
      </c>
      <c r="CS40">
        <v>4.7822512195121947</v>
      </c>
      <c r="CT40">
        <v>0.79118675958188511</v>
      </c>
      <c r="CU40">
        <v>7.8037762347284961E-2</v>
      </c>
      <c r="CV40">
        <v>-1</v>
      </c>
      <c r="CW40">
        <v>0</v>
      </c>
      <c r="CX40">
        <v>0</v>
      </c>
      <c r="CY40" t="s">
        <v>333</v>
      </c>
      <c r="CZ40">
        <v>2.3642300000000001</v>
      </c>
      <c r="DA40">
        <v>2.7137199999999999</v>
      </c>
      <c r="DB40">
        <v>0.14274800000000001</v>
      </c>
      <c r="DC40">
        <v>0.146035</v>
      </c>
      <c r="DD40">
        <v>6.3787899999999995E-2</v>
      </c>
      <c r="DE40">
        <v>3.8691299999999998E-2</v>
      </c>
      <c r="DF40">
        <v>31284.7</v>
      </c>
      <c r="DG40">
        <v>27498.6</v>
      </c>
      <c r="DH40">
        <v>31156.3</v>
      </c>
      <c r="DI40">
        <v>28059.8</v>
      </c>
      <c r="DJ40">
        <v>39616.699999999997</v>
      </c>
      <c r="DK40">
        <v>38355.199999999997</v>
      </c>
      <c r="DL40">
        <v>44336.2</v>
      </c>
      <c r="DM40">
        <v>42524.1</v>
      </c>
      <c r="DN40">
        <v>1.3514999999999999</v>
      </c>
      <c r="DO40">
        <v>2.03125</v>
      </c>
      <c r="DP40">
        <v>7.4576600000000007E-2</v>
      </c>
      <c r="DQ40">
        <v>0.16861400000000001</v>
      </c>
      <c r="DR40">
        <v>25.802</v>
      </c>
      <c r="DS40">
        <v>25.516300000000001</v>
      </c>
      <c r="DT40">
        <v>17.399999999999999</v>
      </c>
      <c r="DU40">
        <v>29.8</v>
      </c>
      <c r="DV40">
        <v>7.3966599999999998</v>
      </c>
      <c r="DW40">
        <v>61.588500000000003</v>
      </c>
      <c r="DX40">
        <v>37.131399999999999</v>
      </c>
      <c r="DY40">
        <v>1</v>
      </c>
      <c r="DZ40">
        <v>-7.5487799999999994E-2</v>
      </c>
      <c r="EA40">
        <v>0.98211599999999999</v>
      </c>
      <c r="EB40">
        <v>20.186</v>
      </c>
      <c r="EC40">
        <v>5.2403500000000003</v>
      </c>
      <c r="ED40">
        <v>12.039899999999999</v>
      </c>
      <c r="EE40">
        <v>5.0168499999999998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1.8689199999999999</v>
      </c>
      <c r="EL40">
        <v>1.86463</v>
      </c>
      <c r="EM40">
        <v>1.8692</v>
      </c>
      <c r="EN40">
        <v>1.8672299999999999</v>
      </c>
      <c r="EO40">
        <v>1.8633999999999999</v>
      </c>
      <c r="EP40">
        <v>1.8646</v>
      </c>
      <c r="EQ40">
        <v>1.87015</v>
      </c>
      <c r="ER40">
        <v>1.8694299999999999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-0.36799999999999999</v>
      </c>
      <c r="FG40">
        <v>-1.52E-2</v>
      </c>
      <c r="FH40">
        <v>0.16202357103534001</v>
      </c>
      <c r="FI40">
        <v>-6.1462078757559423E-4</v>
      </c>
      <c r="FJ40">
        <v>-1.8861989874597051E-7</v>
      </c>
      <c r="FK40">
        <v>1.1980462299894961E-10</v>
      </c>
      <c r="FL40">
        <v>-3.0039189969545878E-2</v>
      </c>
      <c r="FM40">
        <v>-1.6848085045870601E-2</v>
      </c>
      <c r="FN40">
        <v>1.9789084769509481E-3</v>
      </c>
      <c r="FO40">
        <v>-2.7142391389806329E-5</v>
      </c>
      <c r="FP40">
        <v>3</v>
      </c>
      <c r="FQ40">
        <v>2158</v>
      </c>
      <c r="FR40">
        <v>1</v>
      </c>
      <c r="FS40">
        <v>19</v>
      </c>
      <c r="FT40">
        <v>11.4</v>
      </c>
      <c r="FU40">
        <v>11.4</v>
      </c>
      <c r="FV40">
        <v>1.77979</v>
      </c>
      <c r="FW40">
        <v>2.5805699999999998</v>
      </c>
      <c r="FX40">
        <v>1.5490699999999999</v>
      </c>
      <c r="FY40">
        <v>2.3290999999999999</v>
      </c>
      <c r="FZ40">
        <v>1.50146</v>
      </c>
      <c r="GA40">
        <v>2.3791500000000001</v>
      </c>
      <c r="GB40">
        <v>33.828299999999999</v>
      </c>
      <c r="GC40">
        <v>23.982399999999998</v>
      </c>
      <c r="GD40">
        <v>19</v>
      </c>
      <c r="GE40">
        <v>233.75399999999999</v>
      </c>
      <c r="GF40">
        <v>580.28599999999994</v>
      </c>
      <c r="GG40">
        <v>24.1021</v>
      </c>
      <c r="GH40">
        <v>26.453299999999999</v>
      </c>
      <c r="GI40">
        <v>30.000499999999999</v>
      </c>
      <c r="GJ40">
        <v>26.505800000000001</v>
      </c>
      <c r="GK40">
        <v>26.458200000000001</v>
      </c>
      <c r="GL40">
        <v>35.581299999999999</v>
      </c>
      <c r="GM40">
        <v>-30</v>
      </c>
      <c r="GN40">
        <v>-30</v>
      </c>
      <c r="GO40">
        <v>24.082999999999998</v>
      </c>
      <c r="GP40">
        <v>800</v>
      </c>
      <c r="GQ40">
        <v>12.5298</v>
      </c>
      <c r="GR40">
        <v>99.684100000000001</v>
      </c>
      <c r="GS40">
        <v>99.483199999999997</v>
      </c>
    </row>
    <row r="41" spans="1:201" x14ac:dyDescent="0.25">
      <c r="A41">
        <v>25</v>
      </c>
      <c r="B41">
        <v>1690215534.5999999</v>
      </c>
      <c r="C41">
        <v>589.09999990463257</v>
      </c>
      <c r="D41" t="s">
        <v>383</v>
      </c>
      <c r="E41" t="s">
        <v>384</v>
      </c>
      <c r="F41" t="s">
        <v>330</v>
      </c>
      <c r="H41">
        <v>1690215534.5999999</v>
      </c>
      <c r="I41">
        <f t="shared" si="0"/>
        <v>4.5890971775710225E-4</v>
      </c>
      <c r="J41">
        <f t="shared" si="1"/>
        <v>0.45890971775710226</v>
      </c>
      <c r="K41">
        <f t="shared" si="2"/>
        <v>2.5924679250409639</v>
      </c>
      <c r="L41">
        <f t="shared" si="3"/>
        <v>767.03099999999995</v>
      </c>
      <c r="M41">
        <f t="shared" si="4"/>
        <v>464.69037455341908</v>
      </c>
      <c r="N41">
        <f t="shared" si="5"/>
        <v>46.085264545090226</v>
      </c>
      <c r="O41">
        <f t="shared" si="6"/>
        <v>76.069633642092001</v>
      </c>
      <c r="P41">
        <f t="shared" si="7"/>
        <v>1.5268696354546054E-2</v>
      </c>
      <c r="Q41">
        <f t="shared" si="8"/>
        <v>2.0619630043746069</v>
      </c>
      <c r="R41">
        <f t="shared" si="9"/>
        <v>1.5206160990242473E-2</v>
      </c>
      <c r="S41">
        <f t="shared" si="10"/>
        <v>9.5094477461309598E-3</v>
      </c>
      <c r="T41">
        <f t="shared" si="11"/>
        <v>276.11258026669867</v>
      </c>
      <c r="U41">
        <f t="shared" si="12"/>
        <v>28.911620458118957</v>
      </c>
      <c r="V41">
        <f t="shared" si="13"/>
        <v>28.911620458118957</v>
      </c>
      <c r="W41">
        <f t="shared" si="14"/>
        <v>4.0012507228919629</v>
      </c>
      <c r="X41">
        <f t="shared" si="15"/>
        <v>30.623216413312644</v>
      </c>
      <c r="Y41">
        <f t="shared" si="16"/>
        <v>1.0850046737328001</v>
      </c>
      <c r="Z41">
        <f t="shared" si="17"/>
        <v>3.5430787513917794</v>
      </c>
      <c r="AA41">
        <f t="shared" si="18"/>
        <v>2.9162460491591631</v>
      </c>
      <c r="AB41">
        <f t="shared" si="19"/>
        <v>-20.23791855308821</v>
      </c>
      <c r="AC41">
        <f t="shared" si="20"/>
        <v>-231.6691953585798</v>
      </c>
      <c r="AD41">
        <f t="shared" si="21"/>
        <v>-24.459006280181679</v>
      </c>
      <c r="AE41">
        <f t="shared" si="22"/>
        <v>-0.25353992515101709</v>
      </c>
      <c r="AF41">
        <v>47</v>
      </c>
      <c r="AG41">
        <v>16</v>
      </c>
      <c r="AH41">
        <f t="shared" si="23"/>
        <v>1</v>
      </c>
      <c r="AI41">
        <f t="shared" si="24"/>
        <v>0</v>
      </c>
      <c r="AJ41">
        <f t="shared" si="25"/>
        <v>52320.243380815198</v>
      </c>
      <c r="AK41">
        <f t="shared" si="26"/>
        <v>1799.99</v>
      </c>
      <c r="AL41">
        <f t="shared" si="27"/>
        <v>1499.1048379935201</v>
      </c>
      <c r="AM41">
        <f t="shared" si="28"/>
        <v>0.83284064800000002</v>
      </c>
      <c r="AN41">
        <f t="shared" si="29"/>
        <v>0.15339673012999999</v>
      </c>
      <c r="AO41">
        <v>33.6</v>
      </c>
      <c r="AP41">
        <v>0.5</v>
      </c>
      <c r="AQ41" t="s">
        <v>331</v>
      </c>
      <c r="AR41">
        <v>2</v>
      </c>
      <c r="AS41">
        <v>1690215534.5999999</v>
      </c>
      <c r="AT41">
        <v>767.03099999999995</v>
      </c>
      <c r="AU41">
        <v>799.99099999999999</v>
      </c>
      <c r="AV41">
        <v>10.9404</v>
      </c>
      <c r="AW41">
        <v>5.8596199999999996</v>
      </c>
      <c r="AX41">
        <v>767.39800000000002</v>
      </c>
      <c r="AY41">
        <v>10.953200000000001</v>
      </c>
      <c r="AZ41">
        <v>300.16399999999999</v>
      </c>
      <c r="BA41">
        <v>99.074100000000001</v>
      </c>
      <c r="BB41">
        <v>0.100032</v>
      </c>
      <c r="BC41">
        <v>26.8276</v>
      </c>
      <c r="BD41">
        <v>27.014500000000002</v>
      </c>
      <c r="BE41">
        <v>28.2576</v>
      </c>
      <c r="BF41">
        <v>0</v>
      </c>
      <c r="BG41">
        <v>0</v>
      </c>
      <c r="BH41">
        <v>9980.6200000000008</v>
      </c>
      <c r="BI41">
        <v>1075.96</v>
      </c>
      <c r="BJ41">
        <v>1.92167</v>
      </c>
      <c r="BK41">
        <v>-32.959600000000002</v>
      </c>
      <c r="BL41">
        <v>775.51599999999996</v>
      </c>
      <c r="BM41">
        <v>804.70600000000002</v>
      </c>
      <c r="BN41">
        <v>5.0807500000000001</v>
      </c>
      <c r="BO41">
        <v>799.99099999999999</v>
      </c>
      <c r="BP41">
        <v>5.8596199999999996</v>
      </c>
      <c r="BQ41">
        <v>1.0839099999999999</v>
      </c>
      <c r="BR41">
        <v>0.58053600000000005</v>
      </c>
      <c r="BS41">
        <v>8.0958799999999993</v>
      </c>
      <c r="BT41">
        <v>-0.76133899999999999</v>
      </c>
      <c r="BU41">
        <v>1799.99</v>
      </c>
      <c r="BV41">
        <v>0.91001799999999999</v>
      </c>
      <c r="BW41">
        <v>3.4000000000000002E-2</v>
      </c>
      <c r="BX41">
        <v>2.1991900000000002E-2</v>
      </c>
      <c r="BY41">
        <v>3.3990100000000002E-2</v>
      </c>
      <c r="BZ41">
        <v>25</v>
      </c>
      <c r="CA41">
        <v>33528.300000000003</v>
      </c>
      <c r="CB41">
        <v>1690214843</v>
      </c>
      <c r="CC41" t="s">
        <v>332</v>
      </c>
      <c r="CD41">
        <v>1690214842</v>
      </c>
      <c r="CE41">
        <v>1690214843</v>
      </c>
      <c r="CF41">
        <v>8</v>
      </c>
      <c r="CG41">
        <v>-6.3E-2</v>
      </c>
      <c r="CH41">
        <v>1E-3</v>
      </c>
      <c r="CI41">
        <v>-0.38900000000000001</v>
      </c>
      <c r="CJ41">
        <v>-6.6000000000000003E-2</v>
      </c>
      <c r="CK41">
        <v>800</v>
      </c>
      <c r="CL41">
        <v>6</v>
      </c>
      <c r="CM41">
        <v>0.23</v>
      </c>
      <c r="CN41">
        <v>0.02</v>
      </c>
      <c r="CO41">
        <v>-30.036814634146339</v>
      </c>
      <c r="CP41">
        <v>-15.515887108014009</v>
      </c>
      <c r="CQ41">
        <v>1.5304310374118939</v>
      </c>
      <c r="CR41">
        <v>-1</v>
      </c>
      <c r="CS41">
        <v>4.9198609756097564</v>
      </c>
      <c r="CT41">
        <v>0.85655393728222951</v>
      </c>
      <c r="CU41">
        <v>8.4471728271043309E-2</v>
      </c>
      <c r="CV41">
        <v>-1</v>
      </c>
      <c r="CW41">
        <v>0</v>
      </c>
      <c r="CX41">
        <v>0</v>
      </c>
      <c r="CY41" t="s">
        <v>333</v>
      </c>
      <c r="CZ41">
        <v>2.3642599999999998</v>
      </c>
      <c r="DA41">
        <v>2.7138100000000001</v>
      </c>
      <c r="DB41">
        <v>0.14241699999999999</v>
      </c>
      <c r="DC41">
        <v>0.146038</v>
      </c>
      <c r="DD41">
        <v>6.4436499999999994E-2</v>
      </c>
      <c r="DE41">
        <v>3.8680899999999997E-2</v>
      </c>
      <c r="DF41">
        <v>31296.9</v>
      </c>
      <c r="DG41">
        <v>27498.400000000001</v>
      </c>
      <c r="DH41">
        <v>31156.400000000001</v>
      </c>
      <c r="DI41">
        <v>28059.7</v>
      </c>
      <c r="DJ41">
        <v>39589.1</v>
      </c>
      <c r="DK41">
        <v>38355.599999999999</v>
      </c>
      <c r="DL41">
        <v>44336.2</v>
      </c>
      <c r="DM41">
        <v>42524</v>
      </c>
      <c r="DN41">
        <v>1.3519000000000001</v>
      </c>
      <c r="DO41">
        <v>2.0310000000000001</v>
      </c>
      <c r="DP41">
        <v>7.4539300000000003E-2</v>
      </c>
      <c r="DQ41">
        <v>0.16824500000000001</v>
      </c>
      <c r="DR41">
        <v>25.7944</v>
      </c>
      <c r="DS41">
        <v>25.505600000000001</v>
      </c>
      <c r="DT41">
        <v>17.3</v>
      </c>
      <c r="DU41">
        <v>29.8</v>
      </c>
      <c r="DV41">
        <v>7.3549300000000004</v>
      </c>
      <c r="DW41">
        <v>62.028500000000001</v>
      </c>
      <c r="DX41">
        <v>37.063299999999998</v>
      </c>
      <c r="DY41">
        <v>1</v>
      </c>
      <c r="DZ41">
        <v>-7.5170200000000006E-2</v>
      </c>
      <c r="EA41">
        <v>0.90139199999999997</v>
      </c>
      <c r="EB41">
        <v>20.186699999999998</v>
      </c>
      <c r="EC41">
        <v>5.2400500000000001</v>
      </c>
      <c r="ED41">
        <v>12.039899999999999</v>
      </c>
      <c r="EE41">
        <v>5.0170000000000003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</v>
      </c>
      <c r="EL41">
        <v>1.8646400000000001</v>
      </c>
      <c r="EM41">
        <v>1.86917</v>
      </c>
      <c r="EN41">
        <v>1.8672299999999999</v>
      </c>
      <c r="EO41">
        <v>1.8633999999999999</v>
      </c>
      <c r="EP41">
        <v>1.86459</v>
      </c>
      <c r="EQ41">
        <v>1.87015</v>
      </c>
      <c r="ER41">
        <v>1.8694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-0.36699999999999999</v>
      </c>
      <c r="FG41">
        <v>-1.2800000000000001E-2</v>
      </c>
      <c r="FH41">
        <v>0.16202357103534001</v>
      </c>
      <c r="FI41">
        <v>-6.1462078757559423E-4</v>
      </c>
      <c r="FJ41">
        <v>-1.8861989874597051E-7</v>
      </c>
      <c r="FK41">
        <v>1.1980462299894961E-10</v>
      </c>
      <c r="FL41">
        <v>-3.0039189969545878E-2</v>
      </c>
      <c r="FM41">
        <v>-1.6848085045870601E-2</v>
      </c>
      <c r="FN41">
        <v>1.9789084769509481E-3</v>
      </c>
      <c r="FO41">
        <v>-2.7142391389806329E-5</v>
      </c>
      <c r="FP41">
        <v>3</v>
      </c>
      <c r="FQ41">
        <v>2158</v>
      </c>
      <c r="FR41">
        <v>1</v>
      </c>
      <c r="FS41">
        <v>19</v>
      </c>
      <c r="FT41">
        <v>11.5</v>
      </c>
      <c r="FU41">
        <v>11.5</v>
      </c>
      <c r="FV41">
        <v>1.77979</v>
      </c>
      <c r="FW41">
        <v>2.5854499999999998</v>
      </c>
      <c r="FX41">
        <v>1.5490699999999999</v>
      </c>
      <c r="FY41">
        <v>2.3290999999999999</v>
      </c>
      <c r="FZ41">
        <v>1.50146</v>
      </c>
      <c r="GA41">
        <v>2.3584000000000001</v>
      </c>
      <c r="GB41">
        <v>33.828299999999999</v>
      </c>
      <c r="GC41">
        <v>23.982399999999998</v>
      </c>
      <c r="GD41">
        <v>19</v>
      </c>
      <c r="GE41">
        <v>233.91499999999999</v>
      </c>
      <c r="GF41">
        <v>580.11800000000005</v>
      </c>
      <c r="GG41">
        <v>24.0489</v>
      </c>
      <c r="GH41">
        <v>26.4556</v>
      </c>
      <c r="GI41">
        <v>30.000299999999999</v>
      </c>
      <c r="GJ41">
        <v>26.5093</v>
      </c>
      <c r="GK41">
        <v>26.461600000000001</v>
      </c>
      <c r="GL41">
        <v>35.582700000000003</v>
      </c>
      <c r="GM41">
        <v>-30</v>
      </c>
      <c r="GN41">
        <v>-30</v>
      </c>
      <c r="GO41">
        <v>24.037400000000002</v>
      </c>
      <c r="GP41">
        <v>800</v>
      </c>
      <c r="GQ41">
        <v>12.5298</v>
      </c>
      <c r="GR41">
        <v>99.684299999999993</v>
      </c>
      <c r="GS41">
        <v>99.482900000000001</v>
      </c>
    </row>
    <row r="42" spans="1:201" x14ac:dyDescent="0.25">
      <c r="A42">
        <v>26</v>
      </c>
      <c r="B42">
        <v>1690215544.5999999</v>
      </c>
      <c r="C42">
        <v>599.09999990463257</v>
      </c>
      <c r="D42" t="s">
        <v>385</v>
      </c>
      <c r="E42" t="s">
        <v>386</v>
      </c>
      <c r="F42" t="s">
        <v>330</v>
      </c>
      <c r="H42">
        <v>1690215544.5999999</v>
      </c>
      <c r="I42">
        <f t="shared" si="0"/>
        <v>4.7275811788973616E-4</v>
      </c>
      <c r="J42">
        <f t="shared" si="1"/>
        <v>0.47275811788973615</v>
      </c>
      <c r="K42">
        <f t="shared" si="2"/>
        <v>2.8362954715034436</v>
      </c>
      <c r="L42">
        <f t="shared" si="3"/>
        <v>764.22</v>
      </c>
      <c r="M42">
        <f t="shared" si="4"/>
        <v>447.92867221642837</v>
      </c>
      <c r="N42">
        <f t="shared" si="5"/>
        <v>44.422692695921768</v>
      </c>
      <c r="O42">
        <f t="shared" si="6"/>
        <v>75.790437892919996</v>
      </c>
      <c r="P42">
        <f t="shared" si="7"/>
        <v>1.5854962455969714E-2</v>
      </c>
      <c r="Q42">
        <f t="shared" si="8"/>
        <v>2.0618198259315239</v>
      </c>
      <c r="R42">
        <f t="shared" si="9"/>
        <v>1.5787539389497122E-2</v>
      </c>
      <c r="S42">
        <f t="shared" si="10"/>
        <v>9.8732458326523751E-3</v>
      </c>
      <c r="T42">
        <f t="shared" si="11"/>
        <v>276.11504483100663</v>
      </c>
      <c r="U42">
        <f t="shared" si="12"/>
        <v>28.877954042925598</v>
      </c>
      <c r="V42">
        <f t="shared" si="13"/>
        <v>28.877954042925598</v>
      </c>
      <c r="W42">
        <f t="shared" si="14"/>
        <v>3.9934573121055053</v>
      </c>
      <c r="X42">
        <f t="shared" si="15"/>
        <v>31.098242863991356</v>
      </c>
      <c r="Y42">
        <f t="shared" si="16"/>
        <v>1.0999639944018</v>
      </c>
      <c r="Z42">
        <f t="shared" si="17"/>
        <v>3.5370615607206801</v>
      </c>
      <c r="AA42">
        <f t="shared" si="18"/>
        <v>2.8934933177037054</v>
      </c>
      <c r="AB42">
        <f t="shared" si="19"/>
        <v>-20.848632998937365</v>
      </c>
      <c r="AC42">
        <f t="shared" si="20"/>
        <v>-231.12328912364379</v>
      </c>
      <c r="AD42">
        <f t="shared" si="21"/>
        <v>-24.395452994920209</v>
      </c>
      <c r="AE42">
        <f t="shared" si="22"/>
        <v>-0.25233028649475386</v>
      </c>
      <c r="AF42">
        <v>47</v>
      </c>
      <c r="AG42">
        <v>16</v>
      </c>
      <c r="AH42">
        <f t="shared" si="23"/>
        <v>1</v>
      </c>
      <c r="AI42">
        <f t="shared" si="24"/>
        <v>0</v>
      </c>
      <c r="AJ42">
        <f t="shared" si="25"/>
        <v>52318.731726928563</v>
      </c>
      <c r="AK42">
        <f t="shared" si="26"/>
        <v>1799.99</v>
      </c>
      <c r="AL42">
        <f t="shared" si="27"/>
        <v>1499.10807077556</v>
      </c>
      <c r="AM42">
        <f t="shared" si="28"/>
        <v>0.83284244399999996</v>
      </c>
      <c r="AN42">
        <f t="shared" si="29"/>
        <v>0.15339809934000001</v>
      </c>
      <c r="AO42">
        <v>33.6</v>
      </c>
      <c r="AP42">
        <v>0.5</v>
      </c>
      <c r="AQ42" t="s">
        <v>331</v>
      </c>
      <c r="AR42">
        <v>2</v>
      </c>
      <c r="AS42">
        <v>1690215544.5999999</v>
      </c>
      <c r="AT42">
        <v>764.22</v>
      </c>
      <c r="AU42">
        <v>800.01400000000001</v>
      </c>
      <c r="AV42">
        <v>11.0913</v>
      </c>
      <c r="AW42">
        <v>5.8579100000000004</v>
      </c>
      <c r="AX42">
        <v>764.58399999999995</v>
      </c>
      <c r="AY42">
        <v>11.101599999999999</v>
      </c>
      <c r="AZ42">
        <v>300.15899999999999</v>
      </c>
      <c r="BA42">
        <v>99.073499999999996</v>
      </c>
      <c r="BB42">
        <v>0.10008599999999999</v>
      </c>
      <c r="BC42">
        <v>26.7987</v>
      </c>
      <c r="BD42">
        <v>26.991399999999999</v>
      </c>
      <c r="BE42">
        <v>28.241599999999998</v>
      </c>
      <c r="BF42">
        <v>0</v>
      </c>
      <c r="BG42">
        <v>0</v>
      </c>
      <c r="BH42">
        <v>9979.3799999999992</v>
      </c>
      <c r="BI42">
        <v>1075.8599999999999</v>
      </c>
      <c r="BJ42">
        <v>1.90625</v>
      </c>
      <c r="BK42">
        <v>-35.794600000000003</v>
      </c>
      <c r="BL42">
        <v>772.79100000000005</v>
      </c>
      <c r="BM42">
        <v>804.72799999999995</v>
      </c>
      <c r="BN42">
        <v>5.2333999999999996</v>
      </c>
      <c r="BO42">
        <v>800.01400000000001</v>
      </c>
      <c r="BP42">
        <v>5.8579100000000004</v>
      </c>
      <c r="BQ42">
        <v>1.0988500000000001</v>
      </c>
      <c r="BR42">
        <v>0.58036299999999996</v>
      </c>
      <c r="BS42">
        <v>8.2975100000000008</v>
      </c>
      <c r="BT42">
        <v>-0.76541499999999996</v>
      </c>
      <c r="BU42">
        <v>1799.99</v>
      </c>
      <c r="BV42">
        <v>0.91000800000000004</v>
      </c>
      <c r="BW42">
        <v>3.3995999999999998E-2</v>
      </c>
      <c r="BX42">
        <v>2.2010200000000001E-2</v>
      </c>
      <c r="BY42">
        <v>3.3986200000000001E-2</v>
      </c>
      <c r="BZ42">
        <v>25</v>
      </c>
      <c r="CA42">
        <v>33528.1</v>
      </c>
      <c r="CB42">
        <v>1690214843</v>
      </c>
      <c r="CC42" t="s">
        <v>332</v>
      </c>
      <c r="CD42">
        <v>1690214842</v>
      </c>
      <c r="CE42">
        <v>1690214843</v>
      </c>
      <c r="CF42">
        <v>8</v>
      </c>
      <c r="CG42">
        <v>-6.3E-2</v>
      </c>
      <c r="CH42">
        <v>1E-3</v>
      </c>
      <c r="CI42">
        <v>-0.38900000000000001</v>
      </c>
      <c r="CJ42">
        <v>-6.6000000000000003E-2</v>
      </c>
      <c r="CK42">
        <v>800</v>
      </c>
      <c r="CL42">
        <v>6</v>
      </c>
      <c r="CM42">
        <v>0.23</v>
      </c>
      <c r="CN42">
        <v>0.02</v>
      </c>
      <c r="CO42">
        <v>-32.919307500000002</v>
      </c>
      <c r="CP42">
        <v>-16.622254784240031</v>
      </c>
      <c r="CQ42">
        <v>1.599111730522214</v>
      </c>
      <c r="CR42">
        <v>-1</v>
      </c>
      <c r="CS42">
        <v>5.0773580000000003</v>
      </c>
      <c r="CT42">
        <v>0.90100390243902018</v>
      </c>
      <c r="CU42">
        <v>8.6683306933918916E-2</v>
      </c>
      <c r="CV42">
        <v>-1</v>
      </c>
      <c r="CW42">
        <v>0</v>
      </c>
      <c r="CX42">
        <v>0</v>
      </c>
      <c r="CY42" t="s">
        <v>333</v>
      </c>
      <c r="CZ42">
        <v>2.36422</v>
      </c>
      <c r="DA42">
        <v>2.7138599999999999</v>
      </c>
      <c r="DB42">
        <v>0.142067</v>
      </c>
      <c r="DC42">
        <v>0.146039</v>
      </c>
      <c r="DD42">
        <v>6.5103900000000006E-2</v>
      </c>
      <c r="DE42">
        <v>3.86711E-2</v>
      </c>
      <c r="DF42">
        <v>31309.8</v>
      </c>
      <c r="DG42">
        <v>27498</v>
      </c>
      <c r="DH42">
        <v>31156.5</v>
      </c>
      <c r="DI42">
        <v>28059.200000000001</v>
      </c>
      <c r="DJ42">
        <v>39560.800000000003</v>
      </c>
      <c r="DK42">
        <v>38355.4</v>
      </c>
      <c r="DL42">
        <v>44336.4</v>
      </c>
      <c r="DM42">
        <v>42523.5</v>
      </c>
      <c r="DN42">
        <v>1.35175</v>
      </c>
      <c r="DO42">
        <v>2.0312199999999998</v>
      </c>
      <c r="DP42">
        <v>7.3723499999999997E-2</v>
      </c>
      <c r="DQ42">
        <v>0.16792499999999999</v>
      </c>
      <c r="DR42">
        <v>25.784600000000001</v>
      </c>
      <c r="DS42">
        <v>25.494800000000001</v>
      </c>
      <c r="DT42">
        <v>17.3</v>
      </c>
      <c r="DU42">
        <v>29.8</v>
      </c>
      <c r="DV42">
        <v>7.3537499999999998</v>
      </c>
      <c r="DW42">
        <v>61.718499999999999</v>
      </c>
      <c r="DX42">
        <v>36.8429</v>
      </c>
      <c r="DY42">
        <v>1</v>
      </c>
      <c r="DZ42">
        <v>-7.4738299999999994E-2</v>
      </c>
      <c r="EA42">
        <v>0.74795699999999998</v>
      </c>
      <c r="EB42">
        <v>20.1876</v>
      </c>
      <c r="EC42">
        <v>5.2408000000000001</v>
      </c>
      <c r="ED42">
        <v>12.039899999999999</v>
      </c>
      <c r="EE42">
        <v>5.0170000000000003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1.8689100000000001</v>
      </c>
      <c r="EL42">
        <v>1.86463</v>
      </c>
      <c r="EM42">
        <v>1.8691899999999999</v>
      </c>
      <c r="EN42">
        <v>1.86724</v>
      </c>
      <c r="EO42">
        <v>1.8633999999999999</v>
      </c>
      <c r="EP42">
        <v>1.8645799999999999</v>
      </c>
      <c r="EQ42">
        <v>1.87015</v>
      </c>
      <c r="ER42">
        <v>1.8693900000000001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-0.36399999999999999</v>
      </c>
      <c r="FG42">
        <v>-1.03E-2</v>
      </c>
      <c r="FH42">
        <v>0.16202357103534001</v>
      </c>
      <c r="FI42">
        <v>-6.1462078757559423E-4</v>
      </c>
      <c r="FJ42">
        <v>-1.8861989874597051E-7</v>
      </c>
      <c r="FK42">
        <v>1.1980462299894961E-10</v>
      </c>
      <c r="FL42">
        <v>-3.0039189969545878E-2</v>
      </c>
      <c r="FM42">
        <v>-1.6848085045870601E-2</v>
      </c>
      <c r="FN42">
        <v>1.9789084769509481E-3</v>
      </c>
      <c r="FO42">
        <v>-2.7142391389806329E-5</v>
      </c>
      <c r="FP42">
        <v>3</v>
      </c>
      <c r="FQ42">
        <v>2158</v>
      </c>
      <c r="FR42">
        <v>1</v>
      </c>
      <c r="FS42">
        <v>19</v>
      </c>
      <c r="FT42">
        <v>11.7</v>
      </c>
      <c r="FU42">
        <v>11.7</v>
      </c>
      <c r="FV42">
        <v>1.77979</v>
      </c>
      <c r="FW42">
        <v>2.5817899999999998</v>
      </c>
      <c r="FX42">
        <v>1.5490699999999999</v>
      </c>
      <c r="FY42">
        <v>2.3290999999999999</v>
      </c>
      <c r="FZ42">
        <v>1.50146</v>
      </c>
      <c r="GA42">
        <v>2.34253</v>
      </c>
      <c r="GB42">
        <v>33.828299999999999</v>
      </c>
      <c r="GC42">
        <v>23.982399999999998</v>
      </c>
      <c r="GD42">
        <v>19</v>
      </c>
      <c r="GE42">
        <v>233.87100000000001</v>
      </c>
      <c r="GF42">
        <v>580.34100000000001</v>
      </c>
      <c r="GG42">
        <v>24.020399999999999</v>
      </c>
      <c r="GH42">
        <v>26.457799999999999</v>
      </c>
      <c r="GI42">
        <v>30.0002</v>
      </c>
      <c r="GJ42">
        <v>26.512499999999999</v>
      </c>
      <c r="GK42">
        <v>26.4648</v>
      </c>
      <c r="GL42">
        <v>35.579799999999999</v>
      </c>
      <c r="GM42">
        <v>-30</v>
      </c>
      <c r="GN42">
        <v>-30</v>
      </c>
      <c r="GO42">
        <v>24.144600000000001</v>
      </c>
      <c r="GP42">
        <v>800</v>
      </c>
      <c r="GQ42">
        <v>12.5298</v>
      </c>
      <c r="GR42">
        <v>99.6845</v>
      </c>
      <c r="GS42">
        <v>99.481499999999997</v>
      </c>
    </row>
    <row r="43" spans="1:201" x14ac:dyDescent="0.25">
      <c r="A43">
        <v>27</v>
      </c>
      <c r="B43">
        <v>1690215554.5999999</v>
      </c>
      <c r="C43">
        <v>609.09999990463257</v>
      </c>
      <c r="D43" t="s">
        <v>387</v>
      </c>
      <c r="E43" t="s">
        <v>388</v>
      </c>
      <c r="F43" t="s">
        <v>330</v>
      </c>
      <c r="H43">
        <v>1690215554.5999999</v>
      </c>
      <c r="I43">
        <f t="shared" si="0"/>
        <v>4.8739051934851697E-4</v>
      </c>
      <c r="J43">
        <f t="shared" si="1"/>
        <v>0.48739051934851696</v>
      </c>
      <c r="K43">
        <f t="shared" si="2"/>
        <v>3.0889393778782366</v>
      </c>
      <c r="L43">
        <f t="shared" si="3"/>
        <v>761.32899999999995</v>
      </c>
      <c r="M43">
        <f t="shared" si="4"/>
        <v>431.44451922690973</v>
      </c>
      <c r="N43">
        <f t="shared" si="5"/>
        <v>42.788980037410205</v>
      </c>
      <c r="O43">
        <f t="shared" si="6"/>
        <v>75.505632662280988</v>
      </c>
      <c r="P43">
        <f t="shared" si="7"/>
        <v>1.6453793728029038E-2</v>
      </c>
      <c r="Q43">
        <f t="shared" si="8"/>
        <v>2.0668594815839145</v>
      </c>
      <c r="R43">
        <f t="shared" si="9"/>
        <v>1.6381370200685655E-2</v>
      </c>
      <c r="S43">
        <f t="shared" si="10"/>
        <v>1.0244836684825655E-2</v>
      </c>
      <c r="T43">
        <f t="shared" si="11"/>
        <v>276.11341527107521</v>
      </c>
      <c r="U43">
        <f t="shared" si="12"/>
        <v>28.865410101049719</v>
      </c>
      <c r="V43">
        <f t="shared" si="13"/>
        <v>28.865410101049719</v>
      </c>
      <c r="W43">
        <f t="shared" si="14"/>
        <v>3.9905569120361242</v>
      </c>
      <c r="X43">
        <f t="shared" si="15"/>
        <v>31.549860008420854</v>
      </c>
      <c r="Y43">
        <f t="shared" si="16"/>
        <v>1.1157607540766998</v>
      </c>
      <c r="Z43">
        <f t="shared" si="17"/>
        <v>3.5364998569847739</v>
      </c>
      <c r="AA43">
        <f t="shared" si="18"/>
        <v>2.8747961579594241</v>
      </c>
      <c r="AB43">
        <f t="shared" si="19"/>
        <v>-21.493921903269598</v>
      </c>
      <c r="AC43">
        <f t="shared" si="20"/>
        <v>-230.5913221563672</v>
      </c>
      <c r="AD43">
        <f t="shared" si="21"/>
        <v>-24.278107951164927</v>
      </c>
      <c r="AE43">
        <f t="shared" si="22"/>
        <v>-0.24993673972653596</v>
      </c>
      <c r="AF43">
        <v>47</v>
      </c>
      <c r="AG43">
        <v>16</v>
      </c>
      <c r="AH43">
        <f t="shared" si="23"/>
        <v>1</v>
      </c>
      <c r="AI43">
        <f t="shared" si="24"/>
        <v>0</v>
      </c>
      <c r="AJ43">
        <f t="shared" si="25"/>
        <v>52549.892755701818</v>
      </c>
      <c r="AK43">
        <f t="shared" si="26"/>
        <v>1799.98</v>
      </c>
      <c r="AL43">
        <f t="shared" si="27"/>
        <v>1499.0961513910199</v>
      </c>
      <c r="AM43">
        <f t="shared" si="28"/>
        <v>0.83284044899999998</v>
      </c>
      <c r="AN43">
        <f t="shared" si="29"/>
        <v>0.15339804624</v>
      </c>
      <c r="AO43">
        <v>33.6</v>
      </c>
      <c r="AP43">
        <v>0.5</v>
      </c>
      <c r="AQ43" t="s">
        <v>331</v>
      </c>
      <c r="AR43">
        <v>2</v>
      </c>
      <c r="AS43">
        <v>1690215554.5999999</v>
      </c>
      <c r="AT43">
        <v>761.32899999999995</v>
      </c>
      <c r="AU43">
        <v>800.06</v>
      </c>
      <c r="AV43">
        <v>11.250299999999999</v>
      </c>
      <c r="AW43">
        <v>5.8558700000000004</v>
      </c>
      <c r="AX43">
        <v>761.69100000000003</v>
      </c>
      <c r="AY43">
        <v>11.257899999999999</v>
      </c>
      <c r="AZ43">
        <v>300.16300000000001</v>
      </c>
      <c r="BA43">
        <v>99.075999999999993</v>
      </c>
      <c r="BB43">
        <v>0.100089</v>
      </c>
      <c r="BC43">
        <v>26.795999999999999</v>
      </c>
      <c r="BD43">
        <v>26.982700000000001</v>
      </c>
      <c r="BE43">
        <v>28.229700000000001</v>
      </c>
      <c r="BF43">
        <v>0</v>
      </c>
      <c r="BG43">
        <v>0</v>
      </c>
      <c r="BH43">
        <v>10025</v>
      </c>
      <c r="BI43">
        <v>1075.78</v>
      </c>
      <c r="BJ43">
        <v>1.57125</v>
      </c>
      <c r="BK43">
        <v>-38.731099999999998</v>
      </c>
      <c r="BL43">
        <v>769.99099999999999</v>
      </c>
      <c r="BM43">
        <v>804.77200000000005</v>
      </c>
      <c r="BN43">
        <v>5.3943899999999996</v>
      </c>
      <c r="BO43">
        <v>800.06</v>
      </c>
      <c r="BP43">
        <v>5.8558700000000004</v>
      </c>
      <c r="BQ43">
        <v>1.11463</v>
      </c>
      <c r="BR43">
        <v>0.58017600000000003</v>
      </c>
      <c r="BS43">
        <v>8.5076900000000002</v>
      </c>
      <c r="BT43">
        <v>-0.769841</v>
      </c>
      <c r="BU43">
        <v>1799.98</v>
      </c>
      <c r="BV43">
        <v>0.90998699999999999</v>
      </c>
      <c r="BW43">
        <v>3.3992099999999997E-2</v>
      </c>
      <c r="BX43">
        <v>2.2007700000000002E-2</v>
      </c>
      <c r="BY43">
        <v>3.4013599999999998E-2</v>
      </c>
      <c r="BZ43">
        <v>25</v>
      </c>
      <c r="CA43">
        <v>33528</v>
      </c>
      <c r="CB43">
        <v>1690214843</v>
      </c>
      <c r="CC43" t="s">
        <v>332</v>
      </c>
      <c r="CD43">
        <v>1690214842</v>
      </c>
      <c r="CE43">
        <v>1690214843</v>
      </c>
      <c r="CF43">
        <v>8</v>
      </c>
      <c r="CG43">
        <v>-6.3E-2</v>
      </c>
      <c r="CH43">
        <v>1E-3</v>
      </c>
      <c r="CI43">
        <v>-0.38900000000000001</v>
      </c>
      <c r="CJ43">
        <v>-6.6000000000000003E-2</v>
      </c>
      <c r="CK43">
        <v>800</v>
      </c>
      <c r="CL43">
        <v>6</v>
      </c>
      <c r="CM43">
        <v>0.23</v>
      </c>
      <c r="CN43">
        <v>0.02</v>
      </c>
      <c r="CO43">
        <v>-35.50870243902439</v>
      </c>
      <c r="CP43">
        <v>-16.99821533101041</v>
      </c>
      <c r="CQ43">
        <v>1.676214232842657</v>
      </c>
      <c r="CR43">
        <v>-1</v>
      </c>
      <c r="CS43">
        <v>5.2188243902439027</v>
      </c>
      <c r="CT43">
        <v>0.93602571428572867</v>
      </c>
      <c r="CU43">
        <v>9.2303041596920543E-2</v>
      </c>
      <c r="CV43">
        <v>-1</v>
      </c>
      <c r="CW43">
        <v>0</v>
      </c>
      <c r="CX43">
        <v>0</v>
      </c>
      <c r="CY43" t="s">
        <v>333</v>
      </c>
      <c r="CZ43">
        <v>2.3642400000000001</v>
      </c>
      <c r="DA43">
        <v>2.7139000000000002</v>
      </c>
      <c r="DB43">
        <v>0.141711</v>
      </c>
      <c r="DC43">
        <v>0.14604700000000001</v>
      </c>
      <c r="DD43">
        <v>6.5805299999999997E-2</v>
      </c>
      <c r="DE43">
        <v>3.8660699999999999E-2</v>
      </c>
      <c r="DF43">
        <v>31322.6</v>
      </c>
      <c r="DG43">
        <v>27497.7</v>
      </c>
      <c r="DH43">
        <v>31156.3</v>
      </c>
      <c r="DI43">
        <v>28059.3</v>
      </c>
      <c r="DJ43">
        <v>39530.6</v>
      </c>
      <c r="DK43">
        <v>38355.800000000003</v>
      </c>
      <c r="DL43">
        <v>44336</v>
      </c>
      <c r="DM43">
        <v>42523.4</v>
      </c>
      <c r="DN43">
        <v>1.3517699999999999</v>
      </c>
      <c r="DO43">
        <v>2.0311499999999998</v>
      </c>
      <c r="DP43">
        <v>7.38539E-2</v>
      </c>
      <c r="DQ43">
        <v>0.16785</v>
      </c>
      <c r="DR43">
        <v>25.773700000000002</v>
      </c>
      <c r="DS43">
        <v>25.484100000000002</v>
      </c>
      <c r="DT43">
        <v>17.3</v>
      </c>
      <c r="DU43">
        <v>29.8</v>
      </c>
      <c r="DV43">
        <v>7.3538899999999998</v>
      </c>
      <c r="DW43">
        <v>61.6785</v>
      </c>
      <c r="DX43">
        <v>36.790900000000001</v>
      </c>
      <c r="DY43">
        <v>1</v>
      </c>
      <c r="DZ43">
        <v>-7.5586899999999999E-2</v>
      </c>
      <c r="EA43">
        <v>0.51029400000000003</v>
      </c>
      <c r="EB43">
        <v>20.1891</v>
      </c>
      <c r="EC43">
        <v>5.2403500000000003</v>
      </c>
      <c r="ED43">
        <v>12.039899999999999</v>
      </c>
      <c r="EE43">
        <v>5.0169499999999996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</v>
      </c>
      <c r="EL43">
        <v>1.86463</v>
      </c>
      <c r="EM43">
        <v>1.8691800000000001</v>
      </c>
      <c r="EN43">
        <v>1.8672500000000001</v>
      </c>
      <c r="EO43">
        <v>1.8633999999999999</v>
      </c>
      <c r="EP43">
        <v>1.8645700000000001</v>
      </c>
      <c r="EQ43">
        <v>1.8701399999999999</v>
      </c>
      <c r="ER43">
        <v>1.86941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-0.36199999999999999</v>
      </c>
      <c r="FG43">
        <v>-7.6E-3</v>
      </c>
      <c r="FH43">
        <v>0.16202357103534001</v>
      </c>
      <c r="FI43">
        <v>-6.1462078757559423E-4</v>
      </c>
      <c r="FJ43">
        <v>-1.8861989874597051E-7</v>
      </c>
      <c r="FK43">
        <v>1.1980462299894961E-10</v>
      </c>
      <c r="FL43">
        <v>-3.0039189969545878E-2</v>
      </c>
      <c r="FM43">
        <v>-1.6848085045870601E-2</v>
      </c>
      <c r="FN43">
        <v>1.9789084769509481E-3</v>
      </c>
      <c r="FO43">
        <v>-2.7142391389806329E-5</v>
      </c>
      <c r="FP43">
        <v>3</v>
      </c>
      <c r="FQ43">
        <v>2158</v>
      </c>
      <c r="FR43">
        <v>1</v>
      </c>
      <c r="FS43">
        <v>19</v>
      </c>
      <c r="FT43">
        <v>11.9</v>
      </c>
      <c r="FU43">
        <v>11.9</v>
      </c>
      <c r="FV43">
        <v>1.77979</v>
      </c>
      <c r="FW43">
        <v>2.5842299999999998</v>
      </c>
      <c r="FX43">
        <v>1.5490699999999999</v>
      </c>
      <c r="FY43">
        <v>2.3290999999999999</v>
      </c>
      <c r="FZ43">
        <v>1.50146</v>
      </c>
      <c r="GA43">
        <v>2.3559600000000001</v>
      </c>
      <c r="GB43">
        <v>33.828299999999999</v>
      </c>
      <c r="GC43">
        <v>23.982399999999998</v>
      </c>
      <c r="GD43">
        <v>19</v>
      </c>
      <c r="GE43">
        <v>233.88800000000001</v>
      </c>
      <c r="GF43">
        <v>580.30399999999997</v>
      </c>
      <c r="GG43">
        <v>24.154499999999999</v>
      </c>
      <c r="GH43">
        <v>26.457799999999999</v>
      </c>
      <c r="GI43">
        <v>29.9999</v>
      </c>
      <c r="GJ43">
        <v>26.514700000000001</v>
      </c>
      <c r="GK43">
        <v>26.467099999999999</v>
      </c>
      <c r="GL43">
        <v>35.580800000000004</v>
      </c>
      <c r="GM43">
        <v>-30</v>
      </c>
      <c r="GN43">
        <v>-30</v>
      </c>
      <c r="GO43">
        <v>24.168500000000002</v>
      </c>
      <c r="GP43">
        <v>800</v>
      </c>
      <c r="GQ43">
        <v>12.5298</v>
      </c>
      <c r="GR43">
        <v>99.683800000000005</v>
      </c>
      <c r="GS43">
        <v>99.481499999999997</v>
      </c>
    </row>
    <row r="44" spans="1:201" x14ac:dyDescent="0.25">
      <c r="A44">
        <v>28</v>
      </c>
      <c r="B44">
        <v>1690215564.5999999</v>
      </c>
      <c r="C44">
        <v>619.09999990463257</v>
      </c>
      <c r="D44" t="s">
        <v>389</v>
      </c>
      <c r="E44" t="s">
        <v>390</v>
      </c>
      <c r="F44" t="s">
        <v>330</v>
      </c>
      <c r="H44">
        <v>1690215564.5999999</v>
      </c>
      <c r="I44">
        <f t="shared" si="0"/>
        <v>5.0253421032046949E-4</v>
      </c>
      <c r="J44">
        <f t="shared" si="1"/>
        <v>0.50253421032046952</v>
      </c>
      <c r="K44">
        <f t="shared" si="2"/>
        <v>3.3362688191855643</v>
      </c>
      <c r="L44">
        <f t="shared" si="3"/>
        <v>758.36500000000001</v>
      </c>
      <c r="M44">
        <f t="shared" si="4"/>
        <v>416.74866517468433</v>
      </c>
      <c r="N44">
        <f t="shared" si="5"/>
        <v>41.330656874904861</v>
      </c>
      <c r="O44">
        <f t="shared" si="6"/>
        <v>75.210135556881013</v>
      </c>
      <c r="P44">
        <f t="shared" si="7"/>
        <v>1.7075563590146288E-2</v>
      </c>
      <c r="Q44">
        <f t="shared" si="8"/>
        <v>2.0663559828954128</v>
      </c>
      <c r="R44">
        <f t="shared" si="9"/>
        <v>1.6997558133176782E-2</v>
      </c>
      <c r="S44">
        <f t="shared" si="10"/>
        <v>1.0630452521906522E-2</v>
      </c>
      <c r="T44">
        <f t="shared" si="11"/>
        <v>276.11479886237311</v>
      </c>
      <c r="U44">
        <f t="shared" si="12"/>
        <v>28.856656390571981</v>
      </c>
      <c r="V44">
        <f t="shared" si="13"/>
        <v>28.856656390571981</v>
      </c>
      <c r="W44">
        <f t="shared" si="14"/>
        <v>3.9885339746063897</v>
      </c>
      <c r="X44">
        <f t="shared" si="15"/>
        <v>32.020202117044597</v>
      </c>
      <c r="Y44">
        <f t="shared" si="16"/>
        <v>1.1321413098925801</v>
      </c>
      <c r="Z44">
        <f t="shared" si="17"/>
        <v>3.5357094429142677</v>
      </c>
      <c r="AA44">
        <f t="shared" si="18"/>
        <v>2.8563926647138098</v>
      </c>
      <c r="AB44">
        <f t="shared" si="19"/>
        <v>-22.161758675132706</v>
      </c>
      <c r="AC44">
        <f t="shared" si="20"/>
        <v>-229.98329860095484</v>
      </c>
      <c r="AD44">
        <f t="shared" si="21"/>
        <v>-24.218474143471504</v>
      </c>
      <c r="AE44">
        <f t="shared" si="22"/>
        <v>-0.24873255718594578</v>
      </c>
      <c r="AF44">
        <v>47</v>
      </c>
      <c r="AG44">
        <v>16</v>
      </c>
      <c r="AH44">
        <f t="shared" si="23"/>
        <v>1</v>
      </c>
      <c r="AI44">
        <f t="shared" si="24"/>
        <v>0</v>
      </c>
      <c r="AJ44">
        <f t="shared" si="25"/>
        <v>52527.44207167891</v>
      </c>
      <c r="AK44">
        <f t="shared" si="26"/>
        <v>1799.99</v>
      </c>
      <c r="AL44">
        <f t="shared" si="27"/>
        <v>1499.1005918171102</v>
      </c>
      <c r="AM44">
        <f t="shared" si="28"/>
        <v>0.83283828900000012</v>
      </c>
      <c r="AN44">
        <f t="shared" si="29"/>
        <v>0.15339796269</v>
      </c>
      <c r="AO44">
        <v>33.6</v>
      </c>
      <c r="AP44">
        <v>0.5</v>
      </c>
      <c r="AQ44" t="s">
        <v>331</v>
      </c>
      <c r="AR44">
        <v>2</v>
      </c>
      <c r="AS44">
        <v>1690215564.5999999</v>
      </c>
      <c r="AT44">
        <v>758.36500000000001</v>
      </c>
      <c r="AU44">
        <v>799.976</v>
      </c>
      <c r="AV44">
        <v>11.415699999999999</v>
      </c>
      <c r="AW44">
        <v>5.8547200000000004</v>
      </c>
      <c r="AX44">
        <v>758.72500000000002</v>
      </c>
      <c r="AY44">
        <v>11.420500000000001</v>
      </c>
      <c r="AZ44">
        <v>300.17</v>
      </c>
      <c r="BA44">
        <v>99.074100000000001</v>
      </c>
      <c r="BB44">
        <v>9.9959400000000004E-2</v>
      </c>
      <c r="BC44">
        <v>26.792200000000001</v>
      </c>
      <c r="BD44">
        <v>26.974399999999999</v>
      </c>
      <c r="BE44">
        <v>28.238099999999999</v>
      </c>
      <c r="BF44">
        <v>0</v>
      </c>
      <c r="BG44">
        <v>0</v>
      </c>
      <c r="BH44">
        <v>10020.6</v>
      </c>
      <c r="BI44">
        <v>1075.6400000000001</v>
      </c>
      <c r="BJ44">
        <v>1.9230700000000001</v>
      </c>
      <c r="BK44">
        <v>-41.6111</v>
      </c>
      <c r="BL44">
        <v>767.12199999999996</v>
      </c>
      <c r="BM44">
        <v>804.68700000000001</v>
      </c>
      <c r="BN44">
        <v>5.5609900000000003</v>
      </c>
      <c r="BO44">
        <v>799.976</v>
      </c>
      <c r="BP44">
        <v>5.8547200000000004</v>
      </c>
      <c r="BQ44">
        <v>1.131</v>
      </c>
      <c r="BR44">
        <v>0.58005099999999998</v>
      </c>
      <c r="BS44">
        <v>8.7230500000000006</v>
      </c>
      <c r="BT44">
        <v>-0.77277700000000005</v>
      </c>
      <c r="BU44">
        <v>1799.99</v>
      </c>
      <c r="BV44">
        <v>0.90997700000000004</v>
      </c>
      <c r="BW44">
        <v>3.4008299999999998E-2</v>
      </c>
      <c r="BX44">
        <v>2.2005199999999999E-2</v>
      </c>
      <c r="BY44">
        <v>3.4009699999999997E-2</v>
      </c>
      <c r="BZ44">
        <v>25</v>
      </c>
      <c r="CA44">
        <v>33528.1</v>
      </c>
      <c r="CB44">
        <v>1690214843</v>
      </c>
      <c r="CC44" t="s">
        <v>332</v>
      </c>
      <c r="CD44">
        <v>1690214842</v>
      </c>
      <c r="CE44">
        <v>1690214843</v>
      </c>
      <c r="CF44">
        <v>8</v>
      </c>
      <c r="CG44">
        <v>-6.3E-2</v>
      </c>
      <c r="CH44">
        <v>1E-3</v>
      </c>
      <c r="CI44">
        <v>-0.38900000000000001</v>
      </c>
      <c r="CJ44">
        <v>-6.6000000000000003E-2</v>
      </c>
      <c r="CK44">
        <v>800</v>
      </c>
      <c r="CL44">
        <v>6</v>
      </c>
      <c r="CM44">
        <v>0.23</v>
      </c>
      <c r="CN44">
        <v>0.02</v>
      </c>
      <c r="CO44">
        <v>-38.40151707317073</v>
      </c>
      <c r="CP44">
        <v>-17.656131010452999</v>
      </c>
      <c r="CQ44">
        <v>1.741089860095687</v>
      </c>
      <c r="CR44">
        <v>-1</v>
      </c>
      <c r="CS44">
        <v>5.3789953658536582</v>
      </c>
      <c r="CT44">
        <v>0.98551609756097847</v>
      </c>
      <c r="CU44">
        <v>9.71815578483992E-2</v>
      </c>
      <c r="CV44">
        <v>-1</v>
      </c>
      <c r="CW44">
        <v>0</v>
      </c>
      <c r="CX44">
        <v>0</v>
      </c>
      <c r="CY44" t="s">
        <v>333</v>
      </c>
      <c r="CZ44">
        <v>2.3642699999999999</v>
      </c>
      <c r="DA44">
        <v>2.7137699999999998</v>
      </c>
      <c r="DB44">
        <v>0.14133899999999999</v>
      </c>
      <c r="DC44">
        <v>0.146033</v>
      </c>
      <c r="DD44">
        <v>6.6528699999999996E-2</v>
      </c>
      <c r="DE44">
        <v>3.8653600000000003E-2</v>
      </c>
      <c r="DF44">
        <v>31336.400000000001</v>
      </c>
      <c r="DG44">
        <v>27497.8</v>
      </c>
      <c r="DH44">
        <v>31156.6</v>
      </c>
      <c r="DI44">
        <v>28059</v>
      </c>
      <c r="DJ44">
        <v>39500</v>
      </c>
      <c r="DK44">
        <v>38356</v>
      </c>
      <c r="DL44">
        <v>44336.4</v>
      </c>
      <c r="DM44">
        <v>42523.3</v>
      </c>
      <c r="DN44">
        <v>1.3521700000000001</v>
      </c>
      <c r="DO44">
        <v>2.0311499999999998</v>
      </c>
      <c r="DP44">
        <v>7.3909799999999998E-2</v>
      </c>
      <c r="DQ44">
        <v>0.168882</v>
      </c>
      <c r="DR44">
        <v>25.764500000000002</v>
      </c>
      <c r="DS44">
        <v>25.4755</v>
      </c>
      <c r="DT44">
        <v>17.3</v>
      </c>
      <c r="DU44">
        <v>29.8</v>
      </c>
      <c r="DV44">
        <v>7.3545999999999996</v>
      </c>
      <c r="DW44">
        <v>61.638500000000001</v>
      </c>
      <c r="DX44">
        <v>36.678699999999999</v>
      </c>
      <c r="DY44">
        <v>1</v>
      </c>
      <c r="DZ44">
        <v>-7.5378600000000004E-2</v>
      </c>
      <c r="EA44">
        <v>0.56293800000000005</v>
      </c>
      <c r="EB44">
        <v>20.188800000000001</v>
      </c>
      <c r="EC44">
        <v>5.2397499999999999</v>
      </c>
      <c r="ED44">
        <v>12.039899999999999</v>
      </c>
      <c r="EE44">
        <v>5.01675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</v>
      </c>
      <c r="EL44">
        <v>1.86463</v>
      </c>
      <c r="EM44">
        <v>1.8691800000000001</v>
      </c>
      <c r="EN44">
        <v>1.8672299999999999</v>
      </c>
      <c r="EO44">
        <v>1.8633999999999999</v>
      </c>
      <c r="EP44">
        <v>1.86459</v>
      </c>
      <c r="EQ44">
        <v>1.87015</v>
      </c>
      <c r="ER44">
        <v>1.86941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-0.36</v>
      </c>
      <c r="FG44">
        <v>-4.7999999999999996E-3</v>
      </c>
      <c r="FH44">
        <v>0.16202357103534001</v>
      </c>
      <c r="FI44">
        <v>-6.1462078757559423E-4</v>
      </c>
      <c r="FJ44">
        <v>-1.8861989874597051E-7</v>
      </c>
      <c r="FK44">
        <v>1.1980462299894961E-10</v>
      </c>
      <c r="FL44">
        <v>-3.0039189969545878E-2</v>
      </c>
      <c r="FM44">
        <v>-1.6848085045870601E-2</v>
      </c>
      <c r="FN44">
        <v>1.9789084769509481E-3</v>
      </c>
      <c r="FO44">
        <v>-2.7142391389806329E-5</v>
      </c>
      <c r="FP44">
        <v>3</v>
      </c>
      <c r="FQ44">
        <v>2158</v>
      </c>
      <c r="FR44">
        <v>1</v>
      </c>
      <c r="FS44">
        <v>19</v>
      </c>
      <c r="FT44">
        <v>12</v>
      </c>
      <c r="FU44">
        <v>12</v>
      </c>
      <c r="FV44">
        <v>1.77979</v>
      </c>
      <c r="FW44">
        <v>2.5830099999999998</v>
      </c>
      <c r="FX44">
        <v>1.5490699999999999</v>
      </c>
      <c r="FY44">
        <v>2.3290999999999999</v>
      </c>
      <c r="FZ44">
        <v>1.50146</v>
      </c>
      <c r="GA44">
        <v>2.36206</v>
      </c>
      <c r="GB44">
        <v>33.850900000000003</v>
      </c>
      <c r="GC44">
        <v>23.982399999999998</v>
      </c>
      <c r="GD44">
        <v>19</v>
      </c>
      <c r="GE44">
        <v>234.04400000000001</v>
      </c>
      <c r="GF44">
        <v>580.32799999999997</v>
      </c>
      <c r="GG44">
        <v>24.188700000000001</v>
      </c>
      <c r="GH44">
        <v>26.46</v>
      </c>
      <c r="GI44">
        <v>30.0001</v>
      </c>
      <c r="GJ44">
        <v>26.516999999999999</v>
      </c>
      <c r="GK44">
        <v>26.4693</v>
      </c>
      <c r="GL44">
        <v>35.583500000000001</v>
      </c>
      <c r="GM44">
        <v>-30</v>
      </c>
      <c r="GN44">
        <v>-30</v>
      </c>
      <c r="GO44">
        <v>24.197399999999998</v>
      </c>
      <c r="GP44">
        <v>800</v>
      </c>
      <c r="GQ44">
        <v>12.5298</v>
      </c>
      <c r="GR44">
        <v>99.684600000000003</v>
      </c>
      <c r="GS44">
        <v>99.480800000000002</v>
      </c>
    </row>
    <row r="45" spans="1:201" x14ac:dyDescent="0.25">
      <c r="A45">
        <v>29</v>
      </c>
      <c r="B45">
        <v>1690215574.5999999</v>
      </c>
      <c r="C45">
        <v>629.09999990463257</v>
      </c>
      <c r="D45" t="s">
        <v>391</v>
      </c>
      <c r="E45" t="s">
        <v>392</v>
      </c>
      <c r="F45" t="s">
        <v>330</v>
      </c>
      <c r="H45">
        <v>1690215574.5999999</v>
      </c>
      <c r="I45">
        <f t="shared" si="0"/>
        <v>5.1816773366844841E-4</v>
      </c>
      <c r="J45">
        <f t="shared" si="1"/>
        <v>0.51816773366844837</v>
      </c>
      <c r="K45">
        <f t="shared" si="2"/>
        <v>3.6007143630503777</v>
      </c>
      <c r="L45">
        <f t="shared" si="3"/>
        <v>755.30700000000002</v>
      </c>
      <c r="M45">
        <f t="shared" si="4"/>
        <v>401.86887734164816</v>
      </c>
      <c r="N45">
        <f t="shared" si="5"/>
        <v>39.855729654948924</v>
      </c>
      <c r="O45">
        <f t="shared" si="6"/>
        <v>74.908292967654305</v>
      </c>
      <c r="P45">
        <f t="shared" si="7"/>
        <v>1.7729542446299786E-2</v>
      </c>
      <c r="Q45">
        <f t="shared" si="8"/>
        <v>2.0663112559745045</v>
      </c>
      <c r="R45">
        <f t="shared" si="9"/>
        <v>1.7645461559151178E-2</v>
      </c>
      <c r="S45">
        <f t="shared" si="10"/>
        <v>1.1035934478776484E-2</v>
      </c>
      <c r="T45">
        <f t="shared" si="11"/>
        <v>276.11442207046639</v>
      </c>
      <c r="U45">
        <f t="shared" si="12"/>
        <v>28.845799352829609</v>
      </c>
      <c r="V45">
        <f t="shared" si="13"/>
        <v>28.845799352829609</v>
      </c>
      <c r="W45">
        <f t="shared" si="14"/>
        <v>3.9860262115137739</v>
      </c>
      <c r="X45">
        <f t="shared" si="15"/>
        <v>32.509197128828745</v>
      </c>
      <c r="Y45">
        <f t="shared" si="16"/>
        <v>1.1490724486623798</v>
      </c>
      <c r="Z45">
        <f t="shared" si="17"/>
        <v>3.5346072808528297</v>
      </c>
      <c r="AA45">
        <f t="shared" si="18"/>
        <v>2.8369537628513939</v>
      </c>
      <c r="AB45">
        <f t="shared" si="19"/>
        <v>-22.851197054778574</v>
      </c>
      <c r="AC45">
        <f t="shared" si="20"/>
        <v>-229.35927224632903</v>
      </c>
      <c r="AD45">
        <f t="shared" si="21"/>
        <v>-24.151336287229515</v>
      </c>
      <c r="AE45">
        <f t="shared" si="22"/>
        <v>-0.24738351787073043</v>
      </c>
      <c r="AF45">
        <v>47</v>
      </c>
      <c r="AG45">
        <v>16</v>
      </c>
      <c r="AH45">
        <f t="shared" si="23"/>
        <v>1</v>
      </c>
      <c r="AI45">
        <f t="shared" si="24"/>
        <v>0</v>
      </c>
      <c r="AJ45">
        <f t="shared" si="25"/>
        <v>52526.36288699117</v>
      </c>
      <c r="AK45">
        <f t="shared" si="26"/>
        <v>1799.99</v>
      </c>
      <c r="AL45">
        <f t="shared" si="27"/>
        <v>1499.1022964076399</v>
      </c>
      <c r="AM45">
        <f t="shared" si="28"/>
        <v>0.83283923599999998</v>
      </c>
      <c r="AN45">
        <f t="shared" si="29"/>
        <v>0.15339775336</v>
      </c>
      <c r="AO45">
        <v>33.6</v>
      </c>
      <c r="AP45">
        <v>0.5</v>
      </c>
      <c r="AQ45" t="s">
        <v>331</v>
      </c>
      <c r="AR45">
        <v>2</v>
      </c>
      <c r="AS45">
        <v>1690215574.5999999</v>
      </c>
      <c r="AT45">
        <v>755.30700000000002</v>
      </c>
      <c r="AU45">
        <v>799.99800000000005</v>
      </c>
      <c r="AV45">
        <v>11.5862</v>
      </c>
      <c r="AW45">
        <v>5.8525799999999997</v>
      </c>
      <c r="AX45">
        <v>755.66499999999996</v>
      </c>
      <c r="AY45">
        <v>11.587999999999999</v>
      </c>
      <c r="AZ45">
        <v>300.137</v>
      </c>
      <c r="BA45">
        <v>99.075999999999993</v>
      </c>
      <c r="BB45">
        <v>9.9954899999999999E-2</v>
      </c>
      <c r="BC45">
        <v>26.786899999999999</v>
      </c>
      <c r="BD45">
        <v>26.956700000000001</v>
      </c>
      <c r="BE45">
        <v>28.2409</v>
      </c>
      <c r="BF45">
        <v>0</v>
      </c>
      <c r="BG45">
        <v>0</v>
      </c>
      <c r="BH45">
        <v>10020</v>
      </c>
      <c r="BI45">
        <v>1075.57</v>
      </c>
      <c r="BJ45">
        <v>1.92167</v>
      </c>
      <c r="BK45">
        <v>-44.691699999999997</v>
      </c>
      <c r="BL45">
        <v>764.16</v>
      </c>
      <c r="BM45">
        <v>804.70799999999997</v>
      </c>
      <c r="BN45">
        <v>5.73367</v>
      </c>
      <c r="BO45">
        <v>799.99800000000005</v>
      </c>
      <c r="BP45">
        <v>5.8525799999999997</v>
      </c>
      <c r="BQ45">
        <v>1.1479200000000001</v>
      </c>
      <c r="BR45">
        <v>0.57984999999999998</v>
      </c>
      <c r="BS45">
        <v>8.9427299999999992</v>
      </c>
      <c r="BT45">
        <v>-0.77751800000000004</v>
      </c>
      <c r="BU45">
        <v>1799.99</v>
      </c>
      <c r="BV45">
        <v>0.90998699999999999</v>
      </c>
      <c r="BW45">
        <v>3.4004600000000003E-2</v>
      </c>
      <c r="BX45">
        <v>2.2002799999999999E-2</v>
      </c>
      <c r="BY45">
        <v>3.4006000000000002E-2</v>
      </c>
      <c r="BZ45">
        <v>25</v>
      </c>
      <c r="CA45">
        <v>33528.1</v>
      </c>
      <c r="CB45">
        <v>1690214843</v>
      </c>
      <c r="CC45" t="s">
        <v>332</v>
      </c>
      <c r="CD45">
        <v>1690214842</v>
      </c>
      <c r="CE45">
        <v>1690214843</v>
      </c>
      <c r="CF45">
        <v>8</v>
      </c>
      <c r="CG45">
        <v>-6.3E-2</v>
      </c>
      <c r="CH45">
        <v>1E-3</v>
      </c>
      <c r="CI45">
        <v>-0.38900000000000001</v>
      </c>
      <c r="CJ45">
        <v>-6.6000000000000003E-2</v>
      </c>
      <c r="CK45">
        <v>800</v>
      </c>
      <c r="CL45">
        <v>6</v>
      </c>
      <c r="CM45">
        <v>0.23</v>
      </c>
      <c r="CN45">
        <v>0.02</v>
      </c>
      <c r="CO45">
        <v>-41.360656097560977</v>
      </c>
      <c r="CP45">
        <v>-17.798427177700489</v>
      </c>
      <c r="CQ45">
        <v>1.755211920781381</v>
      </c>
      <c r="CR45">
        <v>-1</v>
      </c>
      <c r="CS45">
        <v>5.5455331707317068</v>
      </c>
      <c r="CT45">
        <v>1.0125934494773461</v>
      </c>
      <c r="CU45">
        <v>9.9845620943804003E-2</v>
      </c>
      <c r="CV45">
        <v>-1</v>
      </c>
      <c r="CW45">
        <v>0</v>
      </c>
      <c r="CX45">
        <v>0</v>
      </c>
      <c r="CY45" t="s">
        <v>333</v>
      </c>
      <c r="CZ45">
        <v>2.3641700000000001</v>
      </c>
      <c r="DA45">
        <v>2.7137600000000002</v>
      </c>
      <c r="DB45">
        <v>0.140959</v>
      </c>
      <c r="DC45">
        <v>0.146038</v>
      </c>
      <c r="DD45">
        <v>6.7272700000000005E-2</v>
      </c>
      <c r="DE45">
        <v>3.8642500000000003E-2</v>
      </c>
      <c r="DF45">
        <v>31350</v>
      </c>
      <c r="DG45">
        <v>27498.1</v>
      </c>
      <c r="DH45">
        <v>31156.3</v>
      </c>
      <c r="DI45">
        <v>28059.3</v>
      </c>
      <c r="DJ45">
        <v>39468.1</v>
      </c>
      <c r="DK45">
        <v>38356.699999999997</v>
      </c>
      <c r="DL45">
        <v>44336.1</v>
      </c>
      <c r="DM45">
        <v>42523.6</v>
      </c>
      <c r="DN45">
        <v>1.3520000000000001</v>
      </c>
      <c r="DO45">
        <v>2.03125</v>
      </c>
      <c r="DP45">
        <v>7.3324899999999998E-2</v>
      </c>
      <c r="DQ45">
        <v>0.16948199999999999</v>
      </c>
      <c r="DR45">
        <v>25.756399999999999</v>
      </c>
      <c r="DS45">
        <v>25.468499999999999</v>
      </c>
      <c r="DT45">
        <v>17.3</v>
      </c>
      <c r="DU45">
        <v>29.8</v>
      </c>
      <c r="DV45">
        <v>7.3542699999999996</v>
      </c>
      <c r="DW45">
        <v>62.018500000000003</v>
      </c>
      <c r="DX45">
        <v>36.522399999999998</v>
      </c>
      <c r="DY45">
        <v>1</v>
      </c>
      <c r="DZ45">
        <v>-7.4977100000000005E-2</v>
      </c>
      <c r="EA45">
        <v>0.48341000000000001</v>
      </c>
      <c r="EB45">
        <v>20.1892</v>
      </c>
      <c r="EC45">
        <v>5.2403500000000003</v>
      </c>
      <c r="ED45">
        <v>12.039899999999999</v>
      </c>
      <c r="EE45">
        <v>5.0175000000000001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</v>
      </c>
      <c r="EL45">
        <v>1.8646199999999999</v>
      </c>
      <c r="EM45">
        <v>1.86917</v>
      </c>
      <c r="EN45">
        <v>1.8672299999999999</v>
      </c>
      <c r="EO45">
        <v>1.8633999999999999</v>
      </c>
      <c r="EP45">
        <v>1.8645799999999999</v>
      </c>
      <c r="EQ45">
        <v>1.8701399999999999</v>
      </c>
      <c r="ER45">
        <v>1.86938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-0.35799999999999998</v>
      </c>
      <c r="FG45">
        <v>-1.8E-3</v>
      </c>
      <c r="FH45">
        <v>0.16202357103534001</v>
      </c>
      <c r="FI45">
        <v>-6.1462078757559423E-4</v>
      </c>
      <c r="FJ45">
        <v>-1.8861989874597051E-7</v>
      </c>
      <c r="FK45">
        <v>1.1980462299894961E-10</v>
      </c>
      <c r="FL45">
        <v>-3.0039189969545878E-2</v>
      </c>
      <c r="FM45">
        <v>-1.6848085045870601E-2</v>
      </c>
      <c r="FN45">
        <v>1.9789084769509481E-3</v>
      </c>
      <c r="FO45">
        <v>-2.7142391389806329E-5</v>
      </c>
      <c r="FP45">
        <v>3</v>
      </c>
      <c r="FQ45">
        <v>2158</v>
      </c>
      <c r="FR45">
        <v>1</v>
      </c>
      <c r="FS45">
        <v>19</v>
      </c>
      <c r="FT45">
        <v>12.2</v>
      </c>
      <c r="FU45">
        <v>12.2</v>
      </c>
      <c r="FV45">
        <v>1.77979</v>
      </c>
      <c r="FW45">
        <v>2.5866699999999998</v>
      </c>
      <c r="FX45">
        <v>1.5490699999999999</v>
      </c>
      <c r="FY45">
        <v>2.3290999999999999</v>
      </c>
      <c r="FZ45">
        <v>1.50146</v>
      </c>
      <c r="GA45">
        <v>2.33643</v>
      </c>
      <c r="GB45">
        <v>33.828299999999999</v>
      </c>
      <c r="GC45">
        <v>23.982399999999998</v>
      </c>
      <c r="GD45">
        <v>19</v>
      </c>
      <c r="GE45">
        <v>233.98699999999999</v>
      </c>
      <c r="GF45">
        <v>580.43600000000004</v>
      </c>
      <c r="GG45">
        <v>24.221499999999999</v>
      </c>
      <c r="GH45">
        <v>26.46</v>
      </c>
      <c r="GI45">
        <v>30.0001</v>
      </c>
      <c r="GJ45">
        <v>26.519100000000002</v>
      </c>
      <c r="GK45">
        <v>26.471499999999999</v>
      </c>
      <c r="GL45">
        <v>35.581299999999999</v>
      </c>
      <c r="GM45">
        <v>-30</v>
      </c>
      <c r="GN45">
        <v>-30</v>
      </c>
      <c r="GO45">
        <v>24.256499999999999</v>
      </c>
      <c r="GP45">
        <v>800</v>
      </c>
      <c r="GQ45">
        <v>12.5298</v>
      </c>
      <c r="GR45">
        <v>99.683899999999994</v>
      </c>
      <c r="GS45">
        <v>99.481800000000007</v>
      </c>
    </row>
    <row r="46" spans="1:201" x14ac:dyDescent="0.25">
      <c r="A46">
        <v>30</v>
      </c>
      <c r="B46">
        <v>1690215584.5999999</v>
      </c>
      <c r="C46">
        <v>639.09999990463257</v>
      </c>
      <c r="D46" t="s">
        <v>393</v>
      </c>
      <c r="E46" t="s">
        <v>394</v>
      </c>
      <c r="F46" t="s">
        <v>330</v>
      </c>
      <c r="H46">
        <v>1690215584.5999999</v>
      </c>
      <c r="I46">
        <f t="shared" si="0"/>
        <v>5.337905577596743E-4</v>
      </c>
      <c r="J46">
        <f t="shared" si="1"/>
        <v>0.53379055775967432</v>
      </c>
      <c r="K46">
        <f t="shared" si="2"/>
        <v>3.8547485594026063</v>
      </c>
      <c r="L46">
        <f t="shared" si="3"/>
        <v>752.35299999999995</v>
      </c>
      <c r="M46">
        <f t="shared" si="4"/>
        <v>388.91688655812635</v>
      </c>
      <c r="N46">
        <f t="shared" si="5"/>
        <v>38.569667418326937</v>
      </c>
      <c r="O46">
        <f t="shared" si="6"/>
        <v>74.612355477764993</v>
      </c>
      <c r="P46">
        <f t="shared" si="7"/>
        <v>1.8388780988874739E-2</v>
      </c>
      <c r="Q46">
        <f t="shared" si="8"/>
        <v>2.064345993294384</v>
      </c>
      <c r="R46">
        <f t="shared" si="9"/>
        <v>1.8298262663634633E-2</v>
      </c>
      <c r="S46">
        <f t="shared" si="10"/>
        <v>1.1444509640668735E-2</v>
      </c>
      <c r="T46">
        <f t="shared" si="11"/>
        <v>276.11379185796756</v>
      </c>
      <c r="U46">
        <f t="shared" si="12"/>
        <v>28.836174640035388</v>
      </c>
      <c r="V46">
        <f t="shared" si="13"/>
        <v>28.836174640035388</v>
      </c>
      <c r="W46">
        <f t="shared" si="14"/>
        <v>3.9838042412098487</v>
      </c>
      <c r="X46">
        <f t="shared" si="15"/>
        <v>32.996696371476446</v>
      </c>
      <c r="Y46">
        <f t="shared" si="16"/>
        <v>1.1659057595819999</v>
      </c>
      <c r="Z46">
        <f t="shared" si="17"/>
        <v>3.5334014849736644</v>
      </c>
      <c r="AA46">
        <f t="shared" si="18"/>
        <v>2.8178984816278487</v>
      </c>
      <c r="AB46">
        <f t="shared" si="19"/>
        <v>-23.540163597201637</v>
      </c>
      <c r="AC46">
        <f t="shared" si="20"/>
        <v>-228.71546546149071</v>
      </c>
      <c r="AD46">
        <f t="shared" si="21"/>
        <v>-24.104616458529733</v>
      </c>
      <c r="AE46">
        <f t="shared" si="22"/>
        <v>-0.24645365925451301</v>
      </c>
      <c r="AF46">
        <v>47</v>
      </c>
      <c r="AG46">
        <v>16</v>
      </c>
      <c r="AH46">
        <f t="shared" si="23"/>
        <v>1</v>
      </c>
      <c r="AI46">
        <f t="shared" si="24"/>
        <v>0</v>
      </c>
      <c r="AJ46">
        <f t="shared" si="25"/>
        <v>52437.293866487555</v>
      </c>
      <c r="AK46">
        <f t="shared" si="26"/>
        <v>1799.99</v>
      </c>
      <c r="AL46">
        <f t="shared" si="27"/>
        <v>1499.1029048042599</v>
      </c>
      <c r="AM46">
        <f t="shared" si="28"/>
        <v>0.83283957399999997</v>
      </c>
      <c r="AN46">
        <f t="shared" si="29"/>
        <v>0.15339740323999998</v>
      </c>
      <c r="AO46">
        <v>33.6</v>
      </c>
      <c r="AP46">
        <v>0.5</v>
      </c>
      <c r="AQ46" t="s">
        <v>331</v>
      </c>
      <c r="AR46">
        <v>2</v>
      </c>
      <c r="AS46">
        <v>1690215584.5999999</v>
      </c>
      <c r="AT46">
        <v>752.35299999999995</v>
      </c>
      <c r="AU46">
        <v>799.98900000000003</v>
      </c>
      <c r="AV46">
        <v>11.756399999999999</v>
      </c>
      <c r="AW46">
        <v>5.8525799999999997</v>
      </c>
      <c r="AX46">
        <v>752.71</v>
      </c>
      <c r="AY46">
        <v>11.755100000000001</v>
      </c>
      <c r="AZ46">
        <v>300.221</v>
      </c>
      <c r="BA46">
        <v>99.072000000000003</v>
      </c>
      <c r="BB46">
        <v>0.100005</v>
      </c>
      <c r="BC46">
        <v>26.781099999999999</v>
      </c>
      <c r="BD46">
        <v>26.951899999999998</v>
      </c>
      <c r="BE46">
        <v>28.235499999999998</v>
      </c>
      <c r="BF46">
        <v>0</v>
      </c>
      <c r="BG46">
        <v>0</v>
      </c>
      <c r="BH46">
        <v>10002.5</v>
      </c>
      <c r="BI46">
        <v>1075.43</v>
      </c>
      <c r="BJ46">
        <v>1.9356800000000001</v>
      </c>
      <c r="BK46">
        <v>-47.635399999999997</v>
      </c>
      <c r="BL46">
        <v>761.303</v>
      </c>
      <c r="BM46">
        <v>804.69799999999998</v>
      </c>
      <c r="BN46">
        <v>5.9037800000000002</v>
      </c>
      <c r="BO46">
        <v>799.98900000000003</v>
      </c>
      <c r="BP46">
        <v>5.8525799999999997</v>
      </c>
      <c r="BQ46">
        <v>1.16473</v>
      </c>
      <c r="BR46">
        <v>0.57982699999999998</v>
      </c>
      <c r="BS46">
        <v>9.1581799999999998</v>
      </c>
      <c r="BT46">
        <v>-0.77806399999999998</v>
      </c>
      <c r="BU46">
        <v>1799.99</v>
      </c>
      <c r="BV46">
        <v>0.90999699999999994</v>
      </c>
      <c r="BW46">
        <v>3.4000599999999999E-2</v>
      </c>
      <c r="BX46">
        <v>2.2000200000000001E-2</v>
      </c>
      <c r="BY46">
        <v>3.4001999999999998E-2</v>
      </c>
      <c r="BZ46">
        <v>25</v>
      </c>
      <c r="CA46">
        <v>33528.1</v>
      </c>
      <c r="CB46">
        <v>1690214843</v>
      </c>
      <c r="CC46" t="s">
        <v>332</v>
      </c>
      <c r="CD46">
        <v>1690214842</v>
      </c>
      <c r="CE46">
        <v>1690214843</v>
      </c>
      <c r="CF46">
        <v>8</v>
      </c>
      <c r="CG46">
        <v>-6.3E-2</v>
      </c>
      <c r="CH46">
        <v>1E-3</v>
      </c>
      <c r="CI46">
        <v>-0.38900000000000001</v>
      </c>
      <c r="CJ46">
        <v>-6.6000000000000003E-2</v>
      </c>
      <c r="CK46">
        <v>800</v>
      </c>
      <c r="CL46">
        <v>6</v>
      </c>
      <c r="CM46">
        <v>0.23</v>
      </c>
      <c r="CN46">
        <v>0.02</v>
      </c>
      <c r="CO46">
        <v>-44.367797560975617</v>
      </c>
      <c r="CP46">
        <v>-18.2754689895471</v>
      </c>
      <c r="CQ46">
        <v>1.802245546937894</v>
      </c>
      <c r="CR46">
        <v>-1</v>
      </c>
      <c r="CS46">
        <v>5.7160551219512197</v>
      </c>
      <c r="CT46">
        <v>1.0332127526132531</v>
      </c>
      <c r="CU46">
        <v>0.1018773732776848</v>
      </c>
      <c r="CV46">
        <v>-1</v>
      </c>
      <c r="CW46">
        <v>0</v>
      </c>
      <c r="CX46">
        <v>0</v>
      </c>
      <c r="CY46" t="s">
        <v>333</v>
      </c>
      <c r="CZ46">
        <v>2.3644500000000002</v>
      </c>
      <c r="DA46">
        <v>2.7138</v>
      </c>
      <c r="DB46">
        <v>0.14058399999999999</v>
      </c>
      <c r="DC46">
        <v>0.14603099999999999</v>
      </c>
      <c r="DD46">
        <v>6.8006800000000006E-2</v>
      </c>
      <c r="DE46">
        <v>3.8640800000000003E-2</v>
      </c>
      <c r="DF46">
        <v>31363.7</v>
      </c>
      <c r="DG46">
        <v>27498.3</v>
      </c>
      <c r="DH46">
        <v>31156.3</v>
      </c>
      <c r="DI46">
        <v>28059.3</v>
      </c>
      <c r="DJ46">
        <v>39436.800000000003</v>
      </c>
      <c r="DK46">
        <v>38356.800000000003</v>
      </c>
      <c r="DL46">
        <v>44336.1</v>
      </c>
      <c r="DM46">
        <v>42523.7</v>
      </c>
      <c r="DN46">
        <v>1.3524</v>
      </c>
      <c r="DO46">
        <v>2.03105</v>
      </c>
      <c r="DP46">
        <v>7.34292E-2</v>
      </c>
      <c r="DQ46">
        <v>0.16964199999999999</v>
      </c>
      <c r="DR46">
        <v>25.7498</v>
      </c>
      <c r="DS46">
        <v>25.4605</v>
      </c>
      <c r="DT46">
        <v>17.3</v>
      </c>
      <c r="DU46">
        <v>29.8</v>
      </c>
      <c r="DV46">
        <v>7.3543399999999997</v>
      </c>
      <c r="DW46">
        <v>61.6785</v>
      </c>
      <c r="DX46">
        <v>36.402200000000001</v>
      </c>
      <c r="DY46">
        <v>1</v>
      </c>
      <c r="DZ46">
        <v>-7.5033000000000002E-2</v>
      </c>
      <c r="EA46">
        <v>0.38882899999999998</v>
      </c>
      <c r="EB46">
        <v>20.189499999999999</v>
      </c>
      <c r="EC46">
        <v>5.2404999999999999</v>
      </c>
      <c r="ED46">
        <v>12.039899999999999</v>
      </c>
      <c r="EE46">
        <v>5.01675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</v>
      </c>
      <c r="EL46">
        <v>1.86463</v>
      </c>
      <c r="EM46">
        <v>1.8691899999999999</v>
      </c>
      <c r="EN46">
        <v>1.8672299999999999</v>
      </c>
      <c r="EO46">
        <v>1.8633999999999999</v>
      </c>
      <c r="EP46">
        <v>1.8645700000000001</v>
      </c>
      <c r="EQ46">
        <v>1.87016</v>
      </c>
      <c r="ER46">
        <v>1.86944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-0.35699999999999998</v>
      </c>
      <c r="FG46">
        <v>1.2999999999999999E-3</v>
      </c>
      <c r="FH46">
        <v>0.16202357103534001</v>
      </c>
      <c r="FI46">
        <v>-6.1462078757559423E-4</v>
      </c>
      <c r="FJ46">
        <v>-1.8861989874597051E-7</v>
      </c>
      <c r="FK46">
        <v>1.1980462299894961E-10</v>
      </c>
      <c r="FL46">
        <v>-3.0039189969545878E-2</v>
      </c>
      <c r="FM46">
        <v>-1.6848085045870601E-2</v>
      </c>
      <c r="FN46">
        <v>1.9789084769509481E-3</v>
      </c>
      <c r="FO46">
        <v>-2.7142391389806329E-5</v>
      </c>
      <c r="FP46">
        <v>3</v>
      </c>
      <c r="FQ46">
        <v>2158</v>
      </c>
      <c r="FR46">
        <v>1</v>
      </c>
      <c r="FS46">
        <v>19</v>
      </c>
      <c r="FT46">
        <v>12.4</v>
      </c>
      <c r="FU46">
        <v>12.4</v>
      </c>
      <c r="FV46">
        <v>1.77979</v>
      </c>
      <c r="FW46">
        <v>2.5842299999999998</v>
      </c>
      <c r="FX46">
        <v>1.5490699999999999</v>
      </c>
      <c r="FY46">
        <v>2.3290999999999999</v>
      </c>
      <c r="FZ46">
        <v>1.50146</v>
      </c>
      <c r="GA46">
        <v>2.3290999999999999</v>
      </c>
      <c r="GB46">
        <v>33.828299999999999</v>
      </c>
      <c r="GC46">
        <v>23.982399999999998</v>
      </c>
      <c r="GD46">
        <v>19</v>
      </c>
      <c r="GE46">
        <v>234.143</v>
      </c>
      <c r="GF46">
        <v>580.29600000000005</v>
      </c>
      <c r="GG46">
        <v>24.285699999999999</v>
      </c>
      <c r="GH46">
        <v>26.458200000000001</v>
      </c>
      <c r="GI46">
        <v>30</v>
      </c>
      <c r="GJ46">
        <v>26.5214</v>
      </c>
      <c r="GK46">
        <v>26.473700000000001</v>
      </c>
      <c r="GL46">
        <v>35.581099999999999</v>
      </c>
      <c r="GM46">
        <v>-30</v>
      </c>
      <c r="GN46">
        <v>-30</v>
      </c>
      <c r="GO46">
        <v>24.317599999999999</v>
      </c>
      <c r="GP46">
        <v>800</v>
      </c>
      <c r="GQ46">
        <v>12.5298</v>
      </c>
      <c r="GR46">
        <v>99.683899999999994</v>
      </c>
      <c r="GS46">
        <v>99.481899999999996</v>
      </c>
    </row>
    <row r="47" spans="1:201" x14ac:dyDescent="0.25">
      <c r="A47">
        <v>31</v>
      </c>
      <c r="B47">
        <v>1690215594.5999999</v>
      </c>
      <c r="C47">
        <v>649.09999990463257</v>
      </c>
      <c r="D47" t="s">
        <v>395</v>
      </c>
      <c r="E47" t="s">
        <v>396</v>
      </c>
      <c r="F47" t="s">
        <v>330</v>
      </c>
      <c r="H47">
        <v>1690215594.5999999</v>
      </c>
      <c r="I47">
        <f t="shared" si="0"/>
        <v>5.4934625048237815E-4</v>
      </c>
      <c r="J47">
        <f t="shared" si="1"/>
        <v>0.54934625048237817</v>
      </c>
      <c r="K47">
        <f t="shared" si="2"/>
        <v>4.1175036077901881</v>
      </c>
      <c r="L47">
        <f t="shared" si="3"/>
        <v>749.35599999999999</v>
      </c>
      <c r="M47">
        <f t="shared" si="4"/>
        <v>376.35552754503414</v>
      </c>
      <c r="N47">
        <f t="shared" si="5"/>
        <v>37.324126082570452</v>
      </c>
      <c r="O47">
        <f t="shared" si="6"/>
        <v>74.315522897120005</v>
      </c>
      <c r="P47">
        <f t="shared" si="7"/>
        <v>1.9071717352152288E-2</v>
      </c>
      <c r="Q47">
        <f t="shared" si="8"/>
        <v>2.0701043912341115</v>
      </c>
      <c r="R47">
        <f t="shared" si="9"/>
        <v>1.8974639214031027E-2</v>
      </c>
      <c r="S47">
        <f t="shared" si="10"/>
        <v>1.1867830306074138E-2</v>
      </c>
      <c r="T47">
        <f t="shared" si="11"/>
        <v>276.11343491995063</v>
      </c>
      <c r="U47">
        <f t="shared" si="12"/>
        <v>28.816643095989182</v>
      </c>
      <c r="V47">
        <f t="shared" si="13"/>
        <v>28.816643095989182</v>
      </c>
      <c r="W47">
        <f t="shared" si="14"/>
        <v>3.9792984902669004</v>
      </c>
      <c r="X47">
        <f t="shared" si="15"/>
        <v>33.492747665229494</v>
      </c>
      <c r="Y47">
        <f t="shared" si="16"/>
        <v>1.1828207287879999</v>
      </c>
      <c r="Z47">
        <f t="shared" si="17"/>
        <v>3.5315726873491053</v>
      </c>
      <c r="AA47">
        <f t="shared" si="18"/>
        <v>2.7964777614789007</v>
      </c>
      <c r="AB47">
        <f t="shared" si="19"/>
        <v>-24.226169646272876</v>
      </c>
      <c r="AC47">
        <f t="shared" si="20"/>
        <v>-228.15577917202518</v>
      </c>
      <c r="AD47">
        <f t="shared" si="21"/>
        <v>-23.975352433706622</v>
      </c>
      <c r="AE47">
        <f t="shared" si="22"/>
        <v>-0.24386633205403996</v>
      </c>
      <c r="AF47">
        <v>47</v>
      </c>
      <c r="AG47">
        <v>16</v>
      </c>
      <c r="AH47">
        <f t="shared" si="23"/>
        <v>1</v>
      </c>
      <c r="AI47">
        <f t="shared" si="24"/>
        <v>0</v>
      </c>
      <c r="AJ47">
        <f t="shared" si="25"/>
        <v>52702.865962647236</v>
      </c>
      <c r="AK47">
        <f t="shared" si="26"/>
        <v>1799.99</v>
      </c>
      <c r="AL47">
        <f t="shared" si="27"/>
        <v>1499.1040387979601</v>
      </c>
      <c r="AM47">
        <f t="shared" si="28"/>
        <v>0.83284020400000003</v>
      </c>
      <c r="AN47">
        <f t="shared" si="29"/>
        <v>0.15339720494</v>
      </c>
      <c r="AO47">
        <v>33.6</v>
      </c>
      <c r="AP47">
        <v>0.5</v>
      </c>
      <c r="AQ47" t="s">
        <v>331</v>
      </c>
      <c r="AR47">
        <v>2</v>
      </c>
      <c r="AS47">
        <v>1690215594.5999999</v>
      </c>
      <c r="AT47">
        <v>749.35599999999999</v>
      </c>
      <c r="AU47">
        <v>800.05200000000002</v>
      </c>
      <c r="AV47">
        <v>11.9269</v>
      </c>
      <c r="AW47">
        <v>5.8512700000000004</v>
      </c>
      <c r="AX47">
        <v>749.71</v>
      </c>
      <c r="AY47">
        <v>11.922499999999999</v>
      </c>
      <c r="AZ47">
        <v>300.18099999999998</v>
      </c>
      <c r="BA47">
        <v>99.072500000000005</v>
      </c>
      <c r="BB47">
        <v>0.10002</v>
      </c>
      <c r="BC47">
        <v>26.772300000000001</v>
      </c>
      <c r="BD47">
        <v>26.954899999999999</v>
      </c>
      <c r="BE47">
        <v>28.2285</v>
      </c>
      <c r="BF47">
        <v>0</v>
      </c>
      <c r="BG47">
        <v>0</v>
      </c>
      <c r="BH47">
        <v>10055</v>
      </c>
      <c r="BI47">
        <v>1075.3599999999999</v>
      </c>
      <c r="BJ47">
        <v>1.93428</v>
      </c>
      <c r="BK47">
        <v>-50.6965</v>
      </c>
      <c r="BL47">
        <v>758.40099999999995</v>
      </c>
      <c r="BM47">
        <v>804.76099999999997</v>
      </c>
      <c r="BN47">
        <v>6.0756600000000001</v>
      </c>
      <c r="BO47">
        <v>800.05200000000002</v>
      </c>
      <c r="BP47">
        <v>5.8512700000000004</v>
      </c>
      <c r="BQ47">
        <v>1.18163</v>
      </c>
      <c r="BR47">
        <v>0.57969999999999999</v>
      </c>
      <c r="BS47">
        <v>9.3721099999999993</v>
      </c>
      <c r="BT47">
        <v>-0.78105400000000003</v>
      </c>
      <c r="BU47">
        <v>1799.99</v>
      </c>
      <c r="BV47">
        <v>0.91000499999999995</v>
      </c>
      <c r="BW47">
        <v>3.3997600000000003E-2</v>
      </c>
      <c r="BX47">
        <v>2.1998199999999999E-2</v>
      </c>
      <c r="BY47">
        <v>3.3999000000000001E-2</v>
      </c>
      <c r="BZ47">
        <v>25</v>
      </c>
      <c r="CA47">
        <v>33528.199999999997</v>
      </c>
      <c r="CB47">
        <v>1690214843</v>
      </c>
      <c r="CC47" t="s">
        <v>332</v>
      </c>
      <c r="CD47">
        <v>1690214842</v>
      </c>
      <c r="CE47">
        <v>1690214843</v>
      </c>
      <c r="CF47">
        <v>8</v>
      </c>
      <c r="CG47">
        <v>-6.3E-2</v>
      </c>
      <c r="CH47">
        <v>1E-3</v>
      </c>
      <c r="CI47">
        <v>-0.38900000000000001</v>
      </c>
      <c r="CJ47">
        <v>-6.6000000000000003E-2</v>
      </c>
      <c r="CK47">
        <v>800</v>
      </c>
      <c r="CL47">
        <v>6</v>
      </c>
      <c r="CM47">
        <v>0.23</v>
      </c>
      <c r="CN47">
        <v>0.02</v>
      </c>
      <c r="CO47">
        <v>-47.304582500000002</v>
      </c>
      <c r="CP47">
        <v>-17.884618761726081</v>
      </c>
      <c r="CQ47">
        <v>1.720917060739346</v>
      </c>
      <c r="CR47">
        <v>-1</v>
      </c>
      <c r="CS47">
        <v>5.8830910000000003</v>
      </c>
      <c r="CT47">
        <v>1.0221620262664119</v>
      </c>
      <c r="CU47">
        <v>9.8328019679031528E-2</v>
      </c>
      <c r="CV47">
        <v>-1</v>
      </c>
      <c r="CW47">
        <v>0</v>
      </c>
      <c r="CX47">
        <v>0</v>
      </c>
      <c r="CY47" t="s">
        <v>333</v>
      </c>
      <c r="CZ47">
        <v>2.3643000000000001</v>
      </c>
      <c r="DA47">
        <v>2.7138599999999999</v>
      </c>
      <c r="DB47">
        <v>0.140209</v>
      </c>
      <c r="DC47">
        <v>0.146038</v>
      </c>
      <c r="DD47">
        <v>6.8741899999999995E-2</v>
      </c>
      <c r="DE47">
        <v>3.86337E-2</v>
      </c>
      <c r="DF47">
        <v>31377.7</v>
      </c>
      <c r="DG47">
        <v>27498.1</v>
      </c>
      <c r="DH47">
        <v>31156.6</v>
      </c>
      <c r="DI47">
        <v>28059.3</v>
      </c>
      <c r="DJ47">
        <v>39405.699999999997</v>
      </c>
      <c r="DK47">
        <v>38357.300000000003</v>
      </c>
      <c r="DL47">
        <v>44336.4</v>
      </c>
      <c r="DM47">
        <v>42523.8</v>
      </c>
      <c r="DN47">
        <v>1.35225</v>
      </c>
      <c r="DO47">
        <v>2.03105</v>
      </c>
      <c r="DP47">
        <v>7.4144500000000002E-2</v>
      </c>
      <c r="DQ47">
        <v>0.16967599999999999</v>
      </c>
      <c r="DR47">
        <v>25.741099999999999</v>
      </c>
      <c r="DS47">
        <v>25.4529</v>
      </c>
      <c r="DT47">
        <v>17.3</v>
      </c>
      <c r="DU47">
        <v>29.8</v>
      </c>
      <c r="DV47">
        <v>7.3544099999999997</v>
      </c>
      <c r="DW47">
        <v>61.548499999999997</v>
      </c>
      <c r="DX47">
        <v>36.490400000000001</v>
      </c>
      <c r="DY47">
        <v>1</v>
      </c>
      <c r="DZ47">
        <v>-7.4984800000000004E-2</v>
      </c>
      <c r="EA47">
        <v>0.33618700000000001</v>
      </c>
      <c r="EB47">
        <v>20.189800000000002</v>
      </c>
      <c r="EC47">
        <v>5.2406499999999996</v>
      </c>
      <c r="ED47">
        <v>12.039899999999999</v>
      </c>
      <c r="EE47">
        <v>5.0168499999999998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</v>
      </c>
      <c r="EL47">
        <v>1.8646400000000001</v>
      </c>
      <c r="EM47">
        <v>1.86917</v>
      </c>
      <c r="EN47">
        <v>1.8672299999999999</v>
      </c>
      <c r="EO47">
        <v>1.8633999999999999</v>
      </c>
      <c r="EP47">
        <v>1.86456</v>
      </c>
      <c r="EQ47">
        <v>1.87016</v>
      </c>
      <c r="ER47">
        <v>1.86941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-0.35399999999999998</v>
      </c>
      <c r="FG47">
        <v>4.4000000000000003E-3</v>
      </c>
      <c r="FH47">
        <v>0.16202357103534001</v>
      </c>
      <c r="FI47">
        <v>-6.1462078757559423E-4</v>
      </c>
      <c r="FJ47">
        <v>-1.8861989874597051E-7</v>
      </c>
      <c r="FK47">
        <v>1.1980462299894961E-10</v>
      </c>
      <c r="FL47">
        <v>-3.0039189969545878E-2</v>
      </c>
      <c r="FM47">
        <v>-1.6848085045870601E-2</v>
      </c>
      <c r="FN47">
        <v>1.9789084769509481E-3</v>
      </c>
      <c r="FO47">
        <v>-2.7142391389806329E-5</v>
      </c>
      <c r="FP47">
        <v>3</v>
      </c>
      <c r="FQ47">
        <v>2158</v>
      </c>
      <c r="FR47">
        <v>1</v>
      </c>
      <c r="FS47">
        <v>19</v>
      </c>
      <c r="FT47">
        <v>12.5</v>
      </c>
      <c r="FU47">
        <v>12.5</v>
      </c>
      <c r="FV47">
        <v>1.77979</v>
      </c>
      <c r="FW47">
        <v>2.5878899999999998</v>
      </c>
      <c r="FX47">
        <v>1.5490699999999999</v>
      </c>
      <c r="FY47">
        <v>2.3290999999999999</v>
      </c>
      <c r="FZ47">
        <v>1.50146</v>
      </c>
      <c r="GA47">
        <v>2.32056</v>
      </c>
      <c r="GB47">
        <v>33.828299999999999</v>
      </c>
      <c r="GC47">
        <v>23.982399999999998</v>
      </c>
      <c r="GD47">
        <v>19</v>
      </c>
      <c r="GE47">
        <v>234.095</v>
      </c>
      <c r="GF47">
        <v>580.32100000000003</v>
      </c>
      <c r="GG47">
        <v>24.347899999999999</v>
      </c>
      <c r="GH47">
        <v>26.457799999999999</v>
      </c>
      <c r="GI47">
        <v>30</v>
      </c>
      <c r="GJ47">
        <v>26.523599999999998</v>
      </c>
      <c r="GK47">
        <v>26.475899999999999</v>
      </c>
      <c r="GL47">
        <v>35.580399999999997</v>
      </c>
      <c r="GM47">
        <v>-30</v>
      </c>
      <c r="GN47">
        <v>-30</v>
      </c>
      <c r="GO47">
        <v>24.377400000000002</v>
      </c>
      <c r="GP47">
        <v>800</v>
      </c>
      <c r="GQ47">
        <v>12.5298</v>
      </c>
      <c r="GR47">
        <v>99.684600000000003</v>
      </c>
      <c r="GS47">
        <v>99.482100000000003</v>
      </c>
    </row>
    <row r="48" spans="1:201" x14ac:dyDescent="0.25">
      <c r="A48">
        <v>32</v>
      </c>
      <c r="B48">
        <v>1690215604.5999999</v>
      </c>
      <c r="C48">
        <v>659.09999990463257</v>
      </c>
      <c r="D48" t="s">
        <v>397</v>
      </c>
      <c r="E48" t="s">
        <v>398</v>
      </c>
      <c r="F48" t="s">
        <v>330</v>
      </c>
      <c r="H48">
        <v>1690215604.5999999</v>
      </c>
      <c r="I48">
        <f t="shared" si="0"/>
        <v>5.6512330000101465E-4</v>
      </c>
      <c r="J48">
        <f t="shared" si="1"/>
        <v>0.56512330000101463</v>
      </c>
      <c r="K48">
        <f t="shared" si="2"/>
        <v>4.3756335369277988</v>
      </c>
      <c r="L48">
        <f t="shared" si="3"/>
        <v>746.28499999999997</v>
      </c>
      <c r="M48">
        <f t="shared" si="4"/>
        <v>364.13021805343595</v>
      </c>
      <c r="N48">
        <f t="shared" si="5"/>
        <v>36.113235217471292</v>
      </c>
      <c r="O48">
        <f t="shared" si="6"/>
        <v>74.014087290924991</v>
      </c>
      <c r="P48">
        <f t="shared" si="7"/>
        <v>1.9722777363208016E-2</v>
      </c>
      <c r="Q48">
        <f t="shared" si="8"/>
        <v>2.0621987966204047</v>
      </c>
      <c r="R48">
        <f t="shared" si="9"/>
        <v>1.9618581904900737E-2</v>
      </c>
      <c r="S48">
        <f t="shared" si="10"/>
        <v>1.2270929253431035E-2</v>
      </c>
      <c r="T48">
        <f t="shared" si="11"/>
        <v>276.11288289901739</v>
      </c>
      <c r="U48">
        <f t="shared" si="12"/>
        <v>28.828747569850492</v>
      </c>
      <c r="V48">
        <f t="shared" si="13"/>
        <v>28.828747569850492</v>
      </c>
      <c r="W48">
        <f t="shared" si="14"/>
        <v>3.9820903591816719</v>
      </c>
      <c r="X48">
        <f t="shared" si="15"/>
        <v>33.954682542243923</v>
      </c>
      <c r="Y48">
        <f t="shared" si="16"/>
        <v>1.1998893654424998</v>
      </c>
      <c r="Z48">
        <f t="shared" si="17"/>
        <v>3.5337964475140815</v>
      </c>
      <c r="AA48">
        <f t="shared" si="18"/>
        <v>2.7822009937391723</v>
      </c>
      <c r="AB48">
        <f t="shared" si="19"/>
        <v>-24.921937530044747</v>
      </c>
      <c r="AC48">
        <f t="shared" si="20"/>
        <v>-227.44061258412651</v>
      </c>
      <c r="AD48">
        <f t="shared" si="21"/>
        <v>-23.994552462331612</v>
      </c>
      <c r="AE48">
        <f t="shared" si="22"/>
        <v>-0.24421967748548923</v>
      </c>
      <c r="AF48">
        <v>47</v>
      </c>
      <c r="AG48">
        <v>16</v>
      </c>
      <c r="AH48">
        <f t="shared" si="23"/>
        <v>1</v>
      </c>
      <c r="AI48">
        <f t="shared" si="24"/>
        <v>0</v>
      </c>
      <c r="AJ48">
        <f t="shared" si="25"/>
        <v>52338.859022933008</v>
      </c>
      <c r="AK48">
        <f t="shared" si="26"/>
        <v>1799.99</v>
      </c>
      <c r="AL48">
        <f t="shared" si="27"/>
        <v>1499.1056353890897</v>
      </c>
      <c r="AM48">
        <f t="shared" si="28"/>
        <v>0.83284109099999981</v>
      </c>
      <c r="AN48">
        <f t="shared" si="29"/>
        <v>0.15339689826</v>
      </c>
      <c r="AO48">
        <v>33.6</v>
      </c>
      <c r="AP48">
        <v>0.5</v>
      </c>
      <c r="AQ48" t="s">
        <v>331</v>
      </c>
      <c r="AR48">
        <v>2</v>
      </c>
      <c r="AS48">
        <v>1690215604.5999999</v>
      </c>
      <c r="AT48">
        <v>746.28499999999997</v>
      </c>
      <c r="AU48">
        <v>799.98</v>
      </c>
      <c r="AV48">
        <v>12.0985</v>
      </c>
      <c r="AW48">
        <v>5.8498400000000004</v>
      </c>
      <c r="AX48">
        <v>746.63699999999994</v>
      </c>
      <c r="AY48">
        <v>12.0909</v>
      </c>
      <c r="AZ48">
        <v>300.19900000000001</v>
      </c>
      <c r="BA48">
        <v>99.076700000000002</v>
      </c>
      <c r="BB48">
        <v>0.100005</v>
      </c>
      <c r="BC48">
        <v>26.783000000000001</v>
      </c>
      <c r="BD48">
        <v>26.95</v>
      </c>
      <c r="BE48">
        <v>28.252099999999999</v>
      </c>
      <c r="BF48">
        <v>0</v>
      </c>
      <c r="BG48">
        <v>0</v>
      </c>
      <c r="BH48">
        <v>9982.5</v>
      </c>
      <c r="BI48">
        <v>1075.31</v>
      </c>
      <c r="BJ48">
        <v>1.96231</v>
      </c>
      <c r="BK48">
        <v>-53.695700000000002</v>
      </c>
      <c r="BL48">
        <v>755.42399999999998</v>
      </c>
      <c r="BM48">
        <v>804.68799999999999</v>
      </c>
      <c r="BN48">
        <v>6.24864</v>
      </c>
      <c r="BO48">
        <v>799.98</v>
      </c>
      <c r="BP48">
        <v>5.8498400000000004</v>
      </c>
      <c r="BQ48">
        <v>1.19868</v>
      </c>
      <c r="BR48">
        <v>0.57958299999999996</v>
      </c>
      <c r="BS48">
        <v>9.5851500000000005</v>
      </c>
      <c r="BT48">
        <v>-0.78381699999999999</v>
      </c>
      <c r="BU48">
        <v>1799.99</v>
      </c>
      <c r="BV48">
        <v>0.91001699999999996</v>
      </c>
      <c r="BW48">
        <v>3.3993000000000002E-2</v>
      </c>
      <c r="BX48">
        <v>2.1995299999999999E-2</v>
      </c>
      <c r="BY48">
        <v>3.3994400000000001E-2</v>
      </c>
      <c r="BZ48">
        <v>25</v>
      </c>
      <c r="CA48">
        <v>33528.300000000003</v>
      </c>
      <c r="CB48">
        <v>1690214843</v>
      </c>
      <c r="CC48" t="s">
        <v>332</v>
      </c>
      <c r="CD48">
        <v>1690214842</v>
      </c>
      <c r="CE48">
        <v>1690214843</v>
      </c>
      <c r="CF48">
        <v>8</v>
      </c>
      <c r="CG48">
        <v>-6.3E-2</v>
      </c>
      <c r="CH48">
        <v>1E-3</v>
      </c>
      <c r="CI48">
        <v>-0.38900000000000001</v>
      </c>
      <c r="CJ48">
        <v>-6.6000000000000003E-2</v>
      </c>
      <c r="CK48">
        <v>800</v>
      </c>
      <c r="CL48">
        <v>6</v>
      </c>
      <c r="CM48">
        <v>0.23</v>
      </c>
      <c r="CN48">
        <v>0.02</v>
      </c>
      <c r="CO48">
        <v>-50.2902925</v>
      </c>
      <c r="CP48">
        <v>-18.101375234521491</v>
      </c>
      <c r="CQ48">
        <v>1.7416866812643861</v>
      </c>
      <c r="CR48">
        <v>-1</v>
      </c>
      <c r="CS48">
        <v>6.0541995000000002</v>
      </c>
      <c r="CT48">
        <v>1.032866116322696</v>
      </c>
      <c r="CU48">
        <v>9.9356879277430935E-2</v>
      </c>
      <c r="CV48">
        <v>-1</v>
      </c>
      <c r="CW48">
        <v>0</v>
      </c>
      <c r="CX48">
        <v>0</v>
      </c>
      <c r="CY48" t="s">
        <v>333</v>
      </c>
      <c r="CZ48">
        <v>2.3643299999999998</v>
      </c>
      <c r="DA48">
        <v>2.7137799999999999</v>
      </c>
      <c r="DB48">
        <v>0.13982900000000001</v>
      </c>
      <c r="DC48">
        <v>0.146035</v>
      </c>
      <c r="DD48">
        <v>6.9479899999999997E-2</v>
      </c>
      <c r="DE48">
        <v>3.8627300000000003E-2</v>
      </c>
      <c r="DF48">
        <v>31391.200000000001</v>
      </c>
      <c r="DG48">
        <v>27497.8</v>
      </c>
      <c r="DH48">
        <v>31156.2</v>
      </c>
      <c r="DI48">
        <v>28058.9</v>
      </c>
      <c r="DJ48">
        <v>39373.800000000003</v>
      </c>
      <c r="DK48">
        <v>38356.9</v>
      </c>
      <c r="DL48">
        <v>44335.8</v>
      </c>
      <c r="DM48">
        <v>42523.199999999997</v>
      </c>
      <c r="DN48">
        <v>1.3525199999999999</v>
      </c>
      <c r="DO48">
        <v>2.03118</v>
      </c>
      <c r="DP48">
        <v>7.4505799999999997E-2</v>
      </c>
      <c r="DQ48">
        <v>0.17170199999999999</v>
      </c>
      <c r="DR48">
        <v>25.7302</v>
      </c>
      <c r="DS48">
        <v>25.443300000000001</v>
      </c>
      <c r="DT48">
        <v>17.3</v>
      </c>
      <c r="DU48">
        <v>29.8</v>
      </c>
      <c r="DV48">
        <v>7.3538399999999999</v>
      </c>
      <c r="DW48">
        <v>61.388500000000001</v>
      </c>
      <c r="DX48">
        <v>36.1218</v>
      </c>
      <c r="DY48">
        <v>1</v>
      </c>
      <c r="DZ48">
        <v>-7.5066099999999997E-2</v>
      </c>
      <c r="EA48">
        <v>0.29503299999999999</v>
      </c>
      <c r="EB48">
        <v>20.189900000000002</v>
      </c>
      <c r="EC48">
        <v>5.2409499999999998</v>
      </c>
      <c r="ED48">
        <v>12.039899999999999</v>
      </c>
      <c r="EE48">
        <v>5.0168499999999998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1.8689100000000001</v>
      </c>
      <c r="EL48">
        <v>1.8646499999999999</v>
      </c>
      <c r="EM48">
        <v>1.8691899999999999</v>
      </c>
      <c r="EN48">
        <v>1.8672200000000001</v>
      </c>
      <c r="EO48">
        <v>1.8633999999999999</v>
      </c>
      <c r="EP48">
        <v>1.8645799999999999</v>
      </c>
      <c r="EQ48">
        <v>1.87015</v>
      </c>
      <c r="ER48">
        <v>1.86941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-0.35199999999999998</v>
      </c>
      <c r="FG48">
        <v>7.6E-3</v>
      </c>
      <c r="FH48">
        <v>0.16202357103534001</v>
      </c>
      <c r="FI48">
        <v>-6.1462078757559423E-4</v>
      </c>
      <c r="FJ48">
        <v>-1.8861989874597051E-7</v>
      </c>
      <c r="FK48">
        <v>1.1980462299894961E-10</v>
      </c>
      <c r="FL48">
        <v>-3.0039189969545878E-2</v>
      </c>
      <c r="FM48">
        <v>-1.6848085045870601E-2</v>
      </c>
      <c r="FN48">
        <v>1.9789084769509481E-3</v>
      </c>
      <c r="FO48">
        <v>-2.7142391389806329E-5</v>
      </c>
      <c r="FP48">
        <v>3</v>
      </c>
      <c r="FQ48">
        <v>2158</v>
      </c>
      <c r="FR48">
        <v>1</v>
      </c>
      <c r="FS48">
        <v>19</v>
      </c>
      <c r="FT48">
        <v>12.7</v>
      </c>
      <c r="FU48">
        <v>12.7</v>
      </c>
      <c r="FV48">
        <v>1.77979</v>
      </c>
      <c r="FW48">
        <v>2.5854499999999998</v>
      </c>
      <c r="FX48">
        <v>1.5490699999999999</v>
      </c>
      <c r="FY48">
        <v>2.3290999999999999</v>
      </c>
      <c r="FZ48">
        <v>1.50146</v>
      </c>
      <c r="GA48">
        <v>2.3132299999999999</v>
      </c>
      <c r="GB48">
        <v>33.828299999999999</v>
      </c>
      <c r="GC48">
        <v>23.982399999999998</v>
      </c>
      <c r="GD48">
        <v>19</v>
      </c>
      <c r="GE48">
        <v>234.203</v>
      </c>
      <c r="GF48">
        <v>580.44799999999998</v>
      </c>
      <c r="GG48">
        <v>24.408000000000001</v>
      </c>
      <c r="GH48">
        <v>26.456499999999998</v>
      </c>
      <c r="GI48">
        <v>29.9999</v>
      </c>
      <c r="GJ48">
        <v>26.525500000000001</v>
      </c>
      <c r="GK48">
        <v>26.478100000000001</v>
      </c>
      <c r="GL48">
        <v>35.583100000000002</v>
      </c>
      <c r="GM48">
        <v>-30</v>
      </c>
      <c r="GN48">
        <v>-30</v>
      </c>
      <c r="GO48">
        <v>24.434799999999999</v>
      </c>
      <c r="GP48">
        <v>800</v>
      </c>
      <c r="GQ48">
        <v>12.5298</v>
      </c>
      <c r="GR48">
        <v>99.683400000000006</v>
      </c>
      <c r="GS48">
        <v>99.480599999999995</v>
      </c>
    </row>
    <row r="49" spans="1:201" x14ac:dyDescent="0.25">
      <c r="A49">
        <v>33</v>
      </c>
      <c r="B49">
        <v>1690215614.5999999</v>
      </c>
      <c r="C49">
        <v>669.09999990463257</v>
      </c>
      <c r="D49" t="s">
        <v>399</v>
      </c>
      <c r="E49" t="s">
        <v>400</v>
      </c>
      <c r="F49" t="s">
        <v>330</v>
      </c>
      <c r="H49">
        <v>1690215614.5999999</v>
      </c>
      <c r="I49">
        <f t="shared" si="0"/>
        <v>5.8086375167069643E-4</v>
      </c>
      <c r="J49">
        <f t="shared" si="1"/>
        <v>0.58086375167069648</v>
      </c>
      <c r="K49">
        <f t="shared" si="2"/>
        <v>4.6302110632313038</v>
      </c>
      <c r="L49">
        <f t="shared" si="3"/>
        <v>743.35</v>
      </c>
      <c r="M49">
        <f t="shared" si="4"/>
        <v>353.58645671971061</v>
      </c>
      <c r="N49">
        <f t="shared" si="5"/>
        <v>35.06681892409398</v>
      </c>
      <c r="O49">
        <f t="shared" si="6"/>
        <v>73.721488342775004</v>
      </c>
      <c r="P49">
        <f t="shared" si="7"/>
        <v>2.0410667990896636E-2</v>
      </c>
      <c r="Q49">
        <f t="shared" si="8"/>
        <v>2.0625199920070036</v>
      </c>
      <c r="R49">
        <f t="shared" si="9"/>
        <v>2.0299116988912715E-2</v>
      </c>
      <c r="S49">
        <f t="shared" si="10"/>
        <v>1.2696919610230905E-2</v>
      </c>
      <c r="T49">
        <f t="shared" si="11"/>
        <v>276.11436484799998</v>
      </c>
      <c r="U49">
        <f t="shared" si="12"/>
        <v>28.82162096144069</v>
      </c>
      <c r="V49">
        <f t="shared" si="13"/>
        <v>28.82162096144069</v>
      </c>
      <c r="W49">
        <f t="shared" si="14"/>
        <v>3.980446416709897</v>
      </c>
      <c r="X49">
        <f t="shared" si="15"/>
        <v>34.438565915893307</v>
      </c>
      <c r="Y49">
        <f t="shared" si="16"/>
        <v>1.21690291035495</v>
      </c>
      <c r="Z49">
        <f t="shared" si="17"/>
        <v>3.5335469930045855</v>
      </c>
      <c r="AA49">
        <f t="shared" si="18"/>
        <v>2.7635435063549467</v>
      </c>
      <c r="AB49">
        <f t="shared" si="19"/>
        <v>-25.616091448677711</v>
      </c>
      <c r="AC49">
        <f t="shared" si="20"/>
        <v>-226.81703061351237</v>
      </c>
      <c r="AD49">
        <f t="shared" si="21"/>
        <v>-23.924044349726934</v>
      </c>
      <c r="AE49">
        <f t="shared" si="22"/>
        <v>-0.2428015639170269</v>
      </c>
      <c r="AF49">
        <v>47</v>
      </c>
      <c r="AG49">
        <v>16</v>
      </c>
      <c r="AH49">
        <f t="shared" si="23"/>
        <v>1</v>
      </c>
      <c r="AI49">
        <f t="shared" si="24"/>
        <v>0</v>
      </c>
      <c r="AJ49">
        <f t="shared" si="25"/>
        <v>52353.707666419359</v>
      </c>
      <c r="AK49">
        <f t="shared" si="26"/>
        <v>1800</v>
      </c>
      <c r="AL49">
        <f t="shared" si="27"/>
        <v>1499.1118218000001</v>
      </c>
      <c r="AM49">
        <f t="shared" si="28"/>
        <v>0.83283990100000005</v>
      </c>
      <c r="AN49">
        <f t="shared" si="29"/>
        <v>0.15339686935999999</v>
      </c>
      <c r="AO49">
        <v>33.6</v>
      </c>
      <c r="AP49">
        <v>0.5</v>
      </c>
      <c r="AQ49" t="s">
        <v>331</v>
      </c>
      <c r="AR49">
        <v>2</v>
      </c>
      <c r="AS49">
        <v>1690215614.5999999</v>
      </c>
      <c r="AT49">
        <v>743.35</v>
      </c>
      <c r="AU49">
        <v>800.00300000000004</v>
      </c>
      <c r="AV49">
        <v>12.270300000000001</v>
      </c>
      <c r="AW49">
        <v>5.8491400000000002</v>
      </c>
      <c r="AX49">
        <v>743.70100000000002</v>
      </c>
      <c r="AY49">
        <v>12.259499999999999</v>
      </c>
      <c r="AZ49">
        <v>300.21899999999999</v>
      </c>
      <c r="BA49">
        <v>99.074700000000007</v>
      </c>
      <c r="BB49">
        <v>9.99665E-2</v>
      </c>
      <c r="BC49">
        <v>26.7818</v>
      </c>
      <c r="BD49">
        <v>26.952400000000001</v>
      </c>
      <c r="BE49">
        <v>28.2379</v>
      </c>
      <c r="BF49">
        <v>0</v>
      </c>
      <c r="BG49">
        <v>0</v>
      </c>
      <c r="BH49">
        <v>9985.6200000000008</v>
      </c>
      <c r="BI49">
        <v>1075.4100000000001</v>
      </c>
      <c r="BJ49">
        <v>1.96231</v>
      </c>
      <c r="BK49">
        <v>-56.652299999999997</v>
      </c>
      <c r="BL49">
        <v>752.58500000000004</v>
      </c>
      <c r="BM49">
        <v>804.71</v>
      </c>
      <c r="BN49">
        <v>6.42117</v>
      </c>
      <c r="BO49">
        <v>800.00300000000004</v>
      </c>
      <c r="BP49">
        <v>5.8491400000000002</v>
      </c>
      <c r="BQ49">
        <v>1.2156800000000001</v>
      </c>
      <c r="BR49">
        <v>0.57950199999999996</v>
      </c>
      <c r="BS49">
        <v>9.7949300000000008</v>
      </c>
      <c r="BT49">
        <v>-0.78574200000000005</v>
      </c>
      <c r="BU49">
        <v>1800</v>
      </c>
      <c r="BV49">
        <v>0.91001100000000001</v>
      </c>
      <c r="BW49">
        <v>3.4004199999999998E-2</v>
      </c>
      <c r="BX49">
        <v>2.19933E-2</v>
      </c>
      <c r="BY49">
        <v>3.3991399999999998E-2</v>
      </c>
      <c r="BZ49">
        <v>25</v>
      </c>
      <c r="CA49">
        <v>33528.5</v>
      </c>
      <c r="CB49">
        <v>1690214843</v>
      </c>
      <c r="CC49" t="s">
        <v>332</v>
      </c>
      <c r="CD49">
        <v>1690214842</v>
      </c>
      <c r="CE49">
        <v>1690214843</v>
      </c>
      <c r="CF49">
        <v>8</v>
      </c>
      <c r="CG49">
        <v>-6.3E-2</v>
      </c>
      <c r="CH49">
        <v>1E-3</v>
      </c>
      <c r="CI49">
        <v>-0.38900000000000001</v>
      </c>
      <c r="CJ49">
        <v>-6.6000000000000003E-2</v>
      </c>
      <c r="CK49">
        <v>800</v>
      </c>
      <c r="CL49">
        <v>6</v>
      </c>
      <c r="CM49">
        <v>0.23</v>
      </c>
      <c r="CN49">
        <v>0.02</v>
      </c>
      <c r="CO49">
        <v>-53.393399999999993</v>
      </c>
      <c r="CP49">
        <v>-18.065213937282302</v>
      </c>
      <c r="CQ49">
        <v>1.7821595284592371</v>
      </c>
      <c r="CR49">
        <v>-1</v>
      </c>
      <c r="CS49">
        <v>6.231599512195122</v>
      </c>
      <c r="CT49">
        <v>1.042331498257848</v>
      </c>
      <c r="CU49">
        <v>0.10277609978767881</v>
      </c>
      <c r="CV49">
        <v>-1</v>
      </c>
      <c r="CW49">
        <v>0</v>
      </c>
      <c r="CX49">
        <v>0</v>
      </c>
      <c r="CY49" t="s">
        <v>333</v>
      </c>
      <c r="CZ49">
        <v>2.36442</v>
      </c>
      <c r="DA49">
        <v>2.7137500000000001</v>
      </c>
      <c r="DB49">
        <v>0.139458</v>
      </c>
      <c r="DC49">
        <v>0.146034</v>
      </c>
      <c r="DD49">
        <v>7.0210999999999996E-2</v>
      </c>
      <c r="DE49">
        <v>3.8622499999999997E-2</v>
      </c>
      <c r="DF49">
        <v>31404.9</v>
      </c>
      <c r="DG49">
        <v>27497.8</v>
      </c>
      <c r="DH49">
        <v>31156.400000000001</v>
      </c>
      <c r="DI49">
        <v>28058.9</v>
      </c>
      <c r="DJ49">
        <v>39342.800000000003</v>
      </c>
      <c r="DK49">
        <v>38357.199999999997</v>
      </c>
      <c r="DL49">
        <v>44336.1</v>
      </c>
      <c r="DM49">
        <v>42523.199999999997</v>
      </c>
      <c r="DN49">
        <v>1.3531200000000001</v>
      </c>
      <c r="DO49">
        <v>2.03132</v>
      </c>
      <c r="DP49">
        <v>7.5217300000000001E-2</v>
      </c>
      <c r="DQ49">
        <v>0.17122899999999999</v>
      </c>
      <c r="DR49">
        <v>25.721</v>
      </c>
      <c r="DS49">
        <v>25.436900000000001</v>
      </c>
      <c r="DT49">
        <v>17.3</v>
      </c>
      <c r="DU49">
        <v>29.8</v>
      </c>
      <c r="DV49">
        <v>7.3551599999999997</v>
      </c>
      <c r="DW49">
        <v>61.738500000000002</v>
      </c>
      <c r="DX49">
        <v>35.941499999999998</v>
      </c>
      <c r="DY49">
        <v>1</v>
      </c>
      <c r="DZ49">
        <v>-7.55107E-2</v>
      </c>
      <c r="EA49">
        <v>0.223603</v>
      </c>
      <c r="EB49">
        <v>20.190100000000001</v>
      </c>
      <c r="EC49">
        <v>5.24125</v>
      </c>
      <c r="ED49">
        <v>12.039899999999999</v>
      </c>
      <c r="EE49">
        <v>5.0167999999999999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1.8689100000000001</v>
      </c>
      <c r="EL49">
        <v>1.86466</v>
      </c>
      <c r="EM49">
        <v>1.8692</v>
      </c>
      <c r="EN49">
        <v>1.8672500000000001</v>
      </c>
      <c r="EO49">
        <v>1.8633999999999999</v>
      </c>
      <c r="EP49">
        <v>1.86459</v>
      </c>
      <c r="EQ49">
        <v>1.8701700000000001</v>
      </c>
      <c r="ER49">
        <v>1.8694200000000001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-0.35099999999999998</v>
      </c>
      <c r="FG49">
        <v>1.0800000000000001E-2</v>
      </c>
      <c r="FH49">
        <v>0.16202357103534001</v>
      </c>
      <c r="FI49">
        <v>-6.1462078757559423E-4</v>
      </c>
      <c r="FJ49">
        <v>-1.8861989874597051E-7</v>
      </c>
      <c r="FK49">
        <v>1.1980462299894961E-10</v>
      </c>
      <c r="FL49">
        <v>-3.0039189969545878E-2</v>
      </c>
      <c r="FM49">
        <v>-1.6848085045870601E-2</v>
      </c>
      <c r="FN49">
        <v>1.9789084769509481E-3</v>
      </c>
      <c r="FO49">
        <v>-2.7142391389806329E-5</v>
      </c>
      <c r="FP49">
        <v>3</v>
      </c>
      <c r="FQ49">
        <v>2158</v>
      </c>
      <c r="FR49">
        <v>1</v>
      </c>
      <c r="FS49">
        <v>19</v>
      </c>
      <c r="FT49">
        <v>12.9</v>
      </c>
      <c r="FU49">
        <v>12.9</v>
      </c>
      <c r="FV49">
        <v>1.77979</v>
      </c>
      <c r="FW49">
        <v>2.5866699999999998</v>
      </c>
      <c r="FX49">
        <v>1.5490699999999999</v>
      </c>
      <c r="FY49">
        <v>2.3290999999999999</v>
      </c>
      <c r="FZ49">
        <v>1.50146</v>
      </c>
      <c r="GA49">
        <v>2.2802699999999998</v>
      </c>
      <c r="GB49">
        <v>33.828299999999999</v>
      </c>
      <c r="GC49">
        <v>23.982399999999998</v>
      </c>
      <c r="GD49">
        <v>19</v>
      </c>
      <c r="GE49">
        <v>234.428</v>
      </c>
      <c r="GF49">
        <v>580.59699999999998</v>
      </c>
      <c r="GG49">
        <v>24.4682</v>
      </c>
      <c r="GH49">
        <v>26.4556</v>
      </c>
      <c r="GI49">
        <v>30</v>
      </c>
      <c r="GJ49">
        <v>26.5259</v>
      </c>
      <c r="GK49">
        <v>26.4803</v>
      </c>
      <c r="GL49">
        <v>35.578800000000001</v>
      </c>
      <c r="GM49">
        <v>-30</v>
      </c>
      <c r="GN49">
        <v>-30</v>
      </c>
      <c r="GO49">
        <v>24.502800000000001</v>
      </c>
      <c r="GP49">
        <v>800</v>
      </c>
      <c r="GQ49">
        <v>12.5298</v>
      </c>
      <c r="GR49">
        <v>99.683999999999997</v>
      </c>
      <c r="GS49">
        <v>99.480699999999999</v>
      </c>
    </row>
    <row r="50" spans="1:201" x14ac:dyDescent="0.25">
      <c r="A50">
        <v>34</v>
      </c>
      <c r="B50">
        <v>1690215624.5999999</v>
      </c>
      <c r="C50">
        <v>679.09999990463257</v>
      </c>
      <c r="D50" t="s">
        <v>401</v>
      </c>
      <c r="E50" t="s">
        <v>402</v>
      </c>
      <c r="F50" t="s">
        <v>330</v>
      </c>
      <c r="H50">
        <v>1690215624.5999999</v>
      </c>
      <c r="I50">
        <f t="shared" si="0"/>
        <v>5.9591467489701936E-4</v>
      </c>
      <c r="J50">
        <f t="shared" si="1"/>
        <v>0.59591467489701933</v>
      </c>
      <c r="K50">
        <f t="shared" si="2"/>
        <v>4.8810634632819232</v>
      </c>
      <c r="L50">
        <f t="shared" si="3"/>
        <v>740.43799999999999</v>
      </c>
      <c r="M50">
        <f t="shared" si="4"/>
        <v>343.49728775333659</v>
      </c>
      <c r="N50">
        <f t="shared" si="5"/>
        <v>34.066639264101909</v>
      </c>
      <c r="O50">
        <f t="shared" si="6"/>
        <v>73.433576167117991</v>
      </c>
      <c r="P50">
        <f t="shared" si="7"/>
        <v>2.1078445842293705E-2</v>
      </c>
      <c r="Q50">
        <f t="shared" si="8"/>
        <v>2.063426462573184</v>
      </c>
      <c r="R50">
        <f t="shared" si="9"/>
        <v>2.0959551077040339E-2</v>
      </c>
      <c r="S50">
        <f t="shared" si="10"/>
        <v>1.3110345638603957E-2</v>
      </c>
      <c r="T50">
        <f t="shared" si="11"/>
        <v>276.11251220907678</v>
      </c>
      <c r="U50">
        <f t="shared" si="12"/>
        <v>28.815291886432245</v>
      </c>
      <c r="V50">
        <f t="shared" si="13"/>
        <v>28.815291886432245</v>
      </c>
      <c r="W50">
        <f t="shared" si="14"/>
        <v>3.9789869428407947</v>
      </c>
      <c r="X50">
        <f t="shared" si="15"/>
        <v>34.90425528367706</v>
      </c>
      <c r="Y50">
        <f t="shared" si="16"/>
        <v>1.2333510073959999</v>
      </c>
      <c r="Z50">
        <f t="shared" si="17"/>
        <v>3.5335262058227475</v>
      </c>
      <c r="AA50">
        <f t="shared" si="18"/>
        <v>2.7456359354447946</v>
      </c>
      <c r="AB50">
        <f t="shared" si="19"/>
        <v>-26.279837162958554</v>
      </c>
      <c r="AC50">
        <f t="shared" si="20"/>
        <v>-226.22377215357102</v>
      </c>
      <c r="AD50">
        <f t="shared" si="21"/>
        <v>-23.850220317132152</v>
      </c>
      <c r="AE50">
        <f t="shared" si="22"/>
        <v>-0.24131742458493477</v>
      </c>
      <c r="AF50">
        <v>47</v>
      </c>
      <c r="AG50">
        <v>16</v>
      </c>
      <c r="AH50">
        <f t="shared" si="23"/>
        <v>1</v>
      </c>
      <c r="AI50">
        <f t="shared" si="24"/>
        <v>0</v>
      </c>
      <c r="AJ50">
        <f t="shared" si="25"/>
        <v>52395.199450439432</v>
      </c>
      <c r="AK50">
        <f t="shared" si="26"/>
        <v>1799.99</v>
      </c>
      <c r="AL50">
        <f t="shared" si="27"/>
        <v>1499.10314420293</v>
      </c>
      <c r="AM50">
        <f t="shared" si="28"/>
        <v>0.83283970699999998</v>
      </c>
      <c r="AN50">
        <f t="shared" si="29"/>
        <v>0.15339669232</v>
      </c>
      <c r="AO50">
        <v>33.6</v>
      </c>
      <c r="AP50">
        <v>0.5</v>
      </c>
      <c r="AQ50" t="s">
        <v>331</v>
      </c>
      <c r="AR50">
        <v>2</v>
      </c>
      <c r="AS50">
        <v>1690215624.5999999</v>
      </c>
      <c r="AT50">
        <v>740.43799999999999</v>
      </c>
      <c r="AU50">
        <v>800.01599999999996</v>
      </c>
      <c r="AV50">
        <v>12.436</v>
      </c>
      <c r="AW50">
        <v>5.8482700000000003</v>
      </c>
      <c r="AX50">
        <v>740.78599999999994</v>
      </c>
      <c r="AY50">
        <v>12.422000000000001</v>
      </c>
      <c r="AZ50">
        <v>300.16000000000003</v>
      </c>
      <c r="BA50">
        <v>99.075800000000001</v>
      </c>
      <c r="BB50">
        <v>0.100061</v>
      </c>
      <c r="BC50">
        <v>26.781700000000001</v>
      </c>
      <c r="BD50">
        <v>26.966000000000001</v>
      </c>
      <c r="BE50">
        <v>28.252800000000001</v>
      </c>
      <c r="BF50">
        <v>0</v>
      </c>
      <c r="BG50">
        <v>0</v>
      </c>
      <c r="BH50">
        <v>9993.75</v>
      </c>
      <c r="BI50">
        <v>1075.28</v>
      </c>
      <c r="BJ50">
        <v>1.9356800000000001</v>
      </c>
      <c r="BK50">
        <v>-59.577500000000001</v>
      </c>
      <c r="BL50">
        <v>749.76199999999994</v>
      </c>
      <c r="BM50">
        <v>804.72199999999998</v>
      </c>
      <c r="BN50">
        <v>6.5877800000000004</v>
      </c>
      <c r="BO50">
        <v>800.01599999999996</v>
      </c>
      <c r="BP50">
        <v>5.8482700000000003</v>
      </c>
      <c r="BQ50">
        <v>1.23211</v>
      </c>
      <c r="BR50">
        <v>0.57942199999999999</v>
      </c>
      <c r="BS50">
        <v>9.9953000000000003</v>
      </c>
      <c r="BT50">
        <v>-0.78762500000000002</v>
      </c>
      <c r="BU50">
        <v>1799.99</v>
      </c>
      <c r="BV50">
        <v>0.91001399999999999</v>
      </c>
      <c r="BW50">
        <v>3.4006700000000001E-2</v>
      </c>
      <c r="BX50">
        <v>2.19911E-2</v>
      </c>
      <c r="BY50">
        <v>3.3987999999999997E-2</v>
      </c>
      <c r="BZ50">
        <v>25</v>
      </c>
      <c r="CA50">
        <v>33528.300000000003</v>
      </c>
      <c r="CB50">
        <v>1690214843</v>
      </c>
      <c r="CC50" t="s">
        <v>332</v>
      </c>
      <c r="CD50">
        <v>1690214842</v>
      </c>
      <c r="CE50">
        <v>1690214843</v>
      </c>
      <c r="CF50">
        <v>8</v>
      </c>
      <c r="CG50">
        <v>-6.3E-2</v>
      </c>
      <c r="CH50">
        <v>1E-3</v>
      </c>
      <c r="CI50">
        <v>-0.38900000000000001</v>
      </c>
      <c r="CJ50">
        <v>-6.6000000000000003E-2</v>
      </c>
      <c r="CK50">
        <v>800</v>
      </c>
      <c r="CL50">
        <v>6</v>
      </c>
      <c r="CM50">
        <v>0.23</v>
      </c>
      <c r="CN50">
        <v>0.02</v>
      </c>
      <c r="CO50">
        <v>-56.356748780487798</v>
      </c>
      <c r="CP50">
        <v>-17.359785365853661</v>
      </c>
      <c r="CQ50">
        <v>1.7123694814598569</v>
      </c>
      <c r="CR50">
        <v>-1</v>
      </c>
      <c r="CS50">
        <v>6.402863902439023</v>
      </c>
      <c r="CT50">
        <v>1.01527003484321</v>
      </c>
      <c r="CU50">
        <v>0.1001148255359218</v>
      </c>
      <c r="CV50">
        <v>-1</v>
      </c>
      <c r="CW50">
        <v>0</v>
      </c>
      <c r="CX50">
        <v>0</v>
      </c>
      <c r="CY50" t="s">
        <v>333</v>
      </c>
      <c r="CZ50">
        <v>2.36422</v>
      </c>
      <c r="DA50">
        <v>2.7138499999999999</v>
      </c>
      <c r="DB50">
        <v>0.13909199999999999</v>
      </c>
      <c r="DC50">
        <v>0.146036</v>
      </c>
      <c r="DD50">
        <v>7.0914500000000005E-2</v>
      </c>
      <c r="DE50">
        <v>3.8618E-2</v>
      </c>
      <c r="DF50">
        <v>31418.1</v>
      </c>
      <c r="DG50">
        <v>27497.7</v>
      </c>
      <c r="DH50">
        <v>31156.2</v>
      </c>
      <c r="DI50">
        <v>28058.9</v>
      </c>
      <c r="DJ50">
        <v>39312.6</v>
      </c>
      <c r="DK50">
        <v>38357.5</v>
      </c>
      <c r="DL50">
        <v>44335.8</v>
      </c>
      <c r="DM50">
        <v>42523.4</v>
      </c>
      <c r="DN50">
        <v>1.3530800000000001</v>
      </c>
      <c r="DO50">
        <v>2.0312800000000002</v>
      </c>
      <c r="DP50">
        <v>7.6480199999999998E-2</v>
      </c>
      <c r="DQ50">
        <v>0.17253299999999999</v>
      </c>
      <c r="DR50">
        <v>25.713999999999999</v>
      </c>
      <c r="DS50">
        <v>25.430399999999999</v>
      </c>
      <c r="DT50">
        <v>17.3</v>
      </c>
      <c r="DU50">
        <v>29.8</v>
      </c>
      <c r="DV50">
        <v>7.35419</v>
      </c>
      <c r="DW50">
        <v>61.758499999999998</v>
      </c>
      <c r="DX50">
        <v>36.081699999999998</v>
      </c>
      <c r="DY50">
        <v>1</v>
      </c>
      <c r="DZ50">
        <v>-7.55971E-2</v>
      </c>
      <c r="EA50">
        <v>0.171149</v>
      </c>
      <c r="EB50">
        <v>20.190300000000001</v>
      </c>
      <c r="EC50">
        <v>5.2411000000000003</v>
      </c>
      <c r="ED50">
        <v>12.039899999999999</v>
      </c>
      <c r="EE50">
        <v>5.0170500000000002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1.8689100000000001</v>
      </c>
      <c r="EL50">
        <v>1.8647</v>
      </c>
      <c r="EM50">
        <v>1.8691899999999999</v>
      </c>
      <c r="EN50">
        <v>1.8672200000000001</v>
      </c>
      <c r="EO50">
        <v>1.8633999999999999</v>
      </c>
      <c r="EP50">
        <v>1.8646</v>
      </c>
      <c r="EQ50">
        <v>1.87016</v>
      </c>
      <c r="ER50">
        <v>1.86947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-0.34799999999999998</v>
      </c>
      <c r="FG50">
        <v>1.4E-2</v>
      </c>
      <c r="FH50">
        <v>0.16202357103534001</v>
      </c>
      <c r="FI50">
        <v>-6.1462078757559423E-4</v>
      </c>
      <c r="FJ50">
        <v>-1.8861989874597051E-7</v>
      </c>
      <c r="FK50">
        <v>1.1980462299894961E-10</v>
      </c>
      <c r="FL50">
        <v>-3.0039189969545878E-2</v>
      </c>
      <c r="FM50">
        <v>-1.6848085045870601E-2</v>
      </c>
      <c r="FN50">
        <v>1.9789084769509481E-3</v>
      </c>
      <c r="FO50">
        <v>-2.7142391389806329E-5</v>
      </c>
      <c r="FP50">
        <v>3</v>
      </c>
      <c r="FQ50">
        <v>2158</v>
      </c>
      <c r="FR50">
        <v>1</v>
      </c>
      <c r="FS50">
        <v>19</v>
      </c>
      <c r="FT50">
        <v>13</v>
      </c>
      <c r="FU50">
        <v>13</v>
      </c>
      <c r="FV50">
        <v>1.77979</v>
      </c>
      <c r="FW50">
        <v>2.5878899999999998</v>
      </c>
      <c r="FX50">
        <v>1.5490699999999999</v>
      </c>
      <c r="FY50">
        <v>2.3290999999999999</v>
      </c>
      <c r="FZ50">
        <v>1.50146</v>
      </c>
      <c r="GA50">
        <v>2.2839399999999999</v>
      </c>
      <c r="GB50">
        <v>33.850900000000003</v>
      </c>
      <c r="GC50">
        <v>23.982399999999998</v>
      </c>
      <c r="GD50">
        <v>19</v>
      </c>
      <c r="GE50">
        <v>234.41499999999999</v>
      </c>
      <c r="GF50">
        <v>580.58000000000004</v>
      </c>
      <c r="GG50">
        <v>24.5381</v>
      </c>
      <c r="GH50">
        <v>26.453299999999999</v>
      </c>
      <c r="GI50">
        <v>29.9999</v>
      </c>
      <c r="GJ50">
        <v>26.527699999999999</v>
      </c>
      <c r="GK50">
        <v>26.482500000000002</v>
      </c>
      <c r="GL50">
        <v>35.579799999999999</v>
      </c>
      <c r="GM50">
        <v>-30</v>
      </c>
      <c r="GN50">
        <v>-30</v>
      </c>
      <c r="GO50">
        <v>24.5642</v>
      </c>
      <c r="GP50">
        <v>800</v>
      </c>
      <c r="GQ50">
        <v>12.5298</v>
      </c>
      <c r="GR50">
        <v>99.683400000000006</v>
      </c>
      <c r="GS50">
        <v>99.480900000000005</v>
      </c>
    </row>
    <row r="51" spans="1:201" x14ac:dyDescent="0.25">
      <c r="A51">
        <v>35</v>
      </c>
      <c r="B51">
        <v>1690215634.5999999</v>
      </c>
      <c r="C51">
        <v>689.09999990463257</v>
      </c>
      <c r="D51" t="s">
        <v>403</v>
      </c>
      <c r="E51" t="s">
        <v>404</v>
      </c>
      <c r="F51" t="s">
        <v>330</v>
      </c>
      <c r="H51">
        <v>1690215634.5999999</v>
      </c>
      <c r="I51">
        <f t="shared" si="0"/>
        <v>6.1093991226560563E-4</v>
      </c>
      <c r="J51">
        <f t="shared" si="1"/>
        <v>0.61093991226560562</v>
      </c>
      <c r="K51">
        <f t="shared" si="2"/>
        <v>5.125742301065582</v>
      </c>
      <c r="L51">
        <f t="shared" si="3"/>
        <v>737.57100000000003</v>
      </c>
      <c r="M51">
        <f t="shared" si="4"/>
        <v>334.20012978162384</v>
      </c>
      <c r="N51">
        <f t="shared" si="5"/>
        <v>33.144478673362762</v>
      </c>
      <c r="O51">
        <f t="shared" si="6"/>
        <v>73.149002950910997</v>
      </c>
      <c r="P51">
        <f t="shared" si="7"/>
        <v>2.1738613233852642E-2</v>
      </c>
      <c r="Q51">
        <f t="shared" si="8"/>
        <v>2.0635605680280236</v>
      </c>
      <c r="R51">
        <f t="shared" si="9"/>
        <v>2.1612186655756361E-2</v>
      </c>
      <c r="S51">
        <f t="shared" si="10"/>
        <v>1.3518914189594729E-2</v>
      </c>
      <c r="T51">
        <f t="shared" si="11"/>
        <v>276.11459438350914</v>
      </c>
      <c r="U51">
        <f t="shared" si="12"/>
        <v>28.816183660011578</v>
      </c>
      <c r="V51">
        <f t="shared" si="13"/>
        <v>28.816183660011578</v>
      </c>
      <c r="W51">
        <f t="shared" si="14"/>
        <v>3.9791925560536727</v>
      </c>
      <c r="X51">
        <f t="shared" si="15"/>
        <v>35.350007562770443</v>
      </c>
      <c r="Y51">
        <f t="shared" si="16"/>
        <v>1.2495721463836003</v>
      </c>
      <c r="Z51">
        <f t="shared" si="17"/>
        <v>3.5348568007086141</v>
      </c>
      <c r="AA51">
        <f t="shared" si="18"/>
        <v>2.7296204096700727</v>
      </c>
      <c r="AB51">
        <f t="shared" si="19"/>
        <v>-26.942450130913208</v>
      </c>
      <c r="AC51">
        <f t="shared" si="20"/>
        <v>-225.62568088562705</v>
      </c>
      <c r="AD51">
        <f t="shared" si="21"/>
        <v>-23.786482576100219</v>
      </c>
      <c r="AE51">
        <f t="shared" si="22"/>
        <v>-0.2400192091313329</v>
      </c>
      <c r="AF51">
        <v>47</v>
      </c>
      <c r="AG51">
        <v>16</v>
      </c>
      <c r="AH51">
        <f t="shared" si="23"/>
        <v>1</v>
      </c>
      <c r="AI51">
        <f t="shared" si="24"/>
        <v>0</v>
      </c>
      <c r="AJ51">
        <f t="shared" si="25"/>
        <v>52400.208602957311</v>
      </c>
      <c r="AK51">
        <f t="shared" si="26"/>
        <v>1799.99</v>
      </c>
      <c r="AL51">
        <f t="shared" si="27"/>
        <v>1499.1054067903599</v>
      </c>
      <c r="AM51">
        <f t="shared" si="28"/>
        <v>0.83284096399999996</v>
      </c>
      <c r="AN51">
        <f t="shared" si="29"/>
        <v>0.15339784909000001</v>
      </c>
      <c r="AO51">
        <v>33.6</v>
      </c>
      <c r="AP51">
        <v>0.5</v>
      </c>
      <c r="AQ51" t="s">
        <v>331</v>
      </c>
      <c r="AR51">
        <v>2</v>
      </c>
      <c r="AS51">
        <v>1690215634.5999999</v>
      </c>
      <c r="AT51">
        <v>737.57100000000003</v>
      </c>
      <c r="AU51">
        <v>799.99099999999999</v>
      </c>
      <c r="AV51">
        <v>12.599600000000001</v>
      </c>
      <c r="AW51">
        <v>5.8470899999999997</v>
      </c>
      <c r="AX51">
        <v>737.91700000000003</v>
      </c>
      <c r="AY51">
        <v>12.5824</v>
      </c>
      <c r="AZ51">
        <v>300.16899999999998</v>
      </c>
      <c r="BA51">
        <v>99.075500000000005</v>
      </c>
      <c r="BB51">
        <v>0.100041</v>
      </c>
      <c r="BC51">
        <v>26.7881</v>
      </c>
      <c r="BD51">
        <v>26.956800000000001</v>
      </c>
      <c r="BE51">
        <v>28.260999999999999</v>
      </c>
      <c r="BF51">
        <v>0</v>
      </c>
      <c r="BG51">
        <v>0</v>
      </c>
      <c r="BH51">
        <v>9995</v>
      </c>
      <c r="BI51">
        <v>1075.3599999999999</v>
      </c>
      <c r="BJ51">
        <v>1.96231</v>
      </c>
      <c r="BK51">
        <v>-62.420200000000001</v>
      </c>
      <c r="BL51">
        <v>746.98299999999995</v>
      </c>
      <c r="BM51">
        <v>804.69600000000003</v>
      </c>
      <c r="BN51">
        <v>6.7525500000000003</v>
      </c>
      <c r="BO51">
        <v>799.99099999999999</v>
      </c>
      <c r="BP51">
        <v>5.8470899999999997</v>
      </c>
      <c r="BQ51">
        <v>1.24831</v>
      </c>
      <c r="BR51">
        <v>0.57930300000000001</v>
      </c>
      <c r="BS51">
        <v>10.1906</v>
      </c>
      <c r="BT51">
        <v>-0.79043399999999997</v>
      </c>
      <c r="BU51">
        <v>1799.99</v>
      </c>
      <c r="BV51">
        <v>0.91000400000000004</v>
      </c>
      <c r="BW51">
        <v>3.4004E-2</v>
      </c>
      <c r="BX51">
        <v>2.2006700000000001E-2</v>
      </c>
      <c r="BY51">
        <v>3.3985300000000003E-2</v>
      </c>
      <c r="BZ51">
        <v>25</v>
      </c>
      <c r="CA51">
        <v>33528.1</v>
      </c>
      <c r="CB51">
        <v>1690214843</v>
      </c>
      <c r="CC51" t="s">
        <v>332</v>
      </c>
      <c r="CD51">
        <v>1690214842</v>
      </c>
      <c r="CE51">
        <v>1690214843</v>
      </c>
      <c r="CF51">
        <v>8</v>
      </c>
      <c r="CG51">
        <v>-6.3E-2</v>
      </c>
      <c r="CH51">
        <v>1E-3</v>
      </c>
      <c r="CI51">
        <v>-0.38900000000000001</v>
      </c>
      <c r="CJ51">
        <v>-6.6000000000000003E-2</v>
      </c>
      <c r="CK51">
        <v>800</v>
      </c>
      <c r="CL51">
        <v>6</v>
      </c>
      <c r="CM51">
        <v>0.23</v>
      </c>
      <c r="CN51">
        <v>0.02</v>
      </c>
      <c r="CO51">
        <v>-59.177827499999999</v>
      </c>
      <c r="CP51">
        <v>-17.400066416510231</v>
      </c>
      <c r="CQ51">
        <v>1.6739928911120709</v>
      </c>
      <c r="CR51">
        <v>-1</v>
      </c>
      <c r="CS51">
        <v>6.5667820000000008</v>
      </c>
      <c r="CT51">
        <v>1.0040298686679039</v>
      </c>
      <c r="CU51">
        <v>9.6584662555708106E-2</v>
      </c>
      <c r="CV51">
        <v>-1</v>
      </c>
      <c r="CW51">
        <v>0</v>
      </c>
      <c r="CX51">
        <v>0</v>
      </c>
      <c r="CY51" t="s">
        <v>333</v>
      </c>
      <c r="CZ51">
        <v>2.3642799999999999</v>
      </c>
      <c r="DA51">
        <v>2.7138300000000002</v>
      </c>
      <c r="DB51">
        <v>0.13872899999999999</v>
      </c>
      <c r="DC51">
        <v>0.146033</v>
      </c>
      <c r="DD51">
        <v>7.1604600000000004E-2</v>
      </c>
      <c r="DE51">
        <v>3.8611399999999997E-2</v>
      </c>
      <c r="DF51">
        <v>31431.200000000001</v>
      </c>
      <c r="DG51">
        <v>27497.7</v>
      </c>
      <c r="DH51">
        <v>31156.1</v>
      </c>
      <c r="DI51">
        <v>28058.799999999999</v>
      </c>
      <c r="DJ51">
        <v>39283.300000000003</v>
      </c>
      <c r="DK51">
        <v>38357.599999999999</v>
      </c>
      <c r="DL51">
        <v>44335.9</v>
      </c>
      <c r="DM51">
        <v>42523.199999999997</v>
      </c>
      <c r="DN51">
        <v>1.3528199999999999</v>
      </c>
      <c r="DO51">
        <v>2.0311499999999998</v>
      </c>
      <c r="DP51">
        <v>7.6279E-2</v>
      </c>
      <c r="DQ51">
        <v>0.17322599999999999</v>
      </c>
      <c r="DR51">
        <v>25.707999999999998</v>
      </c>
      <c r="DS51">
        <v>25.427299999999999</v>
      </c>
      <c r="DT51">
        <v>17.3</v>
      </c>
      <c r="DU51">
        <v>29.8</v>
      </c>
      <c r="DV51">
        <v>7.3555999999999999</v>
      </c>
      <c r="DW51">
        <v>61.778500000000001</v>
      </c>
      <c r="DX51">
        <v>35.873399999999997</v>
      </c>
      <c r="DY51">
        <v>1</v>
      </c>
      <c r="DZ51">
        <v>-7.5609800000000005E-2</v>
      </c>
      <c r="EA51">
        <v>0.14680299999999999</v>
      </c>
      <c r="EB51">
        <v>20.190300000000001</v>
      </c>
      <c r="EC51">
        <v>5.2406499999999996</v>
      </c>
      <c r="ED51">
        <v>12.039899999999999</v>
      </c>
      <c r="EE51">
        <v>5.0166500000000003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1.8689199999999999</v>
      </c>
      <c r="EL51">
        <v>1.8646799999999999</v>
      </c>
      <c r="EM51">
        <v>1.8691899999999999</v>
      </c>
      <c r="EN51">
        <v>1.8672299999999999</v>
      </c>
      <c r="EO51">
        <v>1.8633999999999999</v>
      </c>
      <c r="EP51">
        <v>1.86459</v>
      </c>
      <c r="EQ51">
        <v>1.87018</v>
      </c>
      <c r="ER51">
        <v>1.86947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-0.34599999999999997</v>
      </c>
      <c r="FG51">
        <v>1.72E-2</v>
      </c>
      <c r="FH51">
        <v>0.16202357103534001</v>
      </c>
      <c r="FI51">
        <v>-6.1462078757559423E-4</v>
      </c>
      <c r="FJ51">
        <v>-1.8861989874597051E-7</v>
      </c>
      <c r="FK51">
        <v>1.1980462299894961E-10</v>
      </c>
      <c r="FL51">
        <v>-3.0039189969545878E-2</v>
      </c>
      <c r="FM51">
        <v>-1.6848085045870601E-2</v>
      </c>
      <c r="FN51">
        <v>1.9789084769509481E-3</v>
      </c>
      <c r="FO51">
        <v>-2.7142391389806329E-5</v>
      </c>
      <c r="FP51">
        <v>3</v>
      </c>
      <c r="FQ51">
        <v>2158</v>
      </c>
      <c r="FR51">
        <v>1</v>
      </c>
      <c r="FS51">
        <v>19</v>
      </c>
      <c r="FT51">
        <v>13.2</v>
      </c>
      <c r="FU51">
        <v>13.2</v>
      </c>
      <c r="FV51">
        <v>1.77979</v>
      </c>
      <c r="FW51">
        <v>2.5878899999999998</v>
      </c>
      <c r="FX51">
        <v>1.5490699999999999</v>
      </c>
      <c r="FY51">
        <v>2.3290999999999999</v>
      </c>
      <c r="FZ51">
        <v>1.50146</v>
      </c>
      <c r="GA51">
        <v>2.2595200000000002</v>
      </c>
      <c r="GB51">
        <v>33.850900000000003</v>
      </c>
      <c r="GC51">
        <v>23.982399999999998</v>
      </c>
      <c r="GD51">
        <v>19</v>
      </c>
      <c r="GE51">
        <v>234.32499999999999</v>
      </c>
      <c r="GF51">
        <v>580.47699999999998</v>
      </c>
      <c r="GG51">
        <v>24.594899999999999</v>
      </c>
      <c r="GH51">
        <v>26.4511</v>
      </c>
      <c r="GI51">
        <v>30</v>
      </c>
      <c r="GJ51">
        <v>26.528099999999998</v>
      </c>
      <c r="GK51">
        <v>26.482500000000002</v>
      </c>
      <c r="GL51">
        <v>35.580399999999997</v>
      </c>
      <c r="GM51">
        <v>-30</v>
      </c>
      <c r="GN51">
        <v>-30</v>
      </c>
      <c r="GO51">
        <v>24.619199999999999</v>
      </c>
      <c r="GP51">
        <v>800</v>
      </c>
      <c r="GQ51">
        <v>12.5298</v>
      </c>
      <c r="GR51">
        <v>99.683400000000006</v>
      </c>
      <c r="GS51">
        <v>99.480500000000006</v>
      </c>
    </row>
    <row r="52" spans="1:201" x14ac:dyDescent="0.25">
      <c r="A52">
        <v>36</v>
      </c>
      <c r="B52">
        <v>1690215644.5999999</v>
      </c>
      <c r="C52">
        <v>699.09999990463257</v>
      </c>
      <c r="D52" t="s">
        <v>405</v>
      </c>
      <c r="E52" t="s">
        <v>406</v>
      </c>
      <c r="F52" t="s">
        <v>330</v>
      </c>
      <c r="H52">
        <v>1690215644.5999999</v>
      </c>
      <c r="I52">
        <f t="shared" si="0"/>
        <v>6.2556724826928658E-4</v>
      </c>
      <c r="J52">
        <f t="shared" si="1"/>
        <v>0.62556724826928656</v>
      </c>
      <c r="K52">
        <f t="shared" si="2"/>
        <v>5.3569363605164462</v>
      </c>
      <c r="L52">
        <f t="shared" si="3"/>
        <v>734.80499999999995</v>
      </c>
      <c r="M52">
        <f t="shared" si="4"/>
        <v>326.41323911302777</v>
      </c>
      <c r="N52">
        <f t="shared" si="5"/>
        <v>32.37181396575108</v>
      </c>
      <c r="O52">
        <f t="shared" si="6"/>
        <v>72.873792820844983</v>
      </c>
      <c r="P52">
        <f t="shared" si="7"/>
        <v>2.2402780564885816E-2</v>
      </c>
      <c r="Q52">
        <f t="shared" si="8"/>
        <v>2.0664251077669502</v>
      </c>
      <c r="R52">
        <f t="shared" si="9"/>
        <v>2.2268721333513378E-2</v>
      </c>
      <c r="S52">
        <f t="shared" si="10"/>
        <v>1.3929928544563548E-2</v>
      </c>
      <c r="T52">
        <f t="shared" si="11"/>
        <v>276.11497185941198</v>
      </c>
      <c r="U52">
        <f t="shared" si="12"/>
        <v>28.810093652175524</v>
      </c>
      <c r="V52">
        <f t="shared" si="13"/>
        <v>28.810093652175524</v>
      </c>
      <c r="W52">
        <f t="shared" si="14"/>
        <v>3.977788587981685</v>
      </c>
      <c r="X52">
        <f t="shared" si="15"/>
        <v>35.795735144145155</v>
      </c>
      <c r="Y52">
        <f t="shared" si="16"/>
        <v>1.2654545206071</v>
      </c>
      <c r="Z52">
        <f t="shared" si="17"/>
        <v>3.5352103134947939</v>
      </c>
      <c r="AA52">
        <f t="shared" si="18"/>
        <v>2.7123340673745853</v>
      </c>
      <c r="AB52">
        <f t="shared" si="19"/>
        <v>-27.587515648675538</v>
      </c>
      <c r="AC52">
        <f t="shared" si="20"/>
        <v>-225.07103738109873</v>
      </c>
      <c r="AD52">
        <f t="shared" si="21"/>
        <v>-23.694596293416655</v>
      </c>
      <c r="AE52">
        <f t="shared" si="22"/>
        <v>-0.23817746377895332</v>
      </c>
      <c r="AF52">
        <v>47</v>
      </c>
      <c r="AG52">
        <v>16</v>
      </c>
      <c r="AH52">
        <f t="shared" si="23"/>
        <v>1</v>
      </c>
      <c r="AI52">
        <f t="shared" si="24"/>
        <v>0</v>
      </c>
      <c r="AJ52">
        <f t="shared" si="25"/>
        <v>52531.036706885629</v>
      </c>
      <c r="AK52">
        <f t="shared" si="26"/>
        <v>1799.99</v>
      </c>
      <c r="AL52">
        <f t="shared" si="27"/>
        <v>1499.101511612</v>
      </c>
      <c r="AM52">
        <f t="shared" si="28"/>
        <v>0.83283879999999999</v>
      </c>
      <c r="AN52">
        <f t="shared" si="29"/>
        <v>0.15339805879999999</v>
      </c>
      <c r="AO52">
        <v>33.6</v>
      </c>
      <c r="AP52">
        <v>0.5</v>
      </c>
      <c r="AQ52" t="s">
        <v>331</v>
      </c>
      <c r="AR52">
        <v>2</v>
      </c>
      <c r="AS52">
        <v>1690215644.5999999</v>
      </c>
      <c r="AT52">
        <v>734.80499999999995</v>
      </c>
      <c r="AU52">
        <v>799.91800000000001</v>
      </c>
      <c r="AV52">
        <v>12.7599</v>
      </c>
      <c r="AW52">
        <v>5.8464499999999999</v>
      </c>
      <c r="AX52">
        <v>735.149</v>
      </c>
      <c r="AY52">
        <v>12.7395</v>
      </c>
      <c r="AZ52">
        <v>300.15199999999999</v>
      </c>
      <c r="BA52">
        <v>99.074399999999997</v>
      </c>
      <c r="BB52">
        <v>9.9929000000000004E-2</v>
      </c>
      <c r="BC52">
        <v>26.7898</v>
      </c>
      <c r="BD52">
        <v>26.9694</v>
      </c>
      <c r="BE52">
        <v>28.294499999999999</v>
      </c>
      <c r="BF52">
        <v>0</v>
      </c>
      <c r="BG52">
        <v>0</v>
      </c>
      <c r="BH52">
        <v>10021.200000000001</v>
      </c>
      <c r="BI52">
        <v>1075.4000000000001</v>
      </c>
      <c r="BJ52">
        <v>1.9609099999999999</v>
      </c>
      <c r="BK52">
        <v>-65.113799999999998</v>
      </c>
      <c r="BL52">
        <v>744.30200000000002</v>
      </c>
      <c r="BM52">
        <v>804.62199999999996</v>
      </c>
      <c r="BN52">
        <v>6.9134599999999997</v>
      </c>
      <c r="BO52">
        <v>799.91800000000001</v>
      </c>
      <c r="BP52">
        <v>5.8464499999999999</v>
      </c>
      <c r="BQ52">
        <v>1.2641800000000001</v>
      </c>
      <c r="BR52">
        <v>0.579233</v>
      </c>
      <c r="BS52">
        <v>10.3796</v>
      </c>
      <c r="BT52">
        <v>-0.79207899999999998</v>
      </c>
      <c r="BU52">
        <v>1799.99</v>
      </c>
      <c r="BV52">
        <v>0.90997799999999995</v>
      </c>
      <c r="BW52">
        <v>3.4000599999999999E-2</v>
      </c>
      <c r="BX52">
        <v>2.2008E-2</v>
      </c>
      <c r="BY52">
        <v>3.40132E-2</v>
      </c>
      <c r="BZ52">
        <v>25</v>
      </c>
      <c r="CA52">
        <v>33528</v>
      </c>
      <c r="CB52">
        <v>1690214843</v>
      </c>
      <c r="CC52" t="s">
        <v>332</v>
      </c>
      <c r="CD52">
        <v>1690214842</v>
      </c>
      <c r="CE52">
        <v>1690214843</v>
      </c>
      <c r="CF52">
        <v>8</v>
      </c>
      <c r="CG52">
        <v>-6.3E-2</v>
      </c>
      <c r="CH52">
        <v>1E-3</v>
      </c>
      <c r="CI52">
        <v>-0.38900000000000001</v>
      </c>
      <c r="CJ52">
        <v>-6.6000000000000003E-2</v>
      </c>
      <c r="CK52">
        <v>800</v>
      </c>
      <c r="CL52">
        <v>6</v>
      </c>
      <c r="CM52">
        <v>0.23</v>
      </c>
      <c r="CN52">
        <v>0.02</v>
      </c>
      <c r="CO52">
        <v>-62.138665853658537</v>
      </c>
      <c r="CP52">
        <v>-17.08476376306615</v>
      </c>
      <c r="CQ52">
        <v>1.6849651467206359</v>
      </c>
      <c r="CR52">
        <v>-1</v>
      </c>
      <c r="CS52">
        <v>6.7363634146341456</v>
      </c>
      <c r="CT52">
        <v>0.98239797909408055</v>
      </c>
      <c r="CU52">
        <v>9.6872043101617983E-2</v>
      </c>
      <c r="CV52">
        <v>-1</v>
      </c>
      <c r="CW52">
        <v>0</v>
      </c>
      <c r="CX52">
        <v>0</v>
      </c>
      <c r="CY52" t="s">
        <v>333</v>
      </c>
      <c r="CZ52">
        <v>2.36422</v>
      </c>
      <c r="DA52">
        <v>2.71374</v>
      </c>
      <c r="DB52">
        <v>0.138378</v>
      </c>
      <c r="DC52">
        <v>0.14602200000000001</v>
      </c>
      <c r="DD52">
        <v>7.2276900000000005E-2</v>
      </c>
      <c r="DE52">
        <v>3.8607299999999997E-2</v>
      </c>
      <c r="DF52">
        <v>31444.3</v>
      </c>
      <c r="DG52">
        <v>27498.5</v>
      </c>
      <c r="DH52">
        <v>31156.3</v>
      </c>
      <c r="DI52">
        <v>28059.200000000001</v>
      </c>
      <c r="DJ52">
        <v>39254.800000000003</v>
      </c>
      <c r="DK52">
        <v>38358.400000000001</v>
      </c>
      <c r="DL52">
        <v>44336.1</v>
      </c>
      <c r="DM52">
        <v>42523.9</v>
      </c>
      <c r="DN52">
        <v>1.35212</v>
      </c>
      <c r="DO52">
        <v>2.0314800000000002</v>
      </c>
      <c r="DP52">
        <v>7.7374299999999993E-2</v>
      </c>
      <c r="DQ52">
        <v>0.17540900000000001</v>
      </c>
      <c r="DR52">
        <v>25.7026</v>
      </c>
      <c r="DS52">
        <v>25.4252</v>
      </c>
      <c r="DT52">
        <v>17.3</v>
      </c>
      <c r="DU52">
        <v>29.8</v>
      </c>
      <c r="DV52">
        <v>7.3536900000000003</v>
      </c>
      <c r="DW52">
        <v>61.4985</v>
      </c>
      <c r="DX52">
        <v>35.973599999999998</v>
      </c>
      <c r="DY52">
        <v>1</v>
      </c>
      <c r="DZ52">
        <v>-7.6094999999999996E-2</v>
      </c>
      <c r="EA52">
        <v>8.5675399999999999E-2</v>
      </c>
      <c r="EB52">
        <v>20.190300000000001</v>
      </c>
      <c r="EC52">
        <v>5.2411000000000003</v>
      </c>
      <c r="ED52">
        <v>12.039899999999999</v>
      </c>
      <c r="EE52">
        <v>5.0168999999999997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1.8689100000000001</v>
      </c>
      <c r="EL52">
        <v>1.86466</v>
      </c>
      <c r="EM52">
        <v>1.8691899999999999</v>
      </c>
      <c r="EN52">
        <v>1.8672299999999999</v>
      </c>
      <c r="EO52">
        <v>1.8633999999999999</v>
      </c>
      <c r="EP52">
        <v>1.8646</v>
      </c>
      <c r="EQ52">
        <v>1.8701700000000001</v>
      </c>
      <c r="ER52">
        <v>1.86944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-0.34399999999999997</v>
      </c>
      <c r="FG52">
        <v>2.0400000000000001E-2</v>
      </c>
      <c r="FH52">
        <v>0.16202357103534001</v>
      </c>
      <c r="FI52">
        <v>-6.1462078757559423E-4</v>
      </c>
      <c r="FJ52">
        <v>-1.8861989874597051E-7</v>
      </c>
      <c r="FK52">
        <v>1.1980462299894961E-10</v>
      </c>
      <c r="FL52">
        <v>-3.0039189969545878E-2</v>
      </c>
      <c r="FM52">
        <v>-1.6848085045870601E-2</v>
      </c>
      <c r="FN52">
        <v>1.9789084769509481E-3</v>
      </c>
      <c r="FO52">
        <v>-2.7142391389806329E-5</v>
      </c>
      <c r="FP52">
        <v>3</v>
      </c>
      <c r="FQ52">
        <v>2158</v>
      </c>
      <c r="FR52">
        <v>1</v>
      </c>
      <c r="FS52">
        <v>19</v>
      </c>
      <c r="FT52">
        <v>13.4</v>
      </c>
      <c r="FU52">
        <v>13.4</v>
      </c>
      <c r="FV52">
        <v>1.77979</v>
      </c>
      <c r="FW52">
        <v>2.5805699999999998</v>
      </c>
      <c r="FX52">
        <v>1.5490699999999999</v>
      </c>
      <c r="FY52">
        <v>2.3290999999999999</v>
      </c>
      <c r="FZ52">
        <v>1.50146</v>
      </c>
      <c r="GA52">
        <v>2.323</v>
      </c>
      <c r="GB52">
        <v>33.828299999999999</v>
      </c>
      <c r="GC52">
        <v>23.982399999999998</v>
      </c>
      <c r="GD52">
        <v>19</v>
      </c>
      <c r="GE52">
        <v>234.06299999999999</v>
      </c>
      <c r="GF52">
        <v>580.77</v>
      </c>
      <c r="GG52">
        <v>24.655100000000001</v>
      </c>
      <c r="GH52">
        <v>26.448899999999998</v>
      </c>
      <c r="GI52">
        <v>30</v>
      </c>
      <c r="GJ52">
        <v>26.528099999999998</v>
      </c>
      <c r="GK52">
        <v>26.4848</v>
      </c>
      <c r="GL52">
        <v>35.58</v>
      </c>
      <c r="GM52">
        <v>-30</v>
      </c>
      <c r="GN52">
        <v>-30</v>
      </c>
      <c r="GO52">
        <v>24.684999999999999</v>
      </c>
      <c r="GP52">
        <v>800</v>
      </c>
      <c r="GQ52">
        <v>12.5298</v>
      </c>
      <c r="GR52">
        <v>99.683899999999994</v>
      </c>
      <c r="GS52">
        <v>99.482100000000003</v>
      </c>
    </row>
    <row r="53" spans="1:201" x14ac:dyDescent="0.25">
      <c r="A53">
        <v>37</v>
      </c>
      <c r="B53">
        <v>1690215654.5999999</v>
      </c>
      <c r="C53">
        <v>709.09999990463257</v>
      </c>
      <c r="D53" t="s">
        <v>407</v>
      </c>
      <c r="E53" t="s">
        <v>408</v>
      </c>
      <c r="F53" t="s">
        <v>330</v>
      </c>
      <c r="H53">
        <v>1690215654.5999999</v>
      </c>
      <c r="I53">
        <f t="shared" si="0"/>
        <v>6.3987310653524276E-4</v>
      </c>
      <c r="J53">
        <f t="shared" si="1"/>
        <v>0.63987310653524276</v>
      </c>
      <c r="K53">
        <f t="shared" si="2"/>
        <v>5.5999257989634152</v>
      </c>
      <c r="L53">
        <f t="shared" si="3"/>
        <v>732.05700000000002</v>
      </c>
      <c r="M53">
        <f t="shared" si="4"/>
        <v>317.68966095101894</v>
      </c>
      <c r="N53">
        <f t="shared" si="5"/>
        <v>31.506620832295493</v>
      </c>
      <c r="O53">
        <f t="shared" si="6"/>
        <v>72.601173917913016</v>
      </c>
      <c r="P53">
        <f t="shared" si="7"/>
        <v>2.3041652290001772E-2</v>
      </c>
      <c r="Q53">
        <f t="shared" si="8"/>
        <v>2.0619641134432234</v>
      </c>
      <c r="R53">
        <f t="shared" si="9"/>
        <v>2.2899559363998276E-2</v>
      </c>
      <c r="S53">
        <f t="shared" si="10"/>
        <v>1.4324917936571799E-2</v>
      </c>
      <c r="T53">
        <f t="shared" si="11"/>
        <v>276.11471296685028</v>
      </c>
      <c r="U53">
        <f t="shared" si="12"/>
        <v>28.813601496419128</v>
      </c>
      <c r="V53">
        <f t="shared" si="13"/>
        <v>28.813601496419128</v>
      </c>
      <c r="W53">
        <f t="shared" si="14"/>
        <v>3.9785972207688274</v>
      </c>
      <c r="X53">
        <f t="shared" si="15"/>
        <v>36.222465385049581</v>
      </c>
      <c r="Y53">
        <f t="shared" si="16"/>
        <v>1.2808944137604001</v>
      </c>
      <c r="Z53">
        <f t="shared" si="17"/>
        <v>3.5361878330045284</v>
      </c>
      <c r="AA53">
        <f t="shared" si="18"/>
        <v>2.6977028070084272</v>
      </c>
      <c r="AB53">
        <f t="shared" si="19"/>
        <v>-28.218403998204206</v>
      </c>
      <c r="AC53">
        <f t="shared" si="20"/>
        <v>-224.45262895407342</v>
      </c>
      <c r="AD53">
        <f t="shared" si="21"/>
        <v>-23.681583281501002</v>
      </c>
      <c r="AE53">
        <f t="shared" si="22"/>
        <v>-0.23790326692832764</v>
      </c>
      <c r="AF53">
        <v>47</v>
      </c>
      <c r="AG53">
        <v>16</v>
      </c>
      <c r="AH53">
        <f t="shared" si="23"/>
        <v>1</v>
      </c>
      <c r="AI53">
        <f t="shared" si="24"/>
        <v>0</v>
      </c>
      <c r="AJ53">
        <f t="shared" si="25"/>
        <v>52326.072819689958</v>
      </c>
      <c r="AK53">
        <f t="shared" si="26"/>
        <v>1799.99</v>
      </c>
      <c r="AL53">
        <f t="shared" si="27"/>
        <v>1499.1030632033796</v>
      </c>
      <c r="AM53">
        <f t="shared" si="28"/>
        <v>0.83283966199999981</v>
      </c>
      <c r="AN53">
        <f t="shared" si="29"/>
        <v>0.15339791496999999</v>
      </c>
      <c r="AO53">
        <v>33.6</v>
      </c>
      <c r="AP53">
        <v>0.5</v>
      </c>
      <c r="AQ53" t="s">
        <v>331</v>
      </c>
      <c r="AR53">
        <v>2</v>
      </c>
      <c r="AS53">
        <v>1690215654.5999999</v>
      </c>
      <c r="AT53">
        <v>732.05700000000002</v>
      </c>
      <c r="AU53">
        <v>799.98900000000003</v>
      </c>
      <c r="AV53">
        <v>12.9156</v>
      </c>
      <c r="AW53">
        <v>5.8450699999999998</v>
      </c>
      <c r="AX53">
        <v>732.399</v>
      </c>
      <c r="AY53">
        <v>12.892099999999999</v>
      </c>
      <c r="AZ53">
        <v>300.14800000000002</v>
      </c>
      <c r="BA53">
        <v>99.074200000000005</v>
      </c>
      <c r="BB53">
        <v>0.100009</v>
      </c>
      <c r="BC53">
        <v>26.794499999999999</v>
      </c>
      <c r="BD53">
        <v>26.960999999999999</v>
      </c>
      <c r="BE53">
        <v>28.2925</v>
      </c>
      <c r="BF53">
        <v>0</v>
      </c>
      <c r="BG53">
        <v>0</v>
      </c>
      <c r="BH53">
        <v>9980.6200000000008</v>
      </c>
      <c r="BI53">
        <v>1075.45</v>
      </c>
      <c r="BJ53">
        <v>1.96231</v>
      </c>
      <c r="BK53">
        <v>-67.931899999999999</v>
      </c>
      <c r="BL53">
        <v>741.63499999999999</v>
      </c>
      <c r="BM53">
        <v>804.69200000000001</v>
      </c>
      <c r="BN53">
        <v>7.0705600000000004</v>
      </c>
      <c r="BO53">
        <v>799.98900000000003</v>
      </c>
      <c r="BP53">
        <v>5.8450699999999998</v>
      </c>
      <c r="BQ53">
        <v>1.2796099999999999</v>
      </c>
      <c r="BR53">
        <v>0.57909600000000006</v>
      </c>
      <c r="BS53">
        <v>10.561400000000001</v>
      </c>
      <c r="BT53">
        <v>-0.79532800000000003</v>
      </c>
      <c r="BU53">
        <v>1799.99</v>
      </c>
      <c r="BV53">
        <v>0.90998599999999996</v>
      </c>
      <c r="BW53">
        <v>3.3997699999999999E-2</v>
      </c>
      <c r="BX53">
        <v>2.2006100000000001E-2</v>
      </c>
      <c r="BY53">
        <v>3.40103E-2</v>
      </c>
      <c r="BZ53">
        <v>25</v>
      </c>
      <c r="CA53">
        <v>33528.1</v>
      </c>
      <c r="CB53">
        <v>1690214843</v>
      </c>
      <c r="CC53" t="s">
        <v>332</v>
      </c>
      <c r="CD53">
        <v>1690214842</v>
      </c>
      <c r="CE53">
        <v>1690214843</v>
      </c>
      <c r="CF53">
        <v>8</v>
      </c>
      <c r="CG53">
        <v>-6.3E-2</v>
      </c>
      <c r="CH53">
        <v>1E-3</v>
      </c>
      <c r="CI53">
        <v>-0.38900000000000001</v>
      </c>
      <c r="CJ53">
        <v>-6.6000000000000003E-2</v>
      </c>
      <c r="CK53">
        <v>800</v>
      </c>
      <c r="CL53">
        <v>6</v>
      </c>
      <c r="CM53">
        <v>0.23</v>
      </c>
      <c r="CN53">
        <v>0.02</v>
      </c>
      <c r="CO53">
        <v>-64.935595121951209</v>
      </c>
      <c r="CP53">
        <v>-16.526703135888649</v>
      </c>
      <c r="CQ53">
        <v>1.630273727270934</v>
      </c>
      <c r="CR53">
        <v>-1</v>
      </c>
      <c r="CS53">
        <v>6.8970378048780487</v>
      </c>
      <c r="CT53">
        <v>0.94910885017421309</v>
      </c>
      <c r="CU53">
        <v>9.3589390567995243E-2</v>
      </c>
      <c r="CV53">
        <v>-1</v>
      </c>
      <c r="CW53">
        <v>0</v>
      </c>
      <c r="CX53">
        <v>0</v>
      </c>
      <c r="CY53" t="s">
        <v>333</v>
      </c>
      <c r="CZ53">
        <v>2.36422</v>
      </c>
      <c r="DA53">
        <v>2.7137799999999999</v>
      </c>
      <c r="DB53">
        <v>0.13803000000000001</v>
      </c>
      <c r="DC53">
        <v>0.14602999999999999</v>
      </c>
      <c r="DD53">
        <v>7.2927699999999998E-2</v>
      </c>
      <c r="DE53">
        <v>3.8599799999999997E-2</v>
      </c>
      <c r="DF53">
        <v>31457.3</v>
      </c>
      <c r="DG53">
        <v>27498.400000000001</v>
      </c>
      <c r="DH53">
        <v>31156.6</v>
      </c>
      <c r="DI53">
        <v>28059.4</v>
      </c>
      <c r="DJ53">
        <v>39227.599999999999</v>
      </c>
      <c r="DK53">
        <v>38358.800000000003</v>
      </c>
      <c r="DL53">
        <v>44336.7</v>
      </c>
      <c r="DM53">
        <v>42524</v>
      </c>
      <c r="DN53">
        <v>1.3529800000000001</v>
      </c>
      <c r="DO53">
        <v>2.0313500000000002</v>
      </c>
      <c r="DP53">
        <v>7.7091199999999999E-2</v>
      </c>
      <c r="DQ53">
        <v>0.17541999999999999</v>
      </c>
      <c r="DR53">
        <v>25.698899999999998</v>
      </c>
      <c r="DS53">
        <v>25.422999999999998</v>
      </c>
      <c r="DT53">
        <v>17.3</v>
      </c>
      <c r="DU53">
        <v>29.8</v>
      </c>
      <c r="DV53">
        <v>7.3547099999999999</v>
      </c>
      <c r="DW53">
        <v>62.148499999999999</v>
      </c>
      <c r="DX53">
        <v>35.985599999999998</v>
      </c>
      <c r="DY53">
        <v>1</v>
      </c>
      <c r="DZ53">
        <v>-7.6204300000000003E-2</v>
      </c>
      <c r="EA53">
        <v>7.3673699999999995E-2</v>
      </c>
      <c r="EB53">
        <v>20.190100000000001</v>
      </c>
      <c r="EC53">
        <v>5.2411000000000003</v>
      </c>
      <c r="ED53">
        <v>12.039899999999999</v>
      </c>
      <c r="EE53">
        <v>5.01715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1.86893</v>
      </c>
      <c r="EL53">
        <v>1.8647199999999999</v>
      </c>
      <c r="EM53">
        <v>1.8691800000000001</v>
      </c>
      <c r="EN53">
        <v>1.8672299999999999</v>
      </c>
      <c r="EO53">
        <v>1.8633999999999999</v>
      </c>
      <c r="EP53">
        <v>1.8645400000000001</v>
      </c>
      <c r="EQ53">
        <v>1.8701399999999999</v>
      </c>
      <c r="ER53">
        <v>1.8694500000000001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-0.34200000000000003</v>
      </c>
      <c r="FG53">
        <v>2.35E-2</v>
      </c>
      <c r="FH53">
        <v>0.16202357103534001</v>
      </c>
      <c r="FI53">
        <v>-6.1462078757559423E-4</v>
      </c>
      <c r="FJ53">
        <v>-1.8861989874597051E-7</v>
      </c>
      <c r="FK53">
        <v>1.1980462299894961E-10</v>
      </c>
      <c r="FL53">
        <v>-3.0039189969545878E-2</v>
      </c>
      <c r="FM53">
        <v>-1.6848085045870601E-2</v>
      </c>
      <c r="FN53">
        <v>1.9789084769509481E-3</v>
      </c>
      <c r="FO53">
        <v>-2.7142391389806329E-5</v>
      </c>
      <c r="FP53">
        <v>3</v>
      </c>
      <c r="FQ53">
        <v>2158</v>
      </c>
      <c r="FR53">
        <v>1</v>
      </c>
      <c r="FS53">
        <v>19</v>
      </c>
      <c r="FT53">
        <v>13.5</v>
      </c>
      <c r="FU53">
        <v>13.5</v>
      </c>
      <c r="FV53">
        <v>1.77979</v>
      </c>
      <c r="FW53">
        <v>2.5805699999999998</v>
      </c>
      <c r="FX53">
        <v>1.5490699999999999</v>
      </c>
      <c r="FY53">
        <v>2.3290999999999999</v>
      </c>
      <c r="FZ53">
        <v>1.50146</v>
      </c>
      <c r="GA53">
        <v>2.3535200000000001</v>
      </c>
      <c r="GB53">
        <v>33.850900000000003</v>
      </c>
      <c r="GC53">
        <v>23.982399999999998</v>
      </c>
      <c r="GD53">
        <v>19</v>
      </c>
      <c r="GE53">
        <v>234.38</v>
      </c>
      <c r="GF53">
        <v>580.66700000000003</v>
      </c>
      <c r="GG53">
        <v>24.7118</v>
      </c>
      <c r="GH53">
        <v>26.4465</v>
      </c>
      <c r="GI53">
        <v>29.9999</v>
      </c>
      <c r="GJ53">
        <v>26.528099999999998</v>
      </c>
      <c r="GK53">
        <v>26.4848</v>
      </c>
      <c r="GL53">
        <v>35.578499999999998</v>
      </c>
      <c r="GM53">
        <v>-30</v>
      </c>
      <c r="GN53">
        <v>-30</v>
      </c>
      <c r="GO53">
        <v>24.734999999999999</v>
      </c>
      <c r="GP53">
        <v>800</v>
      </c>
      <c r="GQ53">
        <v>12.5298</v>
      </c>
      <c r="GR53">
        <v>99.685000000000002</v>
      </c>
      <c r="GS53">
        <v>99.482500000000002</v>
      </c>
    </row>
    <row r="54" spans="1:201" x14ac:dyDescent="0.25">
      <c r="A54">
        <v>38</v>
      </c>
      <c r="B54">
        <v>1690215664.5999999</v>
      </c>
      <c r="C54">
        <v>719.09999990463257</v>
      </c>
      <c r="D54" t="s">
        <v>409</v>
      </c>
      <c r="E54" t="s">
        <v>410</v>
      </c>
      <c r="F54" t="s">
        <v>330</v>
      </c>
      <c r="H54">
        <v>1690215664.5999999</v>
      </c>
      <c r="I54">
        <f t="shared" si="0"/>
        <v>6.5362037973492151E-4</v>
      </c>
      <c r="J54">
        <f t="shared" si="1"/>
        <v>0.65362037973492149</v>
      </c>
      <c r="K54">
        <f t="shared" si="2"/>
        <v>5.8359073763575191</v>
      </c>
      <c r="L54">
        <f t="shared" si="3"/>
        <v>729.38</v>
      </c>
      <c r="M54">
        <f t="shared" si="4"/>
        <v>309.9429421647701</v>
      </c>
      <c r="N54">
        <f t="shared" si="5"/>
        <v>30.738557412427497</v>
      </c>
      <c r="O54">
        <f t="shared" si="6"/>
        <v>72.336181778766004</v>
      </c>
      <c r="P54">
        <f t="shared" si="7"/>
        <v>2.3685875133323805E-2</v>
      </c>
      <c r="Q54">
        <f t="shared" si="8"/>
        <v>2.0675267085369615</v>
      </c>
      <c r="R54">
        <f t="shared" si="9"/>
        <v>2.3536154640161931E-2</v>
      </c>
      <c r="S54">
        <f t="shared" si="10"/>
        <v>1.4723469443288876E-2</v>
      </c>
      <c r="T54">
        <f t="shared" si="11"/>
        <v>276.11426010736614</v>
      </c>
      <c r="U54">
        <f t="shared" si="12"/>
        <v>28.805648509359102</v>
      </c>
      <c r="V54">
        <f t="shared" si="13"/>
        <v>28.805648509359102</v>
      </c>
      <c r="W54">
        <f t="shared" si="14"/>
        <v>3.9767640938052531</v>
      </c>
      <c r="X54">
        <f t="shared" si="15"/>
        <v>36.639865717800532</v>
      </c>
      <c r="Y54">
        <f t="shared" si="16"/>
        <v>1.2957992869080599</v>
      </c>
      <c r="Z54">
        <f t="shared" si="17"/>
        <v>3.5365830674388343</v>
      </c>
      <c r="AA54">
        <f t="shared" si="18"/>
        <v>2.680964806897193</v>
      </c>
      <c r="AB54">
        <f t="shared" si="19"/>
        <v>-28.824658746310039</v>
      </c>
      <c r="AC54">
        <f t="shared" si="20"/>
        <v>-223.9598802919208</v>
      </c>
      <c r="AD54">
        <f t="shared" si="21"/>
        <v>-23.565305942664516</v>
      </c>
      <c r="AE54">
        <f t="shared" si="22"/>
        <v>-0.23558487352920565</v>
      </c>
      <c r="AF54">
        <v>47</v>
      </c>
      <c r="AG54">
        <v>16</v>
      </c>
      <c r="AH54">
        <f t="shared" si="23"/>
        <v>1</v>
      </c>
      <c r="AI54">
        <f t="shared" si="24"/>
        <v>0</v>
      </c>
      <c r="AJ54">
        <f t="shared" si="25"/>
        <v>52580.387797891854</v>
      </c>
      <c r="AK54">
        <f t="shared" si="26"/>
        <v>1799.99</v>
      </c>
      <c r="AL54">
        <f t="shared" si="27"/>
        <v>1499.1040909976698</v>
      </c>
      <c r="AM54">
        <f t="shared" si="28"/>
        <v>0.83284023299999987</v>
      </c>
      <c r="AN54">
        <f t="shared" si="29"/>
        <v>0.15339766337999997</v>
      </c>
      <c r="AO54">
        <v>33.6</v>
      </c>
      <c r="AP54">
        <v>0.5</v>
      </c>
      <c r="AQ54" t="s">
        <v>331</v>
      </c>
      <c r="AR54">
        <v>2</v>
      </c>
      <c r="AS54">
        <v>1690215664.5999999</v>
      </c>
      <c r="AT54">
        <v>729.38</v>
      </c>
      <c r="AU54">
        <v>800.05100000000004</v>
      </c>
      <c r="AV54">
        <v>13.065799999999999</v>
      </c>
      <c r="AW54">
        <v>5.8440300000000001</v>
      </c>
      <c r="AX54">
        <v>729.72</v>
      </c>
      <c r="AY54">
        <v>13.039300000000001</v>
      </c>
      <c r="AZ54">
        <v>300.13</v>
      </c>
      <c r="BA54">
        <v>99.0749</v>
      </c>
      <c r="BB54">
        <v>9.9990700000000002E-2</v>
      </c>
      <c r="BC54">
        <v>26.796399999999998</v>
      </c>
      <c r="BD54">
        <v>26.967300000000002</v>
      </c>
      <c r="BE54">
        <v>28.2774</v>
      </c>
      <c r="BF54">
        <v>0</v>
      </c>
      <c r="BG54">
        <v>0</v>
      </c>
      <c r="BH54">
        <v>10031.200000000001</v>
      </c>
      <c r="BI54">
        <v>1075.52</v>
      </c>
      <c r="BJ54">
        <v>1.9328799999999999</v>
      </c>
      <c r="BK54">
        <v>-70.671400000000006</v>
      </c>
      <c r="BL54">
        <v>739.03599999999994</v>
      </c>
      <c r="BM54">
        <v>804.75400000000002</v>
      </c>
      <c r="BN54">
        <v>7.2218</v>
      </c>
      <c r="BO54">
        <v>800.05100000000004</v>
      </c>
      <c r="BP54">
        <v>5.8440300000000001</v>
      </c>
      <c r="BQ54">
        <v>1.2945</v>
      </c>
      <c r="BR54">
        <v>0.57899699999999998</v>
      </c>
      <c r="BS54">
        <v>10.735099999999999</v>
      </c>
      <c r="BT54">
        <v>-0.79765200000000003</v>
      </c>
      <c r="BU54">
        <v>1799.99</v>
      </c>
      <c r="BV54">
        <v>0.909995</v>
      </c>
      <c r="BW54">
        <v>3.3994200000000002E-2</v>
      </c>
      <c r="BX54">
        <v>2.20039E-2</v>
      </c>
      <c r="BY54">
        <v>3.4006799999999997E-2</v>
      </c>
      <c r="BZ54">
        <v>25</v>
      </c>
      <c r="CA54">
        <v>33528.199999999997</v>
      </c>
      <c r="CB54">
        <v>1690214843</v>
      </c>
      <c r="CC54" t="s">
        <v>332</v>
      </c>
      <c r="CD54">
        <v>1690214842</v>
      </c>
      <c r="CE54">
        <v>1690214843</v>
      </c>
      <c r="CF54">
        <v>8</v>
      </c>
      <c r="CG54">
        <v>-6.3E-2</v>
      </c>
      <c r="CH54">
        <v>1E-3</v>
      </c>
      <c r="CI54">
        <v>-0.38900000000000001</v>
      </c>
      <c r="CJ54">
        <v>-6.6000000000000003E-2</v>
      </c>
      <c r="CK54">
        <v>800</v>
      </c>
      <c r="CL54">
        <v>6</v>
      </c>
      <c r="CM54">
        <v>0.23</v>
      </c>
      <c r="CN54">
        <v>0.02</v>
      </c>
      <c r="CO54">
        <v>-67.646780487804875</v>
      </c>
      <c r="CP54">
        <v>-16.411087108014161</v>
      </c>
      <c r="CQ54">
        <v>1.6189507410845769</v>
      </c>
      <c r="CR54">
        <v>-1</v>
      </c>
      <c r="CS54">
        <v>7.0534397560975606</v>
      </c>
      <c r="CT54">
        <v>0.92944222996516646</v>
      </c>
      <c r="CU54">
        <v>9.164810504575148E-2</v>
      </c>
      <c r="CV54">
        <v>-1</v>
      </c>
      <c r="CW54">
        <v>0</v>
      </c>
      <c r="CX54">
        <v>0</v>
      </c>
      <c r="CY54" t="s">
        <v>333</v>
      </c>
      <c r="CZ54">
        <v>2.36416</v>
      </c>
      <c r="DA54">
        <v>2.7138100000000001</v>
      </c>
      <c r="DB54">
        <v>0.13769100000000001</v>
      </c>
      <c r="DC54">
        <v>0.146038</v>
      </c>
      <c r="DD54">
        <v>7.3553199999999999E-2</v>
      </c>
      <c r="DE54">
        <v>3.8594299999999998E-2</v>
      </c>
      <c r="DF54">
        <v>31469.8</v>
      </c>
      <c r="DG54">
        <v>27498.799999999999</v>
      </c>
      <c r="DH54">
        <v>31156.7</v>
      </c>
      <c r="DI54">
        <v>28060</v>
      </c>
      <c r="DJ54">
        <v>39200.800000000003</v>
      </c>
      <c r="DK54">
        <v>38359.800000000003</v>
      </c>
      <c r="DL54">
        <v>44336.6</v>
      </c>
      <c r="DM54">
        <v>42524.9</v>
      </c>
      <c r="DN54">
        <v>1.3525499999999999</v>
      </c>
      <c r="DO54">
        <v>2.0314800000000002</v>
      </c>
      <c r="DP54">
        <v>7.7709600000000004E-2</v>
      </c>
      <c r="DQ54">
        <v>0.17449600000000001</v>
      </c>
      <c r="DR54">
        <v>25.695</v>
      </c>
      <c r="DS54">
        <v>25.422999999999998</v>
      </c>
      <c r="DT54">
        <v>17.3</v>
      </c>
      <c r="DU54">
        <v>29.8</v>
      </c>
      <c r="DV54">
        <v>7.3542100000000001</v>
      </c>
      <c r="DW54">
        <v>61.658499999999997</v>
      </c>
      <c r="DX54">
        <v>36.045699999999997</v>
      </c>
      <c r="DY54">
        <v>1</v>
      </c>
      <c r="DZ54">
        <v>-7.6803899999999994E-2</v>
      </c>
      <c r="EA54">
        <v>5.0258700000000003E-2</v>
      </c>
      <c r="EB54">
        <v>20.190300000000001</v>
      </c>
      <c r="EC54">
        <v>5.2409499999999998</v>
      </c>
      <c r="ED54">
        <v>12.039899999999999</v>
      </c>
      <c r="EE54">
        <v>5.0170000000000003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1.8689199999999999</v>
      </c>
      <c r="EL54">
        <v>1.8647</v>
      </c>
      <c r="EM54">
        <v>1.8691899999999999</v>
      </c>
      <c r="EN54">
        <v>1.86724</v>
      </c>
      <c r="EO54">
        <v>1.8633999999999999</v>
      </c>
      <c r="EP54">
        <v>1.8645799999999999</v>
      </c>
      <c r="EQ54">
        <v>1.8701700000000001</v>
      </c>
      <c r="ER54">
        <v>1.8694900000000001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-0.34</v>
      </c>
      <c r="FG54">
        <v>2.6499999999999999E-2</v>
      </c>
      <c r="FH54">
        <v>0.16202357103534001</v>
      </c>
      <c r="FI54">
        <v>-6.1462078757559423E-4</v>
      </c>
      <c r="FJ54">
        <v>-1.8861989874597051E-7</v>
      </c>
      <c r="FK54">
        <v>1.1980462299894961E-10</v>
      </c>
      <c r="FL54">
        <v>-3.0039189969545878E-2</v>
      </c>
      <c r="FM54">
        <v>-1.6848085045870601E-2</v>
      </c>
      <c r="FN54">
        <v>1.9789084769509481E-3</v>
      </c>
      <c r="FO54">
        <v>-2.7142391389806329E-5</v>
      </c>
      <c r="FP54">
        <v>3</v>
      </c>
      <c r="FQ54">
        <v>2158</v>
      </c>
      <c r="FR54">
        <v>1</v>
      </c>
      <c r="FS54">
        <v>19</v>
      </c>
      <c r="FT54">
        <v>13.7</v>
      </c>
      <c r="FU54">
        <v>13.7</v>
      </c>
      <c r="FV54">
        <v>1.77979</v>
      </c>
      <c r="FW54">
        <v>2.5769000000000002</v>
      </c>
      <c r="FX54">
        <v>1.5490699999999999</v>
      </c>
      <c r="FY54">
        <v>2.3290999999999999</v>
      </c>
      <c r="FZ54">
        <v>1.50146</v>
      </c>
      <c r="GA54">
        <v>2.32666</v>
      </c>
      <c r="GB54">
        <v>33.850900000000003</v>
      </c>
      <c r="GC54">
        <v>23.982399999999998</v>
      </c>
      <c r="GD54">
        <v>19</v>
      </c>
      <c r="GE54">
        <v>234.221</v>
      </c>
      <c r="GF54">
        <v>580.79499999999996</v>
      </c>
      <c r="GG54">
        <v>24.7607</v>
      </c>
      <c r="GH54">
        <v>26.443100000000001</v>
      </c>
      <c r="GI54">
        <v>29.9999</v>
      </c>
      <c r="GJ54">
        <v>26.528099999999998</v>
      </c>
      <c r="GK54">
        <v>26.486999999999998</v>
      </c>
      <c r="GL54">
        <v>35.578499999999998</v>
      </c>
      <c r="GM54">
        <v>-30</v>
      </c>
      <c r="GN54">
        <v>-30</v>
      </c>
      <c r="GO54">
        <v>24.774000000000001</v>
      </c>
      <c r="GP54">
        <v>800</v>
      </c>
      <c r="GQ54">
        <v>12.5298</v>
      </c>
      <c r="GR54">
        <v>99.685100000000006</v>
      </c>
      <c r="GS54">
        <v>99.4846</v>
      </c>
    </row>
    <row r="55" spans="1:201" x14ac:dyDescent="0.25">
      <c r="A55">
        <v>39</v>
      </c>
      <c r="B55">
        <v>1690215674.5999999</v>
      </c>
      <c r="C55">
        <v>729.09999990463257</v>
      </c>
      <c r="D55" t="s">
        <v>411</v>
      </c>
      <c r="E55" t="s">
        <v>412</v>
      </c>
      <c r="F55" t="s">
        <v>330</v>
      </c>
      <c r="H55">
        <v>1690215674.5999999</v>
      </c>
      <c r="I55">
        <f t="shared" si="0"/>
        <v>6.6714699148293804E-4</v>
      </c>
      <c r="J55">
        <f t="shared" si="1"/>
        <v>0.66714699148293799</v>
      </c>
      <c r="K55">
        <f t="shared" si="2"/>
        <v>6.0577900059792729</v>
      </c>
      <c r="L55">
        <f t="shared" si="3"/>
        <v>726.77499999999998</v>
      </c>
      <c r="M55">
        <f t="shared" si="4"/>
        <v>302.6733585121728</v>
      </c>
      <c r="N55">
        <f t="shared" si="5"/>
        <v>30.01873266681644</v>
      </c>
      <c r="O55">
        <f t="shared" si="6"/>
        <v>72.080557539549986</v>
      </c>
      <c r="P55">
        <f t="shared" si="7"/>
        <v>2.428496268032215E-2</v>
      </c>
      <c r="Q55">
        <f t="shared" si="8"/>
        <v>2.0605675627690285</v>
      </c>
      <c r="R55">
        <f t="shared" si="9"/>
        <v>2.4127072057007974E-2</v>
      </c>
      <c r="S55">
        <f t="shared" si="10"/>
        <v>1.5093520202272613E-2</v>
      </c>
      <c r="T55">
        <f t="shared" si="11"/>
        <v>276.11392514722712</v>
      </c>
      <c r="U55">
        <f t="shared" si="12"/>
        <v>28.818405943182089</v>
      </c>
      <c r="V55">
        <f t="shared" si="13"/>
        <v>28.818405943182089</v>
      </c>
      <c r="W55">
        <f t="shared" si="14"/>
        <v>3.9797049806704732</v>
      </c>
      <c r="X55">
        <f t="shared" si="15"/>
        <v>37.028157480175324</v>
      </c>
      <c r="Y55">
        <f t="shared" si="16"/>
        <v>1.3104176431533998</v>
      </c>
      <c r="Z55">
        <f t="shared" si="17"/>
        <v>3.5389760990807884</v>
      </c>
      <c r="AA55">
        <f t="shared" si="18"/>
        <v>2.6692873375170736</v>
      </c>
      <c r="AB55">
        <f t="shared" si="19"/>
        <v>-29.421182324397567</v>
      </c>
      <c r="AC55">
        <f t="shared" si="20"/>
        <v>-223.34573495571746</v>
      </c>
      <c r="AD55">
        <f t="shared" si="21"/>
        <v>-23.582906416966686</v>
      </c>
      <c r="AE55">
        <f t="shared" si="22"/>
        <v>-0.23589854985459624</v>
      </c>
      <c r="AF55">
        <v>47</v>
      </c>
      <c r="AG55">
        <v>16</v>
      </c>
      <c r="AH55">
        <f t="shared" si="23"/>
        <v>1</v>
      </c>
      <c r="AI55">
        <f t="shared" si="24"/>
        <v>0</v>
      </c>
      <c r="AJ55">
        <f t="shared" si="25"/>
        <v>52260.039408067991</v>
      </c>
      <c r="AK55">
        <f t="shared" si="26"/>
        <v>1799.99</v>
      </c>
      <c r="AL55">
        <f t="shared" si="27"/>
        <v>1499.1049657928099</v>
      </c>
      <c r="AM55">
        <f t="shared" si="28"/>
        <v>0.83284071900000001</v>
      </c>
      <c r="AN55">
        <f t="shared" si="29"/>
        <v>0.15339747729</v>
      </c>
      <c r="AO55">
        <v>33.6</v>
      </c>
      <c r="AP55">
        <v>0.5</v>
      </c>
      <c r="AQ55" t="s">
        <v>331</v>
      </c>
      <c r="AR55">
        <v>2</v>
      </c>
      <c r="AS55">
        <v>1690215674.5999999</v>
      </c>
      <c r="AT55">
        <v>726.77499999999998</v>
      </c>
      <c r="AU55">
        <v>800.01099999999997</v>
      </c>
      <c r="AV55">
        <v>13.2127</v>
      </c>
      <c r="AW55">
        <v>5.8435800000000002</v>
      </c>
      <c r="AX55">
        <v>727.11400000000003</v>
      </c>
      <c r="AY55">
        <v>13.183199999999999</v>
      </c>
      <c r="AZ55">
        <v>300.17099999999999</v>
      </c>
      <c r="BA55">
        <v>99.078599999999994</v>
      </c>
      <c r="BB55">
        <v>0.10004200000000001</v>
      </c>
      <c r="BC55">
        <v>26.8079</v>
      </c>
      <c r="BD55">
        <v>26.9892</v>
      </c>
      <c r="BE55">
        <v>28.3063</v>
      </c>
      <c r="BF55">
        <v>0</v>
      </c>
      <c r="BG55">
        <v>0</v>
      </c>
      <c r="BH55">
        <v>9967.5</v>
      </c>
      <c r="BI55">
        <v>1075.48</v>
      </c>
      <c r="BJ55">
        <v>1.8011200000000001</v>
      </c>
      <c r="BK55">
        <v>-73.236000000000004</v>
      </c>
      <c r="BL55">
        <v>736.50699999999995</v>
      </c>
      <c r="BM55">
        <v>804.71400000000006</v>
      </c>
      <c r="BN55">
        <v>7.3691599999999999</v>
      </c>
      <c r="BO55">
        <v>800.01099999999997</v>
      </c>
      <c r="BP55">
        <v>5.8435800000000002</v>
      </c>
      <c r="BQ55">
        <v>1.3090999999999999</v>
      </c>
      <c r="BR55">
        <v>0.57897399999999999</v>
      </c>
      <c r="BS55">
        <v>10.903700000000001</v>
      </c>
      <c r="BT55">
        <v>-0.79820899999999995</v>
      </c>
      <c r="BU55">
        <v>1799.99</v>
      </c>
      <c r="BV55">
        <v>0.91000199999999998</v>
      </c>
      <c r="BW55">
        <v>3.3991500000000001E-2</v>
      </c>
      <c r="BX55">
        <v>2.20022E-2</v>
      </c>
      <c r="BY55">
        <v>3.4004100000000002E-2</v>
      </c>
      <c r="BZ55">
        <v>25</v>
      </c>
      <c r="CA55">
        <v>33528.199999999997</v>
      </c>
      <c r="CB55">
        <v>1690214843</v>
      </c>
      <c r="CC55" t="s">
        <v>332</v>
      </c>
      <c r="CD55">
        <v>1690214842</v>
      </c>
      <c r="CE55">
        <v>1690214843</v>
      </c>
      <c r="CF55">
        <v>8</v>
      </c>
      <c r="CG55">
        <v>-6.3E-2</v>
      </c>
      <c r="CH55">
        <v>1E-3</v>
      </c>
      <c r="CI55">
        <v>-0.38900000000000001</v>
      </c>
      <c r="CJ55">
        <v>-6.6000000000000003E-2</v>
      </c>
      <c r="CK55">
        <v>800</v>
      </c>
      <c r="CL55">
        <v>6</v>
      </c>
      <c r="CM55">
        <v>0.23</v>
      </c>
      <c r="CN55">
        <v>0.02</v>
      </c>
      <c r="CO55">
        <v>-70.339543902439019</v>
      </c>
      <c r="CP55">
        <v>-16.049103135888458</v>
      </c>
      <c r="CQ55">
        <v>1.583254365654887</v>
      </c>
      <c r="CR55">
        <v>-1</v>
      </c>
      <c r="CS55">
        <v>7.2061104878048781</v>
      </c>
      <c r="CT55">
        <v>0.90148662020907633</v>
      </c>
      <c r="CU55">
        <v>8.8890599902248152E-2</v>
      </c>
      <c r="CV55">
        <v>-1</v>
      </c>
      <c r="CW55">
        <v>0</v>
      </c>
      <c r="CX55">
        <v>0</v>
      </c>
      <c r="CY55" t="s">
        <v>333</v>
      </c>
      <c r="CZ55">
        <v>2.3642799999999999</v>
      </c>
      <c r="DA55">
        <v>2.7138</v>
      </c>
      <c r="DB55">
        <v>0.13736400000000001</v>
      </c>
      <c r="DC55">
        <v>0.146038</v>
      </c>
      <c r="DD55">
        <v>7.4164499999999994E-2</v>
      </c>
      <c r="DE55">
        <v>3.8593200000000001E-2</v>
      </c>
      <c r="DF55">
        <v>31482</v>
      </c>
      <c r="DG55">
        <v>27498.6</v>
      </c>
      <c r="DH55">
        <v>31157</v>
      </c>
      <c r="DI55">
        <v>28059.8</v>
      </c>
      <c r="DJ55">
        <v>39174.9</v>
      </c>
      <c r="DK55">
        <v>38359.699999999997</v>
      </c>
      <c r="DL55">
        <v>44336.9</v>
      </c>
      <c r="DM55">
        <v>42524.7</v>
      </c>
      <c r="DN55">
        <v>1.35267</v>
      </c>
      <c r="DO55">
        <v>2.03145</v>
      </c>
      <c r="DP55">
        <v>7.9348699999999994E-2</v>
      </c>
      <c r="DQ55">
        <v>0.17639199999999999</v>
      </c>
      <c r="DR55">
        <v>25.690200000000001</v>
      </c>
      <c r="DS55">
        <v>25.4209</v>
      </c>
      <c r="DT55">
        <v>17.3</v>
      </c>
      <c r="DU55">
        <v>29.8</v>
      </c>
      <c r="DV55">
        <v>7.3541400000000001</v>
      </c>
      <c r="DW55">
        <v>61.738500000000002</v>
      </c>
      <c r="DX55">
        <v>36.005600000000001</v>
      </c>
      <c r="DY55">
        <v>1</v>
      </c>
      <c r="DZ55">
        <v>-7.6849600000000004E-2</v>
      </c>
      <c r="EA55">
        <v>6.0370399999999998E-2</v>
      </c>
      <c r="EB55">
        <v>20.190300000000001</v>
      </c>
      <c r="EC55">
        <v>5.2406499999999996</v>
      </c>
      <c r="ED55">
        <v>12.039899999999999</v>
      </c>
      <c r="EE55">
        <v>5.0171000000000001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1.8689100000000001</v>
      </c>
      <c r="EL55">
        <v>1.86467</v>
      </c>
      <c r="EM55">
        <v>1.8691899999999999</v>
      </c>
      <c r="EN55">
        <v>1.8672299999999999</v>
      </c>
      <c r="EO55">
        <v>1.8633999999999999</v>
      </c>
      <c r="EP55">
        <v>1.86456</v>
      </c>
      <c r="EQ55">
        <v>1.87015</v>
      </c>
      <c r="ER55">
        <v>1.8694999999999999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-0.33900000000000002</v>
      </c>
      <c r="FG55">
        <v>2.9499999999999998E-2</v>
      </c>
      <c r="FH55">
        <v>0.16202357103534001</v>
      </c>
      <c r="FI55">
        <v>-6.1462078757559423E-4</v>
      </c>
      <c r="FJ55">
        <v>-1.8861989874597051E-7</v>
      </c>
      <c r="FK55">
        <v>1.1980462299894961E-10</v>
      </c>
      <c r="FL55">
        <v>-3.0039189969545878E-2</v>
      </c>
      <c r="FM55">
        <v>-1.6848085045870601E-2</v>
      </c>
      <c r="FN55">
        <v>1.9789084769509481E-3</v>
      </c>
      <c r="FO55">
        <v>-2.7142391389806329E-5</v>
      </c>
      <c r="FP55">
        <v>3</v>
      </c>
      <c r="FQ55">
        <v>2158</v>
      </c>
      <c r="FR55">
        <v>1</v>
      </c>
      <c r="FS55">
        <v>19</v>
      </c>
      <c r="FT55">
        <v>13.9</v>
      </c>
      <c r="FU55">
        <v>13.9</v>
      </c>
      <c r="FV55">
        <v>1.77979</v>
      </c>
      <c r="FW55">
        <v>2.5793499999999998</v>
      </c>
      <c r="FX55">
        <v>1.5490699999999999</v>
      </c>
      <c r="FY55">
        <v>2.3290999999999999</v>
      </c>
      <c r="FZ55">
        <v>1.50146</v>
      </c>
      <c r="GA55">
        <v>2.33521</v>
      </c>
      <c r="GB55">
        <v>33.850900000000003</v>
      </c>
      <c r="GC55">
        <v>23.982399999999998</v>
      </c>
      <c r="GD55">
        <v>19</v>
      </c>
      <c r="GE55">
        <v>234.268</v>
      </c>
      <c r="GF55">
        <v>580.774</v>
      </c>
      <c r="GG55">
        <v>24.792400000000001</v>
      </c>
      <c r="GH55">
        <v>26.439900000000002</v>
      </c>
      <c r="GI55">
        <v>29.9999</v>
      </c>
      <c r="GJ55">
        <v>26.528099999999998</v>
      </c>
      <c r="GK55">
        <v>26.486999999999998</v>
      </c>
      <c r="GL55">
        <v>35.576900000000002</v>
      </c>
      <c r="GM55">
        <v>-30</v>
      </c>
      <c r="GN55">
        <v>-30</v>
      </c>
      <c r="GO55">
        <v>24.798300000000001</v>
      </c>
      <c r="GP55">
        <v>800</v>
      </c>
      <c r="GQ55">
        <v>12.5298</v>
      </c>
      <c r="GR55">
        <v>99.6858</v>
      </c>
      <c r="GS55">
        <v>99.484099999999998</v>
      </c>
    </row>
    <row r="56" spans="1:201" x14ac:dyDescent="0.25">
      <c r="A56">
        <v>40</v>
      </c>
      <c r="B56">
        <v>1690215684.5999999</v>
      </c>
      <c r="C56">
        <v>739.09999990463257</v>
      </c>
      <c r="D56" t="s">
        <v>413</v>
      </c>
      <c r="E56" t="s">
        <v>414</v>
      </c>
      <c r="F56" t="s">
        <v>330</v>
      </c>
      <c r="H56">
        <v>1690215684.5999999</v>
      </c>
      <c r="I56">
        <f t="shared" si="0"/>
        <v>6.8020961010352085E-4</v>
      </c>
      <c r="J56">
        <f t="shared" si="1"/>
        <v>0.68020961010352088</v>
      </c>
      <c r="K56">
        <f t="shared" si="2"/>
        <v>6.2772387095917761</v>
      </c>
      <c r="L56">
        <f t="shared" si="3"/>
        <v>724.19799999999998</v>
      </c>
      <c r="M56">
        <f t="shared" si="4"/>
        <v>296.33053294386889</v>
      </c>
      <c r="N56">
        <f t="shared" si="5"/>
        <v>29.390799290674455</v>
      </c>
      <c r="O56">
        <f t="shared" si="6"/>
        <v>71.827758865265594</v>
      </c>
      <c r="P56">
        <f t="shared" si="7"/>
        <v>2.4913723267829178E-2</v>
      </c>
      <c r="Q56">
        <f t="shared" si="8"/>
        <v>2.0632951382909743</v>
      </c>
      <c r="R56">
        <f t="shared" si="9"/>
        <v>2.4747799166057308E-2</v>
      </c>
      <c r="S56">
        <f t="shared" si="10"/>
        <v>1.5482189877430851E-2</v>
      </c>
      <c r="T56">
        <f t="shared" si="11"/>
        <v>276.11548396199998</v>
      </c>
      <c r="U56">
        <f t="shared" si="12"/>
        <v>28.810724022350119</v>
      </c>
      <c r="V56">
        <f t="shared" si="13"/>
        <v>28.810724022350119</v>
      </c>
      <c r="W56">
        <f t="shared" si="14"/>
        <v>3.9779338911641222</v>
      </c>
      <c r="X56">
        <f t="shared" si="15"/>
        <v>37.433363966511401</v>
      </c>
      <c r="Y56">
        <f t="shared" si="16"/>
        <v>1.3247110537893598</v>
      </c>
      <c r="Z56">
        <f t="shared" si="17"/>
        <v>3.5388512103119334</v>
      </c>
      <c r="AA56">
        <f t="shared" si="18"/>
        <v>2.6532228373747624</v>
      </c>
      <c r="AB56">
        <f t="shared" si="19"/>
        <v>-29.997243805565269</v>
      </c>
      <c r="AC56">
        <f t="shared" si="20"/>
        <v>-222.85361079953663</v>
      </c>
      <c r="AD56">
        <f t="shared" si="21"/>
        <v>-23.498864328658208</v>
      </c>
      <c r="AE56">
        <f t="shared" si="22"/>
        <v>-0.23423497176011665</v>
      </c>
      <c r="AF56">
        <v>47</v>
      </c>
      <c r="AG56">
        <v>16</v>
      </c>
      <c r="AH56">
        <f t="shared" si="23"/>
        <v>1</v>
      </c>
      <c r="AI56">
        <f t="shared" si="24"/>
        <v>0</v>
      </c>
      <c r="AJ56">
        <f t="shared" si="25"/>
        <v>52384.863563955187</v>
      </c>
      <c r="AK56">
        <f t="shared" si="26"/>
        <v>1800</v>
      </c>
      <c r="AL56">
        <f t="shared" si="27"/>
        <v>1499.1095141999997</v>
      </c>
      <c r="AM56">
        <f t="shared" si="28"/>
        <v>0.83283861899999989</v>
      </c>
      <c r="AN56">
        <f t="shared" si="29"/>
        <v>0.15339749108999998</v>
      </c>
      <c r="AO56">
        <v>33.6</v>
      </c>
      <c r="AP56">
        <v>0.5</v>
      </c>
      <c r="AQ56" t="s">
        <v>331</v>
      </c>
      <c r="AR56">
        <v>2</v>
      </c>
      <c r="AS56">
        <v>1690215684.5999999</v>
      </c>
      <c r="AT56">
        <v>724.19799999999998</v>
      </c>
      <c r="AU56">
        <v>799.995</v>
      </c>
      <c r="AV56">
        <v>13.356299999999999</v>
      </c>
      <c r="AW56">
        <v>5.8422099999999997</v>
      </c>
      <c r="AX56">
        <v>724.53499999999997</v>
      </c>
      <c r="AY56">
        <v>13.323700000000001</v>
      </c>
      <c r="AZ56">
        <v>300.10000000000002</v>
      </c>
      <c r="BA56">
        <v>99.082499999999996</v>
      </c>
      <c r="BB56">
        <v>9.9987199999999998E-2</v>
      </c>
      <c r="BC56">
        <v>26.807300000000001</v>
      </c>
      <c r="BD56">
        <v>26.9742</v>
      </c>
      <c r="BE56">
        <v>28.314699999999998</v>
      </c>
      <c r="BF56">
        <v>0</v>
      </c>
      <c r="BG56">
        <v>0</v>
      </c>
      <c r="BH56">
        <v>9991.8799999999992</v>
      </c>
      <c r="BI56">
        <v>1075.6300000000001</v>
      </c>
      <c r="BJ56">
        <v>1.90625</v>
      </c>
      <c r="BK56">
        <v>-75.796199999999999</v>
      </c>
      <c r="BL56">
        <v>734.00199999999995</v>
      </c>
      <c r="BM56">
        <v>804.69600000000003</v>
      </c>
      <c r="BN56">
        <v>7.5140799999999999</v>
      </c>
      <c r="BO56">
        <v>799.995</v>
      </c>
      <c r="BP56">
        <v>5.8422099999999997</v>
      </c>
      <c r="BQ56">
        <v>1.3233699999999999</v>
      </c>
      <c r="BR56">
        <v>0.57886099999999996</v>
      </c>
      <c r="BS56">
        <v>11.067</v>
      </c>
      <c r="BT56">
        <v>-0.80088099999999995</v>
      </c>
      <c r="BU56">
        <v>1800</v>
      </c>
      <c r="BV56">
        <v>0.90998999999999997</v>
      </c>
      <c r="BW56">
        <v>3.40086E-2</v>
      </c>
      <c r="BX56">
        <v>2.2000200000000001E-2</v>
      </c>
      <c r="BY56">
        <v>3.4001099999999999E-2</v>
      </c>
      <c r="BZ56">
        <v>25</v>
      </c>
      <c r="CA56">
        <v>33528.199999999997</v>
      </c>
      <c r="CB56">
        <v>1690214843</v>
      </c>
      <c r="CC56" t="s">
        <v>332</v>
      </c>
      <c r="CD56">
        <v>1690214842</v>
      </c>
      <c r="CE56">
        <v>1690214843</v>
      </c>
      <c r="CF56">
        <v>8</v>
      </c>
      <c r="CG56">
        <v>-6.3E-2</v>
      </c>
      <c r="CH56">
        <v>1E-3</v>
      </c>
      <c r="CI56">
        <v>-0.38900000000000001</v>
      </c>
      <c r="CJ56">
        <v>-6.6000000000000003E-2</v>
      </c>
      <c r="CK56">
        <v>800</v>
      </c>
      <c r="CL56">
        <v>6</v>
      </c>
      <c r="CM56">
        <v>0.23</v>
      </c>
      <c r="CN56">
        <v>0.02</v>
      </c>
      <c r="CO56">
        <v>-72.97158536585367</v>
      </c>
      <c r="CP56">
        <v>-15.38822299651572</v>
      </c>
      <c r="CQ56">
        <v>1.5176872341696259</v>
      </c>
      <c r="CR56">
        <v>-1</v>
      </c>
      <c r="CS56">
        <v>7.3547212195121956</v>
      </c>
      <c r="CT56">
        <v>0.88300829268294434</v>
      </c>
      <c r="CU56">
        <v>8.7068409526860985E-2</v>
      </c>
      <c r="CV56">
        <v>-1</v>
      </c>
      <c r="CW56">
        <v>0</v>
      </c>
      <c r="CX56">
        <v>0</v>
      </c>
      <c r="CY56" t="s">
        <v>333</v>
      </c>
      <c r="CZ56">
        <v>2.3640699999999999</v>
      </c>
      <c r="DA56">
        <v>2.7137699999999998</v>
      </c>
      <c r="DB56">
        <v>0.137041</v>
      </c>
      <c r="DC56">
        <v>0.14604200000000001</v>
      </c>
      <c r="DD56">
        <v>7.4759500000000007E-2</v>
      </c>
      <c r="DE56">
        <v>3.8587200000000002E-2</v>
      </c>
      <c r="DF56">
        <v>31493.5</v>
      </c>
      <c r="DG56">
        <v>27498.400000000001</v>
      </c>
      <c r="DH56">
        <v>31156.7</v>
      </c>
      <c r="DI56">
        <v>28059.7</v>
      </c>
      <c r="DJ56">
        <v>39149.4</v>
      </c>
      <c r="DK56">
        <v>38359.699999999997</v>
      </c>
      <c r="DL56">
        <v>44336.7</v>
      </c>
      <c r="DM56">
        <v>42524.4</v>
      </c>
      <c r="DN56">
        <v>1.3529800000000001</v>
      </c>
      <c r="DO56">
        <v>2.0313500000000002</v>
      </c>
      <c r="DP56">
        <v>7.8793600000000005E-2</v>
      </c>
      <c r="DQ56">
        <v>0.177041</v>
      </c>
      <c r="DR56">
        <v>25.684200000000001</v>
      </c>
      <c r="DS56">
        <v>25.418700000000001</v>
      </c>
      <c r="DT56">
        <v>17.3</v>
      </c>
      <c r="DU56">
        <v>29.8</v>
      </c>
      <c r="DV56">
        <v>7.3524799999999999</v>
      </c>
      <c r="DW56">
        <v>61.968499999999999</v>
      </c>
      <c r="DX56">
        <v>36.073700000000002</v>
      </c>
      <c r="DY56">
        <v>1</v>
      </c>
      <c r="DZ56">
        <v>-7.6740299999999997E-2</v>
      </c>
      <c r="EA56">
        <v>8.7181400000000006E-2</v>
      </c>
      <c r="EB56">
        <v>20.1906</v>
      </c>
      <c r="EC56">
        <v>5.2406499999999996</v>
      </c>
      <c r="ED56">
        <v>12.039899999999999</v>
      </c>
      <c r="EE56">
        <v>5.0170000000000003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1.8689199999999999</v>
      </c>
      <c r="EL56">
        <v>1.86466</v>
      </c>
      <c r="EM56">
        <v>1.8692</v>
      </c>
      <c r="EN56">
        <v>1.86724</v>
      </c>
      <c r="EO56">
        <v>1.8633999999999999</v>
      </c>
      <c r="EP56">
        <v>1.8645499999999999</v>
      </c>
      <c r="EQ56">
        <v>1.87018</v>
      </c>
      <c r="ER56">
        <v>1.86948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-0.33700000000000002</v>
      </c>
      <c r="FG56">
        <v>3.2599999999999997E-2</v>
      </c>
      <c r="FH56">
        <v>0.16202357103534001</v>
      </c>
      <c r="FI56">
        <v>-6.1462078757559423E-4</v>
      </c>
      <c r="FJ56">
        <v>-1.8861989874597051E-7</v>
      </c>
      <c r="FK56">
        <v>1.1980462299894961E-10</v>
      </c>
      <c r="FL56">
        <v>-3.0039189969545878E-2</v>
      </c>
      <c r="FM56">
        <v>-1.6848085045870601E-2</v>
      </c>
      <c r="FN56">
        <v>1.9789084769509481E-3</v>
      </c>
      <c r="FO56">
        <v>-2.7142391389806329E-5</v>
      </c>
      <c r="FP56">
        <v>3</v>
      </c>
      <c r="FQ56">
        <v>2158</v>
      </c>
      <c r="FR56">
        <v>1</v>
      </c>
      <c r="FS56">
        <v>19</v>
      </c>
      <c r="FT56">
        <v>14</v>
      </c>
      <c r="FU56">
        <v>14</v>
      </c>
      <c r="FV56">
        <v>1.77979</v>
      </c>
      <c r="FW56">
        <v>2.5817899999999998</v>
      </c>
      <c r="FX56">
        <v>1.5490699999999999</v>
      </c>
      <c r="FY56">
        <v>2.3290999999999999</v>
      </c>
      <c r="FZ56">
        <v>1.50146</v>
      </c>
      <c r="GA56">
        <v>2.32544</v>
      </c>
      <c r="GB56">
        <v>33.850900000000003</v>
      </c>
      <c r="GC56">
        <v>23.982399999999998</v>
      </c>
      <c r="GD56">
        <v>19</v>
      </c>
      <c r="GE56">
        <v>234.38</v>
      </c>
      <c r="GF56">
        <v>580.69200000000001</v>
      </c>
      <c r="GG56">
        <v>24.806899999999999</v>
      </c>
      <c r="GH56">
        <v>26.4375</v>
      </c>
      <c r="GI56">
        <v>30.0001</v>
      </c>
      <c r="GJ56">
        <v>26.528099999999998</v>
      </c>
      <c r="GK56">
        <v>26.486999999999998</v>
      </c>
      <c r="GL56">
        <v>35.578499999999998</v>
      </c>
      <c r="GM56">
        <v>-30</v>
      </c>
      <c r="GN56">
        <v>-30</v>
      </c>
      <c r="GO56">
        <v>24.813099999999999</v>
      </c>
      <c r="GP56">
        <v>800</v>
      </c>
      <c r="GQ56">
        <v>12.5298</v>
      </c>
      <c r="GR56">
        <v>99.685100000000006</v>
      </c>
      <c r="GS56">
        <v>99.483500000000006</v>
      </c>
    </row>
    <row r="57" spans="1:201" x14ac:dyDescent="0.25">
      <c r="A57">
        <v>41</v>
      </c>
      <c r="B57">
        <v>1690215694.5999999</v>
      </c>
      <c r="C57">
        <v>749.09999990463257</v>
      </c>
      <c r="D57" t="s">
        <v>415</v>
      </c>
      <c r="E57" t="s">
        <v>416</v>
      </c>
      <c r="F57" t="s">
        <v>330</v>
      </c>
      <c r="H57">
        <v>1690215694.5999999</v>
      </c>
      <c r="I57">
        <f t="shared" si="0"/>
        <v>6.9323282800900967E-4</v>
      </c>
      <c r="J57">
        <f t="shared" si="1"/>
        <v>0.69323282800900965</v>
      </c>
      <c r="K57">
        <f t="shared" si="2"/>
        <v>6.4943634740075673</v>
      </c>
      <c r="L57">
        <f t="shared" si="3"/>
        <v>721.69200000000001</v>
      </c>
      <c r="M57">
        <f t="shared" si="4"/>
        <v>290.19590770368785</v>
      </c>
      <c r="N57">
        <f t="shared" si="5"/>
        <v>28.781817012216322</v>
      </c>
      <c r="O57">
        <f t="shared" si="6"/>
        <v>71.577877329648004</v>
      </c>
      <c r="P57">
        <f t="shared" si="7"/>
        <v>2.553114041376783E-2</v>
      </c>
      <c r="Q57">
        <f t="shared" si="8"/>
        <v>2.0636171306550062</v>
      </c>
      <c r="R57">
        <f t="shared" si="9"/>
        <v>2.5356948492486639E-2</v>
      </c>
      <c r="S57">
        <f t="shared" si="10"/>
        <v>1.5863644084289297E-2</v>
      </c>
      <c r="T57">
        <f t="shared" si="11"/>
        <v>276.11215712105485</v>
      </c>
      <c r="U57">
        <f t="shared" si="12"/>
        <v>28.808833644474294</v>
      </c>
      <c r="V57">
        <f t="shared" si="13"/>
        <v>28.808833644474294</v>
      </c>
      <c r="W57">
        <f t="shared" si="14"/>
        <v>3.9774981643675247</v>
      </c>
      <c r="X57">
        <f t="shared" si="15"/>
        <v>37.820941547468252</v>
      </c>
      <c r="Y57">
        <f t="shared" si="16"/>
        <v>1.3386709062611999</v>
      </c>
      <c r="Z57">
        <f t="shared" si="17"/>
        <v>3.5394965103686347</v>
      </c>
      <c r="AA57">
        <f t="shared" si="18"/>
        <v>2.6388272581063248</v>
      </c>
      <c r="AB57">
        <f t="shared" si="19"/>
        <v>-30.571567715197325</v>
      </c>
      <c r="AC57">
        <f t="shared" si="20"/>
        <v>-222.33319060609838</v>
      </c>
      <c r="AD57">
        <f t="shared" si="21"/>
        <v>-23.440470527341162</v>
      </c>
      <c r="AE57">
        <f t="shared" si="22"/>
        <v>-0.2330717275820291</v>
      </c>
      <c r="AF57">
        <v>47</v>
      </c>
      <c r="AG57">
        <v>16</v>
      </c>
      <c r="AH57">
        <f t="shared" si="23"/>
        <v>1</v>
      </c>
      <c r="AI57">
        <f t="shared" si="24"/>
        <v>0</v>
      </c>
      <c r="AJ57">
        <f t="shared" si="25"/>
        <v>52399.008204523605</v>
      </c>
      <c r="AK57">
        <f t="shared" si="26"/>
        <v>1799.98</v>
      </c>
      <c r="AL57">
        <f t="shared" si="27"/>
        <v>1499.0944090103799</v>
      </c>
      <c r="AM57">
        <f t="shared" si="28"/>
        <v>0.83283948099999994</v>
      </c>
      <c r="AN57">
        <f t="shared" si="29"/>
        <v>0.15339734726000001</v>
      </c>
      <c r="AO57">
        <v>33.6</v>
      </c>
      <c r="AP57">
        <v>0.5</v>
      </c>
      <c r="AQ57" t="s">
        <v>331</v>
      </c>
      <c r="AR57">
        <v>2</v>
      </c>
      <c r="AS57">
        <v>1690215694.5999999</v>
      </c>
      <c r="AT57">
        <v>721.69200000000001</v>
      </c>
      <c r="AU57">
        <v>799.99099999999999</v>
      </c>
      <c r="AV57">
        <v>13.497299999999999</v>
      </c>
      <c r="AW57">
        <v>5.84192</v>
      </c>
      <c r="AX57">
        <v>722.02700000000004</v>
      </c>
      <c r="AY57">
        <v>13.4618</v>
      </c>
      <c r="AZ57">
        <v>300.15800000000002</v>
      </c>
      <c r="BA57">
        <v>99.080600000000004</v>
      </c>
      <c r="BB57">
        <v>0.10004399999999999</v>
      </c>
      <c r="BC57">
        <v>26.810400000000001</v>
      </c>
      <c r="BD57">
        <v>26.983799999999999</v>
      </c>
      <c r="BE57">
        <v>28.317599999999999</v>
      </c>
      <c r="BF57">
        <v>0</v>
      </c>
      <c r="BG57">
        <v>0</v>
      </c>
      <c r="BH57">
        <v>9995</v>
      </c>
      <c r="BI57">
        <v>1075.5899999999999</v>
      </c>
      <c r="BJ57">
        <v>1.96231</v>
      </c>
      <c r="BK57">
        <v>-78.2988</v>
      </c>
      <c r="BL57">
        <v>731.56700000000001</v>
      </c>
      <c r="BM57">
        <v>804.69200000000001</v>
      </c>
      <c r="BN57">
        <v>7.6554000000000002</v>
      </c>
      <c r="BO57">
        <v>799.99099999999999</v>
      </c>
      <c r="BP57">
        <v>5.84192</v>
      </c>
      <c r="BQ57">
        <v>1.3373200000000001</v>
      </c>
      <c r="BR57">
        <v>0.57882100000000003</v>
      </c>
      <c r="BS57">
        <v>11.225</v>
      </c>
      <c r="BT57">
        <v>-0.80181599999999997</v>
      </c>
      <c r="BU57">
        <v>1799.98</v>
      </c>
      <c r="BV57">
        <v>0.90999799999999997</v>
      </c>
      <c r="BW57">
        <v>3.40057E-2</v>
      </c>
      <c r="BX57">
        <v>2.1998299999999998E-2</v>
      </c>
      <c r="BY57">
        <v>3.3998199999999999E-2</v>
      </c>
      <c r="BZ57">
        <v>25</v>
      </c>
      <c r="CA57">
        <v>33528.1</v>
      </c>
      <c r="CB57">
        <v>1690214843</v>
      </c>
      <c r="CC57" t="s">
        <v>332</v>
      </c>
      <c r="CD57">
        <v>1690214842</v>
      </c>
      <c r="CE57">
        <v>1690214843</v>
      </c>
      <c r="CF57">
        <v>8</v>
      </c>
      <c r="CG57">
        <v>-6.3E-2</v>
      </c>
      <c r="CH57">
        <v>1E-3</v>
      </c>
      <c r="CI57">
        <v>-0.38900000000000001</v>
      </c>
      <c r="CJ57">
        <v>-6.6000000000000003E-2</v>
      </c>
      <c r="CK57">
        <v>800</v>
      </c>
      <c r="CL57">
        <v>6</v>
      </c>
      <c r="CM57">
        <v>0.23</v>
      </c>
      <c r="CN57">
        <v>0.02</v>
      </c>
      <c r="CO57">
        <v>-75.457302499999997</v>
      </c>
      <c r="CP57">
        <v>-15.06804315196989</v>
      </c>
      <c r="CQ57">
        <v>1.4496461217289369</v>
      </c>
      <c r="CR57">
        <v>-1</v>
      </c>
      <c r="CS57">
        <v>7.4953329999999996</v>
      </c>
      <c r="CT57">
        <v>0.85246694183862737</v>
      </c>
      <c r="CU57">
        <v>8.2016229619508788E-2</v>
      </c>
      <c r="CV57">
        <v>-1</v>
      </c>
      <c r="CW57">
        <v>0</v>
      </c>
      <c r="CX57">
        <v>0</v>
      </c>
      <c r="CY57" t="s">
        <v>333</v>
      </c>
      <c r="CZ57">
        <v>2.3642599999999998</v>
      </c>
      <c r="DA57">
        <v>2.7138300000000002</v>
      </c>
      <c r="DB57">
        <v>0.13671900000000001</v>
      </c>
      <c r="DC57">
        <v>0.146038</v>
      </c>
      <c r="DD57">
        <v>7.5337600000000005E-2</v>
      </c>
      <c r="DE57">
        <v>3.8584800000000002E-2</v>
      </c>
      <c r="DF57">
        <v>31505.3</v>
      </c>
      <c r="DG57">
        <v>27498.3</v>
      </c>
      <c r="DH57">
        <v>31156.7</v>
      </c>
      <c r="DI57">
        <v>28059.5</v>
      </c>
      <c r="DJ57">
        <v>39124.699999999997</v>
      </c>
      <c r="DK57">
        <v>38359.699999999997</v>
      </c>
      <c r="DL57">
        <v>44336.6</v>
      </c>
      <c r="DM57">
        <v>42524.4</v>
      </c>
      <c r="DN57">
        <v>1.3529</v>
      </c>
      <c r="DO57">
        <v>2.0316999999999998</v>
      </c>
      <c r="DP57">
        <v>7.9710000000000003E-2</v>
      </c>
      <c r="DQ57">
        <v>0.17748</v>
      </c>
      <c r="DR57">
        <v>25.678799999999999</v>
      </c>
      <c r="DS57">
        <v>25.4145</v>
      </c>
      <c r="DT57">
        <v>17.3</v>
      </c>
      <c r="DU57">
        <v>29.8</v>
      </c>
      <c r="DV57">
        <v>7.3528000000000002</v>
      </c>
      <c r="DW57">
        <v>61.718499999999999</v>
      </c>
      <c r="DX57">
        <v>36.137799999999999</v>
      </c>
      <c r="DY57">
        <v>1</v>
      </c>
      <c r="DZ57">
        <v>-7.6882599999999995E-2</v>
      </c>
      <c r="EA57">
        <v>4.7287599999999999E-2</v>
      </c>
      <c r="EB57">
        <v>20.1904</v>
      </c>
      <c r="EC57">
        <v>5.2406499999999996</v>
      </c>
      <c r="ED57">
        <v>12.039899999999999</v>
      </c>
      <c r="EE57">
        <v>5.01715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1.8689100000000001</v>
      </c>
      <c r="EL57">
        <v>1.8646799999999999</v>
      </c>
      <c r="EM57">
        <v>1.8691899999999999</v>
      </c>
      <c r="EN57">
        <v>1.8672299999999999</v>
      </c>
      <c r="EO57">
        <v>1.8633999999999999</v>
      </c>
      <c r="EP57">
        <v>1.8645499999999999</v>
      </c>
      <c r="EQ57">
        <v>1.8701399999999999</v>
      </c>
      <c r="ER57">
        <v>1.86947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-0.33500000000000002</v>
      </c>
      <c r="FG57">
        <v>3.5499999999999997E-2</v>
      </c>
      <c r="FH57">
        <v>0.16202357103534001</v>
      </c>
      <c r="FI57">
        <v>-6.1462078757559423E-4</v>
      </c>
      <c r="FJ57">
        <v>-1.8861989874597051E-7</v>
      </c>
      <c r="FK57">
        <v>1.1980462299894961E-10</v>
      </c>
      <c r="FL57">
        <v>-3.0039189969545878E-2</v>
      </c>
      <c r="FM57">
        <v>-1.6848085045870601E-2</v>
      </c>
      <c r="FN57">
        <v>1.9789084769509481E-3</v>
      </c>
      <c r="FO57">
        <v>-2.7142391389806329E-5</v>
      </c>
      <c r="FP57">
        <v>3</v>
      </c>
      <c r="FQ57">
        <v>2158</v>
      </c>
      <c r="FR57">
        <v>1</v>
      </c>
      <c r="FS57">
        <v>19</v>
      </c>
      <c r="FT57">
        <v>14.2</v>
      </c>
      <c r="FU57">
        <v>14.2</v>
      </c>
      <c r="FV57">
        <v>1.7785599999999999</v>
      </c>
      <c r="FW57">
        <v>2.5781200000000002</v>
      </c>
      <c r="FX57">
        <v>1.5490699999999999</v>
      </c>
      <c r="FY57">
        <v>2.3290999999999999</v>
      </c>
      <c r="FZ57">
        <v>1.50146</v>
      </c>
      <c r="GA57">
        <v>2.3315399999999999</v>
      </c>
      <c r="GB57">
        <v>33.850900000000003</v>
      </c>
      <c r="GC57">
        <v>23.982399999999998</v>
      </c>
      <c r="GD57">
        <v>19</v>
      </c>
      <c r="GE57">
        <v>234.352</v>
      </c>
      <c r="GF57">
        <v>580.99800000000005</v>
      </c>
      <c r="GG57">
        <v>24.823</v>
      </c>
      <c r="GH57">
        <v>26.433599999999998</v>
      </c>
      <c r="GI57">
        <v>30</v>
      </c>
      <c r="GJ57">
        <v>26.527899999999999</v>
      </c>
      <c r="GK57">
        <v>26.488700000000001</v>
      </c>
      <c r="GL57">
        <v>35.577300000000001</v>
      </c>
      <c r="GM57">
        <v>-30</v>
      </c>
      <c r="GN57">
        <v>-30</v>
      </c>
      <c r="GO57">
        <v>24.8306</v>
      </c>
      <c r="GP57">
        <v>800</v>
      </c>
      <c r="GQ57">
        <v>12.5298</v>
      </c>
      <c r="GR57">
        <v>99.685000000000002</v>
      </c>
      <c r="GS57">
        <v>99.483099999999993</v>
      </c>
    </row>
    <row r="58" spans="1:201" x14ac:dyDescent="0.25">
      <c r="A58">
        <v>42</v>
      </c>
      <c r="B58">
        <v>1690215704.5999999</v>
      </c>
      <c r="C58">
        <v>759.09999990463257</v>
      </c>
      <c r="D58" t="s">
        <v>417</v>
      </c>
      <c r="E58" t="s">
        <v>418</v>
      </c>
      <c r="F58" t="s">
        <v>330</v>
      </c>
      <c r="H58">
        <v>1690215704.5999999</v>
      </c>
      <c r="I58">
        <f t="shared" si="0"/>
        <v>7.0528108200152589E-4</v>
      </c>
      <c r="J58">
        <f t="shared" si="1"/>
        <v>0.70528108200152584</v>
      </c>
      <c r="K58">
        <f t="shared" si="2"/>
        <v>6.7050420515422982</v>
      </c>
      <c r="L58">
        <f t="shared" si="3"/>
        <v>719.28300000000002</v>
      </c>
      <c r="M58">
        <f t="shared" si="4"/>
        <v>284.34206675529555</v>
      </c>
      <c r="N58">
        <f t="shared" si="5"/>
        <v>28.201779783322444</v>
      </c>
      <c r="O58">
        <f t="shared" si="6"/>
        <v>71.340343690140003</v>
      </c>
      <c r="P58">
        <f t="shared" si="7"/>
        <v>2.6124017597104435E-2</v>
      </c>
      <c r="Q58">
        <f t="shared" si="8"/>
        <v>2.0610241147116559</v>
      </c>
      <c r="R58">
        <f t="shared" si="9"/>
        <v>2.5941445165186473E-2</v>
      </c>
      <c r="S58">
        <f t="shared" si="10"/>
        <v>1.6229700169593679E-2</v>
      </c>
      <c r="T58">
        <f t="shared" si="11"/>
        <v>276.11349277162924</v>
      </c>
      <c r="U58">
        <f t="shared" si="12"/>
        <v>28.800703060782151</v>
      </c>
      <c r="V58">
        <f t="shared" si="13"/>
        <v>28.800703060782151</v>
      </c>
      <c r="W58">
        <f t="shared" si="14"/>
        <v>3.9756245620895436</v>
      </c>
      <c r="X58">
        <f t="shared" si="15"/>
        <v>38.197702176462656</v>
      </c>
      <c r="Y58">
        <f t="shared" si="16"/>
        <v>1.3515213446279999</v>
      </c>
      <c r="Z58">
        <f t="shared" si="17"/>
        <v>3.5382268241800277</v>
      </c>
      <c r="AA58">
        <f t="shared" si="18"/>
        <v>2.6241032174615437</v>
      </c>
      <c r="AB58">
        <f t="shared" si="19"/>
        <v>-31.102895716267291</v>
      </c>
      <c r="AC58">
        <f t="shared" si="20"/>
        <v>-221.8281940847491</v>
      </c>
      <c r="AD58">
        <f t="shared" si="21"/>
        <v>-23.414990803302427</v>
      </c>
      <c r="AE58">
        <f t="shared" si="22"/>
        <v>-0.23258783268957473</v>
      </c>
      <c r="AF58">
        <v>47</v>
      </c>
      <c r="AG58">
        <v>16</v>
      </c>
      <c r="AH58">
        <f t="shared" si="23"/>
        <v>1</v>
      </c>
      <c r="AI58">
        <f t="shared" si="24"/>
        <v>0</v>
      </c>
      <c r="AJ58">
        <f t="shared" si="25"/>
        <v>52281.597209382278</v>
      </c>
      <c r="AK58">
        <f t="shared" si="26"/>
        <v>1799.99</v>
      </c>
      <c r="AL58">
        <f t="shared" si="27"/>
        <v>1499.1038749988702</v>
      </c>
      <c r="AM58">
        <f t="shared" si="28"/>
        <v>0.83284011300000005</v>
      </c>
      <c r="AN58">
        <f t="shared" si="29"/>
        <v>0.15339723708000003</v>
      </c>
      <c r="AO58">
        <v>33.6</v>
      </c>
      <c r="AP58">
        <v>0.5</v>
      </c>
      <c r="AQ58" t="s">
        <v>331</v>
      </c>
      <c r="AR58">
        <v>2</v>
      </c>
      <c r="AS58">
        <v>1690215704.5999999</v>
      </c>
      <c r="AT58">
        <v>719.28300000000002</v>
      </c>
      <c r="AU58">
        <v>800.00199999999995</v>
      </c>
      <c r="AV58">
        <v>13.6266</v>
      </c>
      <c r="AW58">
        <v>5.8407999999999998</v>
      </c>
      <c r="AX58">
        <v>719.61699999999996</v>
      </c>
      <c r="AY58">
        <v>13.5883</v>
      </c>
      <c r="AZ58">
        <v>300.22000000000003</v>
      </c>
      <c r="BA58">
        <v>99.082499999999996</v>
      </c>
      <c r="BB58">
        <v>0.10008</v>
      </c>
      <c r="BC58">
        <v>26.804300000000001</v>
      </c>
      <c r="BD58">
        <v>27.003799999999998</v>
      </c>
      <c r="BE58">
        <v>28.317799999999998</v>
      </c>
      <c r="BF58">
        <v>0</v>
      </c>
      <c r="BG58">
        <v>0</v>
      </c>
      <c r="BH58">
        <v>9971.25</v>
      </c>
      <c r="BI58">
        <v>1075.5899999999999</v>
      </c>
      <c r="BJ58">
        <v>1.9482999999999999</v>
      </c>
      <c r="BK58">
        <v>-80.719099999999997</v>
      </c>
      <c r="BL58">
        <v>729.22</v>
      </c>
      <c r="BM58">
        <v>804.70299999999997</v>
      </c>
      <c r="BN58">
        <v>7.7858400000000003</v>
      </c>
      <c r="BO58">
        <v>800.00199999999995</v>
      </c>
      <c r="BP58">
        <v>5.8407999999999998</v>
      </c>
      <c r="BQ58">
        <v>1.35016</v>
      </c>
      <c r="BR58">
        <v>0.57872100000000004</v>
      </c>
      <c r="BS58">
        <v>11.369199999999999</v>
      </c>
      <c r="BT58">
        <v>-0.80418500000000004</v>
      </c>
      <c r="BU58">
        <v>1799.99</v>
      </c>
      <c r="BV58">
        <v>0.91000400000000004</v>
      </c>
      <c r="BW58">
        <v>3.4003499999999999E-2</v>
      </c>
      <c r="BX58">
        <v>2.19969E-2</v>
      </c>
      <c r="BY58">
        <v>3.3995999999999998E-2</v>
      </c>
      <c r="BZ58">
        <v>25</v>
      </c>
      <c r="CA58">
        <v>33528.199999999997</v>
      </c>
      <c r="CB58">
        <v>1690214843</v>
      </c>
      <c r="CC58" t="s">
        <v>332</v>
      </c>
      <c r="CD58">
        <v>1690214842</v>
      </c>
      <c r="CE58">
        <v>1690214843</v>
      </c>
      <c r="CF58">
        <v>8</v>
      </c>
      <c r="CG58">
        <v>-6.3E-2</v>
      </c>
      <c r="CH58">
        <v>1E-3</v>
      </c>
      <c r="CI58">
        <v>-0.38900000000000001</v>
      </c>
      <c r="CJ58">
        <v>-6.6000000000000003E-2</v>
      </c>
      <c r="CK58">
        <v>800</v>
      </c>
      <c r="CL58">
        <v>6</v>
      </c>
      <c r="CM58">
        <v>0.23</v>
      </c>
      <c r="CN58">
        <v>0.02</v>
      </c>
      <c r="CO58">
        <v>-78.032134146341463</v>
      </c>
      <c r="CP58">
        <v>-14.941122648083599</v>
      </c>
      <c r="CQ58">
        <v>1.4733727433291439</v>
      </c>
      <c r="CR58">
        <v>-1</v>
      </c>
      <c r="CS58">
        <v>7.6391960975609754</v>
      </c>
      <c r="CT58">
        <v>0.82887344947734509</v>
      </c>
      <c r="CU58">
        <v>8.1751592178962273E-2</v>
      </c>
      <c r="CV58">
        <v>-1</v>
      </c>
      <c r="CW58">
        <v>0</v>
      </c>
      <c r="CX58">
        <v>0</v>
      </c>
      <c r="CY58" t="s">
        <v>333</v>
      </c>
      <c r="CZ58">
        <v>2.3644599999999998</v>
      </c>
      <c r="DA58">
        <v>2.7138499999999999</v>
      </c>
      <c r="DB58">
        <v>0.13641300000000001</v>
      </c>
      <c r="DC58">
        <v>0.14604200000000001</v>
      </c>
      <c r="DD58">
        <v>7.5868599999999994E-2</v>
      </c>
      <c r="DE58">
        <v>3.85794E-2</v>
      </c>
      <c r="DF58">
        <v>31516.799999999999</v>
      </c>
      <c r="DG58">
        <v>27498.2</v>
      </c>
      <c r="DH58">
        <v>31157</v>
      </c>
      <c r="DI58">
        <v>28059.5</v>
      </c>
      <c r="DJ58">
        <v>39102.400000000001</v>
      </c>
      <c r="DK58">
        <v>38359.800000000003</v>
      </c>
      <c r="DL58">
        <v>44337</v>
      </c>
      <c r="DM58">
        <v>42524.2</v>
      </c>
      <c r="DN58">
        <v>1.35337</v>
      </c>
      <c r="DO58">
        <v>2.0316299999999998</v>
      </c>
      <c r="DP58">
        <v>8.1270899999999993E-2</v>
      </c>
      <c r="DQ58">
        <v>0.17765500000000001</v>
      </c>
      <c r="DR58">
        <v>25.673300000000001</v>
      </c>
      <c r="DS58">
        <v>25.4117</v>
      </c>
      <c r="DT58">
        <v>17.3</v>
      </c>
      <c r="DU58">
        <v>29.8</v>
      </c>
      <c r="DV58">
        <v>7.3539700000000003</v>
      </c>
      <c r="DW58">
        <v>61.918500000000002</v>
      </c>
      <c r="DX58">
        <v>36.069699999999997</v>
      </c>
      <c r="DY58">
        <v>1</v>
      </c>
      <c r="DZ58">
        <v>-7.7141799999999996E-2</v>
      </c>
      <c r="EA58">
        <v>3.78159E-2</v>
      </c>
      <c r="EB58">
        <v>20.190300000000001</v>
      </c>
      <c r="EC58">
        <v>5.24125</v>
      </c>
      <c r="ED58">
        <v>12.039899999999999</v>
      </c>
      <c r="EE58">
        <v>5.01675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1.8689100000000001</v>
      </c>
      <c r="EL58">
        <v>1.86466</v>
      </c>
      <c r="EM58">
        <v>1.8692</v>
      </c>
      <c r="EN58">
        <v>1.8672299999999999</v>
      </c>
      <c r="EO58">
        <v>1.8633999999999999</v>
      </c>
      <c r="EP58">
        <v>1.86459</v>
      </c>
      <c r="EQ58">
        <v>1.8701700000000001</v>
      </c>
      <c r="ER58">
        <v>1.8694299999999999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-0.33400000000000002</v>
      </c>
      <c r="FG58">
        <v>3.8300000000000001E-2</v>
      </c>
      <c r="FH58">
        <v>0.16202357103534001</v>
      </c>
      <c r="FI58">
        <v>-6.1462078757559423E-4</v>
      </c>
      <c r="FJ58">
        <v>-1.8861989874597051E-7</v>
      </c>
      <c r="FK58">
        <v>1.1980462299894961E-10</v>
      </c>
      <c r="FL58">
        <v>-3.0039189969545878E-2</v>
      </c>
      <c r="FM58">
        <v>-1.6848085045870601E-2</v>
      </c>
      <c r="FN58">
        <v>1.9789084769509481E-3</v>
      </c>
      <c r="FO58">
        <v>-2.7142391389806329E-5</v>
      </c>
      <c r="FP58">
        <v>3</v>
      </c>
      <c r="FQ58">
        <v>2158</v>
      </c>
      <c r="FR58">
        <v>1</v>
      </c>
      <c r="FS58">
        <v>19</v>
      </c>
      <c r="FT58">
        <v>14.4</v>
      </c>
      <c r="FU58">
        <v>14.4</v>
      </c>
      <c r="FV58">
        <v>1.77979</v>
      </c>
      <c r="FW58">
        <v>2.5817899999999998</v>
      </c>
      <c r="FX58">
        <v>1.5490699999999999</v>
      </c>
      <c r="FY58">
        <v>2.3290999999999999</v>
      </c>
      <c r="FZ58">
        <v>1.50146</v>
      </c>
      <c r="GA58">
        <v>2.3303199999999999</v>
      </c>
      <c r="GB58">
        <v>33.850900000000003</v>
      </c>
      <c r="GC58">
        <v>23.982399999999998</v>
      </c>
      <c r="GD58">
        <v>19</v>
      </c>
      <c r="GE58">
        <v>234.52199999999999</v>
      </c>
      <c r="GF58">
        <v>580.94299999999998</v>
      </c>
      <c r="GG58">
        <v>24.842500000000001</v>
      </c>
      <c r="GH58">
        <v>26.431000000000001</v>
      </c>
      <c r="GI58">
        <v>30.0001</v>
      </c>
      <c r="GJ58">
        <v>26.5259</v>
      </c>
      <c r="GK58">
        <v>26.4892</v>
      </c>
      <c r="GL58">
        <v>35.578099999999999</v>
      </c>
      <c r="GM58">
        <v>-30</v>
      </c>
      <c r="GN58">
        <v>-30</v>
      </c>
      <c r="GO58">
        <v>24.847000000000001</v>
      </c>
      <c r="GP58">
        <v>800</v>
      </c>
      <c r="GQ58">
        <v>12.5298</v>
      </c>
      <c r="GR58">
        <v>99.686000000000007</v>
      </c>
      <c r="GS58">
        <v>99.482900000000001</v>
      </c>
    </row>
    <row r="59" spans="1:201" x14ac:dyDescent="0.25">
      <c r="A59">
        <v>43</v>
      </c>
      <c r="B59">
        <v>1690215714.5999999</v>
      </c>
      <c r="C59">
        <v>769.09999990463257</v>
      </c>
      <c r="D59" t="s">
        <v>419</v>
      </c>
      <c r="E59" t="s">
        <v>420</v>
      </c>
      <c r="F59" t="s">
        <v>330</v>
      </c>
      <c r="H59">
        <v>1690215714.5999999</v>
      </c>
      <c r="I59">
        <f t="shared" si="0"/>
        <v>7.1746927370327737E-4</v>
      </c>
      <c r="J59">
        <f t="shared" si="1"/>
        <v>0.7174692737032774</v>
      </c>
      <c r="K59">
        <f t="shared" si="2"/>
        <v>6.9162594195637421</v>
      </c>
      <c r="L59">
        <f t="shared" si="3"/>
        <v>716.87599999999998</v>
      </c>
      <c r="M59">
        <f t="shared" si="4"/>
        <v>278.79831575044898</v>
      </c>
      <c r="N59">
        <f t="shared" si="5"/>
        <v>27.650022305346539</v>
      </c>
      <c r="O59">
        <f t="shared" si="6"/>
        <v>71.096689866339986</v>
      </c>
      <c r="P59">
        <f t="shared" si="7"/>
        <v>2.672834833785187E-2</v>
      </c>
      <c r="Q59">
        <f t="shared" si="8"/>
        <v>2.0659678942291206</v>
      </c>
      <c r="R59">
        <f t="shared" si="9"/>
        <v>2.6537718329057328E-2</v>
      </c>
      <c r="S59">
        <f t="shared" si="10"/>
        <v>1.6603087865812556E-2</v>
      </c>
      <c r="T59">
        <f t="shared" si="11"/>
        <v>276.11299007042203</v>
      </c>
      <c r="U59">
        <f t="shared" si="12"/>
        <v>28.79270120807427</v>
      </c>
      <c r="V59">
        <f t="shared" si="13"/>
        <v>28.79270120807427</v>
      </c>
      <c r="W59">
        <f t="shared" si="14"/>
        <v>3.9737813759492844</v>
      </c>
      <c r="X59">
        <f t="shared" si="15"/>
        <v>38.567107296929379</v>
      </c>
      <c r="Y59">
        <f t="shared" si="16"/>
        <v>1.3646479208285001</v>
      </c>
      <c r="Z59">
        <f t="shared" si="17"/>
        <v>3.5383725056744151</v>
      </c>
      <c r="AA59">
        <f t="shared" si="18"/>
        <v>2.6091334551207845</v>
      </c>
      <c r="AB59">
        <f t="shared" si="19"/>
        <v>-31.640394970314532</v>
      </c>
      <c r="AC59">
        <f t="shared" si="20"/>
        <v>-221.39107711153173</v>
      </c>
      <c r="AD59">
        <f t="shared" si="21"/>
        <v>-23.312079266365899</v>
      </c>
      <c r="AE59">
        <f t="shared" si="22"/>
        <v>-0.23056127779014446</v>
      </c>
      <c r="AF59">
        <v>47</v>
      </c>
      <c r="AG59">
        <v>16</v>
      </c>
      <c r="AH59">
        <f t="shared" si="23"/>
        <v>1</v>
      </c>
      <c r="AI59">
        <f t="shared" si="24"/>
        <v>0</v>
      </c>
      <c r="AJ59">
        <f t="shared" si="25"/>
        <v>52507.454333203408</v>
      </c>
      <c r="AK59">
        <f t="shared" si="26"/>
        <v>1799.99</v>
      </c>
      <c r="AL59">
        <f t="shared" si="27"/>
        <v>1499.1040495979</v>
      </c>
      <c r="AM59">
        <f t="shared" si="28"/>
        <v>0.83284020999999997</v>
      </c>
      <c r="AN59">
        <f t="shared" si="29"/>
        <v>0.15339695780000001</v>
      </c>
      <c r="AO59">
        <v>33.6</v>
      </c>
      <c r="AP59">
        <v>0.5</v>
      </c>
      <c r="AQ59" t="s">
        <v>331</v>
      </c>
      <c r="AR59">
        <v>2</v>
      </c>
      <c r="AS59">
        <v>1690215714.5999999</v>
      </c>
      <c r="AT59">
        <v>716.87599999999998</v>
      </c>
      <c r="AU59">
        <v>800.04600000000005</v>
      </c>
      <c r="AV59">
        <v>13.7599</v>
      </c>
      <c r="AW59">
        <v>5.8398300000000001</v>
      </c>
      <c r="AX59">
        <v>717.20699999999999</v>
      </c>
      <c r="AY59">
        <v>13.7187</v>
      </c>
      <c r="AZ59">
        <v>300.19</v>
      </c>
      <c r="BA59">
        <v>99.075699999999998</v>
      </c>
      <c r="BB59">
        <v>0.10001500000000001</v>
      </c>
      <c r="BC59">
        <v>26.805</v>
      </c>
      <c r="BD59">
        <v>26.971800000000002</v>
      </c>
      <c r="BE59">
        <v>28.316500000000001</v>
      </c>
      <c r="BF59">
        <v>0</v>
      </c>
      <c r="BG59">
        <v>0</v>
      </c>
      <c r="BH59">
        <v>10016.9</v>
      </c>
      <c r="BI59">
        <v>1075.68</v>
      </c>
      <c r="BJ59">
        <v>1.9482999999999999</v>
      </c>
      <c r="BK59">
        <v>-83.170699999999997</v>
      </c>
      <c r="BL59">
        <v>726.87699999999995</v>
      </c>
      <c r="BM59">
        <v>804.74599999999998</v>
      </c>
      <c r="BN59">
        <v>7.9200900000000001</v>
      </c>
      <c r="BO59">
        <v>800.04600000000005</v>
      </c>
      <c r="BP59">
        <v>5.8398300000000001</v>
      </c>
      <c r="BQ59">
        <v>1.36327</v>
      </c>
      <c r="BR59">
        <v>0.57858500000000002</v>
      </c>
      <c r="BS59">
        <v>11.5152</v>
      </c>
      <c r="BT59">
        <v>-0.807392</v>
      </c>
      <c r="BU59">
        <v>1799.99</v>
      </c>
      <c r="BV59">
        <v>0.91001100000000001</v>
      </c>
      <c r="BW59">
        <v>3.4000599999999999E-2</v>
      </c>
      <c r="BX59">
        <v>2.1995000000000001E-2</v>
      </c>
      <c r="BY59">
        <v>3.3993200000000001E-2</v>
      </c>
      <c r="BZ59">
        <v>25</v>
      </c>
      <c r="CA59">
        <v>33528.300000000003</v>
      </c>
      <c r="CB59">
        <v>1690214843</v>
      </c>
      <c r="CC59" t="s">
        <v>332</v>
      </c>
      <c r="CD59">
        <v>1690214842</v>
      </c>
      <c r="CE59">
        <v>1690214843</v>
      </c>
      <c r="CF59">
        <v>8</v>
      </c>
      <c r="CG59">
        <v>-6.3E-2</v>
      </c>
      <c r="CH59">
        <v>1E-3</v>
      </c>
      <c r="CI59">
        <v>-0.38900000000000001</v>
      </c>
      <c r="CJ59">
        <v>-6.6000000000000003E-2</v>
      </c>
      <c r="CK59">
        <v>800</v>
      </c>
      <c r="CL59">
        <v>6</v>
      </c>
      <c r="CM59">
        <v>0.23</v>
      </c>
      <c r="CN59">
        <v>0.02</v>
      </c>
      <c r="CO59">
        <v>-80.50830975609756</v>
      </c>
      <c r="CP59">
        <v>-14.79577630662035</v>
      </c>
      <c r="CQ59">
        <v>1.459424273188956</v>
      </c>
      <c r="CR59">
        <v>-1</v>
      </c>
      <c r="CS59">
        <v>7.774519268292682</v>
      </c>
      <c r="CT59">
        <v>0.79118006968642263</v>
      </c>
      <c r="CU59">
        <v>7.802299387126424E-2</v>
      </c>
      <c r="CV59">
        <v>-1</v>
      </c>
      <c r="CW59">
        <v>0</v>
      </c>
      <c r="CX59">
        <v>0</v>
      </c>
      <c r="CY59" t="s">
        <v>333</v>
      </c>
      <c r="CZ59">
        <v>2.3643900000000002</v>
      </c>
      <c r="DA59">
        <v>2.7138200000000001</v>
      </c>
      <c r="DB59">
        <v>0.13609599999999999</v>
      </c>
      <c r="DC59">
        <v>0.146038</v>
      </c>
      <c r="DD59">
        <v>7.6407000000000003E-2</v>
      </c>
      <c r="DE59">
        <v>3.8571599999999998E-2</v>
      </c>
      <c r="DF59">
        <v>31528</v>
      </c>
      <c r="DG59">
        <v>27498.799999999999</v>
      </c>
      <c r="DH59">
        <v>31156.6</v>
      </c>
      <c r="DI59">
        <v>28059.9</v>
      </c>
      <c r="DJ59">
        <v>39079</v>
      </c>
      <c r="DK59">
        <v>38360.6</v>
      </c>
      <c r="DL59">
        <v>44336.5</v>
      </c>
      <c r="DM59">
        <v>42524.800000000003</v>
      </c>
      <c r="DN59">
        <v>1.35317</v>
      </c>
      <c r="DO59">
        <v>2.0316999999999998</v>
      </c>
      <c r="DP59">
        <v>7.9706299999999994E-2</v>
      </c>
      <c r="DQ59">
        <v>0.17780399999999999</v>
      </c>
      <c r="DR59">
        <v>25.666899999999998</v>
      </c>
      <c r="DS59">
        <v>25.408000000000001</v>
      </c>
      <c r="DT59">
        <v>17.3</v>
      </c>
      <c r="DU59">
        <v>29.8</v>
      </c>
      <c r="DV59">
        <v>7.3535199999999996</v>
      </c>
      <c r="DW59">
        <v>61.908499999999997</v>
      </c>
      <c r="DX59">
        <v>36.117800000000003</v>
      </c>
      <c r="DY59">
        <v>1</v>
      </c>
      <c r="DZ59">
        <v>-7.5170200000000006E-2</v>
      </c>
      <c r="EA59">
        <v>1.23678</v>
      </c>
      <c r="EB59">
        <v>20.183</v>
      </c>
      <c r="EC59">
        <v>5.24125</v>
      </c>
      <c r="ED59">
        <v>12.039899999999999</v>
      </c>
      <c r="EE59">
        <v>5.0170000000000003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1.86894</v>
      </c>
      <c r="EL59">
        <v>1.86466</v>
      </c>
      <c r="EM59">
        <v>1.8691899999999999</v>
      </c>
      <c r="EN59">
        <v>1.8672299999999999</v>
      </c>
      <c r="EO59">
        <v>1.8633999999999999</v>
      </c>
      <c r="EP59">
        <v>1.8646</v>
      </c>
      <c r="EQ59">
        <v>1.87018</v>
      </c>
      <c r="ER59">
        <v>1.86947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-0.33100000000000002</v>
      </c>
      <c r="FG59">
        <v>4.1200000000000001E-2</v>
      </c>
      <c r="FH59">
        <v>0.16202357103534001</v>
      </c>
      <c r="FI59">
        <v>-6.1462078757559423E-4</v>
      </c>
      <c r="FJ59">
        <v>-1.8861989874597051E-7</v>
      </c>
      <c r="FK59">
        <v>1.1980462299894961E-10</v>
      </c>
      <c r="FL59">
        <v>-3.0039189969545878E-2</v>
      </c>
      <c r="FM59">
        <v>-1.6848085045870601E-2</v>
      </c>
      <c r="FN59">
        <v>1.9789084769509481E-3</v>
      </c>
      <c r="FO59">
        <v>-2.7142391389806329E-5</v>
      </c>
      <c r="FP59">
        <v>3</v>
      </c>
      <c r="FQ59">
        <v>2158</v>
      </c>
      <c r="FR59">
        <v>1</v>
      </c>
      <c r="FS59">
        <v>19</v>
      </c>
      <c r="FT59">
        <v>14.5</v>
      </c>
      <c r="FU59">
        <v>14.5</v>
      </c>
      <c r="FV59">
        <v>1.77979</v>
      </c>
      <c r="FW59">
        <v>2.5769000000000002</v>
      </c>
      <c r="FX59">
        <v>1.5490699999999999</v>
      </c>
      <c r="FY59">
        <v>2.3290999999999999</v>
      </c>
      <c r="FZ59">
        <v>1.50146</v>
      </c>
      <c r="GA59">
        <v>2.32666</v>
      </c>
      <c r="GB59">
        <v>33.850900000000003</v>
      </c>
      <c r="GC59">
        <v>23.982399999999998</v>
      </c>
      <c r="GD59">
        <v>19</v>
      </c>
      <c r="GE59">
        <v>234.447</v>
      </c>
      <c r="GF59">
        <v>581.005</v>
      </c>
      <c r="GG59">
        <v>24.600999999999999</v>
      </c>
      <c r="GH59">
        <v>26.428100000000001</v>
      </c>
      <c r="GI59">
        <v>30.001300000000001</v>
      </c>
      <c r="GJ59">
        <v>26.5259</v>
      </c>
      <c r="GK59">
        <v>26.4892</v>
      </c>
      <c r="GL59">
        <v>35.5747</v>
      </c>
      <c r="GM59">
        <v>-30</v>
      </c>
      <c r="GN59">
        <v>-30</v>
      </c>
      <c r="GO59">
        <v>24.566500000000001</v>
      </c>
      <c r="GP59">
        <v>800</v>
      </c>
      <c r="GQ59">
        <v>12.5298</v>
      </c>
      <c r="GR59">
        <v>99.684899999999999</v>
      </c>
      <c r="GS59">
        <v>99.484300000000005</v>
      </c>
    </row>
    <row r="60" spans="1:201" x14ac:dyDescent="0.25">
      <c r="A60">
        <v>44</v>
      </c>
      <c r="B60">
        <v>1690215724.5999999</v>
      </c>
      <c r="C60">
        <v>779.09999990463257</v>
      </c>
      <c r="D60" t="s">
        <v>421</v>
      </c>
      <c r="E60" t="s">
        <v>422</v>
      </c>
      <c r="F60" t="s">
        <v>330</v>
      </c>
      <c r="H60">
        <v>1690215724.5999999</v>
      </c>
      <c r="I60">
        <f t="shared" si="0"/>
        <v>7.2830279422572816E-4</v>
      </c>
      <c r="J60">
        <f t="shared" si="1"/>
        <v>0.72830279422572819</v>
      </c>
      <c r="K60">
        <f t="shared" si="2"/>
        <v>7.1158653663523088</v>
      </c>
      <c r="L60">
        <f t="shared" si="3"/>
        <v>714.49900000000002</v>
      </c>
      <c r="M60">
        <f t="shared" si="4"/>
        <v>274.23057487953764</v>
      </c>
      <c r="N60">
        <f t="shared" si="5"/>
        <v>27.197062398389033</v>
      </c>
      <c r="O60">
        <f t="shared" si="6"/>
        <v>70.861077015656107</v>
      </c>
      <c r="P60">
        <f t="shared" si="7"/>
        <v>2.7339691336606402E-2</v>
      </c>
      <c r="Q60">
        <f t="shared" si="8"/>
        <v>2.063702420438557</v>
      </c>
      <c r="R60">
        <f t="shared" si="9"/>
        <v>2.7140059165236791E-2</v>
      </c>
      <c r="S60">
        <f t="shared" si="10"/>
        <v>1.698035152161095E-2</v>
      </c>
      <c r="T60">
        <f t="shared" si="11"/>
        <v>276.11262676044038</v>
      </c>
      <c r="U60">
        <f t="shared" si="12"/>
        <v>28.75924510475777</v>
      </c>
      <c r="V60">
        <f t="shared" si="13"/>
        <v>28.75924510475777</v>
      </c>
      <c r="W60">
        <f t="shared" si="14"/>
        <v>3.966083001565988</v>
      </c>
      <c r="X60">
        <f t="shared" si="15"/>
        <v>38.971131059501815</v>
      </c>
      <c r="Y60">
        <f t="shared" si="16"/>
        <v>1.37638289072298</v>
      </c>
      <c r="Z60">
        <f t="shared" si="17"/>
        <v>3.5318012418512925</v>
      </c>
      <c r="AA60">
        <f t="shared" si="18"/>
        <v>2.5897001108430082</v>
      </c>
      <c r="AB60">
        <f t="shared" si="19"/>
        <v>-32.118153225354611</v>
      </c>
      <c r="AC60">
        <f t="shared" si="20"/>
        <v>-220.94179984771353</v>
      </c>
      <c r="AD60">
        <f t="shared" si="21"/>
        <v>-23.282755221283644</v>
      </c>
      <c r="AE60">
        <f t="shared" si="22"/>
        <v>-0.2300815339114024</v>
      </c>
      <c r="AF60">
        <v>47</v>
      </c>
      <c r="AG60">
        <v>16</v>
      </c>
      <c r="AH60">
        <f t="shared" si="23"/>
        <v>1</v>
      </c>
      <c r="AI60">
        <f t="shared" si="24"/>
        <v>0</v>
      </c>
      <c r="AJ60">
        <f t="shared" si="25"/>
        <v>52409.27618065117</v>
      </c>
      <c r="AK60">
        <f t="shared" si="26"/>
        <v>1799.99</v>
      </c>
      <c r="AL60">
        <f t="shared" si="27"/>
        <v>1499.10478939379</v>
      </c>
      <c r="AM60">
        <f t="shared" si="28"/>
        <v>0.832840621</v>
      </c>
      <c r="AN60">
        <f t="shared" si="29"/>
        <v>0.15339675595999999</v>
      </c>
      <c r="AO60">
        <v>33.6</v>
      </c>
      <c r="AP60">
        <v>0.5</v>
      </c>
      <c r="AQ60" t="s">
        <v>331</v>
      </c>
      <c r="AR60">
        <v>2</v>
      </c>
      <c r="AS60">
        <v>1690215724.5999999</v>
      </c>
      <c r="AT60">
        <v>714.49900000000002</v>
      </c>
      <c r="AU60">
        <v>799.97299999999996</v>
      </c>
      <c r="AV60">
        <v>13.8782</v>
      </c>
      <c r="AW60">
        <v>5.8392900000000001</v>
      </c>
      <c r="AX60">
        <v>714.82899999999995</v>
      </c>
      <c r="AY60">
        <v>13.8344</v>
      </c>
      <c r="AZ60">
        <v>300.18200000000002</v>
      </c>
      <c r="BA60">
        <v>99.075900000000004</v>
      </c>
      <c r="BB60">
        <v>9.9993899999999997E-2</v>
      </c>
      <c r="BC60">
        <v>26.773399999999999</v>
      </c>
      <c r="BD60">
        <v>26.965699999999998</v>
      </c>
      <c r="BE60">
        <v>28.2971</v>
      </c>
      <c r="BF60">
        <v>0</v>
      </c>
      <c r="BG60">
        <v>0</v>
      </c>
      <c r="BH60">
        <v>9996.25</v>
      </c>
      <c r="BI60">
        <v>1075.6500000000001</v>
      </c>
      <c r="BJ60">
        <v>1.9202600000000001</v>
      </c>
      <c r="BK60">
        <v>-85.4739</v>
      </c>
      <c r="BL60">
        <v>724.55399999999997</v>
      </c>
      <c r="BM60">
        <v>804.67200000000003</v>
      </c>
      <c r="BN60">
        <v>8.0388900000000003</v>
      </c>
      <c r="BO60">
        <v>799.97299999999996</v>
      </c>
      <c r="BP60">
        <v>5.8392900000000001</v>
      </c>
      <c r="BQ60">
        <v>1.3749899999999999</v>
      </c>
      <c r="BR60">
        <v>0.57853299999999996</v>
      </c>
      <c r="BS60">
        <v>11.644600000000001</v>
      </c>
      <c r="BT60">
        <v>-0.808616</v>
      </c>
      <c r="BU60">
        <v>1799.99</v>
      </c>
      <c r="BV60">
        <v>0.91001799999999999</v>
      </c>
      <c r="BW60">
        <v>3.3997899999999998E-2</v>
      </c>
      <c r="BX60">
        <v>2.19933E-2</v>
      </c>
      <c r="BY60">
        <v>3.3990399999999997E-2</v>
      </c>
      <c r="BZ60">
        <v>25</v>
      </c>
      <c r="CA60">
        <v>33528.300000000003</v>
      </c>
      <c r="CB60">
        <v>1690214843</v>
      </c>
      <c r="CC60" t="s">
        <v>332</v>
      </c>
      <c r="CD60">
        <v>1690214842</v>
      </c>
      <c r="CE60">
        <v>1690214843</v>
      </c>
      <c r="CF60">
        <v>8</v>
      </c>
      <c r="CG60">
        <v>-6.3E-2</v>
      </c>
      <c r="CH60">
        <v>1E-3</v>
      </c>
      <c r="CI60">
        <v>-0.38900000000000001</v>
      </c>
      <c r="CJ60">
        <v>-6.6000000000000003E-2</v>
      </c>
      <c r="CK60">
        <v>800</v>
      </c>
      <c r="CL60">
        <v>6</v>
      </c>
      <c r="CM60">
        <v>0.23</v>
      </c>
      <c r="CN60">
        <v>0.02</v>
      </c>
      <c r="CO60">
        <v>-83.092587500000008</v>
      </c>
      <c r="CP60">
        <v>-14.228322326453821</v>
      </c>
      <c r="CQ60">
        <v>1.369901538284322</v>
      </c>
      <c r="CR60">
        <v>-1</v>
      </c>
      <c r="CS60">
        <v>7.9128412499999996</v>
      </c>
      <c r="CT60">
        <v>0.75271508442775203</v>
      </c>
      <c r="CU60">
        <v>7.2463133702162619E-2</v>
      </c>
      <c r="CV60">
        <v>-1</v>
      </c>
      <c r="CW60">
        <v>0</v>
      </c>
      <c r="CX60">
        <v>0</v>
      </c>
      <c r="CY60" t="s">
        <v>333</v>
      </c>
      <c r="CZ60">
        <v>2.36435</v>
      </c>
      <c r="DA60">
        <v>2.7137799999999999</v>
      </c>
      <c r="DB60">
        <v>0.135791</v>
      </c>
      <c r="DC60">
        <v>0.14602899999999999</v>
      </c>
      <c r="DD60">
        <v>7.6887800000000006E-2</v>
      </c>
      <c r="DE60">
        <v>3.8568699999999997E-2</v>
      </c>
      <c r="DF60">
        <v>31539.200000000001</v>
      </c>
      <c r="DG60">
        <v>27498.9</v>
      </c>
      <c r="DH60">
        <v>31156.7</v>
      </c>
      <c r="DI60">
        <v>28059.7</v>
      </c>
      <c r="DJ60">
        <v>39058.699999999997</v>
      </c>
      <c r="DK60">
        <v>38360.6</v>
      </c>
      <c r="DL60">
        <v>44336.800000000003</v>
      </c>
      <c r="DM60">
        <v>42524.6</v>
      </c>
      <c r="DN60">
        <v>1.35277</v>
      </c>
      <c r="DO60">
        <v>2.0315500000000002</v>
      </c>
      <c r="DP60">
        <v>7.9665299999999994E-2</v>
      </c>
      <c r="DQ60">
        <v>0.17691399999999999</v>
      </c>
      <c r="DR60">
        <v>25.6615</v>
      </c>
      <c r="DS60">
        <v>25.403199999999998</v>
      </c>
      <c r="DT60">
        <v>17.3</v>
      </c>
      <c r="DU60">
        <v>29.8</v>
      </c>
      <c r="DV60">
        <v>7.3548</v>
      </c>
      <c r="DW60">
        <v>61.958500000000001</v>
      </c>
      <c r="DX60">
        <v>36.2179</v>
      </c>
      <c r="DY60">
        <v>1</v>
      </c>
      <c r="DZ60">
        <v>-7.6293200000000005E-2</v>
      </c>
      <c r="EA60">
        <v>0.23019899999999999</v>
      </c>
      <c r="EB60">
        <v>20.189599999999999</v>
      </c>
      <c r="EC60">
        <v>5.2409499999999998</v>
      </c>
      <c r="ED60">
        <v>12.039899999999999</v>
      </c>
      <c r="EE60">
        <v>5.0167999999999999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1.86893</v>
      </c>
      <c r="EL60">
        <v>1.8646400000000001</v>
      </c>
      <c r="EM60">
        <v>1.8691800000000001</v>
      </c>
      <c r="EN60">
        <v>1.8672299999999999</v>
      </c>
      <c r="EO60">
        <v>1.8633999999999999</v>
      </c>
      <c r="EP60">
        <v>1.86459</v>
      </c>
      <c r="EQ60">
        <v>1.8701300000000001</v>
      </c>
      <c r="ER60">
        <v>1.86944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-0.33</v>
      </c>
      <c r="FG60">
        <v>4.3799999999999999E-2</v>
      </c>
      <c r="FH60">
        <v>0.16202357103534001</v>
      </c>
      <c r="FI60">
        <v>-6.1462078757559423E-4</v>
      </c>
      <c r="FJ60">
        <v>-1.8861989874597051E-7</v>
      </c>
      <c r="FK60">
        <v>1.1980462299894961E-10</v>
      </c>
      <c r="FL60">
        <v>-3.0039189969545878E-2</v>
      </c>
      <c r="FM60">
        <v>-1.6848085045870601E-2</v>
      </c>
      <c r="FN60">
        <v>1.9789084769509481E-3</v>
      </c>
      <c r="FO60">
        <v>-2.7142391389806329E-5</v>
      </c>
      <c r="FP60">
        <v>3</v>
      </c>
      <c r="FQ60">
        <v>2158</v>
      </c>
      <c r="FR60">
        <v>1</v>
      </c>
      <c r="FS60">
        <v>19</v>
      </c>
      <c r="FT60">
        <v>14.7</v>
      </c>
      <c r="FU60">
        <v>14.7</v>
      </c>
      <c r="FV60">
        <v>1.77979</v>
      </c>
      <c r="FW60">
        <v>2.5805699999999998</v>
      </c>
      <c r="FX60">
        <v>1.5490699999999999</v>
      </c>
      <c r="FY60">
        <v>2.3290999999999999</v>
      </c>
      <c r="FZ60">
        <v>1.50146</v>
      </c>
      <c r="GA60">
        <v>2.3889200000000002</v>
      </c>
      <c r="GB60">
        <v>33.850900000000003</v>
      </c>
      <c r="GC60">
        <v>23.982399999999998</v>
      </c>
      <c r="GD60">
        <v>19</v>
      </c>
      <c r="GE60">
        <v>234.29599999999999</v>
      </c>
      <c r="GF60">
        <v>580.88099999999997</v>
      </c>
      <c r="GG60">
        <v>24.538</v>
      </c>
      <c r="GH60">
        <v>26.424299999999999</v>
      </c>
      <c r="GI60">
        <v>29.9998</v>
      </c>
      <c r="GJ60">
        <v>26.525099999999998</v>
      </c>
      <c r="GK60">
        <v>26.4892</v>
      </c>
      <c r="GL60">
        <v>35.576799999999999</v>
      </c>
      <c r="GM60">
        <v>-30</v>
      </c>
      <c r="GN60">
        <v>-30</v>
      </c>
      <c r="GO60">
        <v>24.602</v>
      </c>
      <c r="GP60">
        <v>800</v>
      </c>
      <c r="GQ60">
        <v>12.5298</v>
      </c>
      <c r="GR60">
        <v>99.685299999999998</v>
      </c>
      <c r="GS60">
        <v>99.483800000000002</v>
      </c>
    </row>
    <row r="61" spans="1:201" x14ac:dyDescent="0.25">
      <c r="A61">
        <v>45</v>
      </c>
      <c r="B61">
        <v>1690215734.5999999</v>
      </c>
      <c r="C61">
        <v>789.09999990463257</v>
      </c>
      <c r="D61" t="s">
        <v>423</v>
      </c>
      <c r="E61" t="s">
        <v>424</v>
      </c>
      <c r="F61" t="s">
        <v>330</v>
      </c>
      <c r="H61">
        <v>1690215734.5999999</v>
      </c>
      <c r="I61">
        <f t="shared" si="0"/>
        <v>7.3917308886424418E-4</v>
      </c>
      <c r="J61">
        <f t="shared" si="1"/>
        <v>0.73917308886424415</v>
      </c>
      <c r="K61">
        <f t="shared" si="2"/>
        <v>7.3211169141332721</v>
      </c>
      <c r="L61">
        <f t="shared" si="3"/>
        <v>712.16499999999996</v>
      </c>
      <c r="M61">
        <f t="shared" si="4"/>
        <v>268.72453303392888</v>
      </c>
      <c r="N61">
        <f t="shared" si="5"/>
        <v>26.652335852001311</v>
      </c>
      <c r="O61">
        <f t="shared" si="6"/>
        <v>70.6331519037155</v>
      </c>
      <c r="P61">
        <f t="shared" si="7"/>
        <v>2.7901853494329328E-2</v>
      </c>
      <c r="Q61">
        <f t="shared" si="8"/>
        <v>2.0647852166799878</v>
      </c>
      <c r="R61">
        <f t="shared" si="9"/>
        <v>2.7694069024085922E-2</v>
      </c>
      <c r="S61">
        <f t="shared" si="10"/>
        <v>1.73273326624582E-2</v>
      </c>
      <c r="T61">
        <f t="shared" si="11"/>
        <v>276.11250450511955</v>
      </c>
      <c r="U61">
        <f t="shared" si="12"/>
        <v>28.749809897950335</v>
      </c>
      <c r="V61">
        <f t="shared" si="13"/>
        <v>28.749809897950335</v>
      </c>
      <c r="W61">
        <f t="shared" si="14"/>
        <v>3.9639142778388377</v>
      </c>
      <c r="X61">
        <f t="shared" si="15"/>
        <v>39.314537690676673</v>
      </c>
      <c r="Y61">
        <f t="shared" si="16"/>
        <v>1.3881356062772001</v>
      </c>
      <c r="Z61">
        <f t="shared" si="17"/>
        <v>3.5308455543822719</v>
      </c>
      <c r="AA61">
        <f t="shared" si="18"/>
        <v>2.5757786715616375</v>
      </c>
      <c r="AB61">
        <f t="shared" si="19"/>
        <v>-32.597533218913171</v>
      </c>
      <c r="AC61">
        <f t="shared" si="20"/>
        <v>-220.51948569904584</v>
      </c>
      <c r="AD61">
        <f t="shared" si="21"/>
        <v>-23.224438593030531</v>
      </c>
      <c r="AE61">
        <f t="shared" si="22"/>
        <v>-0.22895300586998246</v>
      </c>
      <c r="AF61">
        <v>46</v>
      </c>
      <c r="AG61">
        <v>15</v>
      </c>
      <c r="AH61">
        <f t="shared" si="23"/>
        <v>1</v>
      </c>
      <c r="AI61">
        <f t="shared" si="24"/>
        <v>0</v>
      </c>
      <c r="AJ61">
        <f t="shared" si="25"/>
        <v>52459.743892521466</v>
      </c>
      <c r="AK61">
        <f t="shared" si="26"/>
        <v>1799.99</v>
      </c>
      <c r="AL61">
        <f t="shared" si="27"/>
        <v>1499.1066037837099</v>
      </c>
      <c r="AM61">
        <f t="shared" si="28"/>
        <v>0.83284162899999992</v>
      </c>
      <c r="AN61">
        <f t="shared" si="29"/>
        <v>0.15339668803999998</v>
      </c>
      <c r="AO61">
        <v>33.6</v>
      </c>
      <c r="AP61">
        <v>0.5</v>
      </c>
      <c r="AQ61" t="s">
        <v>331</v>
      </c>
      <c r="AR61">
        <v>2</v>
      </c>
      <c r="AS61">
        <v>1690215734.5999999</v>
      </c>
      <c r="AT61">
        <v>712.16499999999996</v>
      </c>
      <c r="AU61">
        <v>800.00199999999995</v>
      </c>
      <c r="AV61">
        <v>13.996</v>
      </c>
      <c r="AW61">
        <v>5.8382699999999996</v>
      </c>
      <c r="AX61">
        <v>712.49300000000005</v>
      </c>
      <c r="AY61">
        <v>13.9497</v>
      </c>
      <c r="AZ61">
        <v>300.18900000000002</v>
      </c>
      <c r="BA61">
        <v>99.0809</v>
      </c>
      <c r="BB61">
        <v>9.9980700000000006E-2</v>
      </c>
      <c r="BC61">
        <v>26.768799999999999</v>
      </c>
      <c r="BD61">
        <v>26.938500000000001</v>
      </c>
      <c r="BE61">
        <v>28.296299999999999</v>
      </c>
      <c r="BF61">
        <v>0</v>
      </c>
      <c r="BG61">
        <v>0</v>
      </c>
      <c r="BH61">
        <v>10005.6</v>
      </c>
      <c r="BI61">
        <v>1075.6099999999999</v>
      </c>
      <c r="BJ61">
        <v>1.92167</v>
      </c>
      <c r="BK61">
        <v>-87.837299999999999</v>
      </c>
      <c r="BL61">
        <v>722.274</v>
      </c>
      <c r="BM61">
        <v>804.7</v>
      </c>
      <c r="BN61">
        <v>8.1577199999999994</v>
      </c>
      <c r="BO61">
        <v>800.00199999999995</v>
      </c>
      <c r="BP61">
        <v>5.8382699999999996</v>
      </c>
      <c r="BQ61">
        <v>1.3867400000000001</v>
      </c>
      <c r="BR61">
        <v>0.57846200000000003</v>
      </c>
      <c r="BS61">
        <v>11.773400000000001</v>
      </c>
      <c r="BT61">
        <v>-0.81031200000000003</v>
      </c>
      <c r="BU61">
        <v>1799.99</v>
      </c>
      <c r="BV61">
        <v>0.91002499999999997</v>
      </c>
      <c r="BW61">
        <v>3.3995499999999998E-2</v>
      </c>
      <c r="BX61">
        <v>2.1991699999999999E-2</v>
      </c>
      <c r="BY61">
        <v>3.3987999999999997E-2</v>
      </c>
      <c r="BZ61">
        <v>25</v>
      </c>
      <c r="CA61">
        <v>33528.400000000001</v>
      </c>
      <c r="CB61">
        <v>1690214843</v>
      </c>
      <c r="CC61" t="s">
        <v>332</v>
      </c>
      <c r="CD61">
        <v>1690214842</v>
      </c>
      <c r="CE61">
        <v>1690214843</v>
      </c>
      <c r="CF61">
        <v>8</v>
      </c>
      <c r="CG61">
        <v>-6.3E-2</v>
      </c>
      <c r="CH61">
        <v>1E-3</v>
      </c>
      <c r="CI61">
        <v>-0.38900000000000001</v>
      </c>
      <c r="CJ61">
        <v>-6.6000000000000003E-2</v>
      </c>
      <c r="CK61">
        <v>800</v>
      </c>
      <c r="CL61">
        <v>6</v>
      </c>
      <c r="CM61">
        <v>0.23</v>
      </c>
      <c r="CN61">
        <v>0.02</v>
      </c>
      <c r="CO61">
        <v>-85.204687500000006</v>
      </c>
      <c r="CP61">
        <v>-13.998660787992311</v>
      </c>
      <c r="CQ61">
        <v>1.346844950650872</v>
      </c>
      <c r="CR61">
        <v>-1</v>
      </c>
      <c r="CS61">
        <v>8.0233742499999998</v>
      </c>
      <c r="CT61">
        <v>0.71564161350841404</v>
      </c>
      <c r="CU61">
        <v>6.8846774321223547E-2</v>
      </c>
      <c r="CV61">
        <v>-1</v>
      </c>
      <c r="CW61">
        <v>0</v>
      </c>
      <c r="CX61">
        <v>0</v>
      </c>
      <c r="CY61" t="s">
        <v>333</v>
      </c>
      <c r="CZ61">
        <v>2.36436</v>
      </c>
      <c r="DA61">
        <v>2.7137799999999999</v>
      </c>
      <c r="DB61">
        <v>0.13549800000000001</v>
      </c>
      <c r="DC61">
        <v>0.14604</v>
      </c>
      <c r="DD61">
        <v>7.7368999999999993E-2</v>
      </c>
      <c r="DE61">
        <v>3.8565099999999998E-2</v>
      </c>
      <c r="DF61">
        <v>31550.5</v>
      </c>
      <c r="DG61">
        <v>27499.1</v>
      </c>
      <c r="DH61">
        <v>31157.3</v>
      </c>
      <c r="DI61">
        <v>28060.3</v>
      </c>
      <c r="DJ61">
        <v>39038.800000000003</v>
      </c>
      <c r="DK61">
        <v>38361.5</v>
      </c>
      <c r="DL61">
        <v>44337.5</v>
      </c>
      <c r="DM61">
        <v>42525.4</v>
      </c>
      <c r="DN61">
        <v>1.35372</v>
      </c>
      <c r="DO61">
        <v>2.0317699999999999</v>
      </c>
      <c r="DP61">
        <v>7.8428499999999998E-2</v>
      </c>
      <c r="DQ61">
        <v>0.17725299999999999</v>
      </c>
      <c r="DR61">
        <v>25.654399999999999</v>
      </c>
      <c r="DS61">
        <v>25.396699999999999</v>
      </c>
      <c r="DT61">
        <v>17.3</v>
      </c>
      <c r="DU61">
        <v>29.8</v>
      </c>
      <c r="DV61">
        <v>7.3548799999999996</v>
      </c>
      <c r="DW61">
        <v>61.408499999999997</v>
      </c>
      <c r="DX61">
        <v>36.314100000000003</v>
      </c>
      <c r="DY61">
        <v>1</v>
      </c>
      <c r="DZ61">
        <v>-7.7814999999999995E-2</v>
      </c>
      <c r="EA61">
        <v>1.6535899999999999E-2</v>
      </c>
      <c r="EB61">
        <v>20.190100000000001</v>
      </c>
      <c r="EC61">
        <v>5.2409499999999998</v>
      </c>
      <c r="ED61">
        <v>12.039899999999999</v>
      </c>
      <c r="EE61">
        <v>5.0168499999999998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1.8689199999999999</v>
      </c>
      <c r="EL61">
        <v>1.8646799999999999</v>
      </c>
      <c r="EM61">
        <v>1.8691899999999999</v>
      </c>
      <c r="EN61">
        <v>1.8672299999999999</v>
      </c>
      <c r="EO61">
        <v>1.8633999999999999</v>
      </c>
      <c r="EP61">
        <v>1.86459</v>
      </c>
      <c r="EQ61">
        <v>1.8701700000000001</v>
      </c>
      <c r="ER61">
        <v>1.8694500000000001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-0.32800000000000001</v>
      </c>
      <c r="FG61">
        <v>4.6300000000000001E-2</v>
      </c>
      <c r="FH61">
        <v>0.16202357103534001</v>
      </c>
      <c r="FI61">
        <v>-6.1462078757559423E-4</v>
      </c>
      <c r="FJ61">
        <v>-1.8861989874597051E-7</v>
      </c>
      <c r="FK61">
        <v>1.1980462299894961E-10</v>
      </c>
      <c r="FL61">
        <v>-3.0039189969545878E-2</v>
      </c>
      <c r="FM61">
        <v>-1.6848085045870601E-2</v>
      </c>
      <c r="FN61">
        <v>1.9789084769509481E-3</v>
      </c>
      <c r="FO61">
        <v>-2.7142391389806329E-5</v>
      </c>
      <c r="FP61">
        <v>3</v>
      </c>
      <c r="FQ61">
        <v>2158</v>
      </c>
      <c r="FR61">
        <v>1</v>
      </c>
      <c r="FS61">
        <v>19</v>
      </c>
      <c r="FT61">
        <v>14.9</v>
      </c>
      <c r="FU61">
        <v>14.9</v>
      </c>
      <c r="FV61">
        <v>1.77979</v>
      </c>
      <c r="FW61">
        <v>2.5744600000000002</v>
      </c>
      <c r="FX61">
        <v>1.5490699999999999</v>
      </c>
      <c r="FY61">
        <v>2.3290999999999999</v>
      </c>
      <c r="FZ61">
        <v>1.50146</v>
      </c>
      <c r="GA61">
        <v>2.3962400000000001</v>
      </c>
      <c r="GB61">
        <v>33.850900000000003</v>
      </c>
      <c r="GC61">
        <v>23.991199999999999</v>
      </c>
      <c r="GD61">
        <v>19</v>
      </c>
      <c r="GE61">
        <v>234.64400000000001</v>
      </c>
      <c r="GF61">
        <v>581.06700000000001</v>
      </c>
      <c r="GG61">
        <v>24.6219</v>
      </c>
      <c r="GH61">
        <v>26.421399999999998</v>
      </c>
      <c r="GI61">
        <v>29.999300000000002</v>
      </c>
      <c r="GJ61">
        <v>26.523599999999998</v>
      </c>
      <c r="GK61">
        <v>26.4892</v>
      </c>
      <c r="GL61">
        <v>35.578699999999998</v>
      </c>
      <c r="GM61">
        <v>-30</v>
      </c>
      <c r="GN61">
        <v>-30</v>
      </c>
      <c r="GO61">
        <v>24.682300000000001</v>
      </c>
      <c r="GP61">
        <v>800</v>
      </c>
      <c r="GQ61">
        <v>12.5298</v>
      </c>
      <c r="GR61">
        <v>99.686999999999998</v>
      </c>
      <c r="GS61">
        <v>99.485799999999998</v>
      </c>
    </row>
    <row r="62" spans="1:201" x14ac:dyDescent="0.25">
      <c r="A62">
        <v>46</v>
      </c>
      <c r="B62">
        <v>1690215744.5999999</v>
      </c>
      <c r="C62">
        <v>799.09999990463257</v>
      </c>
      <c r="D62" t="s">
        <v>425</v>
      </c>
      <c r="E62" t="s">
        <v>426</v>
      </c>
      <c r="F62" t="s">
        <v>330</v>
      </c>
      <c r="H62">
        <v>1690215744.5999999</v>
      </c>
      <c r="I62">
        <f t="shared" si="0"/>
        <v>7.4999747248227398E-4</v>
      </c>
      <c r="J62">
        <f t="shared" si="1"/>
        <v>0.749997472482274</v>
      </c>
      <c r="K62">
        <f t="shared" si="2"/>
        <v>7.5149180925648329</v>
      </c>
      <c r="L62">
        <f t="shared" si="3"/>
        <v>709.92600000000004</v>
      </c>
      <c r="M62">
        <f t="shared" si="4"/>
        <v>264.07418991872441</v>
      </c>
      <c r="N62">
        <f t="shared" si="5"/>
        <v>26.19025383193928</v>
      </c>
      <c r="O62">
        <f t="shared" si="6"/>
        <v>70.408782272950802</v>
      </c>
      <c r="P62">
        <f t="shared" si="7"/>
        <v>2.8464450511157702E-2</v>
      </c>
      <c r="Q62">
        <f t="shared" si="8"/>
        <v>2.064266387471497</v>
      </c>
      <c r="R62">
        <f t="shared" si="9"/>
        <v>2.824818340667952E-2</v>
      </c>
      <c r="S62">
        <f t="shared" si="10"/>
        <v>1.7674408300476521E-2</v>
      </c>
      <c r="T62">
        <f t="shared" si="11"/>
        <v>276.11435653199993</v>
      </c>
      <c r="U62">
        <f t="shared" si="12"/>
        <v>28.741500802602925</v>
      </c>
      <c r="V62">
        <f t="shared" si="13"/>
        <v>28.741500802602925</v>
      </c>
      <c r="W62">
        <f t="shared" si="14"/>
        <v>3.9620052522761378</v>
      </c>
      <c r="X62">
        <f t="shared" si="15"/>
        <v>39.661750972277488</v>
      </c>
      <c r="Y62">
        <f t="shared" si="16"/>
        <v>1.3999915069527999</v>
      </c>
      <c r="Z62">
        <f t="shared" si="17"/>
        <v>3.5298277878133946</v>
      </c>
      <c r="AA62">
        <f t="shared" si="18"/>
        <v>2.5620137453233376</v>
      </c>
      <c r="AB62">
        <f t="shared" si="19"/>
        <v>-33.074888536468279</v>
      </c>
      <c r="AC62">
        <f t="shared" si="20"/>
        <v>-220.08468074300399</v>
      </c>
      <c r="AD62">
        <f t="shared" si="21"/>
        <v>-23.182943761051288</v>
      </c>
      <c r="AE62">
        <f t="shared" si="22"/>
        <v>-0.22815650852362523</v>
      </c>
      <c r="AF62">
        <v>47</v>
      </c>
      <c r="AG62">
        <v>16</v>
      </c>
      <c r="AH62">
        <f t="shared" si="23"/>
        <v>1</v>
      </c>
      <c r="AI62">
        <f t="shared" si="24"/>
        <v>0</v>
      </c>
      <c r="AJ62">
        <f t="shared" si="25"/>
        <v>52436.782679235606</v>
      </c>
      <c r="AK62">
        <f t="shared" si="26"/>
        <v>1800</v>
      </c>
      <c r="AL62">
        <f t="shared" si="27"/>
        <v>1499.1157962000002</v>
      </c>
      <c r="AM62">
        <f t="shared" si="28"/>
        <v>0.83284210900000011</v>
      </c>
      <c r="AN62">
        <f t="shared" si="29"/>
        <v>0.15339686473999997</v>
      </c>
      <c r="AO62">
        <v>33.6</v>
      </c>
      <c r="AP62">
        <v>0.5</v>
      </c>
      <c r="AQ62" t="s">
        <v>331</v>
      </c>
      <c r="AR62">
        <v>2</v>
      </c>
      <c r="AS62">
        <v>1690215744.5999999</v>
      </c>
      <c r="AT62">
        <v>709.92600000000004</v>
      </c>
      <c r="AU62">
        <v>800.01499999999999</v>
      </c>
      <c r="AV62">
        <v>14.116</v>
      </c>
      <c r="AW62">
        <v>5.8384099999999997</v>
      </c>
      <c r="AX62">
        <v>710.25300000000004</v>
      </c>
      <c r="AY62">
        <v>14.067</v>
      </c>
      <c r="AZ62">
        <v>300.13799999999998</v>
      </c>
      <c r="BA62">
        <v>99.077699999999993</v>
      </c>
      <c r="BB62">
        <v>9.9935800000000005E-2</v>
      </c>
      <c r="BC62">
        <v>26.7639</v>
      </c>
      <c r="BD62">
        <v>26.933</v>
      </c>
      <c r="BE62">
        <v>28.280899999999999</v>
      </c>
      <c r="BF62">
        <v>0</v>
      </c>
      <c r="BG62">
        <v>0</v>
      </c>
      <c r="BH62">
        <v>10001.200000000001</v>
      </c>
      <c r="BI62">
        <v>1075.6300000000001</v>
      </c>
      <c r="BJ62">
        <v>1.9469000000000001</v>
      </c>
      <c r="BK62">
        <v>-90.088899999999995</v>
      </c>
      <c r="BL62">
        <v>720.09100000000001</v>
      </c>
      <c r="BM62">
        <v>804.71400000000006</v>
      </c>
      <c r="BN62">
        <v>8.2775999999999996</v>
      </c>
      <c r="BO62">
        <v>800.01499999999999</v>
      </c>
      <c r="BP62">
        <v>5.8384099999999997</v>
      </c>
      <c r="BQ62">
        <v>1.3985799999999999</v>
      </c>
      <c r="BR62">
        <v>0.57845599999999997</v>
      </c>
      <c r="BS62">
        <v>11.9023</v>
      </c>
      <c r="BT62">
        <v>-0.810442</v>
      </c>
      <c r="BU62">
        <v>1800</v>
      </c>
      <c r="BV62">
        <v>0.910026</v>
      </c>
      <c r="BW62">
        <v>3.39934E-2</v>
      </c>
      <c r="BX62">
        <v>2.1994699999999999E-2</v>
      </c>
      <c r="BY62">
        <v>3.3986000000000002E-2</v>
      </c>
      <c r="BZ62">
        <v>25</v>
      </c>
      <c r="CA62">
        <v>33528.5</v>
      </c>
      <c r="CB62">
        <v>1690214843</v>
      </c>
      <c r="CC62" t="s">
        <v>332</v>
      </c>
      <c r="CD62">
        <v>1690214842</v>
      </c>
      <c r="CE62">
        <v>1690214843</v>
      </c>
      <c r="CF62">
        <v>8</v>
      </c>
      <c r="CG62">
        <v>-6.3E-2</v>
      </c>
      <c r="CH62">
        <v>1E-3</v>
      </c>
      <c r="CI62">
        <v>-0.38900000000000001</v>
      </c>
      <c r="CJ62">
        <v>-6.6000000000000003E-2</v>
      </c>
      <c r="CK62">
        <v>800</v>
      </c>
      <c r="CL62">
        <v>6</v>
      </c>
      <c r="CM62">
        <v>0.23</v>
      </c>
      <c r="CN62">
        <v>0.02</v>
      </c>
      <c r="CO62">
        <v>-87.601646341463422</v>
      </c>
      <c r="CP62">
        <v>-14.09042717770021</v>
      </c>
      <c r="CQ62">
        <v>1.3896789108170069</v>
      </c>
      <c r="CR62">
        <v>-1</v>
      </c>
      <c r="CS62">
        <v>8.1465319512195116</v>
      </c>
      <c r="CT62">
        <v>0.7246317073170796</v>
      </c>
      <c r="CU62">
        <v>7.1451972927394497E-2</v>
      </c>
      <c r="CV62">
        <v>-1</v>
      </c>
      <c r="CW62">
        <v>0</v>
      </c>
      <c r="CX62">
        <v>0</v>
      </c>
      <c r="CY62" t="s">
        <v>333</v>
      </c>
      <c r="CZ62">
        <v>2.3641999999999999</v>
      </c>
      <c r="DA62">
        <v>2.71373</v>
      </c>
      <c r="DB62">
        <v>0.13520499999999999</v>
      </c>
      <c r="DC62">
        <v>0.146037</v>
      </c>
      <c r="DD62">
        <v>7.7851100000000006E-2</v>
      </c>
      <c r="DE62">
        <v>3.8564800000000003E-2</v>
      </c>
      <c r="DF62">
        <v>31561.4</v>
      </c>
      <c r="DG62">
        <v>27499.4</v>
      </c>
      <c r="DH62">
        <v>31157.4</v>
      </c>
      <c r="DI62">
        <v>28060.5</v>
      </c>
      <c r="DJ62">
        <v>39018.699999999997</v>
      </c>
      <c r="DK62">
        <v>38361.699999999997</v>
      </c>
      <c r="DL62">
        <v>44338</v>
      </c>
      <c r="DM62">
        <v>42525.7</v>
      </c>
      <c r="DN62">
        <v>1.3531200000000001</v>
      </c>
      <c r="DO62">
        <v>2.0319500000000001</v>
      </c>
      <c r="DP62">
        <v>7.8488100000000005E-2</v>
      </c>
      <c r="DQ62">
        <v>0.17676900000000001</v>
      </c>
      <c r="DR62">
        <v>25.6479</v>
      </c>
      <c r="DS62">
        <v>25.389199999999999</v>
      </c>
      <c r="DT62">
        <v>17.3</v>
      </c>
      <c r="DU62">
        <v>29.8</v>
      </c>
      <c r="DV62">
        <v>7.35419</v>
      </c>
      <c r="DW62">
        <v>61.758499999999998</v>
      </c>
      <c r="DX62">
        <v>36.490400000000001</v>
      </c>
      <c r="DY62">
        <v>1</v>
      </c>
      <c r="DZ62">
        <v>-7.7916700000000005E-2</v>
      </c>
      <c r="EA62">
        <v>-7.2641600000000001E-2</v>
      </c>
      <c r="EB62">
        <v>20.190200000000001</v>
      </c>
      <c r="EC62">
        <v>5.2408000000000001</v>
      </c>
      <c r="ED62">
        <v>12.039899999999999</v>
      </c>
      <c r="EE62">
        <v>5.0166000000000004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1.8689100000000001</v>
      </c>
      <c r="EL62">
        <v>1.8646400000000001</v>
      </c>
      <c r="EM62">
        <v>1.86917</v>
      </c>
      <c r="EN62">
        <v>1.86724</v>
      </c>
      <c r="EO62">
        <v>1.8633999999999999</v>
      </c>
      <c r="EP62">
        <v>1.8645799999999999</v>
      </c>
      <c r="EQ62">
        <v>1.8701300000000001</v>
      </c>
      <c r="ER62">
        <v>1.86941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-0.32700000000000001</v>
      </c>
      <c r="FG62">
        <v>4.9000000000000002E-2</v>
      </c>
      <c r="FH62">
        <v>0.16202357103534001</v>
      </c>
      <c r="FI62">
        <v>-6.1462078757559423E-4</v>
      </c>
      <c r="FJ62">
        <v>-1.8861989874597051E-7</v>
      </c>
      <c r="FK62">
        <v>1.1980462299894961E-10</v>
      </c>
      <c r="FL62">
        <v>-3.0039189969545878E-2</v>
      </c>
      <c r="FM62">
        <v>-1.6848085045870601E-2</v>
      </c>
      <c r="FN62">
        <v>1.9789084769509481E-3</v>
      </c>
      <c r="FO62">
        <v>-2.7142391389806329E-5</v>
      </c>
      <c r="FP62">
        <v>3</v>
      </c>
      <c r="FQ62">
        <v>2158</v>
      </c>
      <c r="FR62">
        <v>1</v>
      </c>
      <c r="FS62">
        <v>19</v>
      </c>
      <c r="FT62">
        <v>15</v>
      </c>
      <c r="FU62">
        <v>15</v>
      </c>
      <c r="FV62">
        <v>1.7785599999999999</v>
      </c>
      <c r="FW62">
        <v>2.5769000000000002</v>
      </c>
      <c r="FX62">
        <v>1.5490699999999999</v>
      </c>
      <c r="FY62">
        <v>2.3290999999999999</v>
      </c>
      <c r="FZ62">
        <v>1.50024</v>
      </c>
      <c r="GA62">
        <v>2.4023400000000001</v>
      </c>
      <c r="GB62">
        <v>33.850900000000003</v>
      </c>
      <c r="GC62">
        <v>23.991199999999999</v>
      </c>
      <c r="GD62">
        <v>19</v>
      </c>
      <c r="GE62">
        <v>234.41900000000001</v>
      </c>
      <c r="GF62">
        <v>581.19799999999998</v>
      </c>
      <c r="GG62">
        <v>24.727399999999999</v>
      </c>
      <c r="GH62">
        <v>26.4176</v>
      </c>
      <c r="GI62">
        <v>30</v>
      </c>
      <c r="GJ62">
        <v>26.5229</v>
      </c>
      <c r="GK62">
        <v>26.488</v>
      </c>
      <c r="GL62">
        <v>35.573799999999999</v>
      </c>
      <c r="GM62">
        <v>-30</v>
      </c>
      <c r="GN62">
        <v>-30</v>
      </c>
      <c r="GO62">
        <v>24.770499999999998</v>
      </c>
      <c r="GP62">
        <v>800</v>
      </c>
      <c r="GQ62">
        <v>12.5298</v>
      </c>
      <c r="GR62">
        <v>99.687899999999999</v>
      </c>
      <c r="GS62">
        <v>99.486400000000003</v>
      </c>
    </row>
    <row r="63" spans="1:201" x14ac:dyDescent="0.25">
      <c r="A63">
        <v>47</v>
      </c>
      <c r="B63">
        <v>1690215754.5999999</v>
      </c>
      <c r="C63">
        <v>809.09999990463257</v>
      </c>
      <c r="D63" t="s">
        <v>427</v>
      </c>
      <c r="E63" t="s">
        <v>428</v>
      </c>
      <c r="F63" t="s">
        <v>330</v>
      </c>
      <c r="H63">
        <v>1690215754.5999999</v>
      </c>
      <c r="I63">
        <f t="shared" si="0"/>
        <v>7.6079305078224641E-4</v>
      </c>
      <c r="J63">
        <f t="shared" si="1"/>
        <v>0.76079305078224646</v>
      </c>
      <c r="K63">
        <f t="shared" si="2"/>
        <v>7.7086766116633649</v>
      </c>
      <c r="L63">
        <f t="shared" si="3"/>
        <v>707.65300000000002</v>
      </c>
      <c r="M63">
        <f t="shared" si="4"/>
        <v>258.92720923964634</v>
      </c>
      <c r="N63">
        <f t="shared" si="5"/>
        <v>25.679902255188502</v>
      </c>
      <c r="O63">
        <f t="shared" si="6"/>
        <v>70.183662520270914</v>
      </c>
      <c r="P63">
        <f t="shared" si="7"/>
        <v>2.8989806478746272E-2</v>
      </c>
      <c r="Q63">
        <f t="shared" si="8"/>
        <v>2.0638642197134578</v>
      </c>
      <c r="R63">
        <f t="shared" si="9"/>
        <v>2.8765473208336157E-2</v>
      </c>
      <c r="S63">
        <f t="shared" si="10"/>
        <v>1.7998431405257045E-2</v>
      </c>
      <c r="T63">
        <f t="shared" si="11"/>
        <v>276.11620759800002</v>
      </c>
      <c r="U63">
        <f t="shared" si="12"/>
        <v>28.747871780745587</v>
      </c>
      <c r="V63">
        <f t="shared" si="13"/>
        <v>28.747871780745587</v>
      </c>
      <c r="W63">
        <f t="shared" si="14"/>
        <v>3.9634689211487011</v>
      </c>
      <c r="X63">
        <f t="shared" si="15"/>
        <v>39.963726783316602</v>
      </c>
      <c r="Y63">
        <f t="shared" si="16"/>
        <v>1.4114726142470102</v>
      </c>
      <c r="Z63">
        <f t="shared" si="17"/>
        <v>3.5318843557809743</v>
      </c>
      <c r="AA63">
        <f t="shared" si="18"/>
        <v>2.5519963069016907</v>
      </c>
      <c r="AB63">
        <f t="shared" si="19"/>
        <v>-33.550973539497065</v>
      </c>
      <c r="AC63">
        <f t="shared" si="20"/>
        <v>-219.64913921489207</v>
      </c>
      <c r="AD63">
        <f t="shared" si="21"/>
        <v>-23.143450991003693</v>
      </c>
      <c r="AE63">
        <f t="shared" si="22"/>
        <v>-0.2273561473928396</v>
      </c>
      <c r="AF63">
        <v>46</v>
      </c>
      <c r="AG63">
        <v>15</v>
      </c>
      <c r="AH63">
        <f t="shared" si="23"/>
        <v>1</v>
      </c>
      <c r="AI63">
        <f t="shared" si="24"/>
        <v>0</v>
      </c>
      <c r="AJ63">
        <f t="shared" si="25"/>
        <v>52416.656367060343</v>
      </c>
      <c r="AK63">
        <f t="shared" si="26"/>
        <v>1800</v>
      </c>
      <c r="AL63">
        <f t="shared" si="27"/>
        <v>1499.1132527999998</v>
      </c>
      <c r="AM63">
        <f t="shared" si="28"/>
        <v>0.83284069599999988</v>
      </c>
      <c r="AN63">
        <f t="shared" si="29"/>
        <v>0.15339789311000002</v>
      </c>
      <c r="AO63">
        <v>33.6</v>
      </c>
      <c r="AP63">
        <v>0.5</v>
      </c>
      <c r="AQ63" t="s">
        <v>331</v>
      </c>
      <c r="AR63">
        <v>2</v>
      </c>
      <c r="AS63">
        <v>1690215754.5999999</v>
      </c>
      <c r="AT63">
        <v>707.65300000000002</v>
      </c>
      <c r="AU63">
        <v>799.97199999999998</v>
      </c>
      <c r="AV63">
        <v>14.2317</v>
      </c>
      <c r="AW63">
        <v>5.8364500000000001</v>
      </c>
      <c r="AX63">
        <v>707.97799999999995</v>
      </c>
      <c r="AY63">
        <v>14.180199999999999</v>
      </c>
      <c r="AZ63">
        <v>300.15600000000001</v>
      </c>
      <c r="BA63">
        <v>99.078100000000006</v>
      </c>
      <c r="BB63">
        <v>9.9975300000000003E-2</v>
      </c>
      <c r="BC63">
        <v>26.773800000000001</v>
      </c>
      <c r="BD63">
        <v>26.959</v>
      </c>
      <c r="BE63">
        <v>28.2913</v>
      </c>
      <c r="BF63">
        <v>0</v>
      </c>
      <c r="BG63">
        <v>0</v>
      </c>
      <c r="BH63">
        <v>9997.5</v>
      </c>
      <c r="BI63">
        <v>1075.72</v>
      </c>
      <c r="BJ63">
        <v>1.90625</v>
      </c>
      <c r="BK63">
        <v>-92.319199999999995</v>
      </c>
      <c r="BL63">
        <v>717.87</v>
      </c>
      <c r="BM63">
        <v>804.66899999999998</v>
      </c>
      <c r="BN63">
        <v>8.3952799999999996</v>
      </c>
      <c r="BO63">
        <v>799.97199999999998</v>
      </c>
      <c r="BP63">
        <v>5.8364500000000001</v>
      </c>
      <c r="BQ63">
        <v>1.41005</v>
      </c>
      <c r="BR63">
        <v>0.578264</v>
      </c>
      <c r="BS63">
        <v>12.026199999999999</v>
      </c>
      <c r="BT63">
        <v>-0.81498199999999998</v>
      </c>
      <c r="BU63">
        <v>1800</v>
      </c>
      <c r="BV63">
        <v>0.90999399999999997</v>
      </c>
      <c r="BW63">
        <v>3.3991300000000002E-2</v>
      </c>
      <c r="BX63">
        <v>2.20073E-2</v>
      </c>
      <c r="BY63">
        <v>3.4007299999999997E-2</v>
      </c>
      <c r="BZ63">
        <v>25</v>
      </c>
      <c r="CA63">
        <v>33528.199999999997</v>
      </c>
      <c r="CB63">
        <v>1690214843</v>
      </c>
      <c r="CC63" t="s">
        <v>332</v>
      </c>
      <c r="CD63">
        <v>1690214842</v>
      </c>
      <c r="CE63">
        <v>1690214843</v>
      </c>
      <c r="CF63">
        <v>8</v>
      </c>
      <c r="CG63">
        <v>-6.3E-2</v>
      </c>
      <c r="CH63">
        <v>1E-3</v>
      </c>
      <c r="CI63">
        <v>-0.38900000000000001</v>
      </c>
      <c r="CJ63">
        <v>-6.6000000000000003E-2</v>
      </c>
      <c r="CK63">
        <v>800</v>
      </c>
      <c r="CL63">
        <v>6</v>
      </c>
      <c r="CM63">
        <v>0.23</v>
      </c>
      <c r="CN63">
        <v>0.02</v>
      </c>
      <c r="CO63">
        <v>-89.817807500000001</v>
      </c>
      <c r="CP63">
        <v>-13.240524202626499</v>
      </c>
      <c r="CQ63">
        <v>1.2739851807198339</v>
      </c>
      <c r="CR63">
        <v>-1</v>
      </c>
      <c r="CS63">
        <v>8.2632537500000005</v>
      </c>
      <c r="CT63">
        <v>0.71415793621010581</v>
      </c>
      <c r="CU63">
        <v>6.8704626506789934E-2</v>
      </c>
      <c r="CV63">
        <v>-1</v>
      </c>
      <c r="CW63">
        <v>0</v>
      </c>
      <c r="CX63">
        <v>0</v>
      </c>
      <c r="CY63" t="s">
        <v>333</v>
      </c>
      <c r="CZ63">
        <v>2.3642500000000002</v>
      </c>
      <c r="DA63">
        <v>2.7137600000000002</v>
      </c>
      <c r="DB63">
        <v>0.13491300000000001</v>
      </c>
      <c r="DC63">
        <v>0.146033</v>
      </c>
      <c r="DD63">
        <v>7.8317200000000003E-2</v>
      </c>
      <c r="DE63">
        <v>3.8554400000000003E-2</v>
      </c>
      <c r="DF63">
        <v>31572</v>
      </c>
      <c r="DG63">
        <v>27499.7</v>
      </c>
      <c r="DH63">
        <v>31157.3</v>
      </c>
      <c r="DI63">
        <v>28060.7</v>
      </c>
      <c r="DJ63">
        <v>38998.6</v>
      </c>
      <c r="DK63">
        <v>38362.5</v>
      </c>
      <c r="DL63">
        <v>44337.8</v>
      </c>
      <c r="DM63">
        <v>42526</v>
      </c>
      <c r="DN63">
        <v>1.35392</v>
      </c>
      <c r="DO63">
        <v>2.0320200000000002</v>
      </c>
      <c r="DP63">
        <v>8.0510999999999999E-2</v>
      </c>
      <c r="DQ63">
        <v>0.17782999999999999</v>
      </c>
      <c r="DR63">
        <v>25.640899999999998</v>
      </c>
      <c r="DS63">
        <v>25.382300000000001</v>
      </c>
      <c r="DT63">
        <v>17.3</v>
      </c>
      <c r="DU63">
        <v>29.8</v>
      </c>
      <c r="DV63">
        <v>7.3548</v>
      </c>
      <c r="DW63">
        <v>61.718499999999999</v>
      </c>
      <c r="DX63">
        <v>36.578499999999998</v>
      </c>
      <c r="DY63">
        <v>1</v>
      </c>
      <c r="DZ63">
        <v>-7.8094499999999997E-2</v>
      </c>
      <c r="EA63">
        <v>-0.125553</v>
      </c>
      <c r="EB63">
        <v>20.190200000000001</v>
      </c>
      <c r="EC63">
        <v>5.2409499999999998</v>
      </c>
      <c r="ED63">
        <v>12.039899999999999</v>
      </c>
      <c r="EE63">
        <v>5.0168999999999997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1.8689199999999999</v>
      </c>
      <c r="EL63">
        <v>1.86466</v>
      </c>
      <c r="EM63">
        <v>1.8692</v>
      </c>
      <c r="EN63">
        <v>1.8672500000000001</v>
      </c>
      <c r="EO63">
        <v>1.8633999999999999</v>
      </c>
      <c r="EP63">
        <v>1.86459</v>
      </c>
      <c r="EQ63">
        <v>1.8701399999999999</v>
      </c>
      <c r="ER63">
        <v>1.8694500000000001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-0.32500000000000001</v>
      </c>
      <c r="FG63">
        <v>5.1499999999999997E-2</v>
      </c>
      <c r="FH63">
        <v>0.16202357103534001</v>
      </c>
      <c r="FI63">
        <v>-6.1462078757559423E-4</v>
      </c>
      <c r="FJ63">
        <v>-1.8861989874597051E-7</v>
      </c>
      <c r="FK63">
        <v>1.1980462299894961E-10</v>
      </c>
      <c r="FL63">
        <v>-3.0039189969545878E-2</v>
      </c>
      <c r="FM63">
        <v>-1.6848085045870601E-2</v>
      </c>
      <c r="FN63">
        <v>1.9789084769509481E-3</v>
      </c>
      <c r="FO63">
        <v>-2.7142391389806329E-5</v>
      </c>
      <c r="FP63">
        <v>3</v>
      </c>
      <c r="FQ63">
        <v>2158</v>
      </c>
      <c r="FR63">
        <v>1</v>
      </c>
      <c r="FS63">
        <v>19</v>
      </c>
      <c r="FT63">
        <v>15.2</v>
      </c>
      <c r="FU63">
        <v>15.2</v>
      </c>
      <c r="FV63">
        <v>1.77979</v>
      </c>
      <c r="FW63">
        <v>2.5769000000000002</v>
      </c>
      <c r="FX63">
        <v>1.5490699999999999</v>
      </c>
      <c r="FY63">
        <v>2.3290999999999999</v>
      </c>
      <c r="FZ63">
        <v>1.50146</v>
      </c>
      <c r="GA63">
        <v>2.3901400000000002</v>
      </c>
      <c r="GB63">
        <v>33.850900000000003</v>
      </c>
      <c r="GC63">
        <v>23.991199999999999</v>
      </c>
      <c r="GD63">
        <v>19</v>
      </c>
      <c r="GE63">
        <v>234.71199999999999</v>
      </c>
      <c r="GF63">
        <v>581.24800000000005</v>
      </c>
      <c r="GG63">
        <v>24.822299999999998</v>
      </c>
      <c r="GH63">
        <v>26.415299999999998</v>
      </c>
      <c r="GI63">
        <v>29.9999</v>
      </c>
      <c r="GJ63">
        <v>26.5214</v>
      </c>
      <c r="GK63">
        <v>26.486999999999998</v>
      </c>
      <c r="GL63">
        <v>35.575299999999999</v>
      </c>
      <c r="GM63">
        <v>-30</v>
      </c>
      <c r="GN63">
        <v>-30</v>
      </c>
      <c r="GO63">
        <v>24.859400000000001</v>
      </c>
      <c r="GP63">
        <v>800</v>
      </c>
      <c r="GQ63">
        <v>12.5298</v>
      </c>
      <c r="GR63">
        <v>99.6875</v>
      </c>
      <c r="GS63">
        <v>99.487099999999998</v>
      </c>
    </row>
    <row r="64" spans="1:201" x14ac:dyDescent="0.25">
      <c r="A64">
        <v>48</v>
      </c>
      <c r="B64">
        <v>1690215764.5999999</v>
      </c>
      <c r="C64">
        <v>819.09999990463257</v>
      </c>
      <c r="D64" t="s">
        <v>429</v>
      </c>
      <c r="E64" t="s">
        <v>430</v>
      </c>
      <c r="F64" t="s">
        <v>330</v>
      </c>
      <c r="H64">
        <v>1690215764.5999999</v>
      </c>
      <c r="I64">
        <f t="shared" si="0"/>
        <v>7.7204469183450011E-4</v>
      </c>
      <c r="J64">
        <f t="shared" si="1"/>
        <v>0.77204469183450009</v>
      </c>
      <c r="K64">
        <f t="shared" si="2"/>
        <v>7.9107268876004735</v>
      </c>
      <c r="L64">
        <f t="shared" si="3"/>
        <v>705.39400000000001</v>
      </c>
      <c r="M64">
        <f t="shared" si="4"/>
        <v>253.88745211537065</v>
      </c>
      <c r="N64">
        <f t="shared" si="5"/>
        <v>25.179207835107015</v>
      </c>
      <c r="O64">
        <f t="shared" si="6"/>
        <v>69.957227045495998</v>
      </c>
      <c r="P64">
        <f t="shared" si="7"/>
        <v>2.9545332953868894E-2</v>
      </c>
      <c r="Q64">
        <f t="shared" si="8"/>
        <v>2.0619685497068243</v>
      </c>
      <c r="R64">
        <f t="shared" si="9"/>
        <v>2.9312144506687614E-2</v>
      </c>
      <c r="S64">
        <f t="shared" si="10"/>
        <v>1.8340887862952886E-2</v>
      </c>
      <c r="T64">
        <f t="shared" si="11"/>
        <v>276.11675839800006</v>
      </c>
      <c r="U64">
        <f t="shared" si="12"/>
        <v>28.752764338622679</v>
      </c>
      <c r="V64">
        <f t="shared" si="13"/>
        <v>28.752764338622679</v>
      </c>
      <c r="W64">
        <f t="shared" si="14"/>
        <v>3.9645932577579912</v>
      </c>
      <c r="X64">
        <f t="shared" si="15"/>
        <v>40.284540990648537</v>
      </c>
      <c r="Y64">
        <f t="shared" si="16"/>
        <v>1.4234145695784</v>
      </c>
      <c r="Z64">
        <f t="shared" si="17"/>
        <v>3.5334014849736644</v>
      </c>
      <c r="AA64">
        <f t="shared" si="18"/>
        <v>2.541178688179591</v>
      </c>
      <c r="AB64">
        <f t="shared" si="19"/>
        <v>-34.047170909901453</v>
      </c>
      <c r="AC64">
        <f t="shared" si="20"/>
        <v>-219.17976740079757</v>
      </c>
      <c r="AD64">
        <f t="shared" si="21"/>
        <v>-23.116631845971138</v>
      </c>
      <c r="AE64">
        <f t="shared" si="22"/>
        <v>-0.22681175867012371</v>
      </c>
      <c r="AF64">
        <v>46</v>
      </c>
      <c r="AG64">
        <v>15</v>
      </c>
      <c r="AH64">
        <f t="shared" si="23"/>
        <v>1</v>
      </c>
      <c r="AI64">
        <f t="shared" si="24"/>
        <v>0</v>
      </c>
      <c r="AJ64">
        <f t="shared" si="25"/>
        <v>52328.623027168389</v>
      </c>
      <c r="AK64">
        <f t="shared" si="26"/>
        <v>1800</v>
      </c>
      <c r="AL64">
        <f t="shared" si="27"/>
        <v>1499.1111467999999</v>
      </c>
      <c r="AM64">
        <f t="shared" si="28"/>
        <v>0.832839526</v>
      </c>
      <c r="AN64">
        <f t="shared" si="29"/>
        <v>0.15339819911000002</v>
      </c>
      <c r="AO64">
        <v>33.6</v>
      </c>
      <c r="AP64">
        <v>0.5</v>
      </c>
      <c r="AQ64" t="s">
        <v>331</v>
      </c>
      <c r="AR64">
        <v>2</v>
      </c>
      <c r="AS64">
        <v>1690215764.5999999</v>
      </c>
      <c r="AT64">
        <v>705.39400000000001</v>
      </c>
      <c r="AU64">
        <v>800.02800000000002</v>
      </c>
      <c r="AV64">
        <v>14.352600000000001</v>
      </c>
      <c r="AW64">
        <v>5.8357099999999997</v>
      </c>
      <c r="AX64">
        <v>705.71799999999996</v>
      </c>
      <c r="AY64">
        <v>14.298299999999999</v>
      </c>
      <c r="AZ64">
        <v>300.20800000000003</v>
      </c>
      <c r="BA64">
        <v>99.074600000000004</v>
      </c>
      <c r="BB64">
        <v>0.10008400000000001</v>
      </c>
      <c r="BC64">
        <v>26.781099999999999</v>
      </c>
      <c r="BD64">
        <v>26.963699999999999</v>
      </c>
      <c r="BE64">
        <v>28.310199999999998</v>
      </c>
      <c r="BF64">
        <v>0</v>
      </c>
      <c r="BG64">
        <v>0</v>
      </c>
      <c r="BH64">
        <v>9980.6200000000008</v>
      </c>
      <c r="BI64">
        <v>1075.77</v>
      </c>
      <c r="BJ64">
        <v>1.90625</v>
      </c>
      <c r="BK64">
        <v>-94.633700000000005</v>
      </c>
      <c r="BL64">
        <v>715.66600000000005</v>
      </c>
      <c r="BM64">
        <v>804.72400000000005</v>
      </c>
      <c r="BN64">
        <v>8.5168800000000005</v>
      </c>
      <c r="BO64">
        <v>800.02800000000002</v>
      </c>
      <c r="BP64">
        <v>5.8357099999999997</v>
      </c>
      <c r="BQ64">
        <v>1.42198</v>
      </c>
      <c r="BR64">
        <v>0.57816999999999996</v>
      </c>
      <c r="BS64">
        <v>12.154</v>
      </c>
      <c r="BT64">
        <v>-0.81719699999999995</v>
      </c>
      <c r="BU64">
        <v>1800</v>
      </c>
      <c r="BV64">
        <v>0.90997899999999998</v>
      </c>
      <c r="BW64">
        <v>3.4000599999999999E-2</v>
      </c>
      <c r="BX64">
        <v>2.2008300000000001E-2</v>
      </c>
      <c r="BY64">
        <v>3.40127E-2</v>
      </c>
      <c r="BZ64">
        <v>25</v>
      </c>
      <c r="CA64">
        <v>33528.199999999997</v>
      </c>
      <c r="CB64">
        <v>1690214843</v>
      </c>
      <c r="CC64" t="s">
        <v>332</v>
      </c>
      <c r="CD64">
        <v>1690214842</v>
      </c>
      <c r="CE64">
        <v>1690214843</v>
      </c>
      <c r="CF64">
        <v>8</v>
      </c>
      <c r="CG64">
        <v>-6.3E-2</v>
      </c>
      <c r="CH64">
        <v>1E-3</v>
      </c>
      <c r="CI64">
        <v>-0.38900000000000001</v>
      </c>
      <c r="CJ64">
        <v>-6.6000000000000003E-2</v>
      </c>
      <c r="CK64">
        <v>800</v>
      </c>
      <c r="CL64">
        <v>6</v>
      </c>
      <c r="CM64">
        <v>0.23</v>
      </c>
      <c r="CN64">
        <v>0.02</v>
      </c>
      <c r="CO64">
        <v>-92.112514634146351</v>
      </c>
      <c r="CP64">
        <v>-13.64165435540056</v>
      </c>
      <c r="CQ64">
        <v>1.345367731860766</v>
      </c>
      <c r="CR64">
        <v>-1</v>
      </c>
      <c r="CS64">
        <v>8.3847243902439015</v>
      </c>
      <c r="CT64">
        <v>0.71112000000000442</v>
      </c>
      <c r="CU64">
        <v>7.0121680480495358E-2</v>
      </c>
      <c r="CV64">
        <v>-1</v>
      </c>
      <c r="CW64">
        <v>0</v>
      </c>
      <c r="CX64">
        <v>0</v>
      </c>
      <c r="CY64" t="s">
        <v>333</v>
      </c>
      <c r="CZ64">
        <v>2.3644400000000001</v>
      </c>
      <c r="DA64">
        <v>2.7138599999999999</v>
      </c>
      <c r="DB64">
        <v>0.13461699999999999</v>
      </c>
      <c r="DC64">
        <v>0.146034</v>
      </c>
      <c r="DD64">
        <v>7.8799599999999997E-2</v>
      </c>
      <c r="DE64">
        <v>3.8549100000000003E-2</v>
      </c>
      <c r="DF64">
        <v>31583</v>
      </c>
      <c r="DG64">
        <v>27499.7</v>
      </c>
      <c r="DH64">
        <v>31157.599999999999</v>
      </c>
      <c r="DI64">
        <v>28060.799999999999</v>
      </c>
      <c r="DJ64">
        <v>38978.300000000003</v>
      </c>
      <c r="DK64">
        <v>38362.800000000003</v>
      </c>
      <c r="DL64">
        <v>44338.1</v>
      </c>
      <c r="DM64">
        <v>42526.1</v>
      </c>
      <c r="DN64">
        <v>1.3538699999999999</v>
      </c>
      <c r="DO64">
        <v>2.0319199999999999</v>
      </c>
      <c r="DP64">
        <v>8.1285800000000005E-2</v>
      </c>
      <c r="DQ64">
        <v>0.179283</v>
      </c>
      <c r="DR64">
        <v>25.6328</v>
      </c>
      <c r="DS64">
        <v>25.377500000000001</v>
      </c>
      <c r="DT64">
        <v>17.3</v>
      </c>
      <c r="DU64">
        <v>29.8</v>
      </c>
      <c r="DV64">
        <v>7.3540400000000004</v>
      </c>
      <c r="DW64">
        <v>61.768500000000003</v>
      </c>
      <c r="DX64">
        <v>36.494399999999999</v>
      </c>
      <c r="DY64">
        <v>1</v>
      </c>
      <c r="DZ64">
        <v>-7.8442600000000001E-2</v>
      </c>
      <c r="EA64">
        <v>-9.7856799999999994E-2</v>
      </c>
      <c r="EB64">
        <v>20.190300000000001</v>
      </c>
      <c r="EC64">
        <v>5.2403500000000003</v>
      </c>
      <c r="ED64">
        <v>12.039899999999999</v>
      </c>
      <c r="EE64">
        <v>5.01675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1.8689100000000001</v>
      </c>
      <c r="EL64">
        <v>1.86463</v>
      </c>
      <c r="EM64">
        <v>1.8691899999999999</v>
      </c>
      <c r="EN64">
        <v>1.8672500000000001</v>
      </c>
      <c r="EO64">
        <v>1.8633999999999999</v>
      </c>
      <c r="EP64">
        <v>1.86459</v>
      </c>
      <c r="EQ64">
        <v>1.87015</v>
      </c>
      <c r="ER64">
        <v>1.8694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-0.32400000000000001</v>
      </c>
      <c r="FG64">
        <v>5.4300000000000001E-2</v>
      </c>
      <c r="FH64">
        <v>0.16202357103534001</v>
      </c>
      <c r="FI64">
        <v>-6.1462078757559423E-4</v>
      </c>
      <c r="FJ64">
        <v>-1.8861989874597051E-7</v>
      </c>
      <c r="FK64">
        <v>1.1980462299894961E-10</v>
      </c>
      <c r="FL64">
        <v>-3.0039189969545878E-2</v>
      </c>
      <c r="FM64">
        <v>-1.6848085045870601E-2</v>
      </c>
      <c r="FN64">
        <v>1.9789084769509481E-3</v>
      </c>
      <c r="FO64">
        <v>-2.7142391389806329E-5</v>
      </c>
      <c r="FP64">
        <v>3</v>
      </c>
      <c r="FQ64">
        <v>2158</v>
      </c>
      <c r="FR64">
        <v>1</v>
      </c>
      <c r="FS64">
        <v>19</v>
      </c>
      <c r="FT64">
        <v>15.4</v>
      </c>
      <c r="FU64">
        <v>15.4</v>
      </c>
      <c r="FV64">
        <v>1.77979</v>
      </c>
      <c r="FW64">
        <v>2.5769000000000002</v>
      </c>
      <c r="FX64">
        <v>1.5490699999999999</v>
      </c>
      <c r="FY64">
        <v>2.3290999999999999</v>
      </c>
      <c r="FZ64">
        <v>1.50146</v>
      </c>
      <c r="GA64">
        <v>2.3754900000000001</v>
      </c>
      <c r="GB64">
        <v>33.850900000000003</v>
      </c>
      <c r="GC64">
        <v>23.991199999999999</v>
      </c>
      <c r="GD64">
        <v>19</v>
      </c>
      <c r="GE64">
        <v>234.68600000000001</v>
      </c>
      <c r="GF64">
        <v>581.16600000000005</v>
      </c>
      <c r="GG64">
        <v>24.895099999999999</v>
      </c>
      <c r="GH64">
        <v>26.411300000000001</v>
      </c>
      <c r="GI64">
        <v>30.0001</v>
      </c>
      <c r="GJ64">
        <v>26.519100000000002</v>
      </c>
      <c r="GK64">
        <v>26.486999999999998</v>
      </c>
      <c r="GL64">
        <v>35.573799999999999</v>
      </c>
      <c r="GM64">
        <v>-30</v>
      </c>
      <c r="GN64">
        <v>-30</v>
      </c>
      <c r="GO64">
        <v>24.9177</v>
      </c>
      <c r="GP64">
        <v>800</v>
      </c>
      <c r="GQ64">
        <v>12.5298</v>
      </c>
      <c r="GR64">
        <v>99.688199999999995</v>
      </c>
      <c r="GS64">
        <v>99.487399999999994</v>
      </c>
    </row>
    <row r="65" spans="1:201" x14ac:dyDescent="0.25">
      <c r="A65">
        <v>49</v>
      </c>
      <c r="B65">
        <v>1690215774.5999999</v>
      </c>
      <c r="C65">
        <v>829.09999990463257</v>
      </c>
      <c r="D65" t="s">
        <v>431</v>
      </c>
      <c r="E65" t="s">
        <v>432</v>
      </c>
      <c r="F65" t="s">
        <v>330</v>
      </c>
      <c r="H65">
        <v>1690215774.5999999</v>
      </c>
      <c r="I65">
        <f t="shared" si="0"/>
        <v>7.8280367764990558E-4</v>
      </c>
      <c r="J65">
        <f t="shared" si="1"/>
        <v>0.78280367764990555</v>
      </c>
      <c r="K65">
        <f t="shared" si="2"/>
        <v>8.0926338386171359</v>
      </c>
      <c r="L65">
        <f t="shared" si="3"/>
        <v>703.23299999999995</v>
      </c>
      <c r="M65">
        <f t="shared" si="4"/>
        <v>249.85680702059653</v>
      </c>
      <c r="N65">
        <f t="shared" si="5"/>
        <v>24.779402170321941</v>
      </c>
      <c r="O65">
        <f t="shared" si="6"/>
        <v>69.742719977228987</v>
      </c>
      <c r="P65">
        <f t="shared" si="7"/>
        <v>3.0083015905146157E-2</v>
      </c>
      <c r="Q65">
        <f t="shared" si="8"/>
        <v>2.0643726127903452</v>
      </c>
      <c r="R65">
        <f t="shared" si="9"/>
        <v>2.9841579349880125E-2</v>
      </c>
      <c r="S65">
        <f t="shared" si="10"/>
        <v>1.8672517597400417E-2</v>
      </c>
      <c r="T65">
        <f t="shared" si="11"/>
        <v>276.11488394790041</v>
      </c>
      <c r="U65">
        <f t="shared" si="12"/>
        <v>28.756990413578993</v>
      </c>
      <c r="V65">
        <f t="shared" si="13"/>
        <v>28.756990413578993</v>
      </c>
      <c r="W65">
        <f t="shared" si="14"/>
        <v>3.9655646568249292</v>
      </c>
      <c r="X65">
        <f t="shared" si="15"/>
        <v>40.583973197844301</v>
      </c>
      <c r="Y65">
        <f t="shared" si="16"/>
        <v>1.4348554072840001</v>
      </c>
      <c r="Z65">
        <f t="shared" si="17"/>
        <v>3.5355222621727318</v>
      </c>
      <c r="AA65">
        <f t="shared" si="18"/>
        <v>2.5307092495409291</v>
      </c>
      <c r="AB65">
        <f t="shared" si="19"/>
        <v>-34.521642184360836</v>
      </c>
      <c r="AC65">
        <f t="shared" si="20"/>
        <v>-218.7704458348766</v>
      </c>
      <c r="AD65">
        <f t="shared" si="21"/>
        <v>-23.048247656352665</v>
      </c>
      <c r="AE65">
        <f t="shared" si="22"/>
        <v>-0.22545172768968769</v>
      </c>
      <c r="AF65">
        <v>46</v>
      </c>
      <c r="AG65">
        <v>15</v>
      </c>
      <c r="AH65">
        <f t="shared" si="23"/>
        <v>1</v>
      </c>
      <c r="AI65">
        <f t="shared" si="24"/>
        <v>0</v>
      </c>
      <c r="AJ65">
        <f t="shared" si="25"/>
        <v>52436.779997412785</v>
      </c>
      <c r="AK65">
        <f t="shared" si="26"/>
        <v>1799.99</v>
      </c>
      <c r="AL65">
        <f t="shared" si="27"/>
        <v>1499.1003884182401</v>
      </c>
      <c r="AM65">
        <f t="shared" si="28"/>
        <v>0.8328381760000001</v>
      </c>
      <c r="AN65">
        <f t="shared" si="29"/>
        <v>0.15339800996</v>
      </c>
      <c r="AO65">
        <v>33.6</v>
      </c>
      <c r="AP65">
        <v>0.5</v>
      </c>
      <c r="AQ65" t="s">
        <v>331</v>
      </c>
      <c r="AR65">
        <v>2</v>
      </c>
      <c r="AS65">
        <v>1690215774.5999999</v>
      </c>
      <c r="AT65">
        <v>703.23299999999995</v>
      </c>
      <c r="AU65">
        <v>799.95799999999997</v>
      </c>
      <c r="AV65">
        <v>14.468</v>
      </c>
      <c r="AW65">
        <v>5.8344100000000001</v>
      </c>
      <c r="AX65">
        <v>703.55499999999995</v>
      </c>
      <c r="AY65">
        <v>14.411099999999999</v>
      </c>
      <c r="AZ65">
        <v>300.24200000000002</v>
      </c>
      <c r="BA65">
        <v>99.074399999999997</v>
      </c>
      <c r="BB65">
        <v>0.100013</v>
      </c>
      <c r="BC65">
        <v>26.7913</v>
      </c>
      <c r="BD65">
        <v>26.975000000000001</v>
      </c>
      <c r="BE65">
        <v>28.316099999999999</v>
      </c>
      <c r="BF65">
        <v>0</v>
      </c>
      <c r="BG65">
        <v>0</v>
      </c>
      <c r="BH65">
        <v>10002.5</v>
      </c>
      <c r="BI65">
        <v>1075.79</v>
      </c>
      <c r="BJ65">
        <v>1.90625</v>
      </c>
      <c r="BK65">
        <v>-96.725200000000001</v>
      </c>
      <c r="BL65">
        <v>713.55700000000002</v>
      </c>
      <c r="BM65">
        <v>804.65300000000002</v>
      </c>
      <c r="BN65">
        <v>8.6336099999999991</v>
      </c>
      <c r="BO65">
        <v>799.95799999999997</v>
      </c>
      <c r="BP65">
        <v>5.8344100000000001</v>
      </c>
      <c r="BQ65">
        <v>1.4334100000000001</v>
      </c>
      <c r="BR65">
        <v>0.57804100000000003</v>
      </c>
      <c r="BS65">
        <v>12.2758</v>
      </c>
      <c r="BT65">
        <v>-0.82025700000000001</v>
      </c>
      <c r="BU65">
        <v>1799.99</v>
      </c>
      <c r="BV65">
        <v>0.90997600000000001</v>
      </c>
      <c r="BW65">
        <v>3.4006599999999998E-2</v>
      </c>
      <c r="BX65">
        <v>2.20068E-2</v>
      </c>
      <c r="BY65">
        <v>3.4010400000000003E-2</v>
      </c>
      <c r="BZ65">
        <v>25</v>
      </c>
      <c r="CA65">
        <v>33528</v>
      </c>
      <c r="CB65">
        <v>1690214843</v>
      </c>
      <c r="CC65" t="s">
        <v>332</v>
      </c>
      <c r="CD65">
        <v>1690214842</v>
      </c>
      <c r="CE65">
        <v>1690214843</v>
      </c>
      <c r="CF65">
        <v>8</v>
      </c>
      <c r="CG65">
        <v>-6.3E-2</v>
      </c>
      <c r="CH65">
        <v>1E-3</v>
      </c>
      <c r="CI65">
        <v>-0.38900000000000001</v>
      </c>
      <c r="CJ65">
        <v>-6.6000000000000003E-2</v>
      </c>
      <c r="CK65">
        <v>800</v>
      </c>
      <c r="CL65">
        <v>6</v>
      </c>
      <c r="CM65">
        <v>0.23</v>
      </c>
      <c r="CN65">
        <v>0.02</v>
      </c>
      <c r="CO65">
        <v>-94.360565853658542</v>
      </c>
      <c r="CP65">
        <v>-13.31865156794437</v>
      </c>
      <c r="CQ65">
        <v>1.313657911925983</v>
      </c>
      <c r="CR65">
        <v>-1</v>
      </c>
      <c r="CS65">
        <v>8.5035841463414634</v>
      </c>
      <c r="CT65">
        <v>0.71698745644599893</v>
      </c>
      <c r="CU65">
        <v>7.0698896081891532E-2</v>
      </c>
      <c r="CV65">
        <v>-1</v>
      </c>
      <c r="CW65">
        <v>0</v>
      </c>
      <c r="CX65">
        <v>0</v>
      </c>
      <c r="CY65" t="s">
        <v>333</v>
      </c>
      <c r="CZ65">
        <v>2.36456</v>
      </c>
      <c r="DA65">
        <v>2.7138100000000001</v>
      </c>
      <c r="DB65">
        <v>0.13433700000000001</v>
      </c>
      <c r="DC65">
        <v>0.14602599999999999</v>
      </c>
      <c r="DD65">
        <v>7.9260899999999995E-2</v>
      </c>
      <c r="DE65">
        <v>3.8542E-2</v>
      </c>
      <c r="DF65">
        <v>31593.1</v>
      </c>
      <c r="DG65">
        <v>27500</v>
      </c>
      <c r="DH65">
        <v>31157.4</v>
      </c>
      <c r="DI65">
        <v>28060.799999999999</v>
      </c>
      <c r="DJ65">
        <v>38958.400000000001</v>
      </c>
      <c r="DK65">
        <v>38363.199999999997</v>
      </c>
      <c r="DL65">
        <v>44337.9</v>
      </c>
      <c r="DM65">
        <v>42526.3</v>
      </c>
      <c r="DN65">
        <v>1.3543499999999999</v>
      </c>
      <c r="DO65">
        <v>2.0318299999999998</v>
      </c>
      <c r="DP65">
        <v>8.2410899999999995E-2</v>
      </c>
      <c r="DQ65">
        <v>0.17996899999999999</v>
      </c>
      <c r="DR65">
        <v>25.625699999999998</v>
      </c>
      <c r="DS65">
        <v>25.372199999999999</v>
      </c>
      <c r="DT65">
        <v>17.3</v>
      </c>
      <c r="DU65">
        <v>29.8</v>
      </c>
      <c r="DV65">
        <v>7.3541400000000001</v>
      </c>
      <c r="DW65">
        <v>61.758499999999998</v>
      </c>
      <c r="DX65">
        <v>36.646599999999999</v>
      </c>
      <c r="DY65">
        <v>1</v>
      </c>
      <c r="DZ65">
        <v>-7.8412099999999998E-2</v>
      </c>
      <c r="EA65">
        <v>-0.11901100000000001</v>
      </c>
      <c r="EB65">
        <v>20.190300000000001</v>
      </c>
      <c r="EC65">
        <v>5.2408000000000001</v>
      </c>
      <c r="ED65">
        <v>12.039899999999999</v>
      </c>
      <c r="EE65">
        <v>5.0168999999999997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1.86893</v>
      </c>
      <c r="EL65">
        <v>1.8646499999999999</v>
      </c>
      <c r="EM65">
        <v>1.8691899999999999</v>
      </c>
      <c r="EN65">
        <v>1.8672299999999999</v>
      </c>
      <c r="EO65">
        <v>1.8633999999999999</v>
      </c>
      <c r="EP65">
        <v>1.86459</v>
      </c>
      <c r="EQ65">
        <v>1.8702000000000001</v>
      </c>
      <c r="ER65">
        <v>1.8694500000000001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-0.32200000000000001</v>
      </c>
      <c r="FG65">
        <v>5.6899999999999999E-2</v>
      </c>
      <c r="FH65">
        <v>0.16202357103534001</v>
      </c>
      <c r="FI65">
        <v>-6.1462078757559423E-4</v>
      </c>
      <c r="FJ65">
        <v>-1.8861989874597051E-7</v>
      </c>
      <c r="FK65">
        <v>1.1980462299894961E-10</v>
      </c>
      <c r="FL65">
        <v>-3.0039189969545878E-2</v>
      </c>
      <c r="FM65">
        <v>-1.6848085045870601E-2</v>
      </c>
      <c r="FN65">
        <v>1.9789084769509481E-3</v>
      </c>
      <c r="FO65">
        <v>-2.7142391389806329E-5</v>
      </c>
      <c r="FP65">
        <v>3</v>
      </c>
      <c r="FQ65">
        <v>2158</v>
      </c>
      <c r="FR65">
        <v>1</v>
      </c>
      <c r="FS65">
        <v>19</v>
      </c>
      <c r="FT65">
        <v>15.5</v>
      </c>
      <c r="FU65">
        <v>15.5</v>
      </c>
      <c r="FV65">
        <v>1.77979</v>
      </c>
      <c r="FW65">
        <v>2.5769000000000002</v>
      </c>
      <c r="FX65">
        <v>1.5490699999999999</v>
      </c>
      <c r="FY65">
        <v>2.3290999999999999</v>
      </c>
      <c r="FZ65">
        <v>1.50146</v>
      </c>
      <c r="GA65">
        <v>2.3877000000000002</v>
      </c>
      <c r="GB65">
        <v>33.850900000000003</v>
      </c>
      <c r="GC65">
        <v>23.991199999999999</v>
      </c>
      <c r="GD65">
        <v>19</v>
      </c>
      <c r="GE65">
        <v>234.863</v>
      </c>
      <c r="GF65">
        <v>581.08299999999997</v>
      </c>
      <c r="GG65">
        <v>24.949000000000002</v>
      </c>
      <c r="GH65">
        <v>26.4086</v>
      </c>
      <c r="GI65">
        <v>30.0001</v>
      </c>
      <c r="GJ65">
        <v>26.519100000000002</v>
      </c>
      <c r="GK65">
        <v>26.486999999999998</v>
      </c>
      <c r="GL65">
        <v>35.576099999999997</v>
      </c>
      <c r="GM65">
        <v>-30</v>
      </c>
      <c r="GN65">
        <v>-30</v>
      </c>
      <c r="GO65">
        <v>24.965699999999998</v>
      </c>
      <c r="GP65">
        <v>800</v>
      </c>
      <c r="GQ65">
        <v>12.5298</v>
      </c>
      <c r="GR65">
        <v>99.687799999999996</v>
      </c>
      <c r="GS65">
        <v>99.487499999999997</v>
      </c>
    </row>
    <row r="66" spans="1:201" x14ac:dyDescent="0.25">
      <c r="A66">
        <v>50</v>
      </c>
      <c r="B66">
        <v>1690215784.5999999</v>
      </c>
      <c r="C66">
        <v>839.09999990463257</v>
      </c>
      <c r="D66" t="s">
        <v>433</v>
      </c>
      <c r="E66" t="s">
        <v>434</v>
      </c>
      <c r="F66" t="s">
        <v>330</v>
      </c>
      <c r="H66">
        <v>1690215784.5999999</v>
      </c>
      <c r="I66">
        <f t="shared" si="0"/>
        <v>7.9365305753080831E-4</v>
      </c>
      <c r="J66">
        <f t="shared" si="1"/>
        <v>0.79365305753080828</v>
      </c>
      <c r="K66">
        <f t="shared" si="2"/>
        <v>8.2814492364056491</v>
      </c>
      <c r="L66">
        <f t="shared" si="3"/>
        <v>701.01199999999994</v>
      </c>
      <c r="M66">
        <f t="shared" si="4"/>
        <v>245.6169363487943</v>
      </c>
      <c r="N66">
        <f t="shared" si="5"/>
        <v>24.358736381380055</v>
      </c>
      <c r="O66">
        <f t="shared" si="6"/>
        <v>69.521942428005602</v>
      </c>
      <c r="P66">
        <f t="shared" si="7"/>
        <v>3.0630786610265786E-2</v>
      </c>
      <c r="Q66">
        <f t="shared" si="8"/>
        <v>2.0634724395584967</v>
      </c>
      <c r="R66">
        <f t="shared" si="9"/>
        <v>3.0380408794837221E-2</v>
      </c>
      <c r="S66">
        <f t="shared" si="10"/>
        <v>1.9010080262697879E-2</v>
      </c>
      <c r="T66">
        <f t="shared" si="11"/>
        <v>276.11463529728178</v>
      </c>
      <c r="U66">
        <f t="shared" si="12"/>
        <v>28.762753904480661</v>
      </c>
      <c r="V66">
        <f t="shared" si="13"/>
        <v>28.762753904480661</v>
      </c>
      <c r="W66">
        <f t="shared" si="14"/>
        <v>3.9668897785142603</v>
      </c>
      <c r="X66">
        <f t="shared" si="15"/>
        <v>40.90054785884692</v>
      </c>
      <c r="Y66">
        <f t="shared" si="16"/>
        <v>1.4468052034846801</v>
      </c>
      <c r="Z66">
        <f t="shared" si="17"/>
        <v>3.5373736520053276</v>
      </c>
      <c r="AA66">
        <f t="shared" si="18"/>
        <v>2.5200845750295802</v>
      </c>
      <c r="AB66">
        <f t="shared" si="19"/>
        <v>-35.00009983710865</v>
      </c>
      <c r="AC66">
        <f t="shared" si="20"/>
        <v>-218.32612674577533</v>
      </c>
      <c r="AD66">
        <f t="shared" si="21"/>
        <v>-23.013153290960567</v>
      </c>
      <c r="AE66">
        <f t="shared" si="22"/>
        <v>-0.22474457656275604</v>
      </c>
      <c r="AF66">
        <v>46</v>
      </c>
      <c r="AG66">
        <v>15</v>
      </c>
      <c r="AH66">
        <f t="shared" si="23"/>
        <v>1</v>
      </c>
      <c r="AI66">
        <f t="shared" si="24"/>
        <v>0</v>
      </c>
      <c r="AJ66">
        <f t="shared" si="25"/>
        <v>52394.023931671152</v>
      </c>
      <c r="AK66">
        <f t="shared" si="26"/>
        <v>1799.99</v>
      </c>
      <c r="AL66">
        <f t="shared" si="27"/>
        <v>1499.10165021123</v>
      </c>
      <c r="AM66">
        <f t="shared" si="28"/>
        <v>0.83283887699999992</v>
      </c>
      <c r="AN66">
        <f t="shared" si="29"/>
        <v>0.15339787182</v>
      </c>
      <c r="AO66">
        <v>33.6</v>
      </c>
      <c r="AP66">
        <v>0.5</v>
      </c>
      <c r="AQ66" t="s">
        <v>331</v>
      </c>
      <c r="AR66">
        <v>2</v>
      </c>
      <c r="AS66">
        <v>1690215784.5999999</v>
      </c>
      <c r="AT66">
        <v>701.01199999999994</v>
      </c>
      <c r="AU66">
        <v>799.94600000000003</v>
      </c>
      <c r="AV66">
        <v>14.5886</v>
      </c>
      <c r="AW66">
        <v>5.8337399999999997</v>
      </c>
      <c r="AX66">
        <v>701.33199999999999</v>
      </c>
      <c r="AY66">
        <v>14.5289</v>
      </c>
      <c r="AZ66">
        <v>300.14999999999998</v>
      </c>
      <c r="BA66">
        <v>99.073700000000002</v>
      </c>
      <c r="BB66">
        <v>9.9983799999999998E-2</v>
      </c>
      <c r="BC66">
        <v>26.8002</v>
      </c>
      <c r="BD66">
        <v>26.980899999999998</v>
      </c>
      <c r="BE66">
        <v>28.333200000000001</v>
      </c>
      <c r="BF66">
        <v>0</v>
      </c>
      <c r="BG66">
        <v>0</v>
      </c>
      <c r="BH66">
        <v>9994.3799999999992</v>
      </c>
      <c r="BI66">
        <v>1075.8900000000001</v>
      </c>
      <c r="BJ66">
        <v>1.90625</v>
      </c>
      <c r="BK66">
        <v>-98.934100000000001</v>
      </c>
      <c r="BL66">
        <v>711.39</v>
      </c>
      <c r="BM66">
        <v>804.64</v>
      </c>
      <c r="BN66">
        <v>8.7548600000000008</v>
      </c>
      <c r="BO66">
        <v>799.94600000000003</v>
      </c>
      <c r="BP66">
        <v>5.8337399999999997</v>
      </c>
      <c r="BQ66">
        <v>1.4453499999999999</v>
      </c>
      <c r="BR66">
        <v>0.57796999999999998</v>
      </c>
      <c r="BS66">
        <v>12.401899999999999</v>
      </c>
      <c r="BT66">
        <v>-0.82192799999999999</v>
      </c>
      <c r="BU66">
        <v>1799.99</v>
      </c>
      <c r="BV66">
        <v>0.90998299999999999</v>
      </c>
      <c r="BW66">
        <v>3.4004100000000002E-2</v>
      </c>
      <c r="BX66">
        <v>2.20051E-2</v>
      </c>
      <c r="BY66">
        <v>3.4007799999999998E-2</v>
      </c>
      <c r="BZ66">
        <v>25</v>
      </c>
      <c r="CA66">
        <v>33528.199999999997</v>
      </c>
      <c r="CB66">
        <v>1690214843</v>
      </c>
      <c r="CC66" t="s">
        <v>332</v>
      </c>
      <c r="CD66">
        <v>1690214842</v>
      </c>
      <c r="CE66">
        <v>1690214843</v>
      </c>
      <c r="CF66">
        <v>8</v>
      </c>
      <c r="CG66">
        <v>-6.3E-2</v>
      </c>
      <c r="CH66">
        <v>1E-3</v>
      </c>
      <c r="CI66">
        <v>-0.38900000000000001</v>
      </c>
      <c r="CJ66">
        <v>-6.6000000000000003E-2</v>
      </c>
      <c r="CK66">
        <v>800</v>
      </c>
      <c r="CL66">
        <v>6</v>
      </c>
      <c r="CM66">
        <v>0.23</v>
      </c>
      <c r="CN66">
        <v>0.02</v>
      </c>
      <c r="CO66">
        <v>-96.525422499999991</v>
      </c>
      <c r="CP66">
        <v>-13.35667879924949</v>
      </c>
      <c r="CQ66">
        <v>1.2855176193828499</v>
      </c>
      <c r="CR66">
        <v>-1</v>
      </c>
      <c r="CS66">
        <v>8.6206357499999999</v>
      </c>
      <c r="CT66">
        <v>0.72283823639772382</v>
      </c>
      <c r="CU66">
        <v>6.9541783371132343E-2</v>
      </c>
      <c r="CV66">
        <v>-1</v>
      </c>
      <c r="CW66">
        <v>0</v>
      </c>
      <c r="CX66">
        <v>0</v>
      </c>
      <c r="CY66" t="s">
        <v>333</v>
      </c>
      <c r="CZ66">
        <v>2.3642599999999998</v>
      </c>
      <c r="DA66">
        <v>2.7137699999999998</v>
      </c>
      <c r="DB66">
        <v>0.134048</v>
      </c>
      <c r="DC66">
        <v>0.14602399999999999</v>
      </c>
      <c r="DD66">
        <v>7.9741099999999995E-2</v>
      </c>
      <c r="DE66">
        <v>3.8538299999999998E-2</v>
      </c>
      <c r="DF66">
        <v>31603.7</v>
      </c>
      <c r="DG66">
        <v>27500.799999999999</v>
      </c>
      <c r="DH66">
        <v>31157.5</v>
      </c>
      <c r="DI66">
        <v>28061.4</v>
      </c>
      <c r="DJ66">
        <v>38938</v>
      </c>
      <c r="DK66">
        <v>38364.1</v>
      </c>
      <c r="DL66">
        <v>44338</v>
      </c>
      <c r="DM66">
        <v>42527.1</v>
      </c>
      <c r="DN66">
        <v>1.3536999999999999</v>
      </c>
      <c r="DO66">
        <v>2.0321199999999999</v>
      </c>
      <c r="DP66">
        <v>8.3133600000000002E-2</v>
      </c>
      <c r="DQ66">
        <v>0.181176</v>
      </c>
      <c r="DR66">
        <v>25.619800000000001</v>
      </c>
      <c r="DS66">
        <v>25.369499999999999</v>
      </c>
      <c r="DT66">
        <v>17.3</v>
      </c>
      <c r="DU66">
        <v>29.8</v>
      </c>
      <c r="DV66">
        <v>7.3543000000000003</v>
      </c>
      <c r="DW66">
        <v>61.9285</v>
      </c>
      <c r="DX66">
        <v>36.967100000000002</v>
      </c>
      <c r="DY66">
        <v>1</v>
      </c>
      <c r="DZ66">
        <v>-7.8841499999999995E-2</v>
      </c>
      <c r="EA66">
        <v>-0.108295</v>
      </c>
      <c r="EB66">
        <v>20.190000000000001</v>
      </c>
      <c r="EC66">
        <v>5.2409499999999998</v>
      </c>
      <c r="ED66">
        <v>12.039899999999999</v>
      </c>
      <c r="EE66">
        <v>5.0171000000000001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1.86893</v>
      </c>
      <c r="EL66">
        <v>1.8646400000000001</v>
      </c>
      <c r="EM66">
        <v>1.8691899999999999</v>
      </c>
      <c r="EN66">
        <v>1.8672599999999999</v>
      </c>
      <c r="EO66">
        <v>1.8633999999999999</v>
      </c>
      <c r="EP66">
        <v>1.86459</v>
      </c>
      <c r="EQ66">
        <v>1.8702099999999999</v>
      </c>
      <c r="ER66">
        <v>1.86944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-0.32</v>
      </c>
      <c r="FG66">
        <v>5.9700000000000003E-2</v>
      </c>
      <c r="FH66">
        <v>0.16202357103534001</v>
      </c>
      <c r="FI66">
        <v>-6.1462078757559423E-4</v>
      </c>
      <c r="FJ66">
        <v>-1.8861989874597051E-7</v>
      </c>
      <c r="FK66">
        <v>1.1980462299894961E-10</v>
      </c>
      <c r="FL66">
        <v>-3.0039189969545878E-2</v>
      </c>
      <c r="FM66">
        <v>-1.6848085045870601E-2</v>
      </c>
      <c r="FN66">
        <v>1.9789084769509481E-3</v>
      </c>
      <c r="FO66">
        <v>-2.7142391389806329E-5</v>
      </c>
      <c r="FP66">
        <v>3</v>
      </c>
      <c r="FQ66">
        <v>2158</v>
      </c>
      <c r="FR66">
        <v>1</v>
      </c>
      <c r="FS66">
        <v>19</v>
      </c>
      <c r="FT66">
        <v>15.7</v>
      </c>
      <c r="FU66">
        <v>15.7</v>
      </c>
      <c r="FV66">
        <v>1.77979</v>
      </c>
      <c r="FW66">
        <v>2.5756800000000002</v>
      </c>
      <c r="FX66">
        <v>1.5490699999999999</v>
      </c>
      <c r="FY66">
        <v>2.3290999999999999</v>
      </c>
      <c r="FZ66">
        <v>1.50146</v>
      </c>
      <c r="GA66">
        <v>2.3913600000000002</v>
      </c>
      <c r="GB66">
        <v>33.850900000000003</v>
      </c>
      <c r="GC66">
        <v>23.991199999999999</v>
      </c>
      <c r="GD66">
        <v>19</v>
      </c>
      <c r="GE66">
        <v>234.613</v>
      </c>
      <c r="GF66">
        <v>581.30499999999995</v>
      </c>
      <c r="GG66">
        <v>24.9892</v>
      </c>
      <c r="GH66">
        <v>26.404199999999999</v>
      </c>
      <c r="GI66">
        <v>29.9999</v>
      </c>
      <c r="GJ66">
        <v>26.516999999999999</v>
      </c>
      <c r="GK66">
        <v>26.4848</v>
      </c>
      <c r="GL66">
        <v>35.576300000000003</v>
      </c>
      <c r="GM66">
        <v>-30</v>
      </c>
      <c r="GN66">
        <v>-30</v>
      </c>
      <c r="GO66">
        <v>24.9999</v>
      </c>
      <c r="GP66">
        <v>800</v>
      </c>
      <c r="GQ66">
        <v>12.5298</v>
      </c>
      <c r="GR66">
        <v>99.687899999999999</v>
      </c>
      <c r="GS66">
        <v>99.489699999999999</v>
      </c>
    </row>
    <row r="67" spans="1:201" x14ac:dyDescent="0.25">
      <c r="A67">
        <v>51</v>
      </c>
      <c r="B67">
        <v>1690215794.5999999</v>
      </c>
      <c r="C67">
        <v>849.09999990463257</v>
      </c>
      <c r="D67" t="s">
        <v>435</v>
      </c>
      <c r="E67" t="s">
        <v>436</v>
      </c>
      <c r="F67" t="s">
        <v>330</v>
      </c>
      <c r="H67">
        <v>1690215794.5999999</v>
      </c>
      <c r="I67">
        <f t="shared" si="0"/>
        <v>8.0493849560910123E-4</v>
      </c>
      <c r="J67">
        <f t="shared" si="1"/>
        <v>0.80493849560910125</v>
      </c>
      <c r="K67">
        <f t="shared" si="2"/>
        <v>8.4784645997804073</v>
      </c>
      <c r="L67">
        <f t="shared" si="3"/>
        <v>698.75800000000004</v>
      </c>
      <c r="M67">
        <f t="shared" si="4"/>
        <v>241.70053533379172</v>
      </c>
      <c r="N67">
        <f t="shared" si="5"/>
        <v>23.970490344273866</v>
      </c>
      <c r="O67">
        <f t="shared" si="6"/>
        <v>69.298861373445988</v>
      </c>
      <c r="P67">
        <f t="shared" si="7"/>
        <v>3.1227813604771049E-2</v>
      </c>
      <c r="Q67">
        <f t="shared" si="8"/>
        <v>2.0676624618137858</v>
      </c>
      <c r="R67">
        <f t="shared" si="9"/>
        <v>3.0968147663639041E-2</v>
      </c>
      <c r="S67">
        <f t="shared" si="10"/>
        <v>1.9378242176956596E-2</v>
      </c>
      <c r="T67">
        <f t="shared" si="11"/>
        <v>276.11457361162451</v>
      </c>
      <c r="U67">
        <f t="shared" si="12"/>
        <v>28.759599763986273</v>
      </c>
      <c r="V67">
        <f t="shared" si="13"/>
        <v>28.759599763986273</v>
      </c>
      <c r="W67">
        <f t="shared" si="14"/>
        <v>3.9661645417224527</v>
      </c>
      <c r="X67">
        <f t="shared" si="15"/>
        <v>41.231102437751069</v>
      </c>
      <c r="Y67">
        <f t="shared" si="16"/>
        <v>1.4588842495710999</v>
      </c>
      <c r="Z67">
        <f t="shared" si="17"/>
        <v>3.5383100701070509</v>
      </c>
      <c r="AA67">
        <f t="shared" si="18"/>
        <v>2.5072802921513526</v>
      </c>
      <c r="AB67">
        <f t="shared" si="19"/>
        <v>-35.497787656361361</v>
      </c>
      <c r="AC67">
        <f t="shared" si="20"/>
        <v>-217.91623195300741</v>
      </c>
      <c r="AD67">
        <f t="shared" si="21"/>
        <v>-22.923551836749841</v>
      </c>
      <c r="AE67">
        <f t="shared" si="22"/>
        <v>-0.22299783449412303</v>
      </c>
      <c r="AF67">
        <v>46</v>
      </c>
      <c r="AG67">
        <v>15</v>
      </c>
      <c r="AH67">
        <f t="shared" si="23"/>
        <v>1</v>
      </c>
      <c r="AI67">
        <f t="shared" si="24"/>
        <v>0</v>
      </c>
      <c r="AJ67">
        <f t="shared" si="25"/>
        <v>52585.143929033118</v>
      </c>
      <c r="AK67">
        <f t="shared" si="26"/>
        <v>1799.99</v>
      </c>
      <c r="AL67">
        <f t="shared" si="27"/>
        <v>1499.1030506034501</v>
      </c>
      <c r="AM67">
        <f t="shared" si="28"/>
        <v>0.83283965500000001</v>
      </c>
      <c r="AN67">
        <f t="shared" si="29"/>
        <v>0.15339783755</v>
      </c>
      <c r="AO67">
        <v>33.6</v>
      </c>
      <c r="AP67">
        <v>0.5</v>
      </c>
      <c r="AQ67" t="s">
        <v>331</v>
      </c>
      <c r="AR67">
        <v>2</v>
      </c>
      <c r="AS67">
        <v>1690215794.5999999</v>
      </c>
      <c r="AT67">
        <v>698.75800000000004</v>
      </c>
      <c r="AU67">
        <v>799.96100000000001</v>
      </c>
      <c r="AV67">
        <v>14.7103</v>
      </c>
      <c r="AW67">
        <v>5.8324600000000002</v>
      </c>
      <c r="AX67">
        <v>699.077</v>
      </c>
      <c r="AY67">
        <v>14.6478</v>
      </c>
      <c r="AZ67">
        <v>300.16399999999999</v>
      </c>
      <c r="BA67">
        <v>99.074299999999994</v>
      </c>
      <c r="BB67">
        <v>0.100037</v>
      </c>
      <c r="BC67">
        <v>26.8047</v>
      </c>
      <c r="BD67">
        <v>26.9986</v>
      </c>
      <c r="BE67">
        <v>28.341799999999999</v>
      </c>
      <c r="BF67">
        <v>0</v>
      </c>
      <c r="BG67">
        <v>0</v>
      </c>
      <c r="BH67">
        <v>10032.5</v>
      </c>
      <c r="BI67">
        <v>1075.8699999999999</v>
      </c>
      <c r="BJ67">
        <v>1.90625</v>
      </c>
      <c r="BK67">
        <v>-101.202</v>
      </c>
      <c r="BL67">
        <v>709.19100000000003</v>
      </c>
      <c r="BM67">
        <v>804.654</v>
      </c>
      <c r="BN67">
        <v>8.8778400000000008</v>
      </c>
      <c r="BO67">
        <v>799.96100000000001</v>
      </c>
      <c r="BP67">
        <v>5.8324600000000002</v>
      </c>
      <c r="BQ67">
        <v>1.4574100000000001</v>
      </c>
      <c r="BR67">
        <v>0.577847</v>
      </c>
      <c r="BS67">
        <v>12.528499999999999</v>
      </c>
      <c r="BT67">
        <v>-0.82484500000000005</v>
      </c>
      <c r="BU67">
        <v>1799.99</v>
      </c>
      <c r="BV67">
        <v>0.90998800000000002</v>
      </c>
      <c r="BW67">
        <v>3.4002400000000002E-2</v>
      </c>
      <c r="BX67">
        <v>2.2003999999999999E-2</v>
      </c>
      <c r="BY67">
        <v>3.4006099999999997E-2</v>
      </c>
      <c r="BZ67">
        <v>25</v>
      </c>
      <c r="CA67">
        <v>33528.1</v>
      </c>
      <c r="CB67">
        <v>1690214843</v>
      </c>
      <c r="CC67" t="s">
        <v>332</v>
      </c>
      <c r="CD67">
        <v>1690214842</v>
      </c>
      <c r="CE67">
        <v>1690214843</v>
      </c>
      <c r="CF67">
        <v>8</v>
      </c>
      <c r="CG67">
        <v>-6.3E-2</v>
      </c>
      <c r="CH67">
        <v>1E-3</v>
      </c>
      <c r="CI67">
        <v>-0.38900000000000001</v>
      </c>
      <c r="CJ67">
        <v>-6.6000000000000003E-2</v>
      </c>
      <c r="CK67">
        <v>800</v>
      </c>
      <c r="CL67">
        <v>6</v>
      </c>
      <c r="CM67">
        <v>0.23</v>
      </c>
      <c r="CN67">
        <v>0.02</v>
      </c>
      <c r="CO67">
        <v>-98.788085365853661</v>
      </c>
      <c r="CP67">
        <v>-13.34980139372851</v>
      </c>
      <c r="CQ67">
        <v>1.3170519478913421</v>
      </c>
      <c r="CR67">
        <v>-1</v>
      </c>
      <c r="CS67">
        <v>8.7437173170731715</v>
      </c>
      <c r="CT67">
        <v>0.72191853658538674</v>
      </c>
      <c r="CU67">
        <v>7.1189885998024074E-2</v>
      </c>
      <c r="CV67">
        <v>-1</v>
      </c>
      <c r="CW67">
        <v>0</v>
      </c>
      <c r="CX67">
        <v>0</v>
      </c>
      <c r="CY67" t="s">
        <v>333</v>
      </c>
      <c r="CZ67">
        <v>2.3643100000000001</v>
      </c>
      <c r="DA67">
        <v>2.7138599999999999</v>
      </c>
      <c r="DB67">
        <v>0.13375699999999999</v>
      </c>
      <c r="DC67">
        <v>0.14602599999999999</v>
      </c>
      <c r="DD67">
        <v>8.0225400000000002E-2</v>
      </c>
      <c r="DE67">
        <v>3.8531599999999999E-2</v>
      </c>
      <c r="DF67">
        <v>31614.400000000001</v>
      </c>
      <c r="DG67">
        <v>27500.5</v>
      </c>
      <c r="DH67">
        <v>31157.5</v>
      </c>
      <c r="DI67">
        <v>28061.200000000001</v>
      </c>
      <c r="DJ67">
        <v>38917.599999999999</v>
      </c>
      <c r="DK67">
        <v>38364</v>
      </c>
      <c r="DL67">
        <v>44338.3</v>
      </c>
      <c r="DM67">
        <v>42526.7</v>
      </c>
      <c r="DN67">
        <v>1.35385</v>
      </c>
      <c r="DO67">
        <v>2.0321199999999999</v>
      </c>
      <c r="DP67">
        <v>8.4407599999999999E-2</v>
      </c>
      <c r="DQ67">
        <v>0.181835</v>
      </c>
      <c r="DR67">
        <v>25.616700000000002</v>
      </c>
      <c r="DS67">
        <v>25.3673</v>
      </c>
      <c r="DT67">
        <v>17.3</v>
      </c>
      <c r="DU67">
        <v>29.8</v>
      </c>
      <c r="DV67">
        <v>7.3549899999999999</v>
      </c>
      <c r="DW67">
        <v>61.588500000000003</v>
      </c>
      <c r="DX67">
        <v>37.079300000000003</v>
      </c>
      <c r="DY67">
        <v>1</v>
      </c>
      <c r="DZ67">
        <v>-7.9080300000000006E-2</v>
      </c>
      <c r="EA67">
        <v>-9.6181900000000001E-2</v>
      </c>
      <c r="EB67">
        <v>20.190100000000001</v>
      </c>
      <c r="EC67">
        <v>5.2411000000000003</v>
      </c>
      <c r="ED67">
        <v>12.039899999999999</v>
      </c>
      <c r="EE67">
        <v>5.01715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1.8689100000000001</v>
      </c>
      <c r="EL67">
        <v>1.8646499999999999</v>
      </c>
      <c r="EM67">
        <v>1.8691899999999999</v>
      </c>
      <c r="EN67">
        <v>1.86724</v>
      </c>
      <c r="EO67">
        <v>1.8633999999999999</v>
      </c>
      <c r="EP67">
        <v>1.86459</v>
      </c>
      <c r="EQ67">
        <v>1.8701700000000001</v>
      </c>
      <c r="ER67">
        <v>1.8694299999999999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-0.31900000000000001</v>
      </c>
      <c r="FG67">
        <v>6.25E-2</v>
      </c>
      <c r="FH67">
        <v>0.16202357103534001</v>
      </c>
      <c r="FI67">
        <v>-6.1462078757559423E-4</v>
      </c>
      <c r="FJ67">
        <v>-1.8861989874597051E-7</v>
      </c>
      <c r="FK67">
        <v>1.1980462299894961E-10</v>
      </c>
      <c r="FL67">
        <v>-3.0039189969545878E-2</v>
      </c>
      <c r="FM67">
        <v>-1.6848085045870601E-2</v>
      </c>
      <c r="FN67">
        <v>1.9789084769509481E-3</v>
      </c>
      <c r="FO67">
        <v>-2.7142391389806329E-5</v>
      </c>
      <c r="FP67">
        <v>3</v>
      </c>
      <c r="FQ67">
        <v>2158</v>
      </c>
      <c r="FR67">
        <v>1</v>
      </c>
      <c r="FS67">
        <v>19</v>
      </c>
      <c r="FT67">
        <v>15.9</v>
      </c>
      <c r="FU67">
        <v>15.9</v>
      </c>
      <c r="FV67">
        <v>1.77979</v>
      </c>
      <c r="FW67">
        <v>2.5744600000000002</v>
      </c>
      <c r="FX67">
        <v>1.5490699999999999</v>
      </c>
      <c r="FY67">
        <v>2.3290999999999999</v>
      </c>
      <c r="FZ67">
        <v>1.50146</v>
      </c>
      <c r="GA67">
        <v>2.3938000000000001</v>
      </c>
      <c r="GB67">
        <v>33.850900000000003</v>
      </c>
      <c r="GC67">
        <v>23.991199999999999</v>
      </c>
      <c r="GD67">
        <v>19</v>
      </c>
      <c r="GE67">
        <v>234.661</v>
      </c>
      <c r="GF67">
        <v>581.30499999999995</v>
      </c>
      <c r="GG67">
        <v>25.015499999999999</v>
      </c>
      <c r="GH67">
        <v>26.401299999999999</v>
      </c>
      <c r="GI67">
        <v>29.9999</v>
      </c>
      <c r="GJ67">
        <v>26.514700000000001</v>
      </c>
      <c r="GK67">
        <v>26.4848</v>
      </c>
      <c r="GL67">
        <v>35.576099999999997</v>
      </c>
      <c r="GM67">
        <v>-30</v>
      </c>
      <c r="GN67">
        <v>-30</v>
      </c>
      <c r="GO67">
        <v>25.020299999999999</v>
      </c>
      <c r="GP67">
        <v>800</v>
      </c>
      <c r="GQ67">
        <v>12.5298</v>
      </c>
      <c r="GR67">
        <v>99.688299999999998</v>
      </c>
      <c r="GS67">
        <v>99.488900000000001</v>
      </c>
    </row>
    <row r="68" spans="1:201" x14ac:dyDescent="0.25">
      <c r="A68">
        <v>52</v>
      </c>
      <c r="B68">
        <v>1690215804.5999999</v>
      </c>
      <c r="C68">
        <v>859.09999990463257</v>
      </c>
      <c r="D68" t="s">
        <v>437</v>
      </c>
      <c r="E68" t="s">
        <v>438</v>
      </c>
      <c r="F68" t="s">
        <v>330</v>
      </c>
      <c r="H68">
        <v>1690215804.5999999</v>
      </c>
      <c r="I68">
        <f t="shared" si="0"/>
        <v>8.15840237339653E-4</v>
      </c>
      <c r="J68">
        <f t="shared" si="1"/>
        <v>0.81584023733965305</v>
      </c>
      <c r="K68">
        <f t="shared" si="2"/>
        <v>8.6828860504398619</v>
      </c>
      <c r="L68">
        <f t="shared" si="3"/>
        <v>696.54700000000003</v>
      </c>
      <c r="M68">
        <f t="shared" si="4"/>
        <v>236.76852960046884</v>
      </c>
      <c r="N68">
        <f t="shared" si="5"/>
        <v>23.481706917338997</v>
      </c>
      <c r="O68">
        <f t="shared" si="6"/>
        <v>69.080601783317988</v>
      </c>
      <c r="P68">
        <f t="shared" si="7"/>
        <v>3.1771702289305967E-2</v>
      </c>
      <c r="Q68">
        <f t="shared" si="8"/>
        <v>2.0630140639732213</v>
      </c>
      <c r="R68">
        <f t="shared" si="9"/>
        <v>3.1502354470721201E-2</v>
      </c>
      <c r="S68">
        <f t="shared" si="10"/>
        <v>1.9712980958318745E-2</v>
      </c>
      <c r="T68">
        <f t="shared" si="11"/>
        <v>276.11554755600002</v>
      </c>
      <c r="U68">
        <f t="shared" si="12"/>
        <v>28.770262496751862</v>
      </c>
      <c r="V68">
        <f t="shared" si="13"/>
        <v>28.770262496751862</v>
      </c>
      <c r="W68">
        <f t="shared" si="14"/>
        <v>3.9686167070482044</v>
      </c>
      <c r="X68">
        <f t="shared" si="15"/>
        <v>41.536828211342112</v>
      </c>
      <c r="Y68">
        <f t="shared" si="16"/>
        <v>1.4706183437495999</v>
      </c>
      <c r="Z68">
        <f t="shared" si="17"/>
        <v>3.540516710296215</v>
      </c>
      <c r="AA68">
        <f t="shared" si="18"/>
        <v>2.4979983632986045</v>
      </c>
      <c r="AB68">
        <f t="shared" si="19"/>
        <v>-35.978554466678695</v>
      </c>
      <c r="AC68">
        <f t="shared" si="20"/>
        <v>-217.43330263729197</v>
      </c>
      <c r="AD68">
        <f t="shared" si="21"/>
        <v>-22.926718365668222</v>
      </c>
      <c r="AE68">
        <f t="shared" si="22"/>
        <v>-0.22302791363887309</v>
      </c>
      <c r="AF68">
        <v>46</v>
      </c>
      <c r="AG68">
        <v>15</v>
      </c>
      <c r="AH68">
        <f t="shared" si="23"/>
        <v>1</v>
      </c>
      <c r="AI68">
        <f t="shared" si="24"/>
        <v>0</v>
      </c>
      <c r="AJ68">
        <f t="shared" si="25"/>
        <v>52370.468784495053</v>
      </c>
      <c r="AK68">
        <f t="shared" si="26"/>
        <v>1800</v>
      </c>
      <c r="AL68">
        <f t="shared" si="27"/>
        <v>1499.1112926000001</v>
      </c>
      <c r="AM68">
        <f t="shared" si="28"/>
        <v>0.83283960700000004</v>
      </c>
      <c r="AN68">
        <f t="shared" si="29"/>
        <v>0.15339752642000001</v>
      </c>
      <c r="AO68">
        <v>33.6</v>
      </c>
      <c r="AP68">
        <v>0.5</v>
      </c>
      <c r="AQ68" t="s">
        <v>331</v>
      </c>
      <c r="AR68">
        <v>2</v>
      </c>
      <c r="AS68">
        <v>1690215804.5999999</v>
      </c>
      <c r="AT68">
        <v>696.54700000000003</v>
      </c>
      <c r="AU68">
        <v>800.09299999999996</v>
      </c>
      <c r="AV68">
        <v>14.8284</v>
      </c>
      <c r="AW68">
        <v>5.8323</v>
      </c>
      <c r="AX68">
        <v>696.86400000000003</v>
      </c>
      <c r="AY68">
        <v>14.763199999999999</v>
      </c>
      <c r="AZ68">
        <v>300.19400000000002</v>
      </c>
      <c r="BA68">
        <v>99.075800000000001</v>
      </c>
      <c r="BB68">
        <v>9.9994E-2</v>
      </c>
      <c r="BC68">
        <v>26.815300000000001</v>
      </c>
      <c r="BD68">
        <v>27.005099999999999</v>
      </c>
      <c r="BE68">
        <v>28.3582</v>
      </c>
      <c r="BF68">
        <v>0</v>
      </c>
      <c r="BG68">
        <v>0</v>
      </c>
      <c r="BH68">
        <v>9990</v>
      </c>
      <c r="BI68">
        <v>1075.99</v>
      </c>
      <c r="BJ68">
        <v>1.90625</v>
      </c>
      <c r="BK68">
        <v>-103.547</v>
      </c>
      <c r="BL68">
        <v>707.03099999999995</v>
      </c>
      <c r="BM68">
        <v>804.78700000000003</v>
      </c>
      <c r="BN68">
        <v>8.9961300000000008</v>
      </c>
      <c r="BO68">
        <v>800.09299999999996</v>
      </c>
      <c r="BP68">
        <v>5.8323</v>
      </c>
      <c r="BQ68">
        <v>1.4691399999999999</v>
      </c>
      <c r="BR68">
        <v>0.57784000000000002</v>
      </c>
      <c r="BS68">
        <v>12.650700000000001</v>
      </c>
      <c r="BT68">
        <v>-0.82501999999999998</v>
      </c>
      <c r="BU68">
        <v>1800</v>
      </c>
      <c r="BV68">
        <v>0.909995</v>
      </c>
      <c r="BW68">
        <v>3.3999399999999999E-2</v>
      </c>
      <c r="BX68">
        <v>2.20021E-2</v>
      </c>
      <c r="BY68">
        <v>3.4003199999999997E-2</v>
      </c>
      <c r="BZ68">
        <v>25</v>
      </c>
      <c r="CA68">
        <v>33528.300000000003</v>
      </c>
      <c r="CB68">
        <v>1690214843</v>
      </c>
      <c r="CC68" t="s">
        <v>332</v>
      </c>
      <c r="CD68">
        <v>1690214842</v>
      </c>
      <c r="CE68">
        <v>1690214843</v>
      </c>
      <c r="CF68">
        <v>8</v>
      </c>
      <c r="CG68">
        <v>-6.3E-2</v>
      </c>
      <c r="CH68">
        <v>1E-3</v>
      </c>
      <c r="CI68">
        <v>-0.38900000000000001</v>
      </c>
      <c r="CJ68">
        <v>-6.6000000000000003E-2</v>
      </c>
      <c r="CK68">
        <v>800</v>
      </c>
      <c r="CL68">
        <v>6</v>
      </c>
      <c r="CM68">
        <v>0.23</v>
      </c>
      <c r="CN68">
        <v>0.02</v>
      </c>
      <c r="CO68">
        <v>-101.00490000000001</v>
      </c>
      <c r="CP68">
        <v>-13.465507317072991</v>
      </c>
      <c r="CQ68">
        <v>1.3279922716862991</v>
      </c>
      <c r="CR68">
        <v>-1</v>
      </c>
      <c r="CS68">
        <v>8.8644385365853644</v>
      </c>
      <c r="CT68">
        <v>0.72755749128918656</v>
      </c>
      <c r="CU68">
        <v>7.1745584773167573E-2</v>
      </c>
      <c r="CV68">
        <v>-1</v>
      </c>
      <c r="CW68">
        <v>0</v>
      </c>
      <c r="CX68">
        <v>0</v>
      </c>
      <c r="CY68" t="s">
        <v>333</v>
      </c>
      <c r="CZ68">
        <v>2.3644099999999999</v>
      </c>
      <c r="DA68">
        <v>2.7137799999999999</v>
      </c>
      <c r="DB68">
        <v>0.13347100000000001</v>
      </c>
      <c r="DC68">
        <v>0.14604500000000001</v>
      </c>
      <c r="DD68">
        <v>8.0694299999999997E-2</v>
      </c>
      <c r="DE68">
        <v>3.8531299999999997E-2</v>
      </c>
      <c r="DF68">
        <v>31625.1</v>
      </c>
      <c r="DG68">
        <v>27500</v>
      </c>
      <c r="DH68">
        <v>31157.8</v>
      </c>
      <c r="DI68">
        <v>28061.3</v>
      </c>
      <c r="DJ68">
        <v>38898.1</v>
      </c>
      <c r="DK68">
        <v>38364.1</v>
      </c>
      <c r="DL68">
        <v>44338.9</v>
      </c>
      <c r="DM68">
        <v>42526.8</v>
      </c>
      <c r="DN68">
        <v>1.3546</v>
      </c>
      <c r="DO68">
        <v>2.0321500000000001</v>
      </c>
      <c r="DP68">
        <v>8.4940299999999996E-2</v>
      </c>
      <c r="DQ68">
        <v>0.182837</v>
      </c>
      <c r="DR68">
        <v>25.6144</v>
      </c>
      <c r="DS68">
        <v>25.3673</v>
      </c>
      <c r="DT68">
        <v>17.3</v>
      </c>
      <c r="DU68">
        <v>29.8</v>
      </c>
      <c r="DV68">
        <v>7.3539899999999996</v>
      </c>
      <c r="DW68">
        <v>61.8185</v>
      </c>
      <c r="DX68">
        <v>37.215499999999999</v>
      </c>
      <c r="DY68">
        <v>1</v>
      </c>
      <c r="DZ68">
        <v>-7.9151399999999997E-2</v>
      </c>
      <c r="EA68">
        <v>-8.6691199999999996E-2</v>
      </c>
      <c r="EB68">
        <v>20.189900000000002</v>
      </c>
      <c r="EC68">
        <v>5.2401999999999997</v>
      </c>
      <c r="ED68">
        <v>12.039899999999999</v>
      </c>
      <c r="EE68">
        <v>5.016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1.8689100000000001</v>
      </c>
      <c r="EL68">
        <v>1.8646499999999999</v>
      </c>
      <c r="EM68">
        <v>1.86917</v>
      </c>
      <c r="EN68">
        <v>1.8672599999999999</v>
      </c>
      <c r="EO68">
        <v>1.8633999999999999</v>
      </c>
      <c r="EP68">
        <v>1.86459</v>
      </c>
      <c r="EQ68">
        <v>1.8701700000000001</v>
      </c>
      <c r="ER68">
        <v>1.8694599999999999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-0.317</v>
      </c>
      <c r="FG68">
        <v>6.5199999999999994E-2</v>
      </c>
      <c r="FH68">
        <v>0.16202357103534001</v>
      </c>
      <c r="FI68">
        <v>-6.1462078757559423E-4</v>
      </c>
      <c r="FJ68">
        <v>-1.8861989874597051E-7</v>
      </c>
      <c r="FK68">
        <v>1.1980462299894961E-10</v>
      </c>
      <c r="FL68">
        <v>-3.0039189969545878E-2</v>
      </c>
      <c r="FM68">
        <v>-1.6848085045870601E-2</v>
      </c>
      <c r="FN68">
        <v>1.9789084769509481E-3</v>
      </c>
      <c r="FO68">
        <v>-2.7142391389806329E-5</v>
      </c>
      <c r="FP68">
        <v>3</v>
      </c>
      <c r="FQ68">
        <v>2158</v>
      </c>
      <c r="FR68">
        <v>1</v>
      </c>
      <c r="FS68">
        <v>19</v>
      </c>
      <c r="FT68">
        <v>16</v>
      </c>
      <c r="FU68">
        <v>16</v>
      </c>
      <c r="FV68">
        <v>1.77979</v>
      </c>
      <c r="FW68">
        <v>2.5769000000000002</v>
      </c>
      <c r="FX68">
        <v>1.5490699999999999</v>
      </c>
      <c r="FY68">
        <v>2.3290999999999999</v>
      </c>
      <c r="FZ68">
        <v>1.50146</v>
      </c>
      <c r="GA68">
        <v>2.3962400000000001</v>
      </c>
      <c r="GB68">
        <v>33.850900000000003</v>
      </c>
      <c r="GC68">
        <v>23.991199999999999</v>
      </c>
      <c r="GD68">
        <v>19</v>
      </c>
      <c r="GE68">
        <v>234.94</v>
      </c>
      <c r="GF68">
        <v>581.32600000000002</v>
      </c>
      <c r="GG68">
        <v>25.0303</v>
      </c>
      <c r="GH68">
        <v>26.397500000000001</v>
      </c>
      <c r="GI68">
        <v>30</v>
      </c>
      <c r="GJ68">
        <v>26.514500000000002</v>
      </c>
      <c r="GK68">
        <v>26.4848</v>
      </c>
      <c r="GL68">
        <v>35.572000000000003</v>
      </c>
      <c r="GM68">
        <v>-30</v>
      </c>
      <c r="GN68">
        <v>-30</v>
      </c>
      <c r="GO68">
        <v>25.032599999999999</v>
      </c>
      <c r="GP68">
        <v>800</v>
      </c>
      <c r="GQ68">
        <v>12.5298</v>
      </c>
      <c r="GR68">
        <v>99.689499999999995</v>
      </c>
      <c r="GS68">
        <v>99.489099999999993</v>
      </c>
    </row>
    <row r="69" spans="1:201" x14ac:dyDescent="0.25">
      <c r="A69">
        <v>53</v>
      </c>
      <c r="B69">
        <v>1690215814.5999999</v>
      </c>
      <c r="C69">
        <v>869.09999990463257</v>
      </c>
      <c r="D69" t="s">
        <v>439</v>
      </c>
      <c r="E69" t="s">
        <v>440</v>
      </c>
      <c r="F69" t="s">
        <v>330</v>
      </c>
      <c r="H69">
        <v>1690215814.5999999</v>
      </c>
      <c r="I69">
        <f t="shared" si="0"/>
        <v>8.2668904208826216E-4</v>
      </c>
      <c r="J69">
        <f t="shared" si="1"/>
        <v>0.8266890420882621</v>
      </c>
      <c r="K69">
        <f t="shared" si="2"/>
        <v>8.8610864578137623</v>
      </c>
      <c r="L69">
        <f t="shared" si="3"/>
        <v>694.37300000000005</v>
      </c>
      <c r="M69">
        <f t="shared" si="4"/>
        <v>233.98256437109069</v>
      </c>
      <c r="N69">
        <f t="shared" si="5"/>
        <v>23.204502962995431</v>
      </c>
      <c r="O69">
        <f t="shared" si="6"/>
        <v>68.862311938636012</v>
      </c>
      <c r="P69">
        <f t="shared" si="7"/>
        <v>3.2368255935957213E-2</v>
      </c>
      <c r="Q69">
        <f t="shared" si="8"/>
        <v>2.0631082917826125</v>
      </c>
      <c r="R69">
        <f t="shared" si="9"/>
        <v>3.2088759125818204E-2</v>
      </c>
      <c r="S69">
        <f t="shared" si="10"/>
        <v>2.0080384883101758E-2</v>
      </c>
      <c r="T69">
        <f t="shared" si="11"/>
        <v>276.115494996</v>
      </c>
      <c r="U69">
        <f t="shared" si="12"/>
        <v>28.763291987986381</v>
      </c>
      <c r="V69">
        <f t="shared" si="13"/>
        <v>28.763291987986381</v>
      </c>
      <c r="W69">
        <f t="shared" si="14"/>
        <v>3.9670135125003969</v>
      </c>
      <c r="X69">
        <f t="shared" si="15"/>
        <v>41.873683448895555</v>
      </c>
      <c r="Y69">
        <f t="shared" si="16"/>
        <v>1.4822831988312</v>
      </c>
      <c r="Z69">
        <f t="shared" si="17"/>
        <v>3.5398920676282088</v>
      </c>
      <c r="AA69">
        <f t="shared" si="18"/>
        <v>2.4847303136691972</v>
      </c>
      <c r="AB69">
        <f t="shared" si="19"/>
        <v>-36.456986756092363</v>
      </c>
      <c r="AC69">
        <f t="shared" si="20"/>
        <v>-217.00160888948164</v>
      </c>
      <c r="AD69">
        <f t="shared" si="21"/>
        <v>-22.879015854794758</v>
      </c>
      <c r="AE69">
        <f t="shared" si="22"/>
        <v>-0.22211650436878472</v>
      </c>
      <c r="AF69">
        <v>47</v>
      </c>
      <c r="AG69">
        <v>16</v>
      </c>
      <c r="AH69">
        <f t="shared" si="23"/>
        <v>1</v>
      </c>
      <c r="AI69">
        <f t="shared" si="24"/>
        <v>0</v>
      </c>
      <c r="AJ69">
        <f t="shared" si="25"/>
        <v>52375.217603432262</v>
      </c>
      <c r="AK69">
        <f t="shared" si="26"/>
        <v>1800</v>
      </c>
      <c r="AL69">
        <f t="shared" si="27"/>
        <v>1499.1133895999999</v>
      </c>
      <c r="AM69">
        <f t="shared" si="28"/>
        <v>0.83284077199999995</v>
      </c>
      <c r="AN69">
        <f t="shared" si="29"/>
        <v>0.15339749722000001</v>
      </c>
      <c r="AO69">
        <v>33.6</v>
      </c>
      <c r="AP69">
        <v>0.5</v>
      </c>
      <c r="AQ69" t="s">
        <v>331</v>
      </c>
      <c r="AR69">
        <v>2</v>
      </c>
      <c r="AS69">
        <v>1690215814.5999999</v>
      </c>
      <c r="AT69">
        <v>694.37300000000005</v>
      </c>
      <c r="AU69">
        <v>799.98400000000004</v>
      </c>
      <c r="AV69">
        <v>14.9466</v>
      </c>
      <c r="AW69">
        <v>5.8314500000000002</v>
      </c>
      <c r="AX69">
        <v>694.68899999999996</v>
      </c>
      <c r="AY69">
        <v>14.8786</v>
      </c>
      <c r="AZ69">
        <v>300.17700000000002</v>
      </c>
      <c r="BA69">
        <v>99.071899999999999</v>
      </c>
      <c r="BB69">
        <v>0.100032</v>
      </c>
      <c r="BC69">
        <v>26.8123</v>
      </c>
      <c r="BD69">
        <v>27.002300000000002</v>
      </c>
      <c r="BE69">
        <v>28.3614</v>
      </c>
      <c r="BF69">
        <v>0</v>
      </c>
      <c r="BG69">
        <v>0</v>
      </c>
      <c r="BH69">
        <v>9991.25</v>
      </c>
      <c r="BI69">
        <v>1075.92</v>
      </c>
      <c r="BJ69">
        <v>1.90625</v>
      </c>
      <c r="BK69">
        <v>-105.611</v>
      </c>
      <c r="BL69">
        <v>704.90899999999999</v>
      </c>
      <c r="BM69">
        <v>804.67700000000002</v>
      </c>
      <c r="BN69">
        <v>9.1151099999999996</v>
      </c>
      <c r="BO69">
        <v>799.98400000000004</v>
      </c>
      <c r="BP69">
        <v>5.8314500000000002</v>
      </c>
      <c r="BQ69">
        <v>1.48078</v>
      </c>
      <c r="BR69">
        <v>0.57773300000000005</v>
      </c>
      <c r="BS69">
        <v>12.7712</v>
      </c>
      <c r="BT69">
        <v>-0.827542</v>
      </c>
      <c r="BU69">
        <v>1800</v>
      </c>
      <c r="BV69">
        <v>0.91000199999999998</v>
      </c>
      <c r="BW69">
        <v>3.3997100000000002E-2</v>
      </c>
      <c r="BX69">
        <v>2.2000599999999999E-2</v>
      </c>
      <c r="BY69">
        <v>3.4000799999999998E-2</v>
      </c>
      <c r="BZ69">
        <v>25</v>
      </c>
      <c r="CA69">
        <v>33528.400000000001</v>
      </c>
      <c r="CB69">
        <v>1690214843</v>
      </c>
      <c r="CC69" t="s">
        <v>332</v>
      </c>
      <c r="CD69">
        <v>1690214842</v>
      </c>
      <c r="CE69">
        <v>1690214843</v>
      </c>
      <c r="CF69">
        <v>8</v>
      </c>
      <c r="CG69">
        <v>-6.3E-2</v>
      </c>
      <c r="CH69">
        <v>1E-3</v>
      </c>
      <c r="CI69">
        <v>-0.38900000000000001</v>
      </c>
      <c r="CJ69">
        <v>-6.6000000000000003E-2</v>
      </c>
      <c r="CK69">
        <v>800</v>
      </c>
      <c r="CL69">
        <v>6</v>
      </c>
      <c r="CM69">
        <v>0.23</v>
      </c>
      <c r="CN69">
        <v>0.02</v>
      </c>
      <c r="CO69">
        <v>-103.40537500000001</v>
      </c>
      <c r="CP69">
        <v>-13.232589118198559</v>
      </c>
      <c r="CQ69">
        <v>1.27363683378544</v>
      </c>
      <c r="CR69">
        <v>-1</v>
      </c>
      <c r="CS69">
        <v>8.9935495000000003</v>
      </c>
      <c r="CT69">
        <v>0.70812787992493609</v>
      </c>
      <c r="CU69">
        <v>6.812192352502984E-2</v>
      </c>
      <c r="CV69">
        <v>-1</v>
      </c>
      <c r="CW69">
        <v>0</v>
      </c>
      <c r="CX69">
        <v>0</v>
      </c>
      <c r="CY69" t="s">
        <v>333</v>
      </c>
      <c r="CZ69">
        <v>2.36436</v>
      </c>
      <c r="DA69">
        <v>2.7138200000000001</v>
      </c>
      <c r="DB69">
        <v>0.133183</v>
      </c>
      <c r="DC69">
        <v>0.14602699999999999</v>
      </c>
      <c r="DD69">
        <v>8.1157800000000002E-2</v>
      </c>
      <c r="DE69">
        <v>3.8525499999999997E-2</v>
      </c>
      <c r="DF69">
        <v>31635.4</v>
      </c>
      <c r="DG69">
        <v>27501.1</v>
      </c>
      <c r="DH69">
        <v>31157.599999999999</v>
      </c>
      <c r="DI69">
        <v>28061.8</v>
      </c>
      <c r="DJ69">
        <v>38877.9</v>
      </c>
      <c r="DK69">
        <v>38365.199999999997</v>
      </c>
      <c r="DL69">
        <v>44338.5</v>
      </c>
      <c r="DM69">
        <v>42527.7</v>
      </c>
      <c r="DN69">
        <v>1.3536999999999999</v>
      </c>
      <c r="DO69">
        <v>2.0320999999999998</v>
      </c>
      <c r="DP69">
        <v>8.48994E-2</v>
      </c>
      <c r="DQ69">
        <v>0.183035</v>
      </c>
      <c r="DR69">
        <v>25.612300000000001</v>
      </c>
      <c r="DS69">
        <v>25.3673</v>
      </c>
      <c r="DT69">
        <v>17.3</v>
      </c>
      <c r="DU69">
        <v>29.8</v>
      </c>
      <c r="DV69">
        <v>7.35595</v>
      </c>
      <c r="DW69">
        <v>61.808500000000002</v>
      </c>
      <c r="DX69">
        <v>37.3277</v>
      </c>
      <c r="DY69">
        <v>1</v>
      </c>
      <c r="DZ69">
        <v>-7.8409599999999996E-2</v>
      </c>
      <c r="EA69">
        <v>0.71863600000000005</v>
      </c>
      <c r="EB69">
        <v>20.1874</v>
      </c>
      <c r="EC69">
        <v>5.2409499999999998</v>
      </c>
      <c r="ED69">
        <v>12.039899999999999</v>
      </c>
      <c r="EE69">
        <v>5.0164499999999999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1.86893</v>
      </c>
      <c r="EL69">
        <v>1.8646400000000001</v>
      </c>
      <c r="EM69">
        <v>1.8692</v>
      </c>
      <c r="EN69">
        <v>1.8672200000000001</v>
      </c>
      <c r="EO69">
        <v>1.8633999999999999</v>
      </c>
      <c r="EP69">
        <v>1.86459</v>
      </c>
      <c r="EQ69">
        <v>1.87016</v>
      </c>
      <c r="ER69">
        <v>1.86941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-0.316</v>
      </c>
      <c r="FG69">
        <v>6.8000000000000005E-2</v>
      </c>
      <c r="FH69">
        <v>0.16202357103534001</v>
      </c>
      <c r="FI69">
        <v>-6.1462078757559423E-4</v>
      </c>
      <c r="FJ69">
        <v>-1.8861989874597051E-7</v>
      </c>
      <c r="FK69">
        <v>1.1980462299894961E-10</v>
      </c>
      <c r="FL69">
        <v>-3.0039189969545878E-2</v>
      </c>
      <c r="FM69">
        <v>-1.6848085045870601E-2</v>
      </c>
      <c r="FN69">
        <v>1.9789084769509481E-3</v>
      </c>
      <c r="FO69">
        <v>-2.7142391389806329E-5</v>
      </c>
      <c r="FP69">
        <v>3</v>
      </c>
      <c r="FQ69">
        <v>2158</v>
      </c>
      <c r="FR69">
        <v>1</v>
      </c>
      <c r="FS69">
        <v>19</v>
      </c>
      <c r="FT69">
        <v>16.2</v>
      </c>
      <c r="FU69">
        <v>16.2</v>
      </c>
      <c r="FV69">
        <v>1.77979</v>
      </c>
      <c r="FW69">
        <v>2.5769000000000002</v>
      </c>
      <c r="FX69">
        <v>1.5490699999999999</v>
      </c>
      <c r="FY69">
        <v>2.3290999999999999</v>
      </c>
      <c r="FZ69">
        <v>1.50146</v>
      </c>
      <c r="GA69">
        <v>2.3986800000000001</v>
      </c>
      <c r="GB69">
        <v>33.850900000000003</v>
      </c>
      <c r="GC69">
        <v>23.991199999999999</v>
      </c>
      <c r="GD69">
        <v>19</v>
      </c>
      <c r="GE69">
        <v>234.59800000000001</v>
      </c>
      <c r="GF69">
        <v>581.26</v>
      </c>
      <c r="GG69">
        <v>24.867899999999999</v>
      </c>
      <c r="GH69">
        <v>26.394100000000002</v>
      </c>
      <c r="GI69">
        <v>30.000599999999999</v>
      </c>
      <c r="GJ69">
        <v>26.512499999999999</v>
      </c>
      <c r="GK69">
        <v>26.482500000000002</v>
      </c>
      <c r="GL69">
        <v>35.571300000000001</v>
      </c>
      <c r="GM69">
        <v>-30</v>
      </c>
      <c r="GN69">
        <v>-30</v>
      </c>
      <c r="GO69">
        <v>24.8001</v>
      </c>
      <c r="GP69">
        <v>800</v>
      </c>
      <c r="GQ69">
        <v>12.5298</v>
      </c>
      <c r="GR69">
        <v>99.688699999999997</v>
      </c>
      <c r="GS69">
        <v>99.491100000000003</v>
      </c>
    </row>
    <row r="70" spans="1:201" x14ac:dyDescent="0.25">
      <c r="A70">
        <v>54</v>
      </c>
      <c r="B70">
        <v>1690215824.5999999</v>
      </c>
      <c r="C70">
        <v>879.09999990463257</v>
      </c>
      <c r="D70" t="s">
        <v>441</v>
      </c>
      <c r="E70" t="s">
        <v>442</v>
      </c>
      <c r="F70" t="s">
        <v>330</v>
      </c>
      <c r="H70">
        <v>1690215824.5999999</v>
      </c>
      <c r="I70">
        <f t="shared" si="0"/>
        <v>8.3673191556646125E-4</v>
      </c>
      <c r="J70">
        <f t="shared" si="1"/>
        <v>0.8367319155664612</v>
      </c>
      <c r="K70">
        <f t="shared" si="2"/>
        <v>9.0534209456662165</v>
      </c>
      <c r="L70">
        <f t="shared" si="3"/>
        <v>692.21</v>
      </c>
      <c r="M70">
        <f t="shared" si="4"/>
        <v>230.53285494829771</v>
      </c>
      <c r="N70">
        <f t="shared" si="5"/>
        <v>22.862304470206389</v>
      </c>
      <c r="O70">
        <f t="shared" si="6"/>
        <v>68.647550393070006</v>
      </c>
      <c r="P70">
        <f t="shared" si="7"/>
        <v>3.2962127625553693E-2</v>
      </c>
      <c r="Q70">
        <f t="shared" si="8"/>
        <v>2.0631049643973127</v>
      </c>
      <c r="R70">
        <f t="shared" si="9"/>
        <v>3.2672329754502787E-2</v>
      </c>
      <c r="S70">
        <f t="shared" si="10"/>
        <v>2.0446030835914973E-2</v>
      </c>
      <c r="T70">
        <f t="shared" si="11"/>
        <v>276.11374396023376</v>
      </c>
      <c r="U70">
        <f t="shared" si="12"/>
        <v>28.745102024030412</v>
      </c>
      <c r="V70">
        <f t="shared" si="13"/>
        <v>28.745102024030412</v>
      </c>
      <c r="W70">
        <f t="shared" si="14"/>
        <v>3.9628325391566275</v>
      </c>
      <c r="X70">
        <f t="shared" si="15"/>
        <v>42.210647515881014</v>
      </c>
      <c r="Y70">
        <f t="shared" si="16"/>
        <v>1.4929287696180003</v>
      </c>
      <c r="Z70">
        <f t="shared" si="17"/>
        <v>3.5368535132191754</v>
      </c>
      <c r="AA70">
        <f t="shared" si="18"/>
        <v>2.469903769538627</v>
      </c>
      <c r="AB70">
        <f t="shared" si="19"/>
        <v>-36.899877476480938</v>
      </c>
      <c r="AC70">
        <f t="shared" si="20"/>
        <v>-216.60196116560016</v>
      </c>
      <c r="AD70">
        <f t="shared" si="21"/>
        <v>-22.83318188358993</v>
      </c>
      <c r="AE70">
        <f t="shared" si="22"/>
        <v>-0.22127656543725038</v>
      </c>
      <c r="AF70">
        <v>47</v>
      </c>
      <c r="AG70">
        <v>16</v>
      </c>
      <c r="AH70">
        <f t="shared" si="23"/>
        <v>1</v>
      </c>
      <c r="AI70">
        <f t="shared" si="24"/>
        <v>0</v>
      </c>
      <c r="AJ70">
        <f t="shared" si="25"/>
        <v>52377.609645354685</v>
      </c>
      <c r="AK70">
        <f t="shared" si="26"/>
        <v>1799.99</v>
      </c>
      <c r="AL70">
        <f t="shared" si="27"/>
        <v>1499.10578298827</v>
      </c>
      <c r="AM70">
        <f t="shared" si="28"/>
        <v>0.83284117300000005</v>
      </c>
      <c r="AN70">
        <f t="shared" si="29"/>
        <v>0.15339737663000003</v>
      </c>
      <c r="AO70">
        <v>33.6</v>
      </c>
      <c r="AP70">
        <v>0.5</v>
      </c>
      <c r="AQ70" t="s">
        <v>331</v>
      </c>
      <c r="AR70">
        <v>2</v>
      </c>
      <c r="AS70">
        <v>1690215824.5999999</v>
      </c>
      <c r="AT70">
        <v>692.21</v>
      </c>
      <c r="AU70">
        <v>800.01300000000003</v>
      </c>
      <c r="AV70">
        <v>15.054</v>
      </c>
      <c r="AW70">
        <v>5.8307200000000003</v>
      </c>
      <c r="AX70">
        <v>692.524</v>
      </c>
      <c r="AY70">
        <v>14.983499999999999</v>
      </c>
      <c r="AZ70">
        <v>300.22899999999998</v>
      </c>
      <c r="BA70">
        <v>99.071600000000004</v>
      </c>
      <c r="BB70">
        <v>9.9967E-2</v>
      </c>
      <c r="BC70">
        <v>26.797699999999999</v>
      </c>
      <c r="BD70">
        <v>26.9893</v>
      </c>
      <c r="BE70">
        <v>28.331499999999998</v>
      </c>
      <c r="BF70">
        <v>0</v>
      </c>
      <c r="BG70">
        <v>0</v>
      </c>
      <c r="BH70">
        <v>9991.25</v>
      </c>
      <c r="BI70">
        <v>1076.05</v>
      </c>
      <c r="BJ70">
        <v>1.90625</v>
      </c>
      <c r="BK70">
        <v>-107.803</v>
      </c>
      <c r="BL70">
        <v>702.79</v>
      </c>
      <c r="BM70">
        <v>804.70500000000004</v>
      </c>
      <c r="BN70">
        <v>9.2232299999999992</v>
      </c>
      <c r="BO70">
        <v>800.01300000000003</v>
      </c>
      <c r="BP70">
        <v>5.8307200000000003</v>
      </c>
      <c r="BQ70">
        <v>1.49142</v>
      </c>
      <c r="BR70">
        <v>0.57765900000000003</v>
      </c>
      <c r="BS70">
        <v>12.8805</v>
      </c>
      <c r="BT70">
        <v>-0.82929799999999998</v>
      </c>
      <c r="BU70">
        <v>1799.99</v>
      </c>
      <c r="BV70">
        <v>0.91000700000000001</v>
      </c>
      <c r="BW70">
        <v>3.3995200000000003E-2</v>
      </c>
      <c r="BX70">
        <v>2.1999399999999999E-2</v>
      </c>
      <c r="BY70">
        <v>3.3998899999999999E-2</v>
      </c>
      <c r="BZ70">
        <v>25</v>
      </c>
      <c r="CA70">
        <v>33528.300000000003</v>
      </c>
      <c r="CB70">
        <v>1690214843</v>
      </c>
      <c r="CC70" t="s">
        <v>332</v>
      </c>
      <c r="CD70">
        <v>1690214842</v>
      </c>
      <c r="CE70">
        <v>1690214843</v>
      </c>
      <c r="CF70">
        <v>8</v>
      </c>
      <c r="CG70">
        <v>-6.3E-2</v>
      </c>
      <c r="CH70">
        <v>1E-3</v>
      </c>
      <c r="CI70">
        <v>-0.38900000000000001</v>
      </c>
      <c r="CJ70">
        <v>-6.6000000000000003E-2</v>
      </c>
      <c r="CK70">
        <v>800</v>
      </c>
      <c r="CL70">
        <v>6</v>
      </c>
      <c r="CM70">
        <v>0.23</v>
      </c>
      <c r="CN70">
        <v>0.02</v>
      </c>
      <c r="CO70">
        <v>-105.43260975609751</v>
      </c>
      <c r="CP70">
        <v>-12.86989547038327</v>
      </c>
      <c r="CQ70">
        <v>1.269404563277867</v>
      </c>
      <c r="CR70">
        <v>-1</v>
      </c>
      <c r="CS70">
        <v>9.1013648780487806</v>
      </c>
      <c r="CT70">
        <v>0.68829031358884873</v>
      </c>
      <c r="CU70">
        <v>6.7880038199464116E-2</v>
      </c>
      <c r="CV70">
        <v>-1</v>
      </c>
      <c r="CW70">
        <v>0</v>
      </c>
      <c r="CX70">
        <v>0</v>
      </c>
      <c r="CY70" t="s">
        <v>333</v>
      </c>
      <c r="CZ70">
        <v>2.3645200000000002</v>
      </c>
      <c r="DA70">
        <v>2.7137500000000001</v>
      </c>
      <c r="DB70">
        <v>0.13290099999999999</v>
      </c>
      <c r="DC70">
        <v>0.14602999999999999</v>
      </c>
      <c r="DD70">
        <v>8.15805E-2</v>
      </c>
      <c r="DE70">
        <v>3.8521399999999997E-2</v>
      </c>
      <c r="DF70">
        <v>31645.7</v>
      </c>
      <c r="DG70">
        <v>27500.799999999999</v>
      </c>
      <c r="DH70">
        <v>31157.5</v>
      </c>
      <c r="DI70">
        <v>28061.599999999999</v>
      </c>
      <c r="DJ70">
        <v>38859.800000000003</v>
      </c>
      <c r="DK70">
        <v>38365.199999999997</v>
      </c>
      <c r="DL70">
        <v>44338.400000000001</v>
      </c>
      <c r="DM70">
        <v>42527.6</v>
      </c>
      <c r="DN70">
        <v>1.3536300000000001</v>
      </c>
      <c r="DO70">
        <v>2.03207</v>
      </c>
      <c r="DP70">
        <v>8.4102200000000002E-2</v>
      </c>
      <c r="DQ70">
        <v>0.18107500000000001</v>
      </c>
      <c r="DR70">
        <v>25.612300000000001</v>
      </c>
      <c r="DS70">
        <v>25.369499999999999</v>
      </c>
      <c r="DT70">
        <v>17.3</v>
      </c>
      <c r="DU70">
        <v>29.8</v>
      </c>
      <c r="DV70">
        <v>7.3537800000000004</v>
      </c>
      <c r="DW70">
        <v>61.228499999999997</v>
      </c>
      <c r="DX70">
        <v>37.167499999999997</v>
      </c>
      <c r="DY70">
        <v>1</v>
      </c>
      <c r="DZ70">
        <v>-7.8683900000000001E-2</v>
      </c>
      <c r="EA70">
        <v>0.19034300000000001</v>
      </c>
      <c r="EB70">
        <v>20.189800000000002</v>
      </c>
      <c r="EC70">
        <v>5.24125</v>
      </c>
      <c r="ED70">
        <v>12.039899999999999</v>
      </c>
      <c r="EE70">
        <v>5.0164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</v>
      </c>
      <c r="EL70">
        <v>1.8646400000000001</v>
      </c>
      <c r="EM70">
        <v>1.8691899999999999</v>
      </c>
      <c r="EN70">
        <v>1.8672200000000001</v>
      </c>
      <c r="EO70">
        <v>1.8633999999999999</v>
      </c>
      <c r="EP70">
        <v>1.8645799999999999</v>
      </c>
      <c r="EQ70">
        <v>1.8701700000000001</v>
      </c>
      <c r="ER70">
        <v>1.86944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-0.314</v>
      </c>
      <c r="FG70">
        <v>7.0499999999999993E-2</v>
      </c>
      <c r="FH70">
        <v>0.16202357103534001</v>
      </c>
      <c r="FI70">
        <v>-6.1462078757559423E-4</v>
      </c>
      <c r="FJ70">
        <v>-1.8861989874597051E-7</v>
      </c>
      <c r="FK70">
        <v>1.1980462299894961E-10</v>
      </c>
      <c r="FL70">
        <v>-3.0039189969545878E-2</v>
      </c>
      <c r="FM70">
        <v>-1.6848085045870601E-2</v>
      </c>
      <c r="FN70">
        <v>1.9789084769509481E-3</v>
      </c>
      <c r="FO70">
        <v>-2.7142391389806329E-5</v>
      </c>
      <c r="FP70">
        <v>3</v>
      </c>
      <c r="FQ70">
        <v>2158</v>
      </c>
      <c r="FR70">
        <v>1</v>
      </c>
      <c r="FS70">
        <v>19</v>
      </c>
      <c r="FT70">
        <v>16.399999999999999</v>
      </c>
      <c r="FU70">
        <v>16.399999999999999</v>
      </c>
      <c r="FV70">
        <v>1.7785599999999999</v>
      </c>
      <c r="FW70">
        <v>2.5793499999999998</v>
      </c>
      <c r="FX70">
        <v>1.5490699999999999</v>
      </c>
      <c r="FY70">
        <v>2.3290999999999999</v>
      </c>
      <c r="FZ70">
        <v>1.50146</v>
      </c>
      <c r="GA70">
        <v>2.3815900000000001</v>
      </c>
      <c r="GB70">
        <v>33.850900000000003</v>
      </c>
      <c r="GC70">
        <v>23.991199999999999</v>
      </c>
      <c r="GD70">
        <v>19</v>
      </c>
      <c r="GE70">
        <v>234.56200000000001</v>
      </c>
      <c r="GF70">
        <v>581.23900000000003</v>
      </c>
      <c r="GG70">
        <v>24.763200000000001</v>
      </c>
      <c r="GH70">
        <v>26.390899999999998</v>
      </c>
      <c r="GI70">
        <v>29.9999</v>
      </c>
      <c r="GJ70">
        <v>26.510300000000001</v>
      </c>
      <c r="GK70">
        <v>26.482500000000002</v>
      </c>
      <c r="GL70">
        <v>35.570599999999999</v>
      </c>
      <c r="GM70">
        <v>-30</v>
      </c>
      <c r="GN70">
        <v>-30</v>
      </c>
      <c r="GO70">
        <v>24.797499999999999</v>
      </c>
      <c r="GP70">
        <v>800</v>
      </c>
      <c r="GQ70">
        <v>12.5298</v>
      </c>
      <c r="GR70">
        <v>99.688500000000005</v>
      </c>
      <c r="GS70">
        <v>99.490600000000001</v>
      </c>
    </row>
    <row r="71" spans="1:201" x14ac:dyDescent="0.25">
      <c r="A71">
        <v>55</v>
      </c>
      <c r="B71">
        <v>1690215834.5999999</v>
      </c>
      <c r="C71">
        <v>889.09999990463257</v>
      </c>
      <c r="D71" t="s">
        <v>443</v>
      </c>
      <c r="E71" t="s">
        <v>444</v>
      </c>
      <c r="F71" t="s">
        <v>330</v>
      </c>
      <c r="H71">
        <v>1690215834.5999999</v>
      </c>
      <c r="I71">
        <f t="shared" si="0"/>
        <v>8.4730619385714142E-4</v>
      </c>
      <c r="J71">
        <f t="shared" si="1"/>
        <v>0.84730619385714145</v>
      </c>
      <c r="K71">
        <f t="shared" si="2"/>
        <v>9.2511031099397147</v>
      </c>
      <c r="L71">
        <f t="shared" si="3"/>
        <v>689.94600000000003</v>
      </c>
      <c r="M71">
        <f t="shared" si="4"/>
        <v>227.11357987874604</v>
      </c>
      <c r="N71">
        <f t="shared" si="5"/>
        <v>22.524046517096767</v>
      </c>
      <c r="O71">
        <f t="shared" si="6"/>
        <v>68.425568416392011</v>
      </c>
      <c r="P71">
        <f t="shared" si="7"/>
        <v>3.3582006384661273E-2</v>
      </c>
      <c r="Q71">
        <f t="shared" si="8"/>
        <v>2.0613563099614796</v>
      </c>
      <c r="R71">
        <f t="shared" si="9"/>
        <v>3.3281007265193042E-2</v>
      </c>
      <c r="S71">
        <f t="shared" si="10"/>
        <v>2.0827448169032647E-2</v>
      </c>
      <c r="T71">
        <f t="shared" si="11"/>
        <v>276.11332056658591</v>
      </c>
      <c r="U71">
        <f t="shared" si="12"/>
        <v>28.731515892795834</v>
      </c>
      <c r="V71">
        <f t="shared" si="13"/>
        <v>28.731515892795834</v>
      </c>
      <c r="W71">
        <f t="shared" si="14"/>
        <v>3.9597122668504752</v>
      </c>
      <c r="X71">
        <f t="shared" si="15"/>
        <v>42.561842267684973</v>
      </c>
      <c r="Y71">
        <f t="shared" si="16"/>
        <v>1.5043497274872</v>
      </c>
      <c r="Z71">
        <f t="shared" si="17"/>
        <v>3.5345033187846187</v>
      </c>
      <c r="AA71">
        <f t="shared" si="18"/>
        <v>2.455362539363275</v>
      </c>
      <c r="AB71">
        <f t="shared" si="19"/>
        <v>-37.366203149099938</v>
      </c>
      <c r="AC71">
        <f t="shared" si="20"/>
        <v>-216.16431086904512</v>
      </c>
      <c r="AD71">
        <f t="shared" si="21"/>
        <v>-22.803546162126565</v>
      </c>
      <c r="AE71">
        <f t="shared" si="22"/>
        <v>-0.22073961368570849</v>
      </c>
      <c r="AF71">
        <v>46</v>
      </c>
      <c r="AG71">
        <v>15</v>
      </c>
      <c r="AH71">
        <f t="shared" si="23"/>
        <v>1</v>
      </c>
      <c r="AI71">
        <f t="shared" si="24"/>
        <v>0</v>
      </c>
      <c r="AJ71">
        <f t="shared" si="25"/>
        <v>52299.737593679223</v>
      </c>
      <c r="AK71">
        <f t="shared" si="26"/>
        <v>1799.99</v>
      </c>
      <c r="AL71">
        <f t="shared" si="27"/>
        <v>1499.1059593872901</v>
      </c>
      <c r="AM71">
        <f t="shared" si="28"/>
        <v>0.83284127100000005</v>
      </c>
      <c r="AN71">
        <f t="shared" si="29"/>
        <v>0.15339714140999999</v>
      </c>
      <c r="AO71">
        <v>33.6</v>
      </c>
      <c r="AP71">
        <v>0.5</v>
      </c>
      <c r="AQ71" t="s">
        <v>331</v>
      </c>
      <c r="AR71">
        <v>2</v>
      </c>
      <c r="AS71">
        <v>1690215834.5999999</v>
      </c>
      <c r="AT71">
        <v>689.94600000000003</v>
      </c>
      <c r="AU71">
        <v>800.024</v>
      </c>
      <c r="AV71">
        <v>15.1686</v>
      </c>
      <c r="AW71">
        <v>5.8296599999999996</v>
      </c>
      <c r="AX71">
        <v>690.25900000000001</v>
      </c>
      <c r="AY71">
        <v>15.0954</v>
      </c>
      <c r="AZ71">
        <v>300.22300000000001</v>
      </c>
      <c r="BA71">
        <v>99.075199999999995</v>
      </c>
      <c r="BB71">
        <v>0.100052</v>
      </c>
      <c r="BC71">
        <v>26.7864</v>
      </c>
      <c r="BD71">
        <v>26.9741</v>
      </c>
      <c r="BE71">
        <v>28.318300000000001</v>
      </c>
      <c r="BF71">
        <v>0</v>
      </c>
      <c r="BG71">
        <v>0</v>
      </c>
      <c r="BH71">
        <v>9975</v>
      </c>
      <c r="BI71">
        <v>1076.02</v>
      </c>
      <c r="BJ71">
        <v>1.90625</v>
      </c>
      <c r="BK71">
        <v>-110.077</v>
      </c>
      <c r="BL71">
        <v>700.57299999999998</v>
      </c>
      <c r="BM71">
        <v>804.71500000000003</v>
      </c>
      <c r="BN71">
        <v>9.3389199999999999</v>
      </c>
      <c r="BO71">
        <v>800.024</v>
      </c>
      <c r="BP71">
        <v>5.8296599999999996</v>
      </c>
      <c r="BQ71">
        <v>1.5028300000000001</v>
      </c>
      <c r="BR71">
        <v>0.57757400000000003</v>
      </c>
      <c r="BS71">
        <v>12.997</v>
      </c>
      <c r="BT71">
        <v>-0.83130599999999999</v>
      </c>
      <c r="BU71">
        <v>1799.99</v>
      </c>
      <c r="BV71">
        <v>0.91001299999999996</v>
      </c>
      <c r="BW71">
        <v>3.3992700000000001E-2</v>
      </c>
      <c r="BX71">
        <v>2.1997800000000001E-2</v>
      </c>
      <c r="BY71">
        <v>3.3996499999999999E-2</v>
      </c>
      <c r="BZ71">
        <v>25</v>
      </c>
      <c r="CA71">
        <v>33528.300000000003</v>
      </c>
      <c r="CB71">
        <v>1690214843</v>
      </c>
      <c r="CC71" t="s">
        <v>332</v>
      </c>
      <c r="CD71">
        <v>1690214842</v>
      </c>
      <c r="CE71">
        <v>1690214843</v>
      </c>
      <c r="CF71">
        <v>8</v>
      </c>
      <c r="CG71">
        <v>-6.3E-2</v>
      </c>
      <c r="CH71">
        <v>1E-3</v>
      </c>
      <c r="CI71">
        <v>-0.38900000000000001</v>
      </c>
      <c r="CJ71">
        <v>-6.6000000000000003E-2</v>
      </c>
      <c r="CK71">
        <v>800</v>
      </c>
      <c r="CL71">
        <v>6</v>
      </c>
      <c r="CM71">
        <v>0.23</v>
      </c>
      <c r="CN71">
        <v>0.02</v>
      </c>
      <c r="CO71">
        <v>-107.55605</v>
      </c>
      <c r="CP71">
        <v>-13.28965103189485</v>
      </c>
      <c r="CQ71">
        <v>1.278503069022519</v>
      </c>
      <c r="CR71">
        <v>-1</v>
      </c>
      <c r="CS71">
        <v>9.2116535000000006</v>
      </c>
      <c r="CT71">
        <v>0.66870506566601928</v>
      </c>
      <c r="CU71">
        <v>6.4335381461136973E-2</v>
      </c>
      <c r="CV71">
        <v>-1</v>
      </c>
      <c r="CW71">
        <v>0</v>
      </c>
      <c r="CX71">
        <v>0</v>
      </c>
      <c r="CY71" t="s">
        <v>333</v>
      </c>
      <c r="CZ71">
        <v>2.3645</v>
      </c>
      <c r="DA71">
        <v>2.7138200000000001</v>
      </c>
      <c r="DB71">
        <v>0.13261000000000001</v>
      </c>
      <c r="DC71">
        <v>0.146037</v>
      </c>
      <c r="DD71">
        <v>8.2033499999999995E-2</v>
      </c>
      <c r="DE71">
        <v>3.8517200000000001E-2</v>
      </c>
      <c r="DF71">
        <v>31657.1</v>
      </c>
      <c r="DG71">
        <v>27501.1</v>
      </c>
      <c r="DH71">
        <v>31158.3</v>
      </c>
      <c r="DI71">
        <v>28062.1</v>
      </c>
      <c r="DJ71">
        <v>38841.4</v>
      </c>
      <c r="DK71">
        <v>38366.1</v>
      </c>
      <c r="DL71">
        <v>44339.4</v>
      </c>
      <c r="DM71">
        <v>42528.4</v>
      </c>
      <c r="DN71">
        <v>1.35433</v>
      </c>
      <c r="DO71">
        <v>2.0320200000000002</v>
      </c>
      <c r="DP71">
        <v>8.3304900000000001E-2</v>
      </c>
      <c r="DQ71">
        <v>0.18026700000000001</v>
      </c>
      <c r="DR71">
        <v>25.610199999999999</v>
      </c>
      <c r="DS71">
        <v>25.369499999999999</v>
      </c>
      <c r="DT71">
        <v>17.3</v>
      </c>
      <c r="DU71">
        <v>29.8</v>
      </c>
      <c r="DV71">
        <v>7.3544499999999999</v>
      </c>
      <c r="DW71">
        <v>61.848500000000001</v>
      </c>
      <c r="DX71">
        <v>37.1875</v>
      </c>
      <c r="DY71">
        <v>1</v>
      </c>
      <c r="DZ71">
        <v>-7.9832299999999995E-2</v>
      </c>
      <c r="EA71">
        <v>7.6797400000000004E-4</v>
      </c>
      <c r="EB71">
        <v>20.190000000000001</v>
      </c>
      <c r="EC71">
        <v>5.24125</v>
      </c>
      <c r="ED71">
        <v>12.039899999999999</v>
      </c>
      <c r="EE71">
        <v>5.0163000000000002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1.8689100000000001</v>
      </c>
      <c r="EL71">
        <v>1.86463</v>
      </c>
      <c r="EM71">
        <v>1.86917</v>
      </c>
      <c r="EN71">
        <v>1.8672299999999999</v>
      </c>
      <c r="EO71">
        <v>1.8633999999999999</v>
      </c>
      <c r="EP71">
        <v>1.86456</v>
      </c>
      <c r="EQ71">
        <v>1.8701700000000001</v>
      </c>
      <c r="ER71">
        <v>1.8694599999999999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-0.313</v>
      </c>
      <c r="FG71">
        <v>7.3200000000000001E-2</v>
      </c>
      <c r="FH71">
        <v>0.16202357103534001</v>
      </c>
      <c r="FI71">
        <v>-6.1462078757559423E-4</v>
      </c>
      <c r="FJ71">
        <v>-1.8861989874597051E-7</v>
      </c>
      <c r="FK71">
        <v>1.1980462299894961E-10</v>
      </c>
      <c r="FL71">
        <v>-3.0039189969545878E-2</v>
      </c>
      <c r="FM71">
        <v>-1.6848085045870601E-2</v>
      </c>
      <c r="FN71">
        <v>1.9789084769509481E-3</v>
      </c>
      <c r="FO71">
        <v>-2.7142391389806329E-5</v>
      </c>
      <c r="FP71">
        <v>3</v>
      </c>
      <c r="FQ71">
        <v>2158</v>
      </c>
      <c r="FR71">
        <v>1</v>
      </c>
      <c r="FS71">
        <v>19</v>
      </c>
      <c r="FT71">
        <v>16.5</v>
      </c>
      <c r="FU71">
        <v>16.5</v>
      </c>
      <c r="FV71">
        <v>1.77979</v>
      </c>
      <c r="FW71">
        <v>2.5830099999999998</v>
      </c>
      <c r="FX71">
        <v>1.5490699999999999</v>
      </c>
      <c r="FY71">
        <v>2.3290999999999999</v>
      </c>
      <c r="FZ71">
        <v>1.50146</v>
      </c>
      <c r="GA71">
        <v>2.3803700000000001</v>
      </c>
      <c r="GB71">
        <v>33.850900000000003</v>
      </c>
      <c r="GC71">
        <v>23.991199999999999</v>
      </c>
      <c r="GD71">
        <v>19</v>
      </c>
      <c r="GE71">
        <v>234.815</v>
      </c>
      <c r="GF71">
        <v>581.173</v>
      </c>
      <c r="GG71">
        <v>24.796299999999999</v>
      </c>
      <c r="GH71">
        <v>26.3874</v>
      </c>
      <c r="GI71">
        <v>29.999600000000001</v>
      </c>
      <c r="GJ71">
        <v>26.507999999999999</v>
      </c>
      <c r="GK71">
        <v>26.4803</v>
      </c>
      <c r="GL71">
        <v>35.572299999999998</v>
      </c>
      <c r="GM71">
        <v>-30</v>
      </c>
      <c r="GN71">
        <v>-30</v>
      </c>
      <c r="GO71">
        <v>24.8294</v>
      </c>
      <c r="GP71">
        <v>800</v>
      </c>
      <c r="GQ71">
        <v>12.5298</v>
      </c>
      <c r="GR71">
        <v>99.690899999999999</v>
      </c>
      <c r="GS71">
        <v>99.492500000000007</v>
      </c>
    </row>
    <row r="72" spans="1:201" x14ac:dyDescent="0.25">
      <c r="A72">
        <v>56</v>
      </c>
      <c r="B72">
        <v>1690215844.5999999</v>
      </c>
      <c r="C72">
        <v>899.09999990463257</v>
      </c>
      <c r="D72" t="s">
        <v>445</v>
      </c>
      <c r="E72" t="s">
        <v>446</v>
      </c>
      <c r="F72" t="s">
        <v>330</v>
      </c>
      <c r="H72">
        <v>1690215844.5999999</v>
      </c>
      <c r="I72">
        <f t="shared" si="0"/>
        <v>8.5766641199007333E-4</v>
      </c>
      <c r="J72">
        <f t="shared" si="1"/>
        <v>0.85766641199007332</v>
      </c>
      <c r="K72">
        <f t="shared" si="2"/>
        <v>9.4458143557759282</v>
      </c>
      <c r="L72">
        <f t="shared" si="3"/>
        <v>687.76199999999994</v>
      </c>
      <c r="M72">
        <f t="shared" si="4"/>
        <v>223.49831921945599</v>
      </c>
      <c r="N72">
        <f t="shared" si="5"/>
        <v>22.165476427859282</v>
      </c>
      <c r="O72">
        <f t="shared" si="6"/>
        <v>68.208890573394001</v>
      </c>
      <c r="P72">
        <f t="shared" si="7"/>
        <v>3.416660781577293E-2</v>
      </c>
      <c r="Q72">
        <f t="shared" si="8"/>
        <v>2.0654784334348411</v>
      </c>
      <c r="R72">
        <f t="shared" si="9"/>
        <v>3.3855705833125152E-2</v>
      </c>
      <c r="S72">
        <f t="shared" si="10"/>
        <v>2.1187513577252227E-2</v>
      </c>
      <c r="T72">
        <f t="shared" si="11"/>
        <v>276.114830724</v>
      </c>
      <c r="U72">
        <f t="shared" si="12"/>
        <v>28.727092053643098</v>
      </c>
      <c r="V72">
        <f t="shared" si="13"/>
        <v>28.727092053643098</v>
      </c>
      <c r="W72">
        <f t="shared" si="14"/>
        <v>3.9586967239710522</v>
      </c>
      <c r="X72">
        <f t="shared" si="15"/>
        <v>42.874043533509848</v>
      </c>
      <c r="Y72">
        <f t="shared" si="16"/>
        <v>1.5156341136888003</v>
      </c>
      <c r="Z72">
        <f t="shared" si="17"/>
        <v>3.5350855407519437</v>
      </c>
      <c r="AA72">
        <f t="shared" si="18"/>
        <v>2.4430626102822517</v>
      </c>
      <c r="AB72">
        <f t="shared" si="19"/>
        <v>-37.823088768762233</v>
      </c>
      <c r="AC72">
        <f t="shared" si="20"/>
        <v>-215.79217379533188</v>
      </c>
      <c r="AD72">
        <f t="shared" si="21"/>
        <v>-22.718671805281854</v>
      </c>
      <c r="AE72">
        <f t="shared" si="22"/>
        <v>-0.21910364537595228</v>
      </c>
      <c r="AF72">
        <v>46</v>
      </c>
      <c r="AG72">
        <v>15</v>
      </c>
      <c r="AH72">
        <f t="shared" si="23"/>
        <v>1</v>
      </c>
      <c r="AI72">
        <f t="shared" si="24"/>
        <v>0</v>
      </c>
      <c r="AJ72">
        <f t="shared" si="25"/>
        <v>52487.788993414964</v>
      </c>
      <c r="AK72">
        <f t="shared" si="26"/>
        <v>1800</v>
      </c>
      <c r="AL72">
        <f t="shared" si="27"/>
        <v>1499.1145524000001</v>
      </c>
      <c r="AM72">
        <f t="shared" si="28"/>
        <v>0.832841418</v>
      </c>
      <c r="AN72">
        <f t="shared" si="29"/>
        <v>0.15339712818000001</v>
      </c>
      <c r="AO72">
        <v>33.6</v>
      </c>
      <c r="AP72">
        <v>0.5</v>
      </c>
      <c r="AQ72" t="s">
        <v>331</v>
      </c>
      <c r="AR72">
        <v>2</v>
      </c>
      <c r="AS72">
        <v>1690215844.5999999</v>
      </c>
      <c r="AT72">
        <v>687.76199999999994</v>
      </c>
      <c r="AU72">
        <v>800.10400000000004</v>
      </c>
      <c r="AV72">
        <v>15.282400000000001</v>
      </c>
      <c r="AW72">
        <v>5.8281900000000002</v>
      </c>
      <c r="AX72">
        <v>688.07299999999998</v>
      </c>
      <c r="AY72">
        <v>15.2064</v>
      </c>
      <c r="AZ72">
        <v>300.154</v>
      </c>
      <c r="BA72">
        <v>99.075100000000006</v>
      </c>
      <c r="BB72">
        <v>0.100037</v>
      </c>
      <c r="BC72">
        <v>26.789200000000001</v>
      </c>
      <c r="BD72">
        <v>26.974599999999999</v>
      </c>
      <c r="BE72">
        <v>28.3142</v>
      </c>
      <c r="BF72">
        <v>0</v>
      </c>
      <c r="BG72">
        <v>0</v>
      </c>
      <c r="BH72">
        <v>10012.5</v>
      </c>
      <c r="BI72">
        <v>1075.99</v>
      </c>
      <c r="BJ72">
        <v>1.90625</v>
      </c>
      <c r="BK72">
        <v>-112.342</v>
      </c>
      <c r="BL72">
        <v>698.43600000000004</v>
      </c>
      <c r="BM72">
        <v>804.79499999999996</v>
      </c>
      <c r="BN72">
        <v>9.4541699999999995</v>
      </c>
      <c r="BO72">
        <v>800.10400000000004</v>
      </c>
      <c r="BP72">
        <v>5.8281900000000002</v>
      </c>
      <c r="BQ72">
        <v>1.5141</v>
      </c>
      <c r="BR72">
        <v>0.57742899999999997</v>
      </c>
      <c r="BS72">
        <v>13.1113</v>
      </c>
      <c r="BT72">
        <v>-0.83474599999999999</v>
      </c>
      <c r="BU72">
        <v>1800</v>
      </c>
      <c r="BV72">
        <v>0.91001399999999999</v>
      </c>
      <c r="BW72">
        <v>3.3995699999999997E-2</v>
      </c>
      <c r="BX72">
        <v>2.1996399999999999E-2</v>
      </c>
      <c r="BY72">
        <v>3.3994400000000001E-2</v>
      </c>
      <c r="BZ72">
        <v>25</v>
      </c>
      <c r="CA72">
        <v>33528.400000000001</v>
      </c>
      <c r="CB72">
        <v>1690214843</v>
      </c>
      <c r="CC72" t="s">
        <v>332</v>
      </c>
      <c r="CD72">
        <v>1690214842</v>
      </c>
      <c r="CE72">
        <v>1690214843</v>
      </c>
      <c r="CF72">
        <v>8</v>
      </c>
      <c r="CG72">
        <v>-6.3E-2</v>
      </c>
      <c r="CH72">
        <v>1E-3</v>
      </c>
      <c r="CI72">
        <v>-0.38900000000000001</v>
      </c>
      <c r="CJ72">
        <v>-6.6000000000000003E-2</v>
      </c>
      <c r="CK72">
        <v>800</v>
      </c>
      <c r="CL72">
        <v>6</v>
      </c>
      <c r="CM72">
        <v>0.23</v>
      </c>
      <c r="CN72">
        <v>0.02</v>
      </c>
      <c r="CO72">
        <v>-109.778975</v>
      </c>
      <c r="CP72">
        <v>-13.342795497185371</v>
      </c>
      <c r="CQ72">
        <v>1.283760462226111</v>
      </c>
      <c r="CR72">
        <v>-1</v>
      </c>
      <c r="CS72">
        <v>9.3247252500000002</v>
      </c>
      <c r="CT72">
        <v>0.6927092307692384</v>
      </c>
      <c r="CU72">
        <v>6.6637345872547507E-2</v>
      </c>
      <c r="CV72">
        <v>-1</v>
      </c>
      <c r="CW72">
        <v>0</v>
      </c>
      <c r="CX72">
        <v>0</v>
      </c>
      <c r="CY72" t="s">
        <v>333</v>
      </c>
      <c r="CZ72">
        <v>2.3642699999999999</v>
      </c>
      <c r="DA72">
        <v>2.7138399999999998</v>
      </c>
      <c r="DB72">
        <v>0.132324</v>
      </c>
      <c r="DC72">
        <v>0.14604600000000001</v>
      </c>
      <c r="DD72">
        <v>8.2478700000000002E-2</v>
      </c>
      <c r="DE72">
        <v>3.8509300000000003E-2</v>
      </c>
      <c r="DF72">
        <v>31667.8</v>
      </c>
      <c r="DG72">
        <v>27501.200000000001</v>
      </c>
      <c r="DH72">
        <v>31158.5</v>
      </c>
      <c r="DI72">
        <v>28062.5</v>
      </c>
      <c r="DJ72">
        <v>38822.6</v>
      </c>
      <c r="DK72">
        <v>38366.699999999997</v>
      </c>
      <c r="DL72">
        <v>44339.7</v>
      </c>
      <c r="DM72">
        <v>42528.7</v>
      </c>
      <c r="DN72">
        <v>1.35483</v>
      </c>
      <c r="DO72">
        <v>2.0323000000000002</v>
      </c>
      <c r="DP72">
        <v>8.3338499999999996E-2</v>
      </c>
      <c r="DQ72">
        <v>0.180144</v>
      </c>
      <c r="DR72">
        <v>25.610199999999999</v>
      </c>
      <c r="DS72">
        <v>25.3673</v>
      </c>
      <c r="DT72">
        <v>17.3</v>
      </c>
      <c r="DU72">
        <v>29.8</v>
      </c>
      <c r="DV72">
        <v>7.3544099999999997</v>
      </c>
      <c r="DW72">
        <v>61.988500000000002</v>
      </c>
      <c r="DX72">
        <v>37.247599999999998</v>
      </c>
      <c r="DY72">
        <v>1</v>
      </c>
      <c r="DZ72">
        <v>-8.0538600000000002E-2</v>
      </c>
      <c r="EA72">
        <v>-2.1941700000000001E-2</v>
      </c>
      <c r="EB72">
        <v>20.190100000000001</v>
      </c>
      <c r="EC72">
        <v>5.2411000000000003</v>
      </c>
      <c r="ED72">
        <v>12.039899999999999</v>
      </c>
      <c r="EE72">
        <v>5.0159000000000002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1.8689100000000001</v>
      </c>
      <c r="EL72">
        <v>1.8646400000000001</v>
      </c>
      <c r="EM72">
        <v>1.8691899999999999</v>
      </c>
      <c r="EN72">
        <v>1.8672299999999999</v>
      </c>
      <c r="EO72">
        <v>1.8633999999999999</v>
      </c>
      <c r="EP72">
        <v>1.86459</v>
      </c>
      <c r="EQ72">
        <v>1.87019</v>
      </c>
      <c r="ER72">
        <v>1.8694599999999999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-0.311</v>
      </c>
      <c r="FG72">
        <v>7.5999999999999998E-2</v>
      </c>
      <c r="FH72">
        <v>0.16202357103534001</v>
      </c>
      <c r="FI72">
        <v>-6.1462078757559423E-4</v>
      </c>
      <c r="FJ72">
        <v>-1.8861989874597051E-7</v>
      </c>
      <c r="FK72">
        <v>1.1980462299894961E-10</v>
      </c>
      <c r="FL72">
        <v>-3.0039189969545878E-2</v>
      </c>
      <c r="FM72">
        <v>-1.6848085045870601E-2</v>
      </c>
      <c r="FN72">
        <v>1.9789084769509481E-3</v>
      </c>
      <c r="FO72">
        <v>-2.7142391389806329E-5</v>
      </c>
      <c r="FP72">
        <v>3</v>
      </c>
      <c r="FQ72">
        <v>2158</v>
      </c>
      <c r="FR72">
        <v>1</v>
      </c>
      <c r="FS72">
        <v>19</v>
      </c>
      <c r="FT72">
        <v>16.7</v>
      </c>
      <c r="FU72">
        <v>16.7</v>
      </c>
      <c r="FV72">
        <v>1.7785599999999999</v>
      </c>
      <c r="FW72">
        <v>2.5830099999999998</v>
      </c>
      <c r="FX72">
        <v>1.5490699999999999</v>
      </c>
      <c r="FY72">
        <v>2.3290999999999999</v>
      </c>
      <c r="FZ72">
        <v>1.50146</v>
      </c>
      <c r="GA72">
        <v>2.3925800000000002</v>
      </c>
      <c r="GB72">
        <v>33.850900000000003</v>
      </c>
      <c r="GC72">
        <v>23.991199999999999</v>
      </c>
      <c r="GD72">
        <v>19</v>
      </c>
      <c r="GE72">
        <v>234.999</v>
      </c>
      <c r="GF72">
        <v>581.4</v>
      </c>
      <c r="GG72">
        <v>24.8416</v>
      </c>
      <c r="GH72">
        <v>26.3842</v>
      </c>
      <c r="GI72">
        <v>29.9999</v>
      </c>
      <c r="GJ72">
        <v>26.507300000000001</v>
      </c>
      <c r="GK72">
        <v>26.4803</v>
      </c>
      <c r="GL72">
        <v>35.568800000000003</v>
      </c>
      <c r="GM72">
        <v>-30</v>
      </c>
      <c r="GN72">
        <v>-30</v>
      </c>
      <c r="GO72">
        <v>24.857700000000001</v>
      </c>
      <c r="GP72">
        <v>800</v>
      </c>
      <c r="GQ72">
        <v>12.5298</v>
      </c>
      <c r="GR72">
        <v>99.691599999999994</v>
      </c>
      <c r="GS72">
        <v>99.493399999999994</v>
      </c>
    </row>
    <row r="73" spans="1:201" x14ac:dyDescent="0.25">
      <c r="A73">
        <v>57</v>
      </c>
      <c r="B73">
        <v>1690215854.5999999</v>
      </c>
      <c r="C73">
        <v>909.09999990463257</v>
      </c>
      <c r="D73" t="s">
        <v>447</v>
      </c>
      <c r="E73" t="s">
        <v>448</v>
      </c>
      <c r="F73" t="s">
        <v>330</v>
      </c>
      <c r="H73">
        <v>1690215854.5999999</v>
      </c>
      <c r="I73">
        <f t="shared" si="0"/>
        <v>8.6812096177845636E-4</v>
      </c>
      <c r="J73">
        <f t="shared" si="1"/>
        <v>0.86812096177845632</v>
      </c>
      <c r="K73">
        <f t="shared" si="2"/>
        <v>9.6367067907457198</v>
      </c>
      <c r="L73">
        <f t="shared" si="3"/>
        <v>685.48900000000003</v>
      </c>
      <c r="M73">
        <f t="shared" si="4"/>
        <v>220.2189005609026</v>
      </c>
      <c r="N73">
        <f t="shared" si="5"/>
        <v>21.841339978875435</v>
      </c>
      <c r="O73">
        <f t="shared" si="6"/>
        <v>67.986890601330401</v>
      </c>
      <c r="P73">
        <f t="shared" si="7"/>
        <v>3.4767518506141439E-2</v>
      </c>
      <c r="Q73">
        <f t="shared" si="8"/>
        <v>2.063405989035525</v>
      </c>
      <c r="R73">
        <f t="shared" si="9"/>
        <v>3.4445319800705136E-2</v>
      </c>
      <c r="S73">
        <f t="shared" si="10"/>
        <v>2.1557024209592983E-2</v>
      </c>
      <c r="T73">
        <f t="shared" si="11"/>
        <v>276.11335453239718</v>
      </c>
      <c r="U73">
        <f t="shared" si="12"/>
        <v>28.722294766118313</v>
      </c>
      <c r="V73">
        <f t="shared" si="13"/>
        <v>28.722294766118313</v>
      </c>
      <c r="W73">
        <f t="shared" si="14"/>
        <v>3.9575957084689293</v>
      </c>
      <c r="X73">
        <f t="shared" si="15"/>
        <v>43.20512098366531</v>
      </c>
      <c r="Y73">
        <f t="shared" si="16"/>
        <v>1.5270864350525601</v>
      </c>
      <c r="Z73">
        <f t="shared" si="17"/>
        <v>3.5345033187846187</v>
      </c>
      <c r="AA73">
        <f t="shared" si="18"/>
        <v>2.4305092734163694</v>
      </c>
      <c r="AB73">
        <f t="shared" si="19"/>
        <v>-38.284134414429928</v>
      </c>
      <c r="AC73">
        <f t="shared" si="20"/>
        <v>-215.35347090255644</v>
      </c>
      <c r="AD73">
        <f t="shared" si="21"/>
        <v>-22.694396409729464</v>
      </c>
      <c r="AE73">
        <f t="shared" si="22"/>
        <v>-0.21864719431863477</v>
      </c>
      <c r="AF73">
        <v>46</v>
      </c>
      <c r="AG73">
        <v>15</v>
      </c>
      <c r="AH73">
        <f t="shared" si="23"/>
        <v>1</v>
      </c>
      <c r="AI73">
        <f t="shared" si="24"/>
        <v>0</v>
      </c>
      <c r="AJ73">
        <f t="shared" si="25"/>
        <v>52393.536286596929</v>
      </c>
      <c r="AK73">
        <f t="shared" si="26"/>
        <v>1799.99</v>
      </c>
      <c r="AL73">
        <f t="shared" si="27"/>
        <v>1499.1028760044201</v>
      </c>
      <c r="AM73">
        <f t="shared" si="28"/>
        <v>0.83283955799999998</v>
      </c>
      <c r="AN73">
        <f t="shared" si="29"/>
        <v>0.15339716028</v>
      </c>
      <c r="AO73">
        <v>33.6</v>
      </c>
      <c r="AP73">
        <v>0.5</v>
      </c>
      <c r="AQ73" t="s">
        <v>331</v>
      </c>
      <c r="AR73">
        <v>2</v>
      </c>
      <c r="AS73">
        <v>1690215854.5999999</v>
      </c>
      <c r="AT73">
        <v>685.48900000000003</v>
      </c>
      <c r="AU73">
        <v>800.04499999999996</v>
      </c>
      <c r="AV73">
        <v>15.3971</v>
      </c>
      <c r="AW73">
        <v>5.8272000000000004</v>
      </c>
      <c r="AX73">
        <v>685.79899999999998</v>
      </c>
      <c r="AY73">
        <v>15.3184</v>
      </c>
      <c r="AZ73">
        <v>300.10500000000002</v>
      </c>
      <c r="BA73">
        <v>99.080200000000005</v>
      </c>
      <c r="BB73">
        <v>9.9933599999999997E-2</v>
      </c>
      <c r="BC73">
        <v>26.7864</v>
      </c>
      <c r="BD73">
        <v>26.965199999999999</v>
      </c>
      <c r="BE73">
        <v>28.333400000000001</v>
      </c>
      <c r="BF73">
        <v>0</v>
      </c>
      <c r="BG73">
        <v>0</v>
      </c>
      <c r="BH73">
        <v>9993.1200000000008</v>
      </c>
      <c r="BI73">
        <v>1075.8900000000001</v>
      </c>
      <c r="BJ73">
        <v>1.90625</v>
      </c>
      <c r="BK73">
        <v>-114.556</v>
      </c>
      <c r="BL73">
        <v>696.20899999999995</v>
      </c>
      <c r="BM73">
        <v>804.73400000000004</v>
      </c>
      <c r="BN73">
        <v>9.5699100000000001</v>
      </c>
      <c r="BO73">
        <v>800.04499999999996</v>
      </c>
      <c r="BP73">
        <v>5.8272000000000004</v>
      </c>
      <c r="BQ73">
        <v>1.52555</v>
      </c>
      <c r="BR73">
        <v>0.57735899999999996</v>
      </c>
      <c r="BS73">
        <v>13.226599999999999</v>
      </c>
      <c r="BT73">
        <v>-0.83638900000000005</v>
      </c>
      <c r="BU73">
        <v>1799.99</v>
      </c>
      <c r="BV73">
        <v>0.91000300000000001</v>
      </c>
      <c r="BW73">
        <v>3.4009200000000003E-2</v>
      </c>
      <c r="BX73">
        <v>2.1995399999999998E-2</v>
      </c>
      <c r="BY73">
        <v>3.3992799999999997E-2</v>
      </c>
      <c r="BZ73">
        <v>25</v>
      </c>
      <c r="CA73">
        <v>33528.199999999997</v>
      </c>
      <c r="CB73">
        <v>1690214843</v>
      </c>
      <c r="CC73" t="s">
        <v>332</v>
      </c>
      <c r="CD73">
        <v>1690214842</v>
      </c>
      <c r="CE73">
        <v>1690214843</v>
      </c>
      <c r="CF73">
        <v>8</v>
      </c>
      <c r="CG73">
        <v>-6.3E-2</v>
      </c>
      <c r="CH73">
        <v>1E-3</v>
      </c>
      <c r="CI73">
        <v>-0.38900000000000001</v>
      </c>
      <c r="CJ73">
        <v>-6.6000000000000003E-2</v>
      </c>
      <c r="CK73">
        <v>800</v>
      </c>
      <c r="CL73">
        <v>6</v>
      </c>
      <c r="CM73">
        <v>0.23</v>
      </c>
      <c r="CN73">
        <v>0.02</v>
      </c>
      <c r="CO73">
        <v>-112.00235000000001</v>
      </c>
      <c r="CP73">
        <v>-13.16730956848005</v>
      </c>
      <c r="CQ73">
        <v>1.267058513842199</v>
      </c>
      <c r="CR73">
        <v>-1</v>
      </c>
      <c r="CS73">
        <v>9.44026225</v>
      </c>
      <c r="CT73">
        <v>0.69691373358346487</v>
      </c>
      <c r="CU73">
        <v>6.7041698833170307E-2</v>
      </c>
      <c r="CV73">
        <v>-1</v>
      </c>
      <c r="CW73">
        <v>0</v>
      </c>
      <c r="CX73">
        <v>0</v>
      </c>
      <c r="CY73" t="s">
        <v>333</v>
      </c>
      <c r="CZ73">
        <v>2.36415</v>
      </c>
      <c r="DA73">
        <v>2.7137199999999999</v>
      </c>
      <c r="DB73">
        <v>0.13203300000000001</v>
      </c>
      <c r="DC73">
        <v>0.14604700000000001</v>
      </c>
      <c r="DD73">
        <v>8.2930599999999993E-2</v>
      </c>
      <c r="DE73">
        <v>3.8505999999999999E-2</v>
      </c>
      <c r="DF73">
        <v>31678.400000000001</v>
      </c>
      <c r="DG73">
        <v>27501.5</v>
      </c>
      <c r="DH73">
        <v>31158.5</v>
      </c>
      <c r="DI73">
        <v>28062.9</v>
      </c>
      <c r="DJ73">
        <v>38803.5</v>
      </c>
      <c r="DK73">
        <v>38367.4</v>
      </c>
      <c r="DL73">
        <v>44339.9</v>
      </c>
      <c r="DM73">
        <v>42529.3</v>
      </c>
      <c r="DN73">
        <v>1.3542700000000001</v>
      </c>
      <c r="DO73">
        <v>2.0323500000000001</v>
      </c>
      <c r="DP73">
        <v>8.2761000000000001E-2</v>
      </c>
      <c r="DQ73">
        <v>0.181448</v>
      </c>
      <c r="DR73">
        <v>25.610199999999999</v>
      </c>
      <c r="DS73">
        <v>25.365200000000002</v>
      </c>
      <c r="DT73">
        <v>17.2</v>
      </c>
      <c r="DU73">
        <v>29.8</v>
      </c>
      <c r="DV73">
        <v>7.3108700000000004</v>
      </c>
      <c r="DW73">
        <v>61.948500000000003</v>
      </c>
      <c r="DX73">
        <v>37.127400000000002</v>
      </c>
      <c r="DY73">
        <v>1</v>
      </c>
      <c r="DZ73">
        <v>-8.0952700000000002E-2</v>
      </c>
      <c r="EA73">
        <v>-6.0283200000000002E-2</v>
      </c>
      <c r="EB73">
        <v>20.190000000000001</v>
      </c>
      <c r="EC73">
        <v>5.2408000000000001</v>
      </c>
      <c r="ED73">
        <v>12.039899999999999</v>
      </c>
      <c r="EE73">
        <v>5.0158500000000004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1.86893</v>
      </c>
      <c r="EL73">
        <v>1.86463</v>
      </c>
      <c r="EM73">
        <v>1.8691899999999999</v>
      </c>
      <c r="EN73">
        <v>1.86724</v>
      </c>
      <c r="EO73">
        <v>1.8633999999999999</v>
      </c>
      <c r="EP73">
        <v>1.8646100000000001</v>
      </c>
      <c r="EQ73">
        <v>1.8702000000000001</v>
      </c>
      <c r="ER73">
        <v>1.86947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-0.31</v>
      </c>
      <c r="FG73">
        <v>7.8700000000000006E-2</v>
      </c>
      <c r="FH73">
        <v>0.16202357103534001</v>
      </c>
      <c r="FI73">
        <v>-6.1462078757559423E-4</v>
      </c>
      <c r="FJ73">
        <v>-1.8861989874597051E-7</v>
      </c>
      <c r="FK73">
        <v>1.1980462299894961E-10</v>
      </c>
      <c r="FL73">
        <v>-3.0039189969545878E-2</v>
      </c>
      <c r="FM73">
        <v>-1.6848085045870601E-2</v>
      </c>
      <c r="FN73">
        <v>1.9789084769509481E-3</v>
      </c>
      <c r="FO73">
        <v>-2.7142391389806329E-5</v>
      </c>
      <c r="FP73">
        <v>3</v>
      </c>
      <c r="FQ73">
        <v>2158</v>
      </c>
      <c r="FR73">
        <v>1</v>
      </c>
      <c r="FS73">
        <v>19</v>
      </c>
      <c r="FT73">
        <v>16.899999999999999</v>
      </c>
      <c r="FU73">
        <v>16.899999999999999</v>
      </c>
      <c r="FV73">
        <v>1.7785599999999999</v>
      </c>
      <c r="FW73">
        <v>2.5805699999999998</v>
      </c>
      <c r="FX73">
        <v>1.5490699999999999</v>
      </c>
      <c r="FY73">
        <v>2.3290999999999999</v>
      </c>
      <c r="FZ73">
        <v>1.50146</v>
      </c>
      <c r="GA73">
        <v>2.3901400000000002</v>
      </c>
      <c r="GB73">
        <v>33.850900000000003</v>
      </c>
      <c r="GC73">
        <v>23.982399999999998</v>
      </c>
      <c r="GD73">
        <v>19</v>
      </c>
      <c r="GE73">
        <v>234.78899999999999</v>
      </c>
      <c r="GF73">
        <v>581.41600000000005</v>
      </c>
      <c r="GG73">
        <v>24.879200000000001</v>
      </c>
      <c r="GH73">
        <v>26.382000000000001</v>
      </c>
      <c r="GI73">
        <v>30</v>
      </c>
      <c r="GJ73">
        <v>26.505800000000001</v>
      </c>
      <c r="GK73">
        <v>26.478100000000001</v>
      </c>
      <c r="GL73">
        <v>35.569400000000002</v>
      </c>
      <c r="GM73">
        <v>-30</v>
      </c>
      <c r="GN73">
        <v>-30</v>
      </c>
      <c r="GO73">
        <v>24.901599999999998</v>
      </c>
      <c r="GP73">
        <v>800</v>
      </c>
      <c r="GQ73">
        <v>12.5298</v>
      </c>
      <c r="GR73">
        <v>99.691900000000004</v>
      </c>
      <c r="GS73">
        <v>99.494799999999998</v>
      </c>
    </row>
    <row r="74" spans="1:201" x14ac:dyDescent="0.25">
      <c r="A74">
        <v>58</v>
      </c>
      <c r="B74">
        <v>1690215864.5999999</v>
      </c>
      <c r="C74">
        <v>919.09999990463257</v>
      </c>
      <c r="D74" t="s">
        <v>449</v>
      </c>
      <c r="E74" t="s">
        <v>450</v>
      </c>
      <c r="F74" t="s">
        <v>330</v>
      </c>
      <c r="H74">
        <v>1690215864.5999999</v>
      </c>
      <c r="I74">
        <f t="shared" si="0"/>
        <v>8.7845496318238593E-4</v>
      </c>
      <c r="J74">
        <f t="shared" si="1"/>
        <v>0.87845496318238592</v>
      </c>
      <c r="K74">
        <f t="shared" si="2"/>
        <v>9.8282159481914739</v>
      </c>
      <c r="L74">
        <f t="shared" si="3"/>
        <v>683.27300000000002</v>
      </c>
      <c r="M74">
        <f t="shared" si="4"/>
        <v>216.91384204953704</v>
      </c>
      <c r="N74">
        <f t="shared" si="5"/>
        <v>21.512172808532327</v>
      </c>
      <c r="O74">
        <f t="shared" si="6"/>
        <v>67.762788729949008</v>
      </c>
      <c r="P74">
        <f t="shared" si="7"/>
        <v>3.5360961513675147E-2</v>
      </c>
      <c r="Q74">
        <f t="shared" si="8"/>
        <v>2.0652554660249187</v>
      </c>
      <c r="R74">
        <f t="shared" si="9"/>
        <v>3.5028022045624316E-2</v>
      </c>
      <c r="S74">
        <f t="shared" si="10"/>
        <v>2.1922165724624583E-2</v>
      </c>
      <c r="T74">
        <f t="shared" si="11"/>
        <v>276.11309887981741</v>
      </c>
      <c r="U74">
        <f t="shared" si="12"/>
        <v>28.71641728903769</v>
      </c>
      <c r="V74">
        <f t="shared" si="13"/>
        <v>28.71641728903769</v>
      </c>
      <c r="W74">
        <f t="shared" si="14"/>
        <v>3.9562471449370178</v>
      </c>
      <c r="X74">
        <f t="shared" si="15"/>
        <v>43.51535580782685</v>
      </c>
      <c r="Y74">
        <f t="shared" si="16"/>
        <v>1.5379974093853002</v>
      </c>
      <c r="Z74">
        <f t="shared" si="17"/>
        <v>3.5343785678265549</v>
      </c>
      <c r="AA74">
        <f t="shared" si="18"/>
        <v>2.4182497355517176</v>
      </c>
      <c r="AB74">
        <f t="shared" si="19"/>
        <v>-38.739863876343222</v>
      </c>
      <c r="AC74">
        <f t="shared" si="20"/>
        <v>-214.95889190932348</v>
      </c>
      <c r="AD74">
        <f t="shared" si="21"/>
        <v>-22.63179637950417</v>
      </c>
      <c r="AE74">
        <f t="shared" si="22"/>
        <v>-0.21745328535348563</v>
      </c>
      <c r="AF74">
        <v>46</v>
      </c>
      <c r="AG74">
        <v>15</v>
      </c>
      <c r="AH74">
        <f t="shared" si="23"/>
        <v>1</v>
      </c>
      <c r="AI74">
        <f t="shared" si="24"/>
        <v>0</v>
      </c>
      <c r="AJ74">
        <f t="shared" si="25"/>
        <v>52478.145180829844</v>
      </c>
      <c r="AK74">
        <f t="shared" si="26"/>
        <v>1799.99</v>
      </c>
      <c r="AL74">
        <f t="shared" si="27"/>
        <v>1499.10375259955</v>
      </c>
      <c r="AM74">
        <f t="shared" si="28"/>
        <v>0.83284004499999997</v>
      </c>
      <c r="AN74">
        <f t="shared" si="29"/>
        <v>0.15339701824999996</v>
      </c>
      <c r="AO74">
        <v>33.6</v>
      </c>
      <c r="AP74">
        <v>0.5</v>
      </c>
      <c r="AQ74" t="s">
        <v>331</v>
      </c>
      <c r="AR74">
        <v>2</v>
      </c>
      <c r="AS74">
        <v>1690215864.5999999</v>
      </c>
      <c r="AT74">
        <v>683.27300000000002</v>
      </c>
      <c r="AU74">
        <v>800.02599999999995</v>
      </c>
      <c r="AV74">
        <v>15.508100000000001</v>
      </c>
      <c r="AW74">
        <v>5.8257599999999998</v>
      </c>
      <c r="AX74">
        <v>683.58100000000002</v>
      </c>
      <c r="AY74">
        <v>15.4268</v>
      </c>
      <c r="AZ74">
        <v>300.11700000000002</v>
      </c>
      <c r="BA74">
        <v>99.073800000000006</v>
      </c>
      <c r="BB74">
        <v>0.100013</v>
      </c>
      <c r="BC74">
        <v>26.785799999999998</v>
      </c>
      <c r="BD74">
        <v>26.980399999999999</v>
      </c>
      <c r="BE74">
        <v>28.331299999999999</v>
      </c>
      <c r="BF74">
        <v>0</v>
      </c>
      <c r="BG74">
        <v>0</v>
      </c>
      <c r="BH74">
        <v>10010.6</v>
      </c>
      <c r="BI74">
        <v>1076.01</v>
      </c>
      <c r="BJ74">
        <v>1.90625</v>
      </c>
      <c r="BK74">
        <v>-116.753</v>
      </c>
      <c r="BL74">
        <v>694.03599999999994</v>
      </c>
      <c r="BM74">
        <v>804.71400000000006</v>
      </c>
      <c r="BN74">
        <v>9.6823599999999992</v>
      </c>
      <c r="BO74">
        <v>800.02599999999995</v>
      </c>
      <c r="BP74">
        <v>5.8257599999999998</v>
      </c>
      <c r="BQ74">
        <v>1.5364500000000001</v>
      </c>
      <c r="BR74">
        <v>0.57718000000000003</v>
      </c>
      <c r="BS74">
        <v>13.335800000000001</v>
      </c>
      <c r="BT74">
        <v>-0.84064700000000003</v>
      </c>
      <c r="BU74">
        <v>1799.99</v>
      </c>
      <c r="BV74">
        <v>0.91000899999999996</v>
      </c>
      <c r="BW74">
        <v>3.40069E-2</v>
      </c>
      <c r="BX74">
        <v>2.1994E-2</v>
      </c>
      <c r="BY74">
        <v>3.39905E-2</v>
      </c>
      <c r="BZ74">
        <v>25</v>
      </c>
      <c r="CA74">
        <v>33528.300000000003</v>
      </c>
      <c r="CB74">
        <v>1690214843</v>
      </c>
      <c r="CC74" t="s">
        <v>332</v>
      </c>
      <c r="CD74">
        <v>1690214842</v>
      </c>
      <c r="CE74">
        <v>1690214843</v>
      </c>
      <c r="CF74">
        <v>8</v>
      </c>
      <c r="CG74">
        <v>-6.3E-2</v>
      </c>
      <c r="CH74">
        <v>1E-3</v>
      </c>
      <c r="CI74">
        <v>-0.38900000000000001</v>
      </c>
      <c r="CJ74">
        <v>-6.6000000000000003E-2</v>
      </c>
      <c r="CK74">
        <v>800</v>
      </c>
      <c r="CL74">
        <v>6</v>
      </c>
      <c r="CM74">
        <v>0.23</v>
      </c>
      <c r="CN74">
        <v>0.02</v>
      </c>
      <c r="CO74">
        <v>-114.268756097561</v>
      </c>
      <c r="CP74">
        <v>-13.13487804878031</v>
      </c>
      <c r="CQ74">
        <v>1.2956033302257619</v>
      </c>
      <c r="CR74">
        <v>-1</v>
      </c>
      <c r="CS74">
        <v>9.557560975609757</v>
      </c>
      <c r="CT74">
        <v>0.68118815331013249</v>
      </c>
      <c r="CU74">
        <v>6.7175987173295343E-2</v>
      </c>
      <c r="CV74">
        <v>-1</v>
      </c>
      <c r="CW74">
        <v>0</v>
      </c>
      <c r="CX74">
        <v>0</v>
      </c>
      <c r="CY74" t="s">
        <v>333</v>
      </c>
      <c r="CZ74">
        <v>2.3641800000000002</v>
      </c>
      <c r="DA74">
        <v>2.7138100000000001</v>
      </c>
      <c r="DB74">
        <v>0.13173399999999999</v>
      </c>
      <c r="DC74">
        <v>0.146036</v>
      </c>
      <c r="DD74">
        <v>8.3357600000000004E-2</v>
      </c>
      <c r="DE74">
        <v>3.84959E-2</v>
      </c>
      <c r="DF74">
        <v>31688.9</v>
      </c>
      <c r="DG74">
        <v>27501.3</v>
      </c>
      <c r="DH74">
        <v>31158.1</v>
      </c>
      <c r="DI74">
        <v>28062.3</v>
      </c>
      <c r="DJ74">
        <v>38784.800000000003</v>
      </c>
      <c r="DK74">
        <v>38366.9</v>
      </c>
      <c r="DL74">
        <v>44339.4</v>
      </c>
      <c r="DM74">
        <v>42528.4</v>
      </c>
      <c r="DN74">
        <v>1.35405</v>
      </c>
      <c r="DO74">
        <v>2.03247</v>
      </c>
      <c r="DP74">
        <v>8.3819000000000005E-2</v>
      </c>
      <c r="DQ74">
        <v>0.18151800000000001</v>
      </c>
      <c r="DR74">
        <v>25.608000000000001</v>
      </c>
      <c r="DS74">
        <v>25.361999999999998</v>
      </c>
      <c r="DT74">
        <v>17.2</v>
      </c>
      <c r="DU74">
        <v>29.8</v>
      </c>
      <c r="DV74">
        <v>7.3115899999999998</v>
      </c>
      <c r="DW74">
        <v>61.488500000000002</v>
      </c>
      <c r="DX74">
        <v>37.1995</v>
      </c>
      <c r="DY74">
        <v>1</v>
      </c>
      <c r="DZ74">
        <v>-8.0505599999999997E-2</v>
      </c>
      <c r="EA74">
        <v>-0.10573299999999999</v>
      </c>
      <c r="EB74">
        <v>20.189900000000002</v>
      </c>
      <c r="EC74">
        <v>5.2404999999999999</v>
      </c>
      <c r="ED74">
        <v>12.039899999999999</v>
      </c>
      <c r="EE74">
        <v>5.0153499999999998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</v>
      </c>
      <c r="EL74">
        <v>1.8646199999999999</v>
      </c>
      <c r="EM74">
        <v>1.8691899999999999</v>
      </c>
      <c r="EN74">
        <v>1.8672299999999999</v>
      </c>
      <c r="EO74">
        <v>1.8633999999999999</v>
      </c>
      <c r="EP74">
        <v>1.86459</v>
      </c>
      <c r="EQ74">
        <v>1.8701700000000001</v>
      </c>
      <c r="ER74">
        <v>1.8694299999999999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-0.308</v>
      </c>
      <c r="FG74">
        <v>8.1299999999999997E-2</v>
      </c>
      <c r="FH74">
        <v>0.16202357103534001</v>
      </c>
      <c r="FI74">
        <v>-6.1462078757559423E-4</v>
      </c>
      <c r="FJ74">
        <v>-1.8861989874597051E-7</v>
      </c>
      <c r="FK74">
        <v>1.1980462299894961E-10</v>
      </c>
      <c r="FL74">
        <v>-3.0039189969545878E-2</v>
      </c>
      <c r="FM74">
        <v>-1.6848085045870601E-2</v>
      </c>
      <c r="FN74">
        <v>1.9789084769509481E-3</v>
      </c>
      <c r="FO74">
        <v>-2.7142391389806329E-5</v>
      </c>
      <c r="FP74">
        <v>3</v>
      </c>
      <c r="FQ74">
        <v>2158</v>
      </c>
      <c r="FR74">
        <v>1</v>
      </c>
      <c r="FS74">
        <v>19</v>
      </c>
      <c r="FT74">
        <v>17</v>
      </c>
      <c r="FU74">
        <v>17</v>
      </c>
      <c r="FV74">
        <v>1.7785599999999999</v>
      </c>
      <c r="FW74">
        <v>2.5805699999999998</v>
      </c>
      <c r="FX74">
        <v>1.5490699999999999</v>
      </c>
      <c r="FY74">
        <v>2.3290999999999999</v>
      </c>
      <c r="FZ74">
        <v>1.50146</v>
      </c>
      <c r="GA74">
        <v>2.3718300000000001</v>
      </c>
      <c r="GB74">
        <v>33.850900000000003</v>
      </c>
      <c r="GC74">
        <v>23.991199999999999</v>
      </c>
      <c r="GD74">
        <v>19</v>
      </c>
      <c r="GE74">
        <v>234.69800000000001</v>
      </c>
      <c r="GF74">
        <v>581.51300000000003</v>
      </c>
      <c r="GG74">
        <v>24.927399999999999</v>
      </c>
      <c r="GH74">
        <v>26.3796</v>
      </c>
      <c r="GI74">
        <v>30.0002</v>
      </c>
      <c r="GJ74">
        <v>26.503599999999999</v>
      </c>
      <c r="GK74">
        <v>26.477499999999999</v>
      </c>
      <c r="GL74">
        <v>35.570300000000003</v>
      </c>
      <c r="GM74">
        <v>-30</v>
      </c>
      <c r="GN74">
        <v>-30</v>
      </c>
      <c r="GO74">
        <v>24.952500000000001</v>
      </c>
      <c r="GP74">
        <v>800</v>
      </c>
      <c r="GQ74">
        <v>12.5298</v>
      </c>
      <c r="GR74">
        <v>99.690600000000003</v>
      </c>
      <c r="GS74">
        <v>99.492699999999999</v>
      </c>
    </row>
    <row r="75" spans="1:201" x14ac:dyDescent="0.25">
      <c r="A75">
        <v>59</v>
      </c>
      <c r="B75">
        <v>1690215874.5999999</v>
      </c>
      <c r="C75">
        <v>929.09999990463257</v>
      </c>
      <c r="D75" t="s">
        <v>451</v>
      </c>
      <c r="E75" t="s">
        <v>452</v>
      </c>
      <c r="F75" t="s">
        <v>330</v>
      </c>
      <c r="H75">
        <v>1690215874.5999999</v>
      </c>
      <c r="I75">
        <f t="shared" si="0"/>
        <v>8.8951798223469705E-4</v>
      </c>
      <c r="J75">
        <f t="shared" si="1"/>
        <v>0.88951798223469702</v>
      </c>
      <c r="K75">
        <f t="shared" si="2"/>
        <v>10.020978183207388</v>
      </c>
      <c r="L75">
        <f t="shared" si="3"/>
        <v>681.03099999999995</v>
      </c>
      <c r="M75">
        <f t="shared" si="4"/>
        <v>213.55788300579314</v>
      </c>
      <c r="N75">
        <f t="shared" si="5"/>
        <v>21.179219945613212</v>
      </c>
      <c r="O75">
        <f t="shared" si="6"/>
        <v>67.540027723489089</v>
      </c>
      <c r="P75">
        <f t="shared" si="7"/>
        <v>3.5955076475367199E-2</v>
      </c>
      <c r="Q75">
        <f t="shared" si="8"/>
        <v>2.0667637606140095</v>
      </c>
      <c r="R75">
        <f t="shared" si="9"/>
        <v>3.5611162612491913E-2</v>
      </c>
      <c r="S75">
        <f t="shared" si="10"/>
        <v>2.2287601689846386E-2</v>
      </c>
      <c r="T75">
        <f t="shared" si="11"/>
        <v>276.11270446600867</v>
      </c>
      <c r="U75">
        <f t="shared" si="12"/>
        <v>28.725346857468384</v>
      </c>
      <c r="V75">
        <f t="shared" si="13"/>
        <v>28.725346857468384</v>
      </c>
      <c r="W75">
        <f t="shared" si="14"/>
        <v>3.9582961567102375</v>
      </c>
      <c r="X75">
        <f t="shared" si="15"/>
        <v>43.814910449065053</v>
      </c>
      <c r="Y75">
        <f t="shared" si="16"/>
        <v>1.5498788649308002</v>
      </c>
      <c r="Z75">
        <f t="shared" si="17"/>
        <v>3.5373320384450824</v>
      </c>
      <c r="AA75">
        <f t="shared" si="18"/>
        <v>2.4084172917794371</v>
      </c>
      <c r="AB75">
        <f t="shared" si="19"/>
        <v>-39.227743016550143</v>
      </c>
      <c r="AC75">
        <f t="shared" si="20"/>
        <v>-214.52863116207374</v>
      </c>
      <c r="AD75">
        <f t="shared" si="21"/>
        <v>-22.572615845352701</v>
      </c>
      <c r="AE75">
        <f t="shared" si="22"/>
        <v>-0.21628555796789328</v>
      </c>
      <c r="AF75">
        <v>46</v>
      </c>
      <c r="AG75">
        <v>15</v>
      </c>
      <c r="AH75">
        <f t="shared" si="23"/>
        <v>1</v>
      </c>
      <c r="AI75">
        <f t="shared" si="24"/>
        <v>0</v>
      </c>
      <c r="AJ75">
        <f t="shared" si="25"/>
        <v>52544.74496825246</v>
      </c>
      <c r="AK75">
        <f t="shared" si="26"/>
        <v>1799.99</v>
      </c>
      <c r="AL75">
        <f t="shared" si="27"/>
        <v>1499.10405499787</v>
      </c>
      <c r="AM75">
        <f t="shared" si="28"/>
        <v>0.832840213</v>
      </c>
      <c r="AN75">
        <f t="shared" si="29"/>
        <v>0.15339679912999998</v>
      </c>
      <c r="AO75">
        <v>33.6</v>
      </c>
      <c r="AP75">
        <v>0.5</v>
      </c>
      <c r="AQ75" t="s">
        <v>331</v>
      </c>
      <c r="AR75">
        <v>2</v>
      </c>
      <c r="AS75">
        <v>1690215874.5999999</v>
      </c>
      <c r="AT75">
        <v>681.03099999999995</v>
      </c>
      <c r="AU75">
        <v>800.00400000000002</v>
      </c>
      <c r="AV75">
        <v>15.628</v>
      </c>
      <c r="AW75">
        <v>5.8249500000000003</v>
      </c>
      <c r="AX75">
        <v>681.33699999999999</v>
      </c>
      <c r="AY75">
        <v>15.543799999999999</v>
      </c>
      <c r="AZ75">
        <v>300.11799999999999</v>
      </c>
      <c r="BA75">
        <v>99.073300000000003</v>
      </c>
      <c r="BB75">
        <v>9.9906099999999998E-2</v>
      </c>
      <c r="BC75">
        <v>26.8</v>
      </c>
      <c r="BD75">
        <v>26.976099999999999</v>
      </c>
      <c r="BE75">
        <v>28.331399999999999</v>
      </c>
      <c r="BF75">
        <v>0</v>
      </c>
      <c r="BG75">
        <v>0</v>
      </c>
      <c r="BH75">
        <v>10024.4</v>
      </c>
      <c r="BI75">
        <v>1075.99</v>
      </c>
      <c r="BJ75">
        <v>1.90625</v>
      </c>
      <c r="BK75">
        <v>-118.973</v>
      </c>
      <c r="BL75">
        <v>691.84299999999996</v>
      </c>
      <c r="BM75">
        <v>804.69100000000003</v>
      </c>
      <c r="BN75">
        <v>9.8030899999999992</v>
      </c>
      <c r="BO75">
        <v>800.00400000000002</v>
      </c>
      <c r="BP75">
        <v>5.8249500000000003</v>
      </c>
      <c r="BQ75">
        <v>1.5483199999999999</v>
      </c>
      <c r="BR75">
        <v>0.57709699999999997</v>
      </c>
      <c r="BS75">
        <v>13.453900000000001</v>
      </c>
      <c r="BT75">
        <v>-0.84260100000000004</v>
      </c>
      <c r="BU75">
        <v>1799.99</v>
      </c>
      <c r="BV75">
        <v>0.91001500000000002</v>
      </c>
      <c r="BW75">
        <v>3.40045E-2</v>
      </c>
      <c r="BX75">
        <v>2.1992399999999999E-2</v>
      </c>
      <c r="BY75">
        <v>3.39881E-2</v>
      </c>
      <c r="BZ75">
        <v>25</v>
      </c>
      <c r="CA75">
        <v>33528.300000000003</v>
      </c>
      <c r="CB75">
        <v>1690214843</v>
      </c>
      <c r="CC75" t="s">
        <v>332</v>
      </c>
      <c r="CD75">
        <v>1690214842</v>
      </c>
      <c r="CE75">
        <v>1690214843</v>
      </c>
      <c r="CF75">
        <v>8</v>
      </c>
      <c r="CG75">
        <v>-6.3E-2</v>
      </c>
      <c r="CH75">
        <v>1E-3</v>
      </c>
      <c r="CI75">
        <v>-0.38900000000000001</v>
      </c>
      <c r="CJ75">
        <v>-6.6000000000000003E-2</v>
      </c>
      <c r="CK75">
        <v>800</v>
      </c>
      <c r="CL75">
        <v>6</v>
      </c>
      <c r="CM75">
        <v>0.23</v>
      </c>
      <c r="CN75">
        <v>0.02</v>
      </c>
      <c r="CO75">
        <v>-116.436425</v>
      </c>
      <c r="CP75">
        <v>-13.25348217636002</v>
      </c>
      <c r="CQ75">
        <v>1.2754716752539039</v>
      </c>
      <c r="CR75">
        <v>-1</v>
      </c>
      <c r="CS75">
        <v>9.6690372499999988</v>
      </c>
      <c r="CT75">
        <v>0.69254690431518673</v>
      </c>
      <c r="CU75">
        <v>6.6629020215950185E-2</v>
      </c>
      <c r="CV75">
        <v>-1</v>
      </c>
      <c r="CW75">
        <v>0</v>
      </c>
      <c r="CX75">
        <v>0</v>
      </c>
      <c r="CY75" t="s">
        <v>333</v>
      </c>
      <c r="CZ75">
        <v>2.3641800000000002</v>
      </c>
      <c r="DA75">
        <v>2.7137199999999999</v>
      </c>
      <c r="DB75">
        <v>0.131439</v>
      </c>
      <c r="DC75">
        <v>0.146033</v>
      </c>
      <c r="DD75">
        <v>8.38227E-2</v>
      </c>
      <c r="DE75">
        <v>3.8491499999999998E-2</v>
      </c>
      <c r="DF75">
        <v>31700</v>
      </c>
      <c r="DG75">
        <v>27501.3</v>
      </c>
      <c r="DH75">
        <v>31158.3</v>
      </c>
      <c r="DI75">
        <v>28062.2</v>
      </c>
      <c r="DJ75">
        <v>38765.199999999997</v>
      </c>
      <c r="DK75">
        <v>38367.300000000003</v>
      </c>
      <c r="DL75">
        <v>44339.7</v>
      </c>
      <c r="DM75">
        <v>42528.5</v>
      </c>
      <c r="DN75">
        <v>1.3545</v>
      </c>
      <c r="DO75">
        <v>2.0325000000000002</v>
      </c>
      <c r="DP75">
        <v>8.36924E-2</v>
      </c>
      <c r="DQ75">
        <v>0.18171599999999999</v>
      </c>
      <c r="DR75">
        <v>25.605899999999998</v>
      </c>
      <c r="DS75">
        <v>25.358799999999999</v>
      </c>
      <c r="DT75">
        <v>17.2</v>
      </c>
      <c r="DU75">
        <v>29.8</v>
      </c>
      <c r="DV75">
        <v>7.31135</v>
      </c>
      <c r="DW75">
        <v>61.718499999999999</v>
      </c>
      <c r="DX75">
        <v>37.183500000000002</v>
      </c>
      <c r="DY75">
        <v>1</v>
      </c>
      <c r="DZ75">
        <v>-8.06809E-2</v>
      </c>
      <c r="EA75">
        <v>-0.115065</v>
      </c>
      <c r="EB75">
        <v>20.189699999999998</v>
      </c>
      <c r="EC75">
        <v>5.2408000000000001</v>
      </c>
      <c r="ED75">
        <v>12.039899999999999</v>
      </c>
      <c r="EE75">
        <v>5.0157999999999996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1.8689100000000001</v>
      </c>
      <c r="EL75">
        <v>1.8646400000000001</v>
      </c>
      <c r="EM75">
        <v>1.8691899999999999</v>
      </c>
      <c r="EN75">
        <v>1.8672500000000001</v>
      </c>
      <c r="EO75">
        <v>1.8633999999999999</v>
      </c>
      <c r="EP75">
        <v>1.8646</v>
      </c>
      <c r="EQ75">
        <v>1.87019</v>
      </c>
      <c r="ER75">
        <v>1.86948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-0.30599999999999999</v>
      </c>
      <c r="FG75">
        <v>8.4199999999999997E-2</v>
      </c>
      <c r="FH75">
        <v>0.16202357103534001</v>
      </c>
      <c r="FI75">
        <v>-6.1462078757559423E-4</v>
      </c>
      <c r="FJ75">
        <v>-1.8861989874597051E-7</v>
      </c>
      <c r="FK75">
        <v>1.1980462299894961E-10</v>
      </c>
      <c r="FL75">
        <v>-3.0039189969545878E-2</v>
      </c>
      <c r="FM75">
        <v>-1.6848085045870601E-2</v>
      </c>
      <c r="FN75">
        <v>1.9789084769509481E-3</v>
      </c>
      <c r="FO75">
        <v>-2.7142391389806329E-5</v>
      </c>
      <c r="FP75">
        <v>3</v>
      </c>
      <c r="FQ75">
        <v>2158</v>
      </c>
      <c r="FR75">
        <v>1</v>
      </c>
      <c r="FS75">
        <v>19</v>
      </c>
      <c r="FT75">
        <v>17.2</v>
      </c>
      <c r="FU75">
        <v>17.2</v>
      </c>
      <c r="FV75">
        <v>1.77979</v>
      </c>
      <c r="FW75">
        <v>2.5793499999999998</v>
      </c>
      <c r="FX75">
        <v>1.5490699999999999</v>
      </c>
      <c r="FY75">
        <v>2.3290999999999999</v>
      </c>
      <c r="FZ75">
        <v>1.50146</v>
      </c>
      <c r="GA75">
        <v>2.3791500000000001</v>
      </c>
      <c r="GB75">
        <v>33.850900000000003</v>
      </c>
      <c r="GC75">
        <v>23.982399999999998</v>
      </c>
      <c r="GD75">
        <v>19</v>
      </c>
      <c r="GE75">
        <v>234.858</v>
      </c>
      <c r="GF75">
        <v>581.51499999999999</v>
      </c>
      <c r="GG75">
        <v>24.974599999999999</v>
      </c>
      <c r="GH75">
        <v>26.375699999999998</v>
      </c>
      <c r="GI75">
        <v>30</v>
      </c>
      <c r="GJ75">
        <v>26.501300000000001</v>
      </c>
      <c r="GK75">
        <v>26.475899999999999</v>
      </c>
      <c r="GL75">
        <v>35.570399999999999</v>
      </c>
      <c r="GM75">
        <v>-30</v>
      </c>
      <c r="GN75">
        <v>-30</v>
      </c>
      <c r="GO75">
        <v>24.991</v>
      </c>
      <c r="GP75">
        <v>800</v>
      </c>
      <c r="GQ75">
        <v>12.5298</v>
      </c>
      <c r="GR75">
        <v>99.691299999999998</v>
      </c>
      <c r="GS75">
        <v>99.492800000000003</v>
      </c>
    </row>
    <row r="76" spans="1:201" x14ac:dyDescent="0.25">
      <c r="A76">
        <v>60</v>
      </c>
      <c r="B76">
        <v>1690215884.5999999</v>
      </c>
      <c r="C76">
        <v>939.09999990463257</v>
      </c>
      <c r="D76" t="s">
        <v>453</v>
      </c>
      <c r="E76" t="s">
        <v>454</v>
      </c>
      <c r="F76" t="s">
        <v>330</v>
      </c>
      <c r="H76">
        <v>1690215884.5999999</v>
      </c>
      <c r="I76">
        <f t="shared" si="0"/>
        <v>9.0044703704704118E-4</v>
      </c>
      <c r="J76">
        <f t="shared" si="1"/>
        <v>0.90044703704704121</v>
      </c>
      <c r="K76">
        <f t="shared" si="2"/>
        <v>10.20786680481172</v>
      </c>
      <c r="L76">
        <f t="shared" si="3"/>
        <v>678.82</v>
      </c>
      <c r="M76">
        <f t="shared" si="4"/>
        <v>210.43454143582306</v>
      </c>
      <c r="N76">
        <f t="shared" si="5"/>
        <v>20.870043665801244</v>
      </c>
      <c r="O76">
        <f t="shared" si="6"/>
        <v>67.322612269620024</v>
      </c>
      <c r="P76">
        <f t="shared" si="7"/>
        <v>3.6542693282324928E-2</v>
      </c>
      <c r="Q76">
        <f t="shared" si="8"/>
        <v>2.0633582992188009</v>
      </c>
      <c r="R76">
        <f t="shared" si="9"/>
        <v>3.6186926180128802E-2</v>
      </c>
      <c r="S76">
        <f t="shared" si="10"/>
        <v>2.2648504387474414E-2</v>
      </c>
      <c r="T76">
        <f t="shared" si="11"/>
        <v>276.11242510756074</v>
      </c>
      <c r="U76">
        <f t="shared" si="12"/>
        <v>28.735079054796213</v>
      </c>
      <c r="V76">
        <f t="shared" si="13"/>
        <v>28.735079054796213</v>
      </c>
      <c r="W76">
        <f t="shared" si="14"/>
        <v>3.9605303966344056</v>
      </c>
      <c r="X76">
        <f t="shared" si="15"/>
        <v>44.113035826601177</v>
      </c>
      <c r="Y76">
        <f t="shared" si="16"/>
        <v>1.5614160975099001</v>
      </c>
      <c r="Z76">
        <f t="shared" si="17"/>
        <v>3.5395797823742843</v>
      </c>
      <c r="AA76">
        <f t="shared" si="18"/>
        <v>2.3991142991245056</v>
      </c>
      <c r="AB76">
        <f t="shared" si="19"/>
        <v>-39.709714333774514</v>
      </c>
      <c r="AC76">
        <f t="shared" si="20"/>
        <v>-214.05636452736047</v>
      </c>
      <c r="AD76">
        <f t="shared" si="21"/>
        <v>-22.562406985986385</v>
      </c>
      <c r="AE76">
        <f t="shared" si="22"/>
        <v>-0.2160607395606462</v>
      </c>
      <c r="AF76">
        <v>46</v>
      </c>
      <c r="AG76">
        <v>15</v>
      </c>
      <c r="AH76">
        <f t="shared" si="23"/>
        <v>1</v>
      </c>
      <c r="AI76">
        <f t="shared" si="24"/>
        <v>0</v>
      </c>
      <c r="AJ76">
        <f t="shared" si="25"/>
        <v>52386.998604708075</v>
      </c>
      <c r="AK76">
        <f t="shared" si="26"/>
        <v>1799.99</v>
      </c>
      <c r="AL76">
        <f t="shared" si="27"/>
        <v>1499.1039919982197</v>
      </c>
      <c r="AM76">
        <f t="shared" si="28"/>
        <v>0.83284017799999988</v>
      </c>
      <c r="AN76">
        <f t="shared" si="29"/>
        <v>0.15339664393000002</v>
      </c>
      <c r="AO76">
        <v>33.6</v>
      </c>
      <c r="AP76">
        <v>0.5</v>
      </c>
      <c r="AQ76" t="s">
        <v>331</v>
      </c>
      <c r="AR76">
        <v>2</v>
      </c>
      <c r="AS76">
        <v>1690215884.5999999</v>
      </c>
      <c r="AT76">
        <v>678.82</v>
      </c>
      <c r="AU76">
        <v>799.92700000000002</v>
      </c>
      <c r="AV76">
        <v>15.7439</v>
      </c>
      <c r="AW76">
        <v>5.8231599999999997</v>
      </c>
      <c r="AX76">
        <v>679.125</v>
      </c>
      <c r="AY76">
        <v>15.6568</v>
      </c>
      <c r="AZ76">
        <v>300.166</v>
      </c>
      <c r="BA76">
        <v>99.075900000000004</v>
      </c>
      <c r="BB76">
        <v>0.100041</v>
      </c>
      <c r="BC76">
        <v>26.8108</v>
      </c>
      <c r="BD76">
        <v>26.975899999999999</v>
      </c>
      <c r="BE76">
        <v>28.342300000000002</v>
      </c>
      <c r="BF76">
        <v>0</v>
      </c>
      <c r="BG76">
        <v>0</v>
      </c>
      <c r="BH76">
        <v>9993.1200000000008</v>
      </c>
      <c r="BI76">
        <v>1075.8800000000001</v>
      </c>
      <c r="BJ76">
        <v>1.90625</v>
      </c>
      <c r="BK76">
        <v>-121.10599999999999</v>
      </c>
      <c r="BL76">
        <v>689.67899999999997</v>
      </c>
      <c r="BM76">
        <v>804.61199999999997</v>
      </c>
      <c r="BN76">
        <v>9.9207199999999993</v>
      </c>
      <c r="BO76">
        <v>799.92700000000002</v>
      </c>
      <c r="BP76">
        <v>5.8231599999999997</v>
      </c>
      <c r="BQ76">
        <v>1.5598399999999999</v>
      </c>
      <c r="BR76">
        <v>0.57693499999999998</v>
      </c>
      <c r="BS76">
        <v>13.5677</v>
      </c>
      <c r="BT76">
        <v>-0.84643699999999999</v>
      </c>
      <c r="BU76">
        <v>1799.99</v>
      </c>
      <c r="BV76">
        <v>0.91001699999999996</v>
      </c>
      <c r="BW76">
        <v>3.4002200000000003E-2</v>
      </c>
      <c r="BX76">
        <v>2.1990900000000001E-2</v>
      </c>
      <c r="BY76">
        <v>3.3989699999999998E-2</v>
      </c>
      <c r="BZ76">
        <v>25</v>
      </c>
      <c r="CA76">
        <v>33528.300000000003</v>
      </c>
      <c r="CB76">
        <v>1690214843</v>
      </c>
      <c r="CC76" t="s">
        <v>332</v>
      </c>
      <c r="CD76">
        <v>1690214842</v>
      </c>
      <c r="CE76">
        <v>1690214843</v>
      </c>
      <c r="CF76">
        <v>8</v>
      </c>
      <c r="CG76">
        <v>-6.3E-2</v>
      </c>
      <c r="CH76">
        <v>1E-3</v>
      </c>
      <c r="CI76">
        <v>-0.38900000000000001</v>
      </c>
      <c r="CJ76">
        <v>-6.6000000000000003E-2</v>
      </c>
      <c r="CK76">
        <v>800</v>
      </c>
      <c r="CL76">
        <v>6</v>
      </c>
      <c r="CM76">
        <v>0.23</v>
      </c>
      <c r="CN76">
        <v>0.02</v>
      </c>
      <c r="CO76">
        <v>-118.7286097560976</v>
      </c>
      <c r="CP76">
        <v>-13.262864111498139</v>
      </c>
      <c r="CQ76">
        <v>1.3084727063716119</v>
      </c>
      <c r="CR76">
        <v>-1</v>
      </c>
      <c r="CS76">
        <v>9.7894165853658546</v>
      </c>
      <c r="CT76">
        <v>0.71168320557493314</v>
      </c>
      <c r="CU76">
        <v>7.0180074324858926E-2</v>
      </c>
      <c r="CV76">
        <v>-1</v>
      </c>
      <c r="CW76">
        <v>0</v>
      </c>
      <c r="CX76">
        <v>0</v>
      </c>
      <c r="CY76" t="s">
        <v>333</v>
      </c>
      <c r="CZ76">
        <v>2.3643299999999998</v>
      </c>
      <c r="DA76">
        <v>2.7138300000000002</v>
      </c>
      <c r="DB76">
        <v>0.13115099999999999</v>
      </c>
      <c r="DC76">
        <v>0.14602799999999999</v>
      </c>
      <c r="DD76">
        <v>8.4273100000000004E-2</v>
      </c>
      <c r="DE76">
        <v>3.8483099999999999E-2</v>
      </c>
      <c r="DF76">
        <v>31710.6</v>
      </c>
      <c r="DG76">
        <v>27502.2</v>
      </c>
      <c r="DH76">
        <v>31158.400000000001</v>
      </c>
      <c r="DI76">
        <v>28062.9</v>
      </c>
      <c r="DJ76">
        <v>38746.199999999997</v>
      </c>
      <c r="DK76">
        <v>38368.400000000001</v>
      </c>
      <c r="DL76">
        <v>44340</v>
      </c>
      <c r="DM76">
        <v>42529.4</v>
      </c>
      <c r="DN76">
        <v>1.3547</v>
      </c>
      <c r="DO76">
        <v>2.03247</v>
      </c>
      <c r="DP76">
        <v>8.3681199999999997E-2</v>
      </c>
      <c r="DQ76">
        <v>0.18238299999999999</v>
      </c>
      <c r="DR76">
        <v>25.605899999999998</v>
      </c>
      <c r="DS76">
        <v>25.358799999999999</v>
      </c>
      <c r="DT76">
        <v>17.2</v>
      </c>
      <c r="DU76">
        <v>29.8</v>
      </c>
      <c r="DV76">
        <v>7.3122499999999997</v>
      </c>
      <c r="DW76">
        <v>61.798499999999997</v>
      </c>
      <c r="DX76">
        <v>37.139400000000002</v>
      </c>
      <c r="DY76">
        <v>1</v>
      </c>
      <c r="DZ76">
        <v>-8.0879099999999995E-2</v>
      </c>
      <c r="EA76">
        <v>-0.129826</v>
      </c>
      <c r="EB76">
        <v>20.189900000000002</v>
      </c>
      <c r="EC76">
        <v>5.2408000000000001</v>
      </c>
      <c r="ED76">
        <v>12.039899999999999</v>
      </c>
      <c r="EE76">
        <v>5.0160999999999998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1.8689100000000001</v>
      </c>
      <c r="EL76">
        <v>1.86463</v>
      </c>
      <c r="EM76">
        <v>1.8691899999999999</v>
      </c>
      <c r="EN76">
        <v>1.86724</v>
      </c>
      <c r="EO76">
        <v>1.8633999999999999</v>
      </c>
      <c r="EP76">
        <v>1.8645799999999999</v>
      </c>
      <c r="EQ76">
        <v>1.8702000000000001</v>
      </c>
      <c r="ER76">
        <v>1.8694500000000001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-0.30499999999999999</v>
      </c>
      <c r="FG76">
        <v>8.7099999999999997E-2</v>
      </c>
      <c r="FH76">
        <v>0.16202357103534001</v>
      </c>
      <c r="FI76">
        <v>-6.1462078757559423E-4</v>
      </c>
      <c r="FJ76">
        <v>-1.8861989874597051E-7</v>
      </c>
      <c r="FK76">
        <v>1.1980462299894961E-10</v>
      </c>
      <c r="FL76">
        <v>-3.0039189969545878E-2</v>
      </c>
      <c r="FM76">
        <v>-1.6848085045870601E-2</v>
      </c>
      <c r="FN76">
        <v>1.9789084769509481E-3</v>
      </c>
      <c r="FO76">
        <v>-2.7142391389806329E-5</v>
      </c>
      <c r="FP76">
        <v>3</v>
      </c>
      <c r="FQ76">
        <v>2158</v>
      </c>
      <c r="FR76">
        <v>1</v>
      </c>
      <c r="FS76">
        <v>19</v>
      </c>
      <c r="FT76">
        <v>17.399999999999999</v>
      </c>
      <c r="FU76">
        <v>17.399999999999999</v>
      </c>
      <c r="FV76">
        <v>1.77979</v>
      </c>
      <c r="FW76">
        <v>2.5878899999999998</v>
      </c>
      <c r="FX76">
        <v>1.5490699999999999</v>
      </c>
      <c r="FY76">
        <v>2.3290999999999999</v>
      </c>
      <c r="FZ76">
        <v>1.50146</v>
      </c>
      <c r="GA76">
        <v>2.36328</v>
      </c>
      <c r="GB76">
        <v>33.850900000000003</v>
      </c>
      <c r="GC76">
        <v>23.991199999999999</v>
      </c>
      <c r="GD76">
        <v>19</v>
      </c>
      <c r="GE76">
        <v>234.92500000000001</v>
      </c>
      <c r="GF76">
        <v>581.46900000000005</v>
      </c>
      <c r="GG76">
        <v>25.012699999999999</v>
      </c>
      <c r="GH76">
        <v>26.373100000000001</v>
      </c>
      <c r="GI76">
        <v>30.0001</v>
      </c>
      <c r="GJ76">
        <v>26.499099999999999</v>
      </c>
      <c r="GK76">
        <v>26.473700000000001</v>
      </c>
      <c r="GL76">
        <v>35.572600000000001</v>
      </c>
      <c r="GM76">
        <v>-30</v>
      </c>
      <c r="GN76">
        <v>-30</v>
      </c>
      <c r="GO76">
        <v>25.027100000000001</v>
      </c>
      <c r="GP76">
        <v>800</v>
      </c>
      <c r="GQ76">
        <v>12.5298</v>
      </c>
      <c r="GR76">
        <v>99.691800000000001</v>
      </c>
      <c r="GS76">
        <v>99.494900000000001</v>
      </c>
    </row>
    <row r="77" spans="1:201" x14ac:dyDescent="0.25">
      <c r="A77">
        <v>61</v>
      </c>
      <c r="B77">
        <v>1690215894.5999999</v>
      </c>
      <c r="C77">
        <v>949.09999990463257</v>
      </c>
      <c r="D77" t="s">
        <v>455</v>
      </c>
      <c r="E77" t="s">
        <v>456</v>
      </c>
      <c r="F77" t="s">
        <v>330</v>
      </c>
      <c r="H77">
        <v>1690215894.5999999</v>
      </c>
      <c r="I77">
        <f t="shared" si="0"/>
        <v>9.1132774349333664E-4</v>
      </c>
      <c r="J77">
        <f t="shared" si="1"/>
        <v>0.91132774349333667</v>
      </c>
      <c r="K77">
        <f t="shared" si="2"/>
        <v>10.404948040334178</v>
      </c>
      <c r="L77">
        <f t="shared" si="3"/>
        <v>676.67</v>
      </c>
      <c r="M77">
        <f t="shared" si="4"/>
        <v>207.83953237491457</v>
      </c>
      <c r="N77">
        <f t="shared" si="5"/>
        <v>20.611673033062427</v>
      </c>
      <c r="O77">
        <f t="shared" si="6"/>
        <v>67.106101673300998</v>
      </c>
      <c r="P77">
        <f t="shared" si="7"/>
        <v>3.720053654186619E-2</v>
      </c>
      <c r="Q77">
        <f t="shared" si="8"/>
        <v>2.0667393579268136</v>
      </c>
      <c r="R77">
        <f t="shared" si="9"/>
        <v>3.6832511379987921E-2</v>
      </c>
      <c r="S77">
        <f t="shared" si="10"/>
        <v>2.3053081710329257E-2</v>
      </c>
      <c r="T77">
        <f t="shared" si="11"/>
        <v>276.11541702</v>
      </c>
      <c r="U77">
        <f t="shared" si="12"/>
        <v>28.725457726175886</v>
      </c>
      <c r="V77">
        <f t="shared" si="13"/>
        <v>28.725457726175886</v>
      </c>
      <c r="W77">
        <f t="shared" si="14"/>
        <v>3.9583216028692552</v>
      </c>
      <c r="X77">
        <f t="shared" si="15"/>
        <v>44.448228014624149</v>
      </c>
      <c r="Y77">
        <f t="shared" si="16"/>
        <v>1.5730121659024798</v>
      </c>
      <c r="Z77">
        <f t="shared" si="17"/>
        <v>3.5389760990807884</v>
      </c>
      <c r="AA77">
        <f t="shared" si="18"/>
        <v>2.3853094369667751</v>
      </c>
      <c r="AB77">
        <f t="shared" si="19"/>
        <v>-40.189553488056148</v>
      </c>
      <c r="AC77">
        <f t="shared" si="20"/>
        <v>-213.65821718626196</v>
      </c>
      <c r="AD77">
        <f t="shared" si="21"/>
        <v>-22.482193015994461</v>
      </c>
      <c r="AE77">
        <f t="shared" si="22"/>
        <v>-0.21454667031255781</v>
      </c>
      <c r="AF77">
        <v>46</v>
      </c>
      <c r="AG77">
        <v>15</v>
      </c>
      <c r="AH77">
        <f t="shared" si="23"/>
        <v>1</v>
      </c>
      <c r="AI77">
        <f t="shared" si="24"/>
        <v>0</v>
      </c>
      <c r="AJ77">
        <f t="shared" si="25"/>
        <v>52542.193637032586</v>
      </c>
      <c r="AK77">
        <f t="shared" si="26"/>
        <v>1800</v>
      </c>
      <c r="AL77">
        <f t="shared" si="27"/>
        <v>1499.1111539999999</v>
      </c>
      <c r="AM77">
        <f t="shared" si="28"/>
        <v>0.83283952999999999</v>
      </c>
      <c r="AN77">
        <f t="shared" si="29"/>
        <v>0.15339745390000001</v>
      </c>
      <c r="AO77">
        <v>33.6</v>
      </c>
      <c r="AP77">
        <v>0.5</v>
      </c>
      <c r="AQ77" t="s">
        <v>331</v>
      </c>
      <c r="AR77">
        <v>2</v>
      </c>
      <c r="AS77">
        <v>1690215894.5999999</v>
      </c>
      <c r="AT77">
        <v>676.67</v>
      </c>
      <c r="AU77">
        <v>800.05</v>
      </c>
      <c r="AV77">
        <v>15.861599999999999</v>
      </c>
      <c r="AW77">
        <v>5.8216799999999997</v>
      </c>
      <c r="AX77">
        <v>676.97299999999996</v>
      </c>
      <c r="AY77">
        <v>15.771599999999999</v>
      </c>
      <c r="AZ77">
        <v>300.15100000000001</v>
      </c>
      <c r="BA77">
        <v>99.071100000000001</v>
      </c>
      <c r="BB77">
        <v>9.9990300000000004E-2</v>
      </c>
      <c r="BC77">
        <v>26.8079</v>
      </c>
      <c r="BD77">
        <v>26.985800000000001</v>
      </c>
      <c r="BE77">
        <v>28.360299999999999</v>
      </c>
      <c r="BF77">
        <v>0</v>
      </c>
      <c r="BG77">
        <v>0</v>
      </c>
      <c r="BH77">
        <v>10024.4</v>
      </c>
      <c r="BI77">
        <v>1075.8399999999999</v>
      </c>
      <c r="BJ77">
        <v>1.90625</v>
      </c>
      <c r="BK77">
        <v>-123.38</v>
      </c>
      <c r="BL77">
        <v>687.57600000000002</v>
      </c>
      <c r="BM77">
        <v>804.73500000000001</v>
      </c>
      <c r="BN77">
        <v>10.039899999999999</v>
      </c>
      <c r="BO77">
        <v>800.05</v>
      </c>
      <c r="BP77">
        <v>5.8216799999999997</v>
      </c>
      <c r="BQ77">
        <v>1.57142</v>
      </c>
      <c r="BR77">
        <v>0.57676000000000005</v>
      </c>
      <c r="BS77">
        <v>13.6814</v>
      </c>
      <c r="BT77">
        <v>-0.850603</v>
      </c>
      <c r="BU77">
        <v>1800</v>
      </c>
      <c r="BV77">
        <v>0.90999399999999997</v>
      </c>
      <c r="BW77">
        <v>3.4000099999999998E-2</v>
      </c>
      <c r="BX77">
        <v>2.1999999999999999E-2</v>
      </c>
      <c r="BY77">
        <v>3.4006000000000002E-2</v>
      </c>
      <c r="BZ77">
        <v>25</v>
      </c>
      <c r="CA77">
        <v>33528.400000000001</v>
      </c>
      <c r="CB77">
        <v>1690214843</v>
      </c>
      <c r="CC77" t="s">
        <v>332</v>
      </c>
      <c r="CD77">
        <v>1690214842</v>
      </c>
      <c r="CE77">
        <v>1690214843</v>
      </c>
      <c r="CF77">
        <v>8</v>
      </c>
      <c r="CG77">
        <v>-6.3E-2</v>
      </c>
      <c r="CH77">
        <v>1E-3</v>
      </c>
      <c r="CI77">
        <v>-0.38900000000000001</v>
      </c>
      <c r="CJ77">
        <v>-6.6000000000000003E-2</v>
      </c>
      <c r="CK77">
        <v>800</v>
      </c>
      <c r="CL77">
        <v>6</v>
      </c>
      <c r="CM77">
        <v>0.23</v>
      </c>
      <c r="CN77">
        <v>0.02</v>
      </c>
      <c r="CO77">
        <v>-120.89745000000001</v>
      </c>
      <c r="CP77">
        <v>-13.23618011256996</v>
      </c>
      <c r="CQ77">
        <v>1.273992601038169</v>
      </c>
      <c r="CR77">
        <v>-1</v>
      </c>
      <c r="CS77">
        <v>9.9053947499999992</v>
      </c>
      <c r="CT77">
        <v>0.710652495309541</v>
      </c>
      <c r="CU77">
        <v>6.8369010450185133E-2</v>
      </c>
      <c r="CV77">
        <v>-1</v>
      </c>
      <c r="CW77">
        <v>0</v>
      </c>
      <c r="CX77">
        <v>0</v>
      </c>
      <c r="CY77" t="s">
        <v>333</v>
      </c>
      <c r="CZ77">
        <v>2.36429</v>
      </c>
      <c r="DA77">
        <v>2.7138</v>
      </c>
      <c r="DB77">
        <v>0.13086100000000001</v>
      </c>
      <c r="DC77">
        <v>0.146037</v>
      </c>
      <c r="DD77">
        <v>8.4723099999999996E-2</v>
      </c>
      <c r="DE77">
        <v>3.8473300000000002E-2</v>
      </c>
      <c r="DF77">
        <v>31721.599999999999</v>
      </c>
      <c r="DG77">
        <v>27502</v>
      </c>
      <c r="DH77">
        <v>31158.9</v>
      </c>
      <c r="DI77">
        <v>28063</v>
      </c>
      <c r="DJ77">
        <v>38727.5</v>
      </c>
      <c r="DK77">
        <v>38368.9</v>
      </c>
      <c r="DL77">
        <v>44340.5</v>
      </c>
      <c r="DM77">
        <v>42529.599999999999</v>
      </c>
      <c r="DN77">
        <v>1.3551200000000001</v>
      </c>
      <c r="DO77">
        <v>2.0325000000000002</v>
      </c>
      <c r="DP77">
        <v>8.4284700000000004E-2</v>
      </c>
      <c r="DQ77">
        <v>0.18348500000000001</v>
      </c>
      <c r="DR77">
        <v>25.605899999999998</v>
      </c>
      <c r="DS77">
        <v>25.358799999999999</v>
      </c>
      <c r="DT77">
        <v>17.2</v>
      </c>
      <c r="DU77">
        <v>29.8</v>
      </c>
      <c r="DV77">
        <v>7.3120000000000003</v>
      </c>
      <c r="DW77">
        <v>61.608499999999999</v>
      </c>
      <c r="DX77">
        <v>37.179499999999997</v>
      </c>
      <c r="DY77">
        <v>1</v>
      </c>
      <c r="DZ77">
        <v>-8.0985799999999997E-2</v>
      </c>
      <c r="EA77">
        <v>-0.14113000000000001</v>
      </c>
      <c r="EB77">
        <v>20.189800000000002</v>
      </c>
      <c r="EC77">
        <v>5.2401999999999997</v>
      </c>
      <c r="ED77">
        <v>12.039899999999999</v>
      </c>
      <c r="EE77">
        <v>5.0157999999999996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1.86894</v>
      </c>
      <c r="EL77">
        <v>1.86466</v>
      </c>
      <c r="EM77">
        <v>1.8691800000000001</v>
      </c>
      <c r="EN77">
        <v>1.8672500000000001</v>
      </c>
      <c r="EO77">
        <v>1.8633999999999999</v>
      </c>
      <c r="EP77">
        <v>1.8645700000000001</v>
      </c>
      <c r="EQ77">
        <v>1.87016</v>
      </c>
      <c r="ER77">
        <v>1.86947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-0.30299999999999999</v>
      </c>
      <c r="FG77">
        <v>0.09</v>
      </c>
      <c r="FH77">
        <v>0.16202357103534001</v>
      </c>
      <c r="FI77">
        <v>-6.1462078757559423E-4</v>
      </c>
      <c r="FJ77">
        <v>-1.8861989874597051E-7</v>
      </c>
      <c r="FK77">
        <v>1.1980462299894961E-10</v>
      </c>
      <c r="FL77">
        <v>-3.0039189969545878E-2</v>
      </c>
      <c r="FM77">
        <v>-1.6848085045870601E-2</v>
      </c>
      <c r="FN77">
        <v>1.9789084769509481E-3</v>
      </c>
      <c r="FO77">
        <v>-2.7142391389806329E-5</v>
      </c>
      <c r="FP77">
        <v>3</v>
      </c>
      <c r="FQ77">
        <v>2158</v>
      </c>
      <c r="FR77">
        <v>1</v>
      </c>
      <c r="FS77">
        <v>19</v>
      </c>
      <c r="FT77">
        <v>17.5</v>
      </c>
      <c r="FU77">
        <v>17.5</v>
      </c>
      <c r="FV77">
        <v>1.7785599999999999</v>
      </c>
      <c r="FW77">
        <v>2.5793499999999998</v>
      </c>
      <c r="FX77">
        <v>1.5490699999999999</v>
      </c>
      <c r="FY77">
        <v>2.3290999999999999</v>
      </c>
      <c r="FZ77">
        <v>1.50146</v>
      </c>
      <c r="GA77">
        <v>2.3571800000000001</v>
      </c>
      <c r="GB77">
        <v>33.850900000000003</v>
      </c>
      <c r="GC77">
        <v>23.982399999999998</v>
      </c>
      <c r="GD77">
        <v>19</v>
      </c>
      <c r="GE77">
        <v>235.077</v>
      </c>
      <c r="GF77">
        <v>581.471</v>
      </c>
      <c r="GG77">
        <v>25.045400000000001</v>
      </c>
      <c r="GH77">
        <v>26.370100000000001</v>
      </c>
      <c r="GI77">
        <v>30</v>
      </c>
      <c r="GJ77">
        <v>26.497299999999999</v>
      </c>
      <c r="GK77">
        <v>26.472000000000001</v>
      </c>
      <c r="GL77">
        <v>35.569099999999999</v>
      </c>
      <c r="GM77">
        <v>-30</v>
      </c>
      <c r="GN77">
        <v>-30</v>
      </c>
      <c r="GO77">
        <v>25.050799999999999</v>
      </c>
      <c r="GP77">
        <v>800</v>
      </c>
      <c r="GQ77">
        <v>12.5298</v>
      </c>
      <c r="GR77">
        <v>99.693100000000001</v>
      </c>
      <c r="GS77">
        <v>99.495400000000004</v>
      </c>
    </row>
    <row r="78" spans="1:201" x14ac:dyDescent="0.25">
      <c r="A78">
        <v>62</v>
      </c>
      <c r="B78">
        <v>1690215904.5999999</v>
      </c>
      <c r="C78">
        <v>959.09999990463257</v>
      </c>
      <c r="D78" t="s">
        <v>457</v>
      </c>
      <c r="E78" t="s">
        <v>458</v>
      </c>
      <c r="F78" t="s">
        <v>330</v>
      </c>
      <c r="H78">
        <v>1690215904.5999999</v>
      </c>
      <c r="I78">
        <f t="shared" si="0"/>
        <v>9.2252256680537699E-4</v>
      </c>
      <c r="J78">
        <f t="shared" si="1"/>
        <v>0.92252256680537703</v>
      </c>
      <c r="K78">
        <f t="shared" si="2"/>
        <v>10.602228311483493</v>
      </c>
      <c r="L78">
        <f t="shared" si="3"/>
        <v>674.33399999999995</v>
      </c>
      <c r="M78">
        <f t="shared" si="4"/>
        <v>204.65998221749791</v>
      </c>
      <c r="N78">
        <f t="shared" si="5"/>
        <v>20.297473005992615</v>
      </c>
      <c r="O78">
        <f t="shared" si="6"/>
        <v>66.87812641104</v>
      </c>
      <c r="P78">
        <f t="shared" si="7"/>
        <v>3.7825657345425409E-2</v>
      </c>
      <c r="Q78">
        <f t="shared" si="8"/>
        <v>2.0637783263558171</v>
      </c>
      <c r="R78">
        <f t="shared" si="9"/>
        <v>3.7444687948303815E-2</v>
      </c>
      <c r="S78">
        <f t="shared" si="10"/>
        <v>2.3436838715915172E-2</v>
      </c>
      <c r="T78">
        <f t="shared" si="11"/>
        <v>276.11506607088864</v>
      </c>
      <c r="U78">
        <f t="shared" si="12"/>
        <v>28.731813945138207</v>
      </c>
      <c r="V78">
        <f t="shared" si="13"/>
        <v>28.731813945138207</v>
      </c>
      <c r="W78">
        <f t="shared" si="14"/>
        <v>3.959780696343608</v>
      </c>
      <c r="X78">
        <f t="shared" si="15"/>
        <v>44.756919935340441</v>
      </c>
      <c r="Y78">
        <f t="shared" si="16"/>
        <v>1.5846728286479999</v>
      </c>
      <c r="Z78">
        <f t="shared" si="17"/>
        <v>3.5406208267623192</v>
      </c>
      <c r="AA78">
        <f t="shared" si="18"/>
        <v>2.3751078676956081</v>
      </c>
      <c r="AB78">
        <f t="shared" si="19"/>
        <v>-40.683245196117127</v>
      </c>
      <c r="AC78">
        <f t="shared" si="20"/>
        <v>-213.18034279181225</v>
      </c>
      <c r="AD78">
        <f t="shared" si="21"/>
        <v>-22.465689969339927</v>
      </c>
      <c r="AE78">
        <f t="shared" si="22"/>
        <v>-0.21421188638066724</v>
      </c>
      <c r="AF78">
        <v>46</v>
      </c>
      <c r="AG78">
        <v>15</v>
      </c>
      <c r="AH78">
        <f t="shared" si="23"/>
        <v>1</v>
      </c>
      <c r="AI78">
        <f t="shared" si="24"/>
        <v>0</v>
      </c>
      <c r="AJ78">
        <f t="shared" si="25"/>
        <v>52405.349655706683</v>
      </c>
      <c r="AK78">
        <f t="shared" si="26"/>
        <v>1799.99</v>
      </c>
      <c r="AL78">
        <f t="shared" si="27"/>
        <v>1499.1020048092598</v>
      </c>
      <c r="AM78">
        <f t="shared" si="28"/>
        <v>0.8328390739999999</v>
      </c>
      <c r="AN78">
        <f t="shared" si="29"/>
        <v>0.15339811114000002</v>
      </c>
      <c r="AO78">
        <v>33.6</v>
      </c>
      <c r="AP78">
        <v>0.5</v>
      </c>
      <c r="AQ78" t="s">
        <v>331</v>
      </c>
      <c r="AR78">
        <v>2</v>
      </c>
      <c r="AS78">
        <v>1690215904.5999999</v>
      </c>
      <c r="AT78">
        <v>674.33399999999995</v>
      </c>
      <c r="AU78">
        <v>799.94</v>
      </c>
      <c r="AV78">
        <v>15.978300000000001</v>
      </c>
      <c r="AW78">
        <v>5.8197400000000004</v>
      </c>
      <c r="AX78">
        <v>674.63599999999997</v>
      </c>
      <c r="AY78">
        <v>15.885400000000001</v>
      </c>
      <c r="AZ78">
        <v>300.25400000000002</v>
      </c>
      <c r="BA78">
        <v>99.076499999999996</v>
      </c>
      <c r="BB78">
        <v>0.10006</v>
      </c>
      <c r="BC78">
        <v>26.815799999999999</v>
      </c>
      <c r="BD78">
        <v>26.997499999999999</v>
      </c>
      <c r="BE78">
        <v>28.340900000000001</v>
      </c>
      <c r="BF78">
        <v>0</v>
      </c>
      <c r="BG78">
        <v>0</v>
      </c>
      <c r="BH78">
        <v>9996.8799999999992</v>
      </c>
      <c r="BI78">
        <v>1076</v>
      </c>
      <c r="BJ78">
        <v>1.90625</v>
      </c>
      <c r="BK78">
        <v>-125.605</v>
      </c>
      <c r="BL78">
        <v>685.28399999999999</v>
      </c>
      <c r="BM78">
        <v>804.62199999999996</v>
      </c>
      <c r="BN78">
        <v>10.1585</v>
      </c>
      <c r="BO78">
        <v>799.94</v>
      </c>
      <c r="BP78">
        <v>5.8197400000000004</v>
      </c>
      <c r="BQ78">
        <v>1.58307</v>
      </c>
      <c r="BR78">
        <v>0.57659899999999997</v>
      </c>
      <c r="BS78">
        <v>13.795</v>
      </c>
      <c r="BT78">
        <v>-0.85440400000000005</v>
      </c>
      <c r="BU78">
        <v>1799.99</v>
      </c>
      <c r="BV78">
        <v>0.90997899999999998</v>
      </c>
      <c r="BW78">
        <v>3.3998300000000002E-2</v>
      </c>
      <c r="BX78">
        <v>2.20092E-2</v>
      </c>
      <c r="BY78">
        <v>3.40132E-2</v>
      </c>
      <c r="BZ78">
        <v>25</v>
      </c>
      <c r="CA78">
        <v>33528</v>
      </c>
      <c r="CB78">
        <v>1690214843</v>
      </c>
      <c r="CC78" t="s">
        <v>332</v>
      </c>
      <c r="CD78">
        <v>1690214842</v>
      </c>
      <c r="CE78">
        <v>1690214843</v>
      </c>
      <c r="CF78">
        <v>8</v>
      </c>
      <c r="CG78">
        <v>-6.3E-2</v>
      </c>
      <c r="CH78">
        <v>1E-3</v>
      </c>
      <c r="CI78">
        <v>-0.38900000000000001</v>
      </c>
      <c r="CJ78">
        <v>-6.6000000000000003E-2</v>
      </c>
      <c r="CK78">
        <v>800</v>
      </c>
      <c r="CL78">
        <v>6</v>
      </c>
      <c r="CM78">
        <v>0.23</v>
      </c>
      <c r="CN78">
        <v>0.02</v>
      </c>
      <c r="CO78">
        <v>-123.32774999999999</v>
      </c>
      <c r="CP78">
        <v>-13.2776060037523</v>
      </c>
      <c r="CQ78">
        <v>1.2775458064194809</v>
      </c>
      <c r="CR78">
        <v>-1</v>
      </c>
      <c r="CS78">
        <v>10.037126499999999</v>
      </c>
      <c r="CT78">
        <v>0.72311009380861935</v>
      </c>
      <c r="CU78">
        <v>6.9565284285698067E-2</v>
      </c>
      <c r="CV78">
        <v>-1</v>
      </c>
      <c r="CW78">
        <v>0</v>
      </c>
      <c r="CX78">
        <v>0</v>
      </c>
      <c r="CY78" t="s">
        <v>333</v>
      </c>
      <c r="CZ78">
        <v>2.3646400000000001</v>
      </c>
      <c r="DA78">
        <v>2.7138499999999999</v>
      </c>
      <c r="DB78">
        <v>0.13055900000000001</v>
      </c>
      <c r="DC78">
        <v>0.14603099999999999</v>
      </c>
      <c r="DD78">
        <v>8.5176600000000005E-2</v>
      </c>
      <c r="DE78">
        <v>3.8464999999999999E-2</v>
      </c>
      <c r="DF78">
        <v>31732.7</v>
      </c>
      <c r="DG78">
        <v>27502.6</v>
      </c>
      <c r="DH78">
        <v>31158.9</v>
      </c>
      <c r="DI78">
        <v>28063.4</v>
      </c>
      <c r="DJ78">
        <v>38708.5</v>
      </c>
      <c r="DK78">
        <v>38369.800000000003</v>
      </c>
      <c r="DL78">
        <v>44340.9</v>
      </c>
      <c r="DM78">
        <v>42530.2</v>
      </c>
      <c r="DN78">
        <v>1.3552200000000001</v>
      </c>
      <c r="DO78">
        <v>2.0323500000000001</v>
      </c>
      <c r="DP78">
        <v>8.4999900000000003E-2</v>
      </c>
      <c r="DQ78">
        <v>0.18230099999999999</v>
      </c>
      <c r="DR78">
        <v>25.605899999999998</v>
      </c>
      <c r="DS78">
        <v>25.358799999999999</v>
      </c>
      <c r="DT78">
        <v>17.2</v>
      </c>
      <c r="DU78">
        <v>29.8</v>
      </c>
      <c r="DV78">
        <v>7.31107</v>
      </c>
      <c r="DW78">
        <v>61.5685</v>
      </c>
      <c r="DX78">
        <v>37.151400000000002</v>
      </c>
      <c r="DY78">
        <v>1</v>
      </c>
      <c r="DZ78">
        <v>-8.1592999999999999E-2</v>
      </c>
      <c r="EA78">
        <v>-0.116089</v>
      </c>
      <c r="EB78">
        <v>20.189900000000002</v>
      </c>
      <c r="EC78">
        <v>5.2406499999999996</v>
      </c>
      <c r="ED78">
        <v>12.039899999999999</v>
      </c>
      <c r="EE78">
        <v>5.0157999999999996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1.86893</v>
      </c>
      <c r="EL78">
        <v>1.86469</v>
      </c>
      <c r="EM78">
        <v>1.8692</v>
      </c>
      <c r="EN78">
        <v>1.8672500000000001</v>
      </c>
      <c r="EO78">
        <v>1.8633999999999999</v>
      </c>
      <c r="EP78">
        <v>1.86459</v>
      </c>
      <c r="EQ78">
        <v>1.8701700000000001</v>
      </c>
      <c r="ER78">
        <v>1.8694599999999999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-0.30199999999999999</v>
      </c>
      <c r="FG78">
        <v>9.2899999999999996E-2</v>
      </c>
      <c r="FH78">
        <v>0.16202357103534001</v>
      </c>
      <c r="FI78">
        <v>-6.1462078757559423E-4</v>
      </c>
      <c r="FJ78">
        <v>-1.8861989874597051E-7</v>
      </c>
      <c r="FK78">
        <v>1.1980462299894961E-10</v>
      </c>
      <c r="FL78">
        <v>-3.0039189969545878E-2</v>
      </c>
      <c r="FM78">
        <v>-1.6848085045870601E-2</v>
      </c>
      <c r="FN78">
        <v>1.9789084769509481E-3</v>
      </c>
      <c r="FO78">
        <v>-2.7142391389806329E-5</v>
      </c>
      <c r="FP78">
        <v>3</v>
      </c>
      <c r="FQ78">
        <v>2158</v>
      </c>
      <c r="FR78">
        <v>1</v>
      </c>
      <c r="FS78">
        <v>19</v>
      </c>
      <c r="FT78">
        <v>17.7</v>
      </c>
      <c r="FU78">
        <v>17.7</v>
      </c>
      <c r="FV78">
        <v>1.77979</v>
      </c>
      <c r="FW78">
        <v>2.5817899999999998</v>
      </c>
      <c r="FX78">
        <v>1.5490699999999999</v>
      </c>
      <c r="FY78">
        <v>2.3290999999999999</v>
      </c>
      <c r="FZ78">
        <v>1.50146</v>
      </c>
      <c r="GA78">
        <v>2.35229</v>
      </c>
      <c r="GB78">
        <v>33.850900000000003</v>
      </c>
      <c r="GC78">
        <v>23.991199999999999</v>
      </c>
      <c r="GD78">
        <v>19</v>
      </c>
      <c r="GE78">
        <v>235.10900000000001</v>
      </c>
      <c r="GF78">
        <v>581.34100000000001</v>
      </c>
      <c r="GG78">
        <v>25.063199999999998</v>
      </c>
      <c r="GH78">
        <v>26.366800000000001</v>
      </c>
      <c r="GI78">
        <v>29.9999</v>
      </c>
      <c r="GJ78">
        <v>26.4956</v>
      </c>
      <c r="GK78">
        <v>26.471499999999999</v>
      </c>
      <c r="GL78">
        <v>35.570799999999998</v>
      </c>
      <c r="GM78">
        <v>-30</v>
      </c>
      <c r="GN78">
        <v>-30</v>
      </c>
      <c r="GO78">
        <v>25.0639</v>
      </c>
      <c r="GP78">
        <v>800</v>
      </c>
      <c r="GQ78">
        <v>12.5298</v>
      </c>
      <c r="GR78">
        <v>99.693700000000007</v>
      </c>
      <c r="GS78">
        <v>99.496899999999997</v>
      </c>
    </row>
    <row r="79" spans="1:201" x14ac:dyDescent="0.25">
      <c r="A79">
        <v>63</v>
      </c>
      <c r="B79">
        <v>1690215914.5999999</v>
      </c>
      <c r="C79">
        <v>969.09999990463257</v>
      </c>
      <c r="D79" t="s">
        <v>459</v>
      </c>
      <c r="E79" t="s">
        <v>460</v>
      </c>
      <c r="F79" t="s">
        <v>330</v>
      </c>
      <c r="H79">
        <v>1690215914.5999999</v>
      </c>
      <c r="I79">
        <f t="shared" si="0"/>
        <v>9.3328510175306133E-4</v>
      </c>
      <c r="J79">
        <f t="shared" si="1"/>
        <v>0.93328510175306134</v>
      </c>
      <c r="K79">
        <f t="shared" si="2"/>
        <v>10.803037557532996</v>
      </c>
      <c r="L79">
        <f t="shared" si="3"/>
        <v>672.08799999999997</v>
      </c>
      <c r="M79">
        <f t="shared" si="4"/>
        <v>201.65598331321033</v>
      </c>
      <c r="N79">
        <f t="shared" si="5"/>
        <v>19.99914543301481</v>
      </c>
      <c r="O79">
        <f t="shared" si="6"/>
        <v>66.654038402159998</v>
      </c>
      <c r="P79">
        <f t="shared" si="7"/>
        <v>3.8467685858213432E-2</v>
      </c>
      <c r="Q79">
        <f t="shared" si="8"/>
        <v>2.0601781121510454</v>
      </c>
      <c r="R79">
        <f t="shared" si="9"/>
        <v>3.8073065896968072E-2</v>
      </c>
      <c r="S79">
        <f t="shared" si="10"/>
        <v>2.3830783792471638E-2</v>
      </c>
      <c r="T79">
        <f t="shared" si="11"/>
        <v>276.11482003025554</v>
      </c>
      <c r="U79">
        <f t="shared" si="12"/>
        <v>28.730974491898568</v>
      </c>
      <c r="V79">
        <f t="shared" si="13"/>
        <v>28.730974491898568</v>
      </c>
      <c r="W79">
        <f t="shared" si="14"/>
        <v>3.9595879698816603</v>
      </c>
      <c r="X79">
        <f t="shared" si="15"/>
        <v>45.094388752918576</v>
      </c>
      <c r="Y79">
        <f t="shared" si="16"/>
        <v>1.5966213198870001</v>
      </c>
      <c r="Z79">
        <f t="shared" si="17"/>
        <v>3.5406208267623192</v>
      </c>
      <c r="AA79">
        <f t="shared" si="18"/>
        <v>2.36296664999466</v>
      </c>
      <c r="AB79">
        <f t="shared" si="19"/>
        <v>-41.157872987310007</v>
      </c>
      <c r="AC79">
        <f t="shared" si="20"/>
        <v>-212.71521788452321</v>
      </c>
      <c r="AD79">
        <f t="shared" si="21"/>
        <v>-22.455752983768409</v>
      </c>
      <c r="AE79">
        <f t="shared" si="22"/>
        <v>-0.21402382534608932</v>
      </c>
      <c r="AF79">
        <v>46</v>
      </c>
      <c r="AG79">
        <v>15</v>
      </c>
      <c r="AH79">
        <f t="shared" si="23"/>
        <v>1</v>
      </c>
      <c r="AI79">
        <f t="shared" si="24"/>
        <v>0</v>
      </c>
      <c r="AJ79">
        <f t="shared" si="25"/>
        <v>52240.797683982535</v>
      </c>
      <c r="AK79">
        <f t="shared" si="26"/>
        <v>1799.99</v>
      </c>
      <c r="AL79">
        <f t="shared" si="27"/>
        <v>1499.1026006059499</v>
      </c>
      <c r="AM79">
        <f t="shared" si="28"/>
        <v>0.83283940499999998</v>
      </c>
      <c r="AN79">
        <f t="shared" si="29"/>
        <v>0.15339797445000003</v>
      </c>
      <c r="AO79">
        <v>33.6</v>
      </c>
      <c r="AP79">
        <v>0.5</v>
      </c>
      <c r="AQ79" t="s">
        <v>331</v>
      </c>
      <c r="AR79">
        <v>2</v>
      </c>
      <c r="AS79">
        <v>1690215914.5999999</v>
      </c>
      <c r="AT79">
        <v>672.08799999999997</v>
      </c>
      <c r="AU79">
        <v>800.06200000000001</v>
      </c>
      <c r="AV79">
        <v>16.0991</v>
      </c>
      <c r="AW79">
        <v>5.8182200000000002</v>
      </c>
      <c r="AX79">
        <v>672.38800000000003</v>
      </c>
      <c r="AY79">
        <v>16.0032</v>
      </c>
      <c r="AZ79">
        <v>300.10599999999999</v>
      </c>
      <c r="BA79">
        <v>99.0745</v>
      </c>
      <c r="BB79">
        <v>0.10007000000000001</v>
      </c>
      <c r="BC79">
        <v>26.815799999999999</v>
      </c>
      <c r="BD79">
        <v>26.9833</v>
      </c>
      <c r="BE79">
        <v>28.366700000000002</v>
      </c>
      <c r="BF79">
        <v>0</v>
      </c>
      <c r="BG79">
        <v>0</v>
      </c>
      <c r="BH79">
        <v>9964.3799999999992</v>
      </c>
      <c r="BI79">
        <v>1075.98</v>
      </c>
      <c r="BJ79">
        <v>1.90625</v>
      </c>
      <c r="BK79">
        <v>-127.97499999999999</v>
      </c>
      <c r="BL79">
        <v>683.08500000000004</v>
      </c>
      <c r="BM79">
        <v>804.745</v>
      </c>
      <c r="BN79">
        <v>10.280900000000001</v>
      </c>
      <c r="BO79">
        <v>800.06200000000001</v>
      </c>
      <c r="BP79">
        <v>5.8182200000000002</v>
      </c>
      <c r="BQ79">
        <v>1.59501</v>
      </c>
      <c r="BR79">
        <v>0.57643699999999998</v>
      </c>
      <c r="BS79">
        <v>13.9107</v>
      </c>
      <c r="BT79">
        <v>-0.85824</v>
      </c>
      <c r="BU79">
        <v>1799.99</v>
      </c>
      <c r="BV79">
        <v>0.90998400000000002</v>
      </c>
      <c r="BW79">
        <v>3.39963E-2</v>
      </c>
      <c r="BX79">
        <v>2.2008E-2</v>
      </c>
      <c r="BY79">
        <v>3.4011300000000001E-2</v>
      </c>
      <c r="BZ79">
        <v>25</v>
      </c>
      <c r="CA79">
        <v>33528.1</v>
      </c>
      <c r="CB79">
        <v>1690214843</v>
      </c>
      <c r="CC79" t="s">
        <v>332</v>
      </c>
      <c r="CD79">
        <v>1690214842</v>
      </c>
      <c r="CE79">
        <v>1690214843</v>
      </c>
      <c r="CF79">
        <v>8</v>
      </c>
      <c r="CG79">
        <v>-6.3E-2</v>
      </c>
      <c r="CH79">
        <v>1E-3</v>
      </c>
      <c r="CI79">
        <v>-0.38900000000000001</v>
      </c>
      <c r="CJ79">
        <v>-6.6000000000000003E-2</v>
      </c>
      <c r="CK79">
        <v>800</v>
      </c>
      <c r="CL79">
        <v>6</v>
      </c>
      <c r="CM79">
        <v>0.23</v>
      </c>
      <c r="CN79">
        <v>0.02</v>
      </c>
      <c r="CO79">
        <v>-125.57152499999999</v>
      </c>
      <c r="CP79">
        <v>-13.7345403377112</v>
      </c>
      <c r="CQ79">
        <v>1.3214388935455921</v>
      </c>
      <c r="CR79">
        <v>-1</v>
      </c>
      <c r="CS79">
        <v>10.1574475</v>
      </c>
      <c r="CT79">
        <v>0.71978048780486736</v>
      </c>
      <c r="CU79">
        <v>6.9244422112903867E-2</v>
      </c>
      <c r="CV79">
        <v>-1</v>
      </c>
      <c r="CW79">
        <v>0</v>
      </c>
      <c r="CX79">
        <v>0</v>
      </c>
      <c r="CY79" t="s">
        <v>333</v>
      </c>
      <c r="CZ79">
        <v>2.36415</v>
      </c>
      <c r="DA79">
        <v>2.7138300000000002</v>
      </c>
      <c r="DB79">
        <v>0.13025999999999999</v>
      </c>
      <c r="DC79">
        <v>0.14604400000000001</v>
      </c>
      <c r="DD79">
        <v>8.5638300000000001E-2</v>
      </c>
      <c r="DE79">
        <v>3.8456200000000003E-2</v>
      </c>
      <c r="DF79">
        <v>31743.9</v>
      </c>
      <c r="DG79">
        <v>27502.400000000001</v>
      </c>
      <c r="DH79">
        <v>31159.200000000001</v>
      </c>
      <c r="DI79">
        <v>28063.599999999999</v>
      </c>
      <c r="DJ79">
        <v>38689</v>
      </c>
      <c r="DK79">
        <v>38370.400000000001</v>
      </c>
      <c r="DL79">
        <v>44341.2</v>
      </c>
      <c r="DM79">
        <v>42530.5</v>
      </c>
      <c r="DN79">
        <v>1.3546800000000001</v>
      </c>
      <c r="DO79">
        <v>2.0327500000000001</v>
      </c>
      <c r="DP79">
        <v>8.4001599999999996E-2</v>
      </c>
      <c r="DQ79">
        <v>0.18385099999999999</v>
      </c>
      <c r="DR79">
        <v>25.608000000000001</v>
      </c>
      <c r="DS79">
        <v>25.359400000000001</v>
      </c>
      <c r="DT79">
        <v>17.2</v>
      </c>
      <c r="DU79">
        <v>29.8</v>
      </c>
      <c r="DV79">
        <v>7.3107199999999999</v>
      </c>
      <c r="DW79">
        <v>61.858499999999999</v>
      </c>
      <c r="DX79">
        <v>37.119399999999999</v>
      </c>
      <c r="DY79">
        <v>1</v>
      </c>
      <c r="DZ79">
        <v>-8.1714899999999993E-2</v>
      </c>
      <c r="EA79">
        <v>-0.107642</v>
      </c>
      <c r="EB79">
        <v>20.189900000000002</v>
      </c>
      <c r="EC79">
        <v>5.2408000000000001</v>
      </c>
      <c r="ED79">
        <v>12.039899999999999</v>
      </c>
      <c r="EE79">
        <v>5.0159500000000001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</v>
      </c>
      <c r="EL79">
        <v>1.8646799999999999</v>
      </c>
      <c r="EM79">
        <v>1.8692</v>
      </c>
      <c r="EN79">
        <v>1.8672299999999999</v>
      </c>
      <c r="EO79">
        <v>1.8633999999999999</v>
      </c>
      <c r="EP79">
        <v>1.86459</v>
      </c>
      <c r="EQ79">
        <v>1.87018</v>
      </c>
      <c r="ER79">
        <v>1.8694500000000001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-0.3</v>
      </c>
      <c r="FG79">
        <v>9.5899999999999999E-2</v>
      </c>
      <c r="FH79">
        <v>0.16202357103534001</v>
      </c>
      <c r="FI79">
        <v>-6.1462078757559423E-4</v>
      </c>
      <c r="FJ79">
        <v>-1.8861989874597051E-7</v>
      </c>
      <c r="FK79">
        <v>1.1980462299894961E-10</v>
      </c>
      <c r="FL79">
        <v>-3.0039189969545878E-2</v>
      </c>
      <c r="FM79">
        <v>-1.6848085045870601E-2</v>
      </c>
      <c r="FN79">
        <v>1.9789084769509481E-3</v>
      </c>
      <c r="FO79">
        <v>-2.7142391389806329E-5</v>
      </c>
      <c r="FP79">
        <v>3</v>
      </c>
      <c r="FQ79">
        <v>2158</v>
      </c>
      <c r="FR79">
        <v>1</v>
      </c>
      <c r="FS79">
        <v>19</v>
      </c>
      <c r="FT79">
        <v>17.899999999999999</v>
      </c>
      <c r="FU79">
        <v>17.899999999999999</v>
      </c>
      <c r="FV79">
        <v>1.77979</v>
      </c>
      <c r="FW79">
        <v>2.5878899999999998</v>
      </c>
      <c r="FX79">
        <v>1.5490699999999999</v>
      </c>
      <c r="FY79">
        <v>2.3290999999999999</v>
      </c>
      <c r="FZ79">
        <v>1.50146</v>
      </c>
      <c r="GA79">
        <v>2.35229</v>
      </c>
      <c r="GB79">
        <v>33.850900000000003</v>
      </c>
      <c r="GC79">
        <v>23.982399999999998</v>
      </c>
      <c r="GD79">
        <v>19</v>
      </c>
      <c r="GE79">
        <v>234.89599999999999</v>
      </c>
      <c r="GF79">
        <v>581.64599999999996</v>
      </c>
      <c r="GG79">
        <v>25.070399999999999</v>
      </c>
      <c r="GH79">
        <v>26.3642</v>
      </c>
      <c r="GI79">
        <v>29.9999</v>
      </c>
      <c r="GJ79">
        <v>26.493400000000001</v>
      </c>
      <c r="GK79">
        <v>26.4693</v>
      </c>
      <c r="GL79">
        <v>35.568800000000003</v>
      </c>
      <c r="GM79">
        <v>-30</v>
      </c>
      <c r="GN79">
        <v>-30</v>
      </c>
      <c r="GO79">
        <v>25.076000000000001</v>
      </c>
      <c r="GP79">
        <v>800</v>
      </c>
      <c r="GQ79">
        <v>12.5298</v>
      </c>
      <c r="GR79">
        <v>99.694400000000002</v>
      </c>
      <c r="GS79">
        <v>99.497500000000002</v>
      </c>
    </row>
    <row r="80" spans="1:201" x14ac:dyDescent="0.25">
      <c r="A80">
        <v>64</v>
      </c>
      <c r="B80">
        <v>1690215924.5999999</v>
      </c>
      <c r="C80">
        <v>979.09999990463257</v>
      </c>
      <c r="D80" t="s">
        <v>461</v>
      </c>
      <c r="E80" t="s">
        <v>462</v>
      </c>
      <c r="F80" t="s">
        <v>330</v>
      </c>
      <c r="H80">
        <v>1690215924.5999999</v>
      </c>
      <c r="I80">
        <f t="shared" si="0"/>
        <v>9.4522998552515282E-4</v>
      </c>
      <c r="J80">
        <f t="shared" si="1"/>
        <v>0.9452299855251528</v>
      </c>
      <c r="K80">
        <f t="shared" si="2"/>
        <v>11.005482153625699</v>
      </c>
      <c r="L80">
        <f t="shared" si="3"/>
        <v>669.76499999999999</v>
      </c>
      <c r="M80">
        <f t="shared" si="4"/>
        <v>199.34757683723012</v>
      </c>
      <c r="N80">
        <f t="shared" si="5"/>
        <v>19.769721612463432</v>
      </c>
      <c r="O80">
        <f t="shared" si="6"/>
        <v>66.422014282035008</v>
      </c>
      <c r="P80">
        <f t="shared" si="7"/>
        <v>3.9179273797672741E-2</v>
      </c>
      <c r="Q80">
        <f t="shared" si="8"/>
        <v>2.0663337990125727</v>
      </c>
      <c r="R80">
        <f t="shared" si="9"/>
        <v>3.8771208501502993E-2</v>
      </c>
      <c r="S80">
        <f t="shared" si="10"/>
        <v>2.4268314109376306E-2</v>
      </c>
      <c r="T80">
        <f t="shared" si="11"/>
        <v>276.11468927898193</v>
      </c>
      <c r="U80">
        <f t="shared" si="12"/>
        <v>28.72811259665799</v>
      </c>
      <c r="V80">
        <f t="shared" si="13"/>
        <v>28.72811259665799</v>
      </c>
      <c r="W80">
        <f t="shared" si="14"/>
        <v>3.9589309811353681</v>
      </c>
      <c r="X80">
        <f t="shared" si="15"/>
        <v>45.426881075636736</v>
      </c>
      <c r="Y80">
        <f t="shared" si="16"/>
        <v>1.6090180447155</v>
      </c>
      <c r="Z80">
        <f t="shared" si="17"/>
        <v>3.5419954146454615</v>
      </c>
      <c r="AA80">
        <f t="shared" si="18"/>
        <v>2.3499129364198681</v>
      </c>
      <c r="AB80">
        <f t="shared" si="19"/>
        <v>-41.684642361659236</v>
      </c>
      <c r="AC80">
        <f t="shared" si="20"/>
        <v>-212.29674110786314</v>
      </c>
      <c r="AD80">
        <f t="shared" si="21"/>
        <v>-22.345224951178569</v>
      </c>
      <c r="AE80">
        <f t="shared" si="22"/>
        <v>-0.21191914171902226</v>
      </c>
      <c r="AF80">
        <v>46</v>
      </c>
      <c r="AG80">
        <v>15</v>
      </c>
      <c r="AH80">
        <f t="shared" si="23"/>
        <v>1</v>
      </c>
      <c r="AI80">
        <f t="shared" si="24"/>
        <v>0</v>
      </c>
      <c r="AJ80">
        <f t="shared" si="25"/>
        <v>52521.090916996749</v>
      </c>
      <c r="AK80">
        <f t="shared" si="26"/>
        <v>1799.99</v>
      </c>
      <c r="AL80">
        <f t="shared" si="27"/>
        <v>1499.1037093997902</v>
      </c>
      <c r="AM80">
        <f t="shared" si="28"/>
        <v>0.8328400210000001</v>
      </c>
      <c r="AN80">
        <f t="shared" si="29"/>
        <v>0.15339790181000001</v>
      </c>
      <c r="AO80">
        <v>33.6</v>
      </c>
      <c r="AP80">
        <v>0.5</v>
      </c>
      <c r="AQ80" t="s">
        <v>331</v>
      </c>
      <c r="AR80">
        <v>2</v>
      </c>
      <c r="AS80">
        <v>1690215924.5999999</v>
      </c>
      <c r="AT80">
        <v>669.76499999999999</v>
      </c>
      <c r="AU80">
        <v>800.024</v>
      </c>
      <c r="AV80">
        <v>16.224499999999999</v>
      </c>
      <c r="AW80">
        <v>5.8171099999999996</v>
      </c>
      <c r="AX80">
        <v>670.06399999999996</v>
      </c>
      <c r="AY80">
        <v>16.125499999999999</v>
      </c>
      <c r="AZ80">
        <v>300.214</v>
      </c>
      <c r="BA80">
        <v>99.072100000000006</v>
      </c>
      <c r="BB80">
        <v>0.100019</v>
      </c>
      <c r="BC80">
        <v>26.822399999999998</v>
      </c>
      <c r="BD80">
        <v>26.989699999999999</v>
      </c>
      <c r="BE80">
        <v>28.352699999999999</v>
      </c>
      <c r="BF80">
        <v>0</v>
      </c>
      <c r="BG80">
        <v>0</v>
      </c>
      <c r="BH80">
        <v>10020.6</v>
      </c>
      <c r="BI80">
        <v>1075.98</v>
      </c>
      <c r="BJ80">
        <v>1.90625</v>
      </c>
      <c r="BK80">
        <v>-130.25800000000001</v>
      </c>
      <c r="BL80">
        <v>680.81100000000004</v>
      </c>
      <c r="BM80">
        <v>804.70500000000004</v>
      </c>
      <c r="BN80">
        <v>10.407400000000001</v>
      </c>
      <c r="BO80">
        <v>800.024</v>
      </c>
      <c r="BP80">
        <v>5.8171099999999996</v>
      </c>
      <c r="BQ80">
        <v>1.6073999999999999</v>
      </c>
      <c r="BR80">
        <v>0.57631299999999996</v>
      </c>
      <c r="BS80">
        <v>14.0299</v>
      </c>
      <c r="BT80">
        <v>-0.86117999999999995</v>
      </c>
      <c r="BU80">
        <v>1799.99</v>
      </c>
      <c r="BV80">
        <v>0.90998900000000005</v>
      </c>
      <c r="BW80">
        <v>3.39946E-2</v>
      </c>
      <c r="BX80">
        <v>2.20068E-2</v>
      </c>
      <c r="BY80">
        <v>3.4009499999999998E-2</v>
      </c>
      <c r="BZ80">
        <v>25</v>
      </c>
      <c r="CA80">
        <v>33528.199999999997</v>
      </c>
      <c r="CB80">
        <v>1690214843</v>
      </c>
      <c r="CC80" t="s">
        <v>332</v>
      </c>
      <c r="CD80">
        <v>1690214842</v>
      </c>
      <c r="CE80">
        <v>1690214843</v>
      </c>
      <c r="CF80">
        <v>8</v>
      </c>
      <c r="CG80">
        <v>-6.3E-2</v>
      </c>
      <c r="CH80">
        <v>1E-3</v>
      </c>
      <c r="CI80">
        <v>-0.38900000000000001</v>
      </c>
      <c r="CJ80">
        <v>-6.6000000000000003E-2</v>
      </c>
      <c r="CK80">
        <v>800</v>
      </c>
      <c r="CL80">
        <v>6</v>
      </c>
      <c r="CM80">
        <v>0.23</v>
      </c>
      <c r="CN80">
        <v>0.02</v>
      </c>
      <c r="CO80">
        <v>-127.87350000000001</v>
      </c>
      <c r="CP80">
        <v>-13.93292307692251</v>
      </c>
      <c r="CQ80">
        <v>1.3405924623091079</v>
      </c>
      <c r="CR80">
        <v>-1</v>
      </c>
      <c r="CS80">
        <v>10.27946</v>
      </c>
      <c r="CT80">
        <v>0.7449365853658112</v>
      </c>
      <c r="CU80">
        <v>7.166462795549855E-2</v>
      </c>
      <c r="CV80">
        <v>-1</v>
      </c>
      <c r="CW80">
        <v>0</v>
      </c>
      <c r="CX80">
        <v>0</v>
      </c>
      <c r="CY80" t="s">
        <v>333</v>
      </c>
      <c r="CZ80">
        <v>2.3645100000000001</v>
      </c>
      <c r="DA80">
        <v>2.7138300000000002</v>
      </c>
      <c r="DB80">
        <v>0.12994900000000001</v>
      </c>
      <c r="DC80">
        <v>0.146036</v>
      </c>
      <c r="DD80">
        <v>8.6115800000000006E-2</v>
      </c>
      <c r="DE80">
        <v>3.8449499999999998E-2</v>
      </c>
      <c r="DF80">
        <v>31755.9</v>
      </c>
      <c r="DG80">
        <v>27502.799999999999</v>
      </c>
      <c r="DH80">
        <v>31159.8</v>
      </c>
      <c r="DI80">
        <v>28063.8</v>
      </c>
      <c r="DJ80">
        <v>38669.300000000003</v>
      </c>
      <c r="DK80">
        <v>38371.1</v>
      </c>
      <c r="DL80">
        <v>44342.1</v>
      </c>
      <c r="DM80">
        <v>42530.9</v>
      </c>
      <c r="DN80">
        <v>1.3553999999999999</v>
      </c>
      <c r="DO80">
        <v>2.0325500000000001</v>
      </c>
      <c r="DP80">
        <v>8.4392700000000001E-2</v>
      </c>
      <c r="DQ80">
        <v>0.18302399999999999</v>
      </c>
      <c r="DR80">
        <v>25.608000000000001</v>
      </c>
      <c r="DS80">
        <v>25.358799999999999</v>
      </c>
      <c r="DT80">
        <v>17.2</v>
      </c>
      <c r="DU80">
        <v>29.8</v>
      </c>
      <c r="DV80">
        <v>7.3122400000000001</v>
      </c>
      <c r="DW80">
        <v>61.8185</v>
      </c>
      <c r="DX80">
        <v>37.099400000000003</v>
      </c>
      <c r="DY80">
        <v>1</v>
      </c>
      <c r="DZ80">
        <v>-8.2045199999999999E-2</v>
      </c>
      <c r="EA80">
        <v>-0.14348900000000001</v>
      </c>
      <c r="EB80">
        <v>20.189800000000002</v>
      </c>
      <c r="EC80">
        <v>5.2411000000000003</v>
      </c>
      <c r="ED80">
        <v>12.039899999999999</v>
      </c>
      <c r="EE80">
        <v>5.0173500000000004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1.8689100000000001</v>
      </c>
      <c r="EL80">
        <v>1.8646400000000001</v>
      </c>
      <c r="EM80">
        <v>1.8692</v>
      </c>
      <c r="EN80">
        <v>1.8672500000000001</v>
      </c>
      <c r="EO80">
        <v>1.8633999999999999</v>
      </c>
      <c r="EP80">
        <v>1.8645700000000001</v>
      </c>
      <c r="EQ80">
        <v>1.87019</v>
      </c>
      <c r="ER80">
        <v>1.8694900000000001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-0.29899999999999999</v>
      </c>
      <c r="FG80">
        <v>9.9000000000000005E-2</v>
      </c>
      <c r="FH80">
        <v>0.16202357103534001</v>
      </c>
      <c r="FI80">
        <v>-6.1462078757559423E-4</v>
      </c>
      <c r="FJ80">
        <v>-1.8861989874597051E-7</v>
      </c>
      <c r="FK80">
        <v>1.1980462299894961E-10</v>
      </c>
      <c r="FL80">
        <v>-3.0039189969545878E-2</v>
      </c>
      <c r="FM80">
        <v>-1.6848085045870601E-2</v>
      </c>
      <c r="FN80">
        <v>1.9789084769509481E-3</v>
      </c>
      <c r="FO80">
        <v>-2.7142391389806329E-5</v>
      </c>
      <c r="FP80">
        <v>3</v>
      </c>
      <c r="FQ80">
        <v>2158</v>
      </c>
      <c r="FR80">
        <v>1</v>
      </c>
      <c r="FS80">
        <v>19</v>
      </c>
      <c r="FT80">
        <v>18</v>
      </c>
      <c r="FU80">
        <v>18</v>
      </c>
      <c r="FV80">
        <v>1.7785599999999999</v>
      </c>
      <c r="FW80">
        <v>2.5842299999999998</v>
      </c>
      <c r="FX80">
        <v>1.5490699999999999</v>
      </c>
      <c r="FY80">
        <v>2.3290999999999999</v>
      </c>
      <c r="FZ80">
        <v>1.50146</v>
      </c>
      <c r="GA80">
        <v>2.34131</v>
      </c>
      <c r="GB80">
        <v>33.850900000000003</v>
      </c>
      <c r="GC80">
        <v>23.982399999999998</v>
      </c>
      <c r="GD80">
        <v>19</v>
      </c>
      <c r="GE80">
        <v>235.161</v>
      </c>
      <c r="GF80">
        <v>581.45699999999999</v>
      </c>
      <c r="GG80">
        <v>25.085999999999999</v>
      </c>
      <c r="GH80">
        <v>26.360099999999999</v>
      </c>
      <c r="GI80">
        <v>30.0001</v>
      </c>
      <c r="GJ80">
        <v>26.491700000000002</v>
      </c>
      <c r="GK80">
        <v>26.467099999999999</v>
      </c>
      <c r="GL80">
        <v>35.569600000000001</v>
      </c>
      <c r="GM80">
        <v>-30</v>
      </c>
      <c r="GN80">
        <v>-30</v>
      </c>
      <c r="GO80">
        <v>25.095600000000001</v>
      </c>
      <c r="GP80">
        <v>800</v>
      </c>
      <c r="GQ80">
        <v>12.5298</v>
      </c>
      <c r="GR80">
        <v>99.696399999999997</v>
      </c>
      <c r="GS80">
        <v>99.498400000000004</v>
      </c>
    </row>
    <row r="81" spans="1:201" x14ac:dyDescent="0.25">
      <c r="A81">
        <v>65</v>
      </c>
      <c r="B81">
        <v>1690215934.5999999</v>
      </c>
      <c r="C81">
        <v>989.09999990463257</v>
      </c>
      <c r="D81" t="s">
        <v>463</v>
      </c>
      <c r="E81" t="s">
        <v>464</v>
      </c>
      <c r="F81" t="s">
        <v>330</v>
      </c>
      <c r="H81">
        <v>1690215934.5999999</v>
      </c>
      <c r="I81">
        <f t="shared" ref="I81:I144" si="30">(J81)/1000</f>
        <v>9.5654113609699217E-4</v>
      </c>
      <c r="J81">
        <f t="shared" ref="J81:J144" si="31">1000*AZ81*AH81*(AV81-AW81)/(100*AO81*(1000-AH81*AV81))</f>
        <v>0.95654113609699221</v>
      </c>
      <c r="K81">
        <f t="shared" ref="K81:K144" si="32">AZ81*AH81*(AU81-AT81*(1000-AH81*AW81)/(1000-AH81*AV81))/(100*AO81)</f>
        <v>11.209228580279712</v>
      </c>
      <c r="L81">
        <f t="shared" ref="L81:L144" si="33">AT81 - IF(AH81&gt;1, K81*AO81*100/(AJ81*BH81), 0)</f>
        <v>667.39800000000002</v>
      </c>
      <c r="M81">
        <f t="shared" ref="M81:M144" si="34">((S81-I81/2)*L81-K81)/(S81+I81/2)</f>
        <v>196.66291297471477</v>
      </c>
      <c r="N81">
        <f t="shared" ref="N81:N144" si="35">M81*(BA81+BB81)/1000</f>
        <v>19.504109883017357</v>
      </c>
      <c r="O81">
        <f t="shared" ref="O81:O144" si="36">(AT81 - IF(AH81&gt;1, K81*AO81*100/(AJ81*BH81), 0))*(BA81+BB81)/1000</f>
        <v>66.189418893534011</v>
      </c>
      <c r="P81">
        <f t="shared" ref="P81:P144" si="37">2/((1/R81-1/Q81)+SIGN(R81)*SQRT((1/R81-1/Q81)*(1/R81-1/Q81) + 4*AP81/((AP81+1)*(AP81+1))*(2*1/R81*1/Q81-1/Q81*1/Q81)))</f>
        <v>3.986724268987904E-2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2.0616327695240537</v>
      </c>
      <c r="R81">
        <f t="shared" ref="R81:R144" si="39">I81*(1000-(1000*0.61365*EXP(17.502*V81/(240.97+V81))/(BA81+BB81)+AV81)/2)/(1000*0.61365*EXP(17.502*V81/(240.97+V81))/(BA81+BB81)-AV81)</f>
        <v>3.9443851836264344E-2</v>
      </c>
      <c r="S81">
        <f t="shared" ref="S81:S144" si="40">1/((AP81+1)/(P81/1.6)+1/(Q81/1.37)) + AP81/((AP81+1)/(P81/1.6) + AP81/(Q81/1.37))</f>
        <v>2.4690072621105331E-2</v>
      </c>
      <c r="T81">
        <f t="shared" ref="T81:T144" si="41">(AK81*AN81)</f>
        <v>276.11461735138153</v>
      </c>
      <c r="U81">
        <f t="shared" ref="U81:U144" si="42">(BC81+(T81+2*0.95*0.0000000567*(((BC81+$B$7)+273)^4-(BC81+273)^4)-44100*I81)/(1.84*29.3*Q81+8*0.95*0.0000000567*(BC81+273)^3))</f>
        <v>28.725886813954233</v>
      </c>
      <c r="V81">
        <f t="shared" ref="V81:V144" si="43">($C$7*BD81+$D$7*BE81+$E$7*U81)</f>
        <v>28.725886813954233</v>
      </c>
      <c r="W81">
        <f t="shared" ref="W81:W144" si="44">0.61365*EXP(17.502*V81/(240.97+V81))</f>
        <v>3.9584200867891135</v>
      </c>
      <c r="X81">
        <f t="shared" ref="X81:X144" si="45">(Y81/Z81*100)</f>
        <v>45.770843933488912</v>
      </c>
      <c r="Y81">
        <f t="shared" ref="Y81:Y144" si="46">AV81*(BA81+BB81)/1000</f>
        <v>1.6210009828184</v>
      </c>
      <c r="Z81">
        <f t="shared" ref="Z81:Z144" si="47">0.61365*EXP(17.502*BC81/(240.97+BC81))</f>
        <v>3.5415579952467748</v>
      </c>
      <c r="AA81">
        <f t="shared" ref="AA81:AA144" si="48">(W81-AV81*(BA81+BB81)/1000)</f>
        <v>2.3374191039707135</v>
      </c>
      <c r="AB81">
        <f t="shared" ref="AB81:AB144" si="49">(-I81*44100)</f>
        <v>-42.183464101877355</v>
      </c>
      <c r="AC81">
        <f t="shared" ref="AC81:AC144" si="50">2*29.3*Q81*0.92*(BC81-V81)</f>
        <v>-211.79977334490087</v>
      </c>
      <c r="AD81">
        <f t="shared" ref="AD81:AD144" si="51">2*0.95*0.0000000567*(((BC81+$B$7)+273)^4-(V81+273)^4)</f>
        <v>-22.343268051517448</v>
      </c>
      <c r="AE81">
        <f t="shared" ref="AE81:AE144" si="52">T81+AD81+AB81+AC81</f>
        <v>-0.21188814691413427</v>
      </c>
      <c r="AF81">
        <v>46</v>
      </c>
      <c r="AG81">
        <v>15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52306.454952694025</v>
      </c>
      <c r="AK81">
        <f t="shared" ref="AK81:AK144" si="56">$B$11*BI81+$C$11*BJ81+$D$11*BU81</f>
        <v>1799.99</v>
      </c>
      <c r="AL81">
        <f t="shared" ref="AL81:AL144" si="57">AK81*AM81</f>
        <v>1499.1053995903999</v>
      </c>
      <c r="AM81">
        <f t="shared" ref="AM81:AM144" si="58">($B$11*$D$9+$C$11*$D$9+$D$11*(BV81*$E$9+BW81*$F$9+BX81*$G$9+BY81*$H$9))/($B$11+$C$11+$D$11)</f>
        <v>0.83284095999999996</v>
      </c>
      <c r="AN81">
        <f t="shared" ref="AN81:AN144" si="59">($B$11*$K$9+$C$11*$K$9+$D$11*(BV81*$L$9+BW81*$M$9+BX81*$N$9+BY81*$O$9))/($B$11+$C$11+$D$11)</f>
        <v>0.15339786185000001</v>
      </c>
      <c r="AO81">
        <v>33.6</v>
      </c>
      <c r="AP81">
        <v>0.5</v>
      </c>
      <c r="AQ81" t="s">
        <v>331</v>
      </c>
      <c r="AR81">
        <v>2</v>
      </c>
      <c r="AS81">
        <v>1690215934.5999999</v>
      </c>
      <c r="AT81">
        <v>667.39800000000002</v>
      </c>
      <c r="AU81">
        <v>799.98</v>
      </c>
      <c r="AV81">
        <v>16.344799999999999</v>
      </c>
      <c r="AW81">
        <v>5.8154899999999996</v>
      </c>
      <c r="AX81">
        <v>667.69500000000005</v>
      </c>
      <c r="AY81">
        <v>16.242699999999999</v>
      </c>
      <c r="AZ81">
        <v>300.25200000000001</v>
      </c>
      <c r="BA81">
        <v>99.075299999999999</v>
      </c>
      <c r="BB81">
        <v>0.100033</v>
      </c>
      <c r="BC81">
        <v>26.8203</v>
      </c>
      <c r="BD81">
        <v>26.992999999999999</v>
      </c>
      <c r="BE81">
        <v>28.3734</v>
      </c>
      <c r="BF81">
        <v>0</v>
      </c>
      <c r="BG81">
        <v>0</v>
      </c>
      <c r="BH81">
        <v>9977.5</v>
      </c>
      <c r="BI81">
        <v>1075.97</v>
      </c>
      <c r="BJ81">
        <v>1.90625</v>
      </c>
      <c r="BK81">
        <v>-132.58199999999999</v>
      </c>
      <c r="BL81">
        <v>678.48800000000006</v>
      </c>
      <c r="BM81">
        <v>804.66</v>
      </c>
      <c r="BN81">
        <v>10.529299999999999</v>
      </c>
      <c r="BO81">
        <v>799.98</v>
      </c>
      <c r="BP81">
        <v>5.8154899999999996</v>
      </c>
      <c r="BQ81">
        <v>1.6193599999999999</v>
      </c>
      <c r="BR81">
        <v>0.57617099999999999</v>
      </c>
      <c r="BS81">
        <v>14.144299999999999</v>
      </c>
      <c r="BT81">
        <v>-0.86456299999999997</v>
      </c>
      <c r="BU81">
        <v>1799.99</v>
      </c>
      <c r="BV81">
        <v>0.909995</v>
      </c>
      <c r="BW81">
        <v>3.3992500000000002E-2</v>
      </c>
      <c r="BX81">
        <v>2.2005500000000001E-2</v>
      </c>
      <c r="BY81">
        <v>3.4007500000000003E-2</v>
      </c>
      <c r="BZ81">
        <v>25</v>
      </c>
      <c r="CA81">
        <v>33528.1</v>
      </c>
      <c r="CB81">
        <v>1690214843</v>
      </c>
      <c r="CC81" t="s">
        <v>332</v>
      </c>
      <c r="CD81">
        <v>1690214842</v>
      </c>
      <c r="CE81">
        <v>1690214843</v>
      </c>
      <c r="CF81">
        <v>8</v>
      </c>
      <c r="CG81">
        <v>-6.3E-2</v>
      </c>
      <c r="CH81">
        <v>1E-3</v>
      </c>
      <c r="CI81">
        <v>-0.38900000000000001</v>
      </c>
      <c r="CJ81">
        <v>-6.6000000000000003E-2</v>
      </c>
      <c r="CK81">
        <v>800</v>
      </c>
      <c r="CL81">
        <v>6</v>
      </c>
      <c r="CM81">
        <v>0.23</v>
      </c>
      <c r="CN81">
        <v>0.02</v>
      </c>
      <c r="CO81">
        <v>-129.958775</v>
      </c>
      <c r="CP81">
        <v>-13.86584240150046</v>
      </c>
      <c r="CQ81">
        <v>1.3340608023530991</v>
      </c>
      <c r="CR81">
        <v>-1</v>
      </c>
      <c r="CS81">
        <v>10.391154999999999</v>
      </c>
      <c r="CT81">
        <v>0.74790619136957526</v>
      </c>
      <c r="CU81">
        <v>7.1948957428165636E-2</v>
      </c>
      <c r="CV81">
        <v>-1</v>
      </c>
      <c r="CW81">
        <v>0</v>
      </c>
      <c r="CX81">
        <v>0</v>
      </c>
      <c r="CY81" t="s">
        <v>333</v>
      </c>
      <c r="CZ81">
        <v>2.3646400000000001</v>
      </c>
      <c r="DA81">
        <v>2.7138100000000001</v>
      </c>
      <c r="DB81">
        <v>0.129638</v>
      </c>
      <c r="DC81">
        <v>0.146036</v>
      </c>
      <c r="DD81">
        <v>8.6577000000000001E-2</v>
      </c>
      <c r="DE81">
        <v>3.84421E-2</v>
      </c>
      <c r="DF81">
        <v>31767.1</v>
      </c>
      <c r="DG81">
        <v>27503</v>
      </c>
      <c r="DH81">
        <v>31159.7</v>
      </c>
      <c r="DI81">
        <v>28064</v>
      </c>
      <c r="DJ81">
        <v>38649.599999999999</v>
      </c>
      <c r="DK81">
        <v>38371.699999999997</v>
      </c>
      <c r="DL81">
        <v>44342</v>
      </c>
      <c r="DM81">
        <v>42531.3</v>
      </c>
      <c r="DN81">
        <v>1.3556999999999999</v>
      </c>
      <c r="DO81">
        <v>2.0327500000000001</v>
      </c>
      <c r="DP81">
        <v>8.45939E-2</v>
      </c>
      <c r="DQ81">
        <v>0.18415999999999999</v>
      </c>
      <c r="DR81">
        <v>25.608000000000001</v>
      </c>
      <c r="DS81">
        <v>25.361000000000001</v>
      </c>
      <c r="DT81">
        <v>17.2</v>
      </c>
      <c r="DU81">
        <v>29.8</v>
      </c>
      <c r="DV81">
        <v>7.3124200000000004</v>
      </c>
      <c r="DW81">
        <v>61.778500000000001</v>
      </c>
      <c r="DX81">
        <v>36.810899999999997</v>
      </c>
      <c r="DY81">
        <v>1</v>
      </c>
      <c r="DZ81">
        <v>-8.2207799999999998E-2</v>
      </c>
      <c r="EA81">
        <v>-3.0561000000000001E-2</v>
      </c>
      <c r="EB81">
        <v>20.189699999999998</v>
      </c>
      <c r="EC81">
        <v>5.2411000000000003</v>
      </c>
      <c r="ED81">
        <v>12.039899999999999</v>
      </c>
      <c r="EE81">
        <v>5.0173500000000004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1.86893</v>
      </c>
      <c r="EL81">
        <v>1.8646199999999999</v>
      </c>
      <c r="EM81">
        <v>1.86917</v>
      </c>
      <c r="EN81">
        <v>1.8672299999999999</v>
      </c>
      <c r="EO81">
        <v>1.8633999999999999</v>
      </c>
      <c r="EP81">
        <v>1.8645499999999999</v>
      </c>
      <c r="EQ81">
        <v>1.87015</v>
      </c>
      <c r="ER81">
        <v>1.86944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-0.29699999999999999</v>
      </c>
      <c r="FG81">
        <v>0.1021</v>
      </c>
      <c r="FH81">
        <v>0.16202357103534001</v>
      </c>
      <c r="FI81">
        <v>-6.1462078757559423E-4</v>
      </c>
      <c r="FJ81">
        <v>-1.8861989874597051E-7</v>
      </c>
      <c r="FK81">
        <v>1.1980462299894961E-10</v>
      </c>
      <c r="FL81">
        <v>-3.0039189969545878E-2</v>
      </c>
      <c r="FM81">
        <v>-1.6848085045870601E-2</v>
      </c>
      <c r="FN81">
        <v>1.9789084769509481E-3</v>
      </c>
      <c r="FO81">
        <v>-2.7142391389806329E-5</v>
      </c>
      <c r="FP81">
        <v>3</v>
      </c>
      <c r="FQ81">
        <v>2158</v>
      </c>
      <c r="FR81">
        <v>1</v>
      </c>
      <c r="FS81">
        <v>19</v>
      </c>
      <c r="FT81">
        <v>18.2</v>
      </c>
      <c r="FU81">
        <v>18.2</v>
      </c>
      <c r="FV81">
        <v>1.7785599999999999</v>
      </c>
      <c r="FW81">
        <v>2.5866699999999998</v>
      </c>
      <c r="FX81">
        <v>1.5490699999999999</v>
      </c>
      <c r="FY81">
        <v>2.3290999999999999</v>
      </c>
      <c r="FZ81">
        <v>1.50146</v>
      </c>
      <c r="GA81">
        <v>2.33521</v>
      </c>
      <c r="GB81">
        <v>33.850900000000003</v>
      </c>
      <c r="GC81">
        <v>23.982399999999998</v>
      </c>
      <c r="GD81">
        <v>19</v>
      </c>
      <c r="GE81">
        <v>235.26599999999999</v>
      </c>
      <c r="GF81">
        <v>581.60299999999995</v>
      </c>
      <c r="GG81">
        <v>25.100899999999999</v>
      </c>
      <c r="GH81">
        <v>26.357500000000002</v>
      </c>
      <c r="GI81">
        <v>30</v>
      </c>
      <c r="GJ81">
        <v>26.4895</v>
      </c>
      <c r="GK81">
        <v>26.465299999999999</v>
      </c>
      <c r="GL81">
        <v>35.569400000000002</v>
      </c>
      <c r="GM81">
        <v>-30</v>
      </c>
      <c r="GN81">
        <v>-30</v>
      </c>
      <c r="GO81">
        <v>24.945799999999998</v>
      </c>
      <c r="GP81">
        <v>800</v>
      </c>
      <c r="GQ81">
        <v>12.5298</v>
      </c>
      <c r="GR81">
        <v>99.696200000000005</v>
      </c>
      <c r="GS81">
        <v>99.499200000000002</v>
      </c>
    </row>
    <row r="82" spans="1:201" x14ac:dyDescent="0.25">
      <c r="A82">
        <v>66</v>
      </c>
      <c r="B82">
        <v>1690215944.5999999</v>
      </c>
      <c r="C82">
        <v>999.09999990463257</v>
      </c>
      <c r="D82" t="s">
        <v>465</v>
      </c>
      <c r="E82" t="s">
        <v>466</v>
      </c>
      <c r="F82" t="s">
        <v>330</v>
      </c>
      <c r="H82">
        <v>1690215944.5999999</v>
      </c>
      <c r="I82">
        <f t="shared" si="30"/>
        <v>9.6757364310177745E-4</v>
      </c>
      <c r="J82">
        <f t="shared" si="31"/>
        <v>0.9675736431017774</v>
      </c>
      <c r="K82">
        <f t="shared" si="32"/>
        <v>11.42559528042981</v>
      </c>
      <c r="L82">
        <f t="shared" si="33"/>
        <v>665.05499999999995</v>
      </c>
      <c r="M82">
        <f t="shared" si="34"/>
        <v>193.76437642547512</v>
      </c>
      <c r="N82">
        <f t="shared" si="35"/>
        <v>19.216305917760089</v>
      </c>
      <c r="O82">
        <f t="shared" si="36"/>
        <v>65.955881921624993</v>
      </c>
      <c r="P82">
        <f t="shared" si="37"/>
        <v>4.0575026817203597E-2</v>
      </c>
      <c r="Q82">
        <f t="shared" si="38"/>
        <v>2.0656033555590616</v>
      </c>
      <c r="R82">
        <f t="shared" si="39"/>
        <v>4.0137391371726408E-2</v>
      </c>
      <c r="S82">
        <f t="shared" si="40"/>
        <v>2.5124796005971433E-2</v>
      </c>
      <c r="T82">
        <f t="shared" si="41"/>
        <v>276.11578913399995</v>
      </c>
      <c r="U82">
        <f t="shared" si="42"/>
        <v>28.715827939717293</v>
      </c>
      <c r="V82">
        <f t="shared" si="43"/>
        <v>28.715827939717293</v>
      </c>
      <c r="W82">
        <f t="shared" si="44"/>
        <v>3.9561119432101672</v>
      </c>
      <c r="X82">
        <f t="shared" si="45"/>
        <v>46.110018413703244</v>
      </c>
      <c r="Y82">
        <f t="shared" si="46"/>
        <v>1.6327441520125001</v>
      </c>
      <c r="Z82">
        <f t="shared" si="47"/>
        <v>3.5409748427410555</v>
      </c>
      <c r="AA82">
        <f t="shared" si="48"/>
        <v>2.3233677911976671</v>
      </c>
      <c r="AB82">
        <f t="shared" si="49"/>
        <v>-42.669997660788383</v>
      </c>
      <c r="AC82">
        <f t="shared" si="50"/>
        <v>-211.39933341502805</v>
      </c>
      <c r="AD82">
        <f t="shared" si="51"/>
        <v>-22.256727696403551</v>
      </c>
      <c r="AE82">
        <f t="shared" si="52"/>
        <v>-0.21026963822001221</v>
      </c>
      <c r="AF82">
        <v>46</v>
      </c>
      <c r="AG82">
        <v>15</v>
      </c>
      <c r="AH82">
        <f t="shared" si="53"/>
        <v>1</v>
      </c>
      <c r="AI82">
        <f t="shared" si="54"/>
        <v>0</v>
      </c>
      <c r="AJ82">
        <f t="shared" si="55"/>
        <v>52488.520521865576</v>
      </c>
      <c r="AK82">
        <f t="shared" si="56"/>
        <v>1800</v>
      </c>
      <c r="AL82">
        <f t="shared" si="57"/>
        <v>1499.1134814</v>
      </c>
      <c r="AM82">
        <f t="shared" si="58"/>
        <v>0.83284082299999995</v>
      </c>
      <c r="AN82">
        <f t="shared" si="59"/>
        <v>0.15339766062999999</v>
      </c>
      <c r="AO82">
        <v>33.6</v>
      </c>
      <c r="AP82">
        <v>0.5</v>
      </c>
      <c r="AQ82" t="s">
        <v>331</v>
      </c>
      <c r="AR82">
        <v>2</v>
      </c>
      <c r="AS82">
        <v>1690215944.5999999</v>
      </c>
      <c r="AT82">
        <v>665.05499999999995</v>
      </c>
      <c r="AU82">
        <v>800.11800000000005</v>
      </c>
      <c r="AV82">
        <v>16.4635</v>
      </c>
      <c r="AW82">
        <v>5.8138199999999998</v>
      </c>
      <c r="AX82">
        <v>665.35</v>
      </c>
      <c r="AY82">
        <v>16.3584</v>
      </c>
      <c r="AZ82">
        <v>300.24599999999998</v>
      </c>
      <c r="BA82">
        <v>99.073499999999996</v>
      </c>
      <c r="BB82">
        <v>0.100075</v>
      </c>
      <c r="BC82">
        <v>26.817499999999999</v>
      </c>
      <c r="BD82">
        <v>27.0062</v>
      </c>
      <c r="BE82">
        <v>28.359500000000001</v>
      </c>
      <c r="BF82">
        <v>0</v>
      </c>
      <c r="BG82">
        <v>0</v>
      </c>
      <c r="BH82">
        <v>10013.799999999999</v>
      </c>
      <c r="BI82">
        <v>1075.99</v>
      </c>
      <c r="BJ82">
        <v>1.90625</v>
      </c>
      <c r="BK82">
        <v>-135.06299999999999</v>
      </c>
      <c r="BL82">
        <v>676.18700000000001</v>
      </c>
      <c r="BM82">
        <v>804.79700000000003</v>
      </c>
      <c r="BN82">
        <v>10.649699999999999</v>
      </c>
      <c r="BO82">
        <v>800.11800000000005</v>
      </c>
      <c r="BP82">
        <v>5.8138199999999998</v>
      </c>
      <c r="BQ82">
        <v>1.6311</v>
      </c>
      <c r="BR82">
        <v>0.57599599999999995</v>
      </c>
      <c r="BS82">
        <v>14.255800000000001</v>
      </c>
      <c r="BT82">
        <v>-0.86871399999999999</v>
      </c>
      <c r="BU82">
        <v>1800</v>
      </c>
      <c r="BV82">
        <v>0.909999</v>
      </c>
      <c r="BW82">
        <v>3.3990800000000002E-2</v>
      </c>
      <c r="BX82">
        <v>2.20044E-2</v>
      </c>
      <c r="BY82">
        <v>3.40057E-2</v>
      </c>
      <c r="BZ82">
        <v>25</v>
      </c>
      <c r="CA82">
        <v>33528.300000000003</v>
      </c>
      <c r="CB82">
        <v>1690214843</v>
      </c>
      <c r="CC82" t="s">
        <v>332</v>
      </c>
      <c r="CD82">
        <v>1690214842</v>
      </c>
      <c r="CE82">
        <v>1690214843</v>
      </c>
      <c r="CF82">
        <v>8</v>
      </c>
      <c r="CG82">
        <v>-6.3E-2</v>
      </c>
      <c r="CH82">
        <v>1E-3</v>
      </c>
      <c r="CI82">
        <v>-0.38900000000000001</v>
      </c>
      <c r="CJ82">
        <v>-6.6000000000000003E-2</v>
      </c>
      <c r="CK82">
        <v>800</v>
      </c>
      <c r="CL82">
        <v>6</v>
      </c>
      <c r="CM82">
        <v>0.23</v>
      </c>
      <c r="CN82">
        <v>0.02</v>
      </c>
      <c r="CO82">
        <v>-132.334</v>
      </c>
      <c r="CP82">
        <v>-13.924160278745941</v>
      </c>
      <c r="CQ82">
        <v>1.3733383929182981</v>
      </c>
      <c r="CR82">
        <v>-1</v>
      </c>
      <c r="CS82">
        <v>10.51646829268293</v>
      </c>
      <c r="CT82">
        <v>0.72227874564457883</v>
      </c>
      <c r="CU82">
        <v>7.1225637474651077E-2</v>
      </c>
      <c r="CV82">
        <v>-1</v>
      </c>
      <c r="CW82">
        <v>0</v>
      </c>
      <c r="CX82">
        <v>0</v>
      </c>
      <c r="CY82" t="s">
        <v>333</v>
      </c>
      <c r="CZ82">
        <v>2.3646199999999999</v>
      </c>
      <c r="DA82">
        <v>2.7138800000000001</v>
      </c>
      <c r="DB82">
        <v>0.12932399999999999</v>
      </c>
      <c r="DC82">
        <v>0.14605099999999999</v>
      </c>
      <c r="DD82">
        <v>8.7026800000000001E-2</v>
      </c>
      <c r="DE82">
        <v>3.8432599999999997E-2</v>
      </c>
      <c r="DF82">
        <v>31778.9</v>
      </c>
      <c r="DG82">
        <v>27502.6</v>
      </c>
      <c r="DH82">
        <v>31160</v>
      </c>
      <c r="DI82">
        <v>28064</v>
      </c>
      <c r="DJ82">
        <v>38630.699999999997</v>
      </c>
      <c r="DK82">
        <v>38371.9</v>
      </c>
      <c r="DL82">
        <v>44342.400000000001</v>
      </c>
      <c r="DM82">
        <v>42531</v>
      </c>
      <c r="DN82">
        <v>1.3553200000000001</v>
      </c>
      <c r="DO82">
        <v>2.0326200000000001</v>
      </c>
      <c r="DP82">
        <v>8.5528900000000005E-2</v>
      </c>
      <c r="DQ82">
        <v>0.18321000000000001</v>
      </c>
      <c r="DR82">
        <v>25.605899999999998</v>
      </c>
      <c r="DS82">
        <v>25.3626</v>
      </c>
      <c r="DT82">
        <v>17.2</v>
      </c>
      <c r="DU82">
        <v>29.8</v>
      </c>
      <c r="DV82">
        <v>7.3128599999999997</v>
      </c>
      <c r="DW82">
        <v>61.648499999999999</v>
      </c>
      <c r="DX82">
        <v>36.722799999999999</v>
      </c>
      <c r="DY82">
        <v>1</v>
      </c>
      <c r="DZ82">
        <v>-8.2235799999999998E-2</v>
      </c>
      <c r="EA82">
        <v>5.5650900000000003E-2</v>
      </c>
      <c r="EB82">
        <v>20.189699999999998</v>
      </c>
      <c r="EC82">
        <v>5.2415500000000002</v>
      </c>
      <c r="ED82">
        <v>12.039899999999999</v>
      </c>
      <c r="EE82">
        <v>5.0173500000000004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1.8689199999999999</v>
      </c>
      <c r="EL82">
        <v>1.8646499999999999</v>
      </c>
      <c r="EM82">
        <v>1.8692</v>
      </c>
      <c r="EN82">
        <v>1.8672299999999999</v>
      </c>
      <c r="EO82">
        <v>1.8633999999999999</v>
      </c>
      <c r="EP82">
        <v>1.86456</v>
      </c>
      <c r="EQ82">
        <v>1.87019</v>
      </c>
      <c r="ER82">
        <v>1.86944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-0.29499999999999998</v>
      </c>
      <c r="FG82">
        <v>0.1051</v>
      </c>
      <c r="FH82">
        <v>0.16202357103534001</v>
      </c>
      <c r="FI82">
        <v>-6.1462078757559423E-4</v>
      </c>
      <c r="FJ82">
        <v>-1.8861989874597051E-7</v>
      </c>
      <c r="FK82">
        <v>1.1980462299894961E-10</v>
      </c>
      <c r="FL82">
        <v>-3.0039189969545878E-2</v>
      </c>
      <c r="FM82">
        <v>-1.6848085045870601E-2</v>
      </c>
      <c r="FN82">
        <v>1.9789084769509481E-3</v>
      </c>
      <c r="FO82">
        <v>-2.7142391389806329E-5</v>
      </c>
      <c r="FP82">
        <v>3</v>
      </c>
      <c r="FQ82">
        <v>2158</v>
      </c>
      <c r="FR82">
        <v>1</v>
      </c>
      <c r="FS82">
        <v>19</v>
      </c>
      <c r="FT82">
        <v>18.399999999999999</v>
      </c>
      <c r="FU82">
        <v>18.399999999999999</v>
      </c>
      <c r="FV82">
        <v>1.7785599999999999</v>
      </c>
      <c r="FW82">
        <v>2.5842299999999998</v>
      </c>
      <c r="FX82">
        <v>1.5490699999999999</v>
      </c>
      <c r="FY82">
        <v>2.3290999999999999</v>
      </c>
      <c r="FZ82">
        <v>1.50146</v>
      </c>
      <c r="GA82">
        <v>2.3095699999999999</v>
      </c>
      <c r="GB82">
        <v>33.850900000000003</v>
      </c>
      <c r="GC82">
        <v>23.982399999999998</v>
      </c>
      <c r="GD82">
        <v>19</v>
      </c>
      <c r="GE82">
        <v>235.119</v>
      </c>
      <c r="GF82">
        <v>581.48699999999997</v>
      </c>
      <c r="GG82">
        <v>24.952999999999999</v>
      </c>
      <c r="GH82">
        <v>26.354600000000001</v>
      </c>
      <c r="GI82">
        <v>29.9999</v>
      </c>
      <c r="GJ82">
        <v>26.4879</v>
      </c>
      <c r="GK82">
        <v>26.464200000000002</v>
      </c>
      <c r="GL82">
        <v>35.566200000000002</v>
      </c>
      <c r="GM82">
        <v>-30</v>
      </c>
      <c r="GN82">
        <v>-30</v>
      </c>
      <c r="GO82">
        <v>24.963899999999999</v>
      </c>
      <c r="GP82">
        <v>800</v>
      </c>
      <c r="GQ82">
        <v>12.5298</v>
      </c>
      <c r="GR82">
        <v>99.697000000000003</v>
      </c>
      <c r="GS82">
        <v>99.498800000000003</v>
      </c>
    </row>
    <row r="83" spans="1:201" x14ac:dyDescent="0.25">
      <c r="A83">
        <v>67</v>
      </c>
      <c r="B83">
        <v>1690215954.5999999</v>
      </c>
      <c r="C83">
        <v>1009.099999904633</v>
      </c>
      <c r="D83" t="s">
        <v>467</v>
      </c>
      <c r="E83" t="s">
        <v>468</v>
      </c>
      <c r="F83" t="s">
        <v>330</v>
      </c>
      <c r="H83">
        <v>1690215954.5999999</v>
      </c>
      <c r="I83">
        <f t="shared" si="30"/>
        <v>9.7843749525160771E-4</v>
      </c>
      <c r="J83">
        <f t="shared" si="31"/>
        <v>0.97843749525160773</v>
      </c>
      <c r="K83">
        <f t="shared" si="32"/>
        <v>11.6149005674474</v>
      </c>
      <c r="L83">
        <f t="shared" si="33"/>
        <v>662.70899999999995</v>
      </c>
      <c r="M83">
        <f t="shared" si="34"/>
        <v>191.8120428767815</v>
      </c>
      <c r="N83">
        <f t="shared" si="35"/>
        <v>19.022487648128962</v>
      </c>
      <c r="O83">
        <f t="shared" si="36"/>
        <v>65.722535341027196</v>
      </c>
      <c r="P83">
        <f t="shared" si="37"/>
        <v>4.127407384950503E-2</v>
      </c>
      <c r="Q83">
        <f t="shared" si="38"/>
        <v>2.0627035570548946</v>
      </c>
      <c r="R83">
        <f t="shared" si="39"/>
        <v>4.0820690703036497E-2</v>
      </c>
      <c r="S83">
        <f t="shared" si="40"/>
        <v>2.5553251300188044E-2</v>
      </c>
      <c r="T83">
        <f t="shared" si="41"/>
        <v>276.11432182902331</v>
      </c>
      <c r="U83">
        <f t="shared" si="42"/>
        <v>28.709639933237</v>
      </c>
      <c r="V83">
        <f t="shared" si="43"/>
        <v>28.709639933237</v>
      </c>
      <c r="W83">
        <f t="shared" si="44"/>
        <v>3.954692605352276</v>
      </c>
      <c r="X83">
        <f t="shared" si="45"/>
        <v>46.46098491529893</v>
      </c>
      <c r="Y83">
        <f t="shared" si="46"/>
        <v>1.6447170856435198</v>
      </c>
      <c r="Z83">
        <f t="shared" si="47"/>
        <v>3.5399961680578542</v>
      </c>
      <c r="AA83">
        <f t="shared" si="48"/>
        <v>2.3099755197087561</v>
      </c>
      <c r="AB83">
        <f t="shared" si="49"/>
        <v>-43.149093540595899</v>
      </c>
      <c r="AC83">
        <f t="shared" si="50"/>
        <v>-210.93708735637767</v>
      </c>
      <c r="AD83">
        <f t="shared" si="51"/>
        <v>-22.238073797200645</v>
      </c>
      <c r="AE83">
        <f t="shared" si="52"/>
        <v>-0.20993286515090404</v>
      </c>
      <c r="AF83">
        <v>46</v>
      </c>
      <c r="AG83">
        <v>15</v>
      </c>
      <c r="AH83">
        <f t="shared" si="53"/>
        <v>1</v>
      </c>
      <c r="AI83">
        <f t="shared" si="54"/>
        <v>0</v>
      </c>
      <c r="AJ83">
        <f t="shared" si="55"/>
        <v>52356.640604232525</v>
      </c>
      <c r="AK83">
        <f t="shared" si="56"/>
        <v>1799.99</v>
      </c>
      <c r="AL83">
        <f t="shared" si="57"/>
        <v>1499.1005432173799</v>
      </c>
      <c r="AM83">
        <f t="shared" si="58"/>
        <v>0.832838262</v>
      </c>
      <c r="AN83">
        <f t="shared" si="59"/>
        <v>0.15339769767</v>
      </c>
      <c r="AO83">
        <v>33.6</v>
      </c>
      <c r="AP83">
        <v>0.5</v>
      </c>
      <c r="AQ83" t="s">
        <v>331</v>
      </c>
      <c r="AR83">
        <v>2</v>
      </c>
      <c r="AS83">
        <v>1690215954.5999999</v>
      </c>
      <c r="AT83">
        <v>662.70899999999995</v>
      </c>
      <c r="AU83">
        <v>799.99</v>
      </c>
      <c r="AV83">
        <v>16.584399999999999</v>
      </c>
      <c r="AW83">
        <v>5.8129900000000001</v>
      </c>
      <c r="AX83">
        <v>663.00300000000004</v>
      </c>
      <c r="AY83">
        <v>16.476199999999999</v>
      </c>
      <c r="AZ83">
        <v>300.149</v>
      </c>
      <c r="BA83">
        <v>99.072599999999994</v>
      </c>
      <c r="BB83">
        <v>9.9940799999999996E-2</v>
      </c>
      <c r="BC83">
        <v>26.812799999999999</v>
      </c>
      <c r="BD83">
        <v>26.997199999999999</v>
      </c>
      <c r="BE83">
        <v>28.362100000000002</v>
      </c>
      <c r="BF83">
        <v>0</v>
      </c>
      <c r="BG83">
        <v>0</v>
      </c>
      <c r="BH83">
        <v>9987.5</v>
      </c>
      <c r="BI83">
        <v>1076.01</v>
      </c>
      <c r="BJ83">
        <v>1.90625</v>
      </c>
      <c r="BK83">
        <v>-137.28100000000001</v>
      </c>
      <c r="BL83">
        <v>673.88499999999999</v>
      </c>
      <c r="BM83">
        <v>804.66700000000003</v>
      </c>
      <c r="BN83">
        <v>10.7714</v>
      </c>
      <c r="BO83">
        <v>799.99</v>
      </c>
      <c r="BP83">
        <v>5.8129900000000001</v>
      </c>
      <c r="BQ83">
        <v>1.64306</v>
      </c>
      <c r="BR83">
        <v>0.57590799999999998</v>
      </c>
      <c r="BS83">
        <v>14.3687</v>
      </c>
      <c r="BT83">
        <v>-0.87080299999999999</v>
      </c>
      <c r="BU83">
        <v>1799.99</v>
      </c>
      <c r="BV83">
        <v>0.90998400000000002</v>
      </c>
      <c r="BW83">
        <v>3.4008900000000002E-2</v>
      </c>
      <c r="BX83">
        <v>2.2003100000000001E-2</v>
      </c>
      <c r="BY83">
        <v>3.4003699999999998E-2</v>
      </c>
      <c r="BZ83">
        <v>25</v>
      </c>
      <c r="CA83">
        <v>33528.1</v>
      </c>
      <c r="CB83">
        <v>1690214843</v>
      </c>
      <c r="CC83" t="s">
        <v>332</v>
      </c>
      <c r="CD83">
        <v>1690214842</v>
      </c>
      <c r="CE83">
        <v>1690214843</v>
      </c>
      <c r="CF83">
        <v>8</v>
      </c>
      <c r="CG83">
        <v>-6.3E-2</v>
      </c>
      <c r="CH83">
        <v>1E-3</v>
      </c>
      <c r="CI83">
        <v>-0.38900000000000001</v>
      </c>
      <c r="CJ83">
        <v>-6.6000000000000003E-2</v>
      </c>
      <c r="CK83">
        <v>800</v>
      </c>
      <c r="CL83">
        <v>6</v>
      </c>
      <c r="CM83">
        <v>0.23</v>
      </c>
      <c r="CN83">
        <v>0.02</v>
      </c>
      <c r="CO83">
        <v>-134.7058536585366</v>
      </c>
      <c r="CP83">
        <v>-14.23174912892001</v>
      </c>
      <c r="CQ83">
        <v>1.405528518959531</v>
      </c>
      <c r="CR83">
        <v>-1</v>
      </c>
      <c r="CS83">
        <v>10.637104878048779</v>
      </c>
      <c r="CT83">
        <v>0.72379651567944669</v>
      </c>
      <c r="CU83">
        <v>7.1372454723638401E-2</v>
      </c>
      <c r="CV83">
        <v>-1</v>
      </c>
      <c r="CW83">
        <v>0</v>
      </c>
      <c r="CX83">
        <v>0</v>
      </c>
      <c r="CY83" t="s">
        <v>333</v>
      </c>
      <c r="CZ83">
        <v>2.3643100000000001</v>
      </c>
      <c r="DA83">
        <v>2.7137199999999999</v>
      </c>
      <c r="DB83">
        <v>0.12901099999999999</v>
      </c>
      <c r="DC83">
        <v>0.146035</v>
      </c>
      <c r="DD83">
        <v>8.7484599999999996E-2</v>
      </c>
      <c r="DE83">
        <v>3.8427999999999997E-2</v>
      </c>
      <c r="DF83">
        <v>31790.7</v>
      </c>
      <c r="DG83">
        <v>27503.4</v>
      </c>
      <c r="DH83">
        <v>31160.3</v>
      </c>
      <c r="DI83">
        <v>28064.3</v>
      </c>
      <c r="DJ83">
        <v>38611.699999999997</v>
      </c>
      <c r="DK83">
        <v>38372.400000000001</v>
      </c>
      <c r="DL83">
        <v>44343</v>
      </c>
      <c r="DM83">
        <v>42531.4</v>
      </c>
      <c r="DN83">
        <v>1.3552200000000001</v>
      </c>
      <c r="DO83">
        <v>2.0330699999999999</v>
      </c>
      <c r="DP83">
        <v>8.5108000000000003E-2</v>
      </c>
      <c r="DQ83">
        <v>0.18346699999999999</v>
      </c>
      <c r="DR83">
        <v>25.6037</v>
      </c>
      <c r="DS83">
        <v>25.361000000000001</v>
      </c>
      <c r="DT83">
        <v>17.2</v>
      </c>
      <c r="DU83">
        <v>29.8</v>
      </c>
      <c r="DV83">
        <v>7.3117700000000001</v>
      </c>
      <c r="DW83">
        <v>61.698500000000003</v>
      </c>
      <c r="DX83">
        <v>36.646599999999999</v>
      </c>
      <c r="DY83">
        <v>1</v>
      </c>
      <c r="DZ83">
        <v>-8.3130099999999998E-2</v>
      </c>
      <c r="EA83">
        <v>-2.12963E-3</v>
      </c>
      <c r="EB83">
        <v>20.189900000000002</v>
      </c>
      <c r="EC83">
        <v>5.2411000000000003</v>
      </c>
      <c r="ED83">
        <v>12.039899999999999</v>
      </c>
      <c r="EE83">
        <v>5.0174000000000003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1.8689100000000001</v>
      </c>
      <c r="EL83">
        <v>1.86467</v>
      </c>
      <c r="EM83">
        <v>1.8691899999999999</v>
      </c>
      <c r="EN83">
        <v>1.8672500000000001</v>
      </c>
      <c r="EO83">
        <v>1.8633999999999999</v>
      </c>
      <c r="EP83">
        <v>1.8645700000000001</v>
      </c>
      <c r="EQ83">
        <v>1.8702000000000001</v>
      </c>
      <c r="ER83">
        <v>1.8694500000000001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-0.29399999999999998</v>
      </c>
      <c r="FG83">
        <v>0.1082</v>
      </c>
      <c r="FH83">
        <v>0.16202357103534001</v>
      </c>
      <c r="FI83">
        <v>-6.1462078757559423E-4</v>
      </c>
      <c r="FJ83">
        <v>-1.8861989874597051E-7</v>
      </c>
      <c r="FK83">
        <v>1.1980462299894961E-10</v>
      </c>
      <c r="FL83">
        <v>-3.0039189969545878E-2</v>
      </c>
      <c r="FM83">
        <v>-1.6848085045870601E-2</v>
      </c>
      <c r="FN83">
        <v>1.9789084769509481E-3</v>
      </c>
      <c r="FO83">
        <v>-2.7142391389806329E-5</v>
      </c>
      <c r="FP83">
        <v>3</v>
      </c>
      <c r="FQ83">
        <v>2158</v>
      </c>
      <c r="FR83">
        <v>1</v>
      </c>
      <c r="FS83">
        <v>19</v>
      </c>
      <c r="FT83">
        <v>18.5</v>
      </c>
      <c r="FU83">
        <v>18.5</v>
      </c>
      <c r="FV83">
        <v>1.7785599999999999</v>
      </c>
      <c r="FW83">
        <v>2.5878899999999998</v>
      </c>
      <c r="FX83">
        <v>1.5490699999999999</v>
      </c>
      <c r="FY83">
        <v>2.3290999999999999</v>
      </c>
      <c r="FZ83">
        <v>1.50146</v>
      </c>
      <c r="GA83">
        <v>2.3010299999999999</v>
      </c>
      <c r="GB83">
        <v>33.850900000000003</v>
      </c>
      <c r="GC83">
        <v>23.982399999999998</v>
      </c>
      <c r="GD83">
        <v>19</v>
      </c>
      <c r="GE83">
        <v>235.07400000000001</v>
      </c>
      <c r="GF83">
        <v>581.84</v>
      </c>
      <c r="GG83">
        <v>24.948499999999999</v>
      </c>
      <c r="GH83">
        <v>26.3508</v>
      </c>
      <c r="GI83">
        <v>29.999700000000001</v>
      </c>
      <c r="GJ83">
        <v>26.485800000000001</v>
      </c>
      <c r="GK83">
        <v>26.462599999999998</v>
      </c>
      <c r="GL83">
        <v>35.568300000000001</v>
      </c>
      <c r="GM83">
        <v>-30</v>
      </c>
      <c r="GN83">
        <v>-30</v>
      </c>
      <c r="GO83">
        <v>24.959</v>
      </c>
      <c r="GP83">
        <v>800</v>
      </c>
      <c r="GQ83">
        <v>12.5298</v>
      </c>
      <c r="GR83">
        <v>99.698400000000007</v>
      </c>
      <c r="GS83">
        <v>99.499700000000004</v>
      </c>
    </row>
    <row r="84" spans="1:201" x14ac:dyDescent="0.25">
      <c r="A84">
        <v>68</v>
      </c>
      <c r="B84">
        <v>1690215964.5999999</v>
      </c>
      <c r="C84">
        <v>1019.099999904633</v>
      </c>
      <c r="D84" t="s">
        <v>469</v>
      </c>
      <c r="E84" t="s">
        <v>470</v>
      </c>
      <c r="F84" t="s">
        <v>330</v>
      </c>
      <c r="H84">
        <v>1690215964.5999999</v>
      </c>
      <c r="I84">
        <f t="shared" si="30"/>
        <v>9.8952229763457481E-4</v>
      </c>
      <c r="J84">
        <f t="shared" si="31"/>
        <v>0.98952229763457478</v>
      </c>
      <c r="K84">
        <f t="shared" si="32"/>
        <v>11.817641835173868</v>
      </c>
      <c r="L84">
        <f t="shared" si="33"/>
        <v>660.35799999999995</v>
      </c>
      <c r="M84">
        <f t="shared" si="34"/>
        <v>189.69100848956325</v>
      </c>
      <c r="N84">
        <f t="shared" si="35"/>
        <v>18.812812568089889</v>
      </c>
      <c r="O84">
        <f t="shared" si="36"/>
        <v>65.491724572291588</v>
      </c>
      <c r="P84">
        <f t="shared" si="37"/>
        <v>4.2005120970452642E-2</v>
      </c>
      <c r="Q84">
        <f t="shared" si="38"/>
        <v>2.0654895248996294</v>
      </c>
      <c r="R84">
        <f t="shared" si="39"/>
        <v>4.1536259093145643E-2</v>
      </c>
      <c r="S84">
        <f t="shared" si="40"/>
        <v>2.6001851159969832E-2</v>
      </c>
      <c r="T84">
        <f t="shared" si="41"/>
        <v>276.115783878</v>
      </c>
      <c r="U84">
        <f t="shared" si="42"/>
        <v>28.699466574201853</v>
      </c>
      <c r="V84">
        <f t="shared" si="43"/>
        <v>28.699466574201853</v>
      </c>
      <c r="W84">
        <f t="shared" si="44"/>
        <v>3.9523601157339141</v>
      </c>
      <c r="X84">
        <f t="shared" si="45"/>
        <v>46.804249989360983</v>
      </c>
      <c r="Y84">
        <f t="shared" si="46"/>
        <v>1.6564886465655</v>
      </c>
      <c r="Z84">
        <f t="shared" si="47"/>
        <v>3.539184255579428</v>
      </c>
      <c r="AA84">
        <f t="shared" si="48"/>
        <v>2.2958714691684143</v>
      </c>
      <c r="AB84">
        <f t="shared" si="49"/>
        <v>-43.637933325684749</v>
      </c>
      <c r="AC84">
        <f t="shared" si="50"/>
        <v>-210.52341937747013</v>
      </c>
      <c r="AD84">
        <f t="shared" si="51"/>
        <v>-22.162969407401324</v>
      </c>
      <c r="AE84">
        <f t="shared" si="52"/>
        <v>-0.20853823255620796</v>
      </c>
      <c r="AF84">
        <v>46</v>
      </c>
      <c r="AG84">
        <v>15</v>
      </c>
      <c r="AH84">
        <f t="shared" si="53"/>
        <v>1</v>
      </c>
      <c r="AI84">
        <f t="shared" si="54"/>
        <v>0</v>
      </c>
      <c r="AJ84">
        <f t="shared" si="55"/>
        <v>52484.869841318825</v>
      </c>
      <c r="AK84">
        <f t="shared" si="56"/>
        <v>1800</v>
      </c>
      <c r="AL84">
        <f t="shared" si="57"/>
        <v>1499.1105617999999</v>
      </c>
      <c r="AM84">
        <f t="shared" si="58"/>
        <v>0.83283920099999997</v>
      </c>
      <c r="AN84">
        <f t="shared" si="59"/>
        <v>0.15339765771</v>
      </c>
      <c r="AO84">
        <v>33.6</v>
      </c>
      <c r="AP84">
        <v>0.5</v>
      </c>
      <c r="AQ84" t="s">
        <v>331</v>
      </c>
      <c r="AR84">
        <v>2</v>
      </c>
      <c r="AS84">
        <v>1690215964.5999999</v>
      </c>
      <c r="AT84">
        <v>660.35799999999995</v>
      </c>
      <c r="AU84">
        <v>799.95500000000004</v>
      </c>
      <c r="AV84">
        <v>16.702500000000001</v>
      </c>
      <c r="AW84">
        <v>5.8111300000000004</v>
      </c>
      <c r="AX84">
        <v>660.65</v>
      </c>
      <c r="AY84">
        <v>16.5913</v>
      </c>
      <c r="AZ84">
        <v>300.17</v>
      </c>
      <c r="BA84">
        <v>99.076099999999997</v>
      </c>
      <c r="BB84">
        <v>9.9990200000000001E-2</v>
      </c>
      <c r="BC84">
        <v>26.808900000000001</v>
      </c>
      <c r="BD84">
        <v>26.985299999999999</v>
      </c>
      <c r="BE84">
        <v>28.349900000000002</v>
      </c>
      <c r="BF84">
        <v>0</v>
      </c>
      <c r="BG84">
        <v>0</v>
      </c>
      <c r="BH84">
        <v>10012.5</v>
      </c>
      <c r="BI84">
        <v>1075.94</v>
      </c>
      <c r="BJ84">
        <v>1.90625</v>
      </c>
      <c r="BK84">
        <v>-139.59800000000001</v>
      </c>
      <c r="BL84">
        <v>671.57500000000005</v>
      </c>
      <c r="BM84">
        <v>804.63099999999997</v>
      </c>
      <c r="BN84">
        <v>10.891400000000001</v>
      </c>
      <c r="BO84">
        <v>799.95500000000004</v>
      </c>
      <c r="BP84">
        <v>5.8111300000000004</v>
      </c>
      <c r="BQ84">
        <v>1.65482</v>
      </c>
      <c r="BR84">
        <v>0.57574400000000003</v>
      </c>
      <c r="BS84">
        <v>14.478999999999999</v>
      </c>
      <c r="BT84">
        <v>-0.874695</v>
      </c>
      <c r="BU84">
        <v>1800</v>
      </c>
      <c r="BV84">
        <v>0.90998999999999997</v>
      </c>
      <c r="BW84">
        <v>3.4006799999999997E-2</v>
      </c>
      <c r="BX84">
        <v>2.2001799999999998E-2</v>
      </c>
      <c r="BY84">
        <v>3.4001700000000003E-2</v>
      </c>
      <c r="BZ84">
        <v>25</v>
      </c>
      <c r="CA84">
        <v>33528.199999999997</v>
      </c>
      <c r="CB84">
        <v>1690214843</v>
      </c>
      <c r="CC84" t="s">
        <v>332</v>
      </c>
      <c r="CD84">
        <v>1690214842</v>
      </c>
      <c r="CE84">
        <v>1690214843</v>
      </c>
      <c r="CF84">
        <v>8</v>
      </c>
      <c r="CG84">
        <v>-6.3E-2</v>
      </c>
      <c r="CH84">
        <v>1E-3</v>
      </c>
      <c r="CI84">
        <v>-0.38900000000000001</v>
      </c>
      <c r="CJ84">
        <v>-6.6000000000000003E-2</v>
      </c>
      <c r="CK84">
        <v>800</v>
      </c>
      <c r="CL84">
        <v>6</v>
      </c>
      <c r="CM84">
        <v>0.23</v>
      </c>
      <c r="CN84">
        <v>0.02</v>
      </c>
      <c r="CO84">
        <v>-137.24442500000001</v>
      </c>
      <c r="CP84">
        <v>-13.71738461538432</v>
      </c>
      <c r="CQ84">
        <v>1.320854172259375</v>
      </c>
      <c r="CR84">
        <v>-1</v>
      </c>
      <c r="CS84">
        <v>10.7678425</v>
      </c>
      <c r="CT84">
        <v>0.73050168855533393</v>
      </c>
      <c r="CU84">
        <v>7.0275475407498955E-2</v>
      </c>
      <c r="CV84">
        <v>-1</v>
      </c>
      <c r="CW84">
        <v>0</v>
      </c>
      <c r="CX84">
        <v>0</v>
      </c>
      <c r="CY84" t="s">
        <v>333</v>
      </c>
      <c r="CZ84">
        <v>2.3643900000000002</v>
      </c>
      <c r="DA84">
        <v>2.7137899999999999</v>
      </c>
      <c r="DB84">
        <v>0.12870100000000001</v>
      </c>
      <c r="DC84">
        <v>0.146036</v>
      </c>
      <c r="DD84">
        <v>8.7933800000000006E-2</v>
      </c>
      <c r="DE84">
        <v>3.8419300000000003E-2</v>
      </c>
      <c r="DF84">
        <v>31802.6</v>
      </c>
      <c r="DG84">
        <v>27503.599999999999</v>
      </c>
      <c r="DH84">
        <v>31160.799999999999</v>
      </c>
      <c r="DI84">
        <v>28064.5</v>
      </c>
      <c r="DJ84">
        <v>38592.9</v>
      </c>
      <c r="DK84">
        <v>38373.1</v>
      </c>
      <c r="DL84">
        <v>44343.5</v>
      </c>
      <c r="DM84">
        <v>42531.8</v>
      </c>
      <c r="DN84">
        <v>1.3555699999999999</v>
      </c>
      <c r="DO84">
        <v>2.0330499999999998</v>
      </c>
      <c r="DP84">
        <v>8.4381600000000001E-2</v>
      </c>
      <c r="DQ84">
        <v>0.18285199999999999</v>
      </c>
      <c r="DR84">
        <v>25.6037</v>
      </c>
      <c r="DS84">
        <v>25.358799999999999</v>
      </c>
      <c r="DT84">
        <v>17.2</v>
      </c>
      <c r="DU84">
        <v>29.8</v>
      </c>
      <c r="DV84">
        <v>7.3109999999999999</v>
      </c>
      <c r="DW84">
        <v>61.478499999999997</v>
      </c>
      <c r="DX84">
        <v>36.382199999999997</v>
      </c>
      <c r="DY84">
        <v>1</v>
      </c>
      <c r="DZ84">
        <v>-8.33816E-2</v>
      </c>
      <c r="EA84">
        <v>-5.18437E-2</v>
      </c>
      <c r="EB84">
        <v>20.189900000000002</v>
      </c>
      <c r="EC84">
        <v>5.2409499999999998</v>
      </c>
      <c r="ED84">
        <v>12.039899999999999</v>
      </c>
      <c r="EE84">
        <v>5.0169499999999996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1.8689199999999999</v>
      </c>
      <c r="EL84">
        <v>1.86466</v>
      </c>
      <c r="EM84">
        <v>1.8691899999999999</v>
      </c>
      <c r="EN84">
        <v>1.8672299999999999</v>
      </c>
      <c r="EO84">
        <v>1.8633999999999999</v>
      </c>
      <c r="EP84">
        <v>1.86459</v>
      </c>
      <c r="EQ84">
        <v>1.87018</v>
      </c>
      <c r="ER84">
        <v>1.8694599999999999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-0.29199999999999998</v>
      </c>
      <c r="FG84">
        <v>0.11119999999999999</v>
      </c>
      <c r="FH84">
        <v>0.16202357103534001</v>
      </c>
      <c r="FI84">
        <v>-6.1462078757559423E-4</v>
      </c>
      <c r="FJ84">
        <v>-1.8861989874597051E-7</v>
      </c>
      <c r="FK84">
        <v>1.1980462299894961E-10</v>
      </c>
      <c r="FL84">
        <v>-3.0039189969545878E-2</v>
      </c>
      <c r="FM84">
        <v>-1.6848085045870601E-2</v>
      </c>
      <c r="FN84">
        <v>1.9789084769509481E-3</v>
      </c>
      <c r="FO84">
        <v>-2.7142391389806329E-5</v>
      </c>
      <c r="FP84">
        <v>3</v>
      </c>
      <c r="FQ84">
        <v>2158</v>
      </c>
      <c r="FR84">
        <v>1</v>
      </c>
      <c r="FS84">
        <v>19</v>
      </c>
      <c r="FT84">
        <v>18.7</v>
      </c>
      <c r="FU84">
        <v>18.7</v>
      </c>
      <c r="FV84">
        <v>1.77979</v>
      </c>
      <c r="FW84">
        <v>2.5854499999999998</v>
      </c>
      <c r="FX84">
        <v>1.5490699999999999</v>
      </c>
      <c r="FY84">
        <v>2.3290999999999999</v>
      </c>
      <c r="FZ84">
        <v>1.50146</v>
      </c>
      <c r="GA84">
        <v>2.2863799999999999</v>
      </c>
      <c r="GB84">
        <v>33.850900000000003</v>
      </c>
      <c r="GC84">
        <v>23.982399999999998</v>
      </c>
      <c r="GD84">
        <v>19</v>
      </c>
      <c r="GE84">
        <v>235.19800000000001</v>
      </c>
      <c r="GF84">
        <v>581.79399999999998</v>
      </c>
      <c r="GG84">
        <v>24.959099999999999</v>
      </c>
      <c r="GH84">
        <v>26.348600000000001</v>
      </c>
      <c r="GI84">
        <v>30</v>
      </c>
      <c r="GJ84">
        <v>26.4834</v>
      </c>
      <c r="GK84">
        <v>26.4604</v>
      </c>
      <c r="GL84">
        <v>35.571300000000001</v>
      </c>
      <c r="GM84">
        <v>-30</v>
      </c>
      <c r="GN84">
        <v>-30</v>
      </c>
      <c r="GO84">
        <v>24.973400000000002</v>
      </c>
      <c r="GP84">
        <v>800</v>
      </c>
      <c r="GQ84">
        <v>12.5298</v>
      </c>
      <c r="GR84">
        <v>99.699600000000004</v>
      </c>
      <c r="GS84">
        <v>99.500699999999995</v>
      </c>
    </row>
    <row r="85" spans="1:201" x14ac:dyDescent="0.25">
      <c r="A85">
        <v>69</v>
      </c>
      <c r="B85">
        <v>1690215974.5999999</v>
      </c>
      <c r="C85">
        <v>1029.099999904633</v>
      </c>
      <c r="D85" t="s">
        <v>471</v>
      </c>
      <c r="E85" t="s">
        <v>472</v>
      </c>
      <c r="F85" t="s">
        <v>330</v>
      </c>
      <c r="H85">
        <v>1690215974.5999999</v>
      </c>
      <c r="I85">
        <f t="shared" si="30"/>
        <v>1.0008725895695068E-3</v>
      </c>
      <c r="J85">
        <f t="shared" si="31"/>
        <v>1.0008725895695068</v>
      </c>
      <c r="K85">
        <f t="shared" si="32"/>
        <v>12.031945081721661</v>
      </c>
      <c r="L85">
        <f t="shared" si="33"/>
        <v>657.96199999999999</v>
      </c>
      <c r="M85">
        <f t="shared" si="34"/>
        <v>187.28735565364389</v>
      </c>
      <c r="N85">
        <f t="shared" si="35"/>
        <v>18.574305959572825</v>
      </c>
      <c r="O85">
        <f t="shared" si="36"/>
        <v>65.253671050668601</v>
      </c>
      <c r="P85">
        <f t="shared" si="37"/>
        <v>4.2755962494763586E-2</v>
      </c>
      <c r="Q85">
        <f t="shared" si="38"/>
        <v>2.0636979840368941</v>
      </c>
      <c r="R85">
        <f t="shared" si="39"/>
        <v>4.2269877075299278E-2</v>
      </c>
      <c r="S85">
        <f t="shared" si="40"/>
        <v>2.6461885480852321E-2</v>
      </c>
      <c r="T85">
        <f t="shared" si="41"/>
        <v>276.11545003200001</v>
      </c>
      <c r="U85">
        <f t="shared" si="42"/>
        <v>28.690886919241329</v>
      </c>
      <c r="V85">
        <f t="shared" si="43"/>
        <v>28.690886919241329</v>
      </c>
      <c r="W85">
        <f t="shared" si="44"/>
        <v>3.9503939541443693</v>
      </c>
      <c r="X85">
        <f t="shared" si="45"/>
        <v>47.163855698959559</v>
      </c>
      <c r="Y85">
        <f t="shared" si="46"/>
        <v>1.6686267830475001</v>
      </c>
      <c r="Z85">
        <f t="shared" si="47"/>
        <v>3.5379354769001852</v>
      </c>
      <c r="AA85">
        <f t="shared" si="48"/>
        <v>2.2817671710968694</v>
      </c>
      <c r="AB85">
        <f t="shared" si="49"/>
        <v>-44.138481200015249</v>
      </c>
      <c r="AC85">
        <f t="shared" si="50"/>
        <v>-210.05381049050007</v>
      </c>
      <c r="AD85">
        <f t="shared" si="51"/>
        <v>-22.131118368370672</v>
      </c>
      <c r="AE85">
        <f t="shared" si="52"/>
        <v>-0.20796002688595649</v>
      </c>
      <c r="AF85">
        <v>46</v>
      </c>
      <c r="AG85">
        <v>15</v>
      </c>
      <c r="AH85">
        <f t="shared" si="53"/>
        <v>1</v>
      </c>
      <c r="AI85">
        <f t="shared" si="54"/>
        <v>0</v>
      </c>
      <c r="AJ85">
        <f t="shared" si="55"/>
        <v>52403.90764208934</v>
      </c>
      <c r="AK85">
        <f t="shared" si="56"/>
        <v>1800</v>
      </c>
      <c r="AL85">
        <f t="shared" si="57"/>
        <v>1499.1104501999998</v>
      </c>
      <c r="AM85">
        <f t="shared" si="58"/>
        <v>0.83283913899999995</v>
      </c>
      <c r="AN85">
        <f t="shared" si="59"/>
        <v>0.15339747224</v>
      </c>
      <c r="AO85">
        <v>33.6</v>
      </c>
      <c r="AP85">
        <v>0.5</v>
      </c>
      <c r="AQ85" t="s">
        <v>331</v>
      </c>
      <c r="AR85">
        <v>2</v>
      </c>
      <c r="AS85">
        <v>1690215974.5999999</v>
      </c>
      <c r="AT85">
        <v>657.96199999999999</v>
      </c>
      <c r="AU85">
        <v>800.01300000000003</v>
      </c>
      <c r="AV85">
        <v>16.824999999999999</v>
      </c>
      <c r="AW85">
        <v>5.8102200000000002</v>
      </c>
      <c r="AX85">
        <v>658.25199999999995</v>
      </c>
      <c r="AY85">
        <v>16.710699999999999</v>
      </c>
      <c r="AZ85">
        <v>300.17399999999998</v>
      </c>
      <c r="BA85">
        <v>99.075500000000005</v>
      </c>
      <c r="BB85">
        <v>9.9940299999999996E-2</v>
      </c>
      <c r="BC85">
        <v>26.802900000000001</v>
      </c>
      <c r="BD85">
        <v>26.973600000000001</v>
      </c>
      <c r="BE85">
        <v>28.359400000000001</v>
      </c>
      <c r="BF85">
        <v>0</v>
      </c>
      <c r="BG85">
        <v>0</v>
      </c>
      <c r="BH85">
        <v>9996.25</v>
      </c>
      <c r="BI85">
        <v>1075.8699999999999</v>
      </c>
      <c r="BJ85">
        <v>1.90625</v>
      </c>
      <c r="BK85">
        <v>-142.05000000000001</v>
      </c>
      <c r="BL85">
        <v>669.22199999999998</v>
      </c>
      <c r="BM85">
        <v>804.68799999999999</v>
      </c>
      <c r="BN85">
        <v>11.014799999999999</v>
      </c>
      <c r="BO85">
        <v>800.01300000000003</v>
      </c>
      <c r="BP85">
        <v>5.8102200000000002</v>
      </c>
      <c r="BQ85">
        <v>1.6669499999999999</v>
      </c>
      <c r="BR85">
        <v>0.57565100000000002</v>
      </c>
      <c r="BS85">
        <v>14.592000000000001</v>
      </c>
      <c r="BT85">
        <v>-0.876911</v>
      </c>
      <c r="BU85">
        <v>1800</v>
      </c>
      <c r="BV85">
        <v>0.90999399999999997</v>
      </c>
      <c r="BW85">
        <v>3.4005100000000003E-2</v>
      </c>
      <c r="BX85">
        <v>2.2000700000000002E-2</v>
      </c>
      <c r="BY85">
        <v>3.4000000000000002E-2</v>
      </c>
      <c r="BZ85">
        <v>25</v>
      </c>
      <c r="CA85">
        <v>33528.199999999997</v>
      </c>
      <c r="CB85">
        <v>1690214843</v>
      </c>
      <c r="CC85" t="s">
        <v>332</v>
      </c>
      <c r="CD85">
        <v>1690214842</v>
      </c>
      <c r="CE85">
        <v>1690214843</v>
      </c>
      <c r="CF85">
        <v>8</v>
      </c>
      <c r="CG85">
        <v>-6.3E-2</v>
      </c>
      <c r="CH85">
        <v>1E-3</v>
      </c>
      <c r="CI85">
        <v>-0.38900000000000001</v>
      </c>
      <c r="CJ85">
        <v>-6.6000000000000003E-2</v>
      </c>
      <c r="CK85">
        <v>800</v>
      </c>
      <c r="CL85">
        <v>6</v>
      </c>
      <c r="CM85">
        <v>0.23</v>
      </c>
      <c r="CN85">
        <v>0.02</v>
      </c>
      <c r="CO85">
        <v>-139.36725000000001</v>
      </c>
      <c r="CP85">
        <v>-14.53323827392096</v>
      </c>
      <c r="CQ85">
        <v>1.3985278465229081</v>
      </c>
      <c r="CR85">
        <v>-1</v>
      </c>
      <c r="CS85">
        <v>10.8777075</v>
      </c>
      <c r="CT85">
        <v>0.73741350844274411</v>
      </c>
      <c r="CU85">
        <v>7.095886620958658E-2</v>
      </c>
      <c r="CV85">
        <v>-1</v>
      </c>
      <c r="CW85">
        <v>0</v>
      </c>
      <c r="CX85">
        <v>0</v>
      </c>
      <c r="CY85" t="s">
        <v>333</v>
      </c>
      <c r="CZ85">
        <v>2.3643900000000002</v>
      </c>
      <c r="DA85">
        <v>2.71373</v>
      </c>
      <c r="DB85">
        <v>0.12837899999999999</v>
      </c>
      <c r="DC85">
        <v>0.14604300000000001</v>
      </c>
      <c r="DD85">
        <v>8.8395000000000001E-2</v>
      </c>
      <c r="DE85">
        <v>3.8414400000000001E-2</v>
      </c>
      <c r="DF85">
        <v>31814.1</v>
      </c>
      <c r="DG85">
        <v>27503.8</v>
      </c>
      <c r="DH85">
        <v>31160.7</v>
      </c>
      <c r="DI85">
        <v>28064.9</v>
      </c>
      <c r="DJ85">
        <v>38573.1</v>
      </c>
      <c r="DK85">
        <v>38373.699999999997</v>
      </c>
      <c r="DL85">
        <v>44343.3</v>
      </c>
      <c r="DM85">
        <v>42532.3</v>
      </c>
      <c r="DN85">
        <v>1.3554999999999999</v>
      </c>
      <c r="DO85">
        <v>2.0327999999999999</v>
      </c>
      <c r="DP85">
        <v>8.3539600000000006E-2</v>
      </c>
      <c r="DQ85">
        <v>0.18343300000000001</v>
      </c>
      <c r="DR85">
        <v>25.605899999999998</v>
      </c>
      <c r="DS85">
        <v>25.358799999999999</v>
      </c>
      <c r="DT85">
        <v>17.2</v>
      </c>
      <c r="DU85">
        <v>29.8</v>
      </c>
      <c r="DV85">
        <v>7.31203</v>
      </c>
      <c r="DW85">
        <v>61.528500000000001</v>
      </c>
      <c r="DX85">
        <v>36.330100000000002</v>
      </c>
      <c r="DY85">
        <v>1</v>
      </c>
      <c r="DZ85">
        <v>-8.3338400000000007E-2</v>
      </c>
      <c r="EA85">
        <v>-7.0896000000000001E-2</v>
      </c>
      <c r="EB85">
        <v>20.190000000000001</v>
      </c>
      <c r="EC85">
        <v>5.2408000000000001</v>
      </c>
      <c r="ED85">
        <v>12.039899999999999</v>
      </c>
      <c r="EE85">
        <v>5.0170500000000002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1.8689199999999999</v>
      </c>
      <c r="EL85">
        <v>1.86466</v>
      </c>
      <c r="EM85">
        <v>1.8692</v>
      </c>
      <c r="EN85">
        <v>1.8672200000000001</v>
      </c>
      <c r="EO85">
        <v>1.8633999999999999</v>
      </c>
      <c r="EP85">
        <v>1.8646</v>
      </c>
      <c r="EQ85">
        <v>1.87015</v>
      </c>
      <c r="ER85">
        <v>1.8694500000000001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-0.28999999999999998</v>
      </c>
      <c r="FG85">
        <v>0.1143</v>
      </c>
      <c r="FH85">
        <v>0.16202357103534001</v>
      </c>
      <c r="FI85">
        <v>-6.1462078757559423E-4</v>
      </c>
      <c r="FJ85">
        <v>-1.8861989874597051E-7</v>
      </c>
      <c r="FK85">
        <v>1.1980462299894961E-10</v>
      </c>
      <c r="FL85">
        <v>-3.0039189969545878E-2</v>
      </c>
      <c r="FM85">
        <v>-1.6848085045870601E-2</v>
      </c>
      <c r="FN85">
        <v>1.9789084769509481E-3</v>
      </c>
      <c r="FO85">
        <v>-2.7142391389806329E-5</v>
      </c>
      <c r="FP85">
        <v>3</v>
      </c>
      <c r="FQ85">
        <v>2158</v>
      </c>
      <c r="FR85">
        <v>1</v>
      </c>
      <c r="FS85">
        <v>19</v>
      </c>
      <c r="FT85">
        <v>18.899999999999999</v>
      </c>
      <c r="FU85">
        <v>18.899999999999999</v>
      </c>
      <c r="FV85">
        <v>1.7785599999999999</v>
      </c>
      <c r="FW85">
        <v>2.5927699999999998</v>
      </c>
      <c r="FX85">
        <v>1.5490699999999999</v>
      </c>
      <c r="FY85">
        <v>2.3290999999999999</v>
      </c>
      <c r="FZ85">
        <v>1.50146</v>
      </c>
      <c r="GA85">
        <v>2.2814899999999998</v>
      </c>
      <c r="GB85">
        <v>33.850900000000003</v>
      </c>
      <c r="GC85">
        <v>23.982399999999998</v>
      </c>
      <c r="GD85">
        <v>19</v>
      </c>
      <c r="GE85">
        <v>235.16200000000001</v>
      </c>
      <c r="GF85">
        <v>581.56299999999999</v>
      </c>
      <c r="GG85">
        <v>24.979099999999999</v>
      </c>
      <c r="GH85">
        <v>26.3462</v>
      </c>
      <c r="GI85">
        <v>30.0001</v>
      </c>
      <c r="GJ85">
        <v>26.481300000000001</v>
      </c>
      <c r="GK85">
        <v>26.458200000000001</v>
      </c>
      <c r="GL85">
        <v>35.5687</v>
      </c>
      <c r="GM85">
        <v>-30</v>
      </c>
      <c r="GN85">
        <v>-30</v>
      </c>
      <c r="GO85">
        <v>24.991099999999999</v>
      </c>
      <c r="GP85">
        <v>800</v>
      </c>
      <c r="GQ85">
        <v>12.5298</v>
      </c>
      <c r="GR85">
        <v>99.699200000000005</v>
      </c>
      <c r="GS85">
        <v>99.501900000000006</v>
      </c>
    </row>
    <row r="86" spans="1:201" x14ac:dyDescent="0.25">
      <c r="A86">
        <v>70</v>
      </c>
      <c r="B86">
        <v>1690215984.5999999</v>
      </c>
      <c r="C86">
        <v>1039.099999904633</v>
      </c>
      <c r="D86" t="s">
        <v>473</v>
      </c>
      <c r="E86" t="s">
        <v>474</v>
      </c>
      <c r="F86" t="s">
        <v>330</v>
      </c>
      <c r="H86">
        <v>1690215984.5999999</v>
      </c>
      <c r="I86">
        <f t="shared" si="30"/>
        <v>1.0124872105371292E-3</v>
      </c>
      <c r="J86">
        <f t="shared" si="31"/>
        <v>1.0124872105371292</v>
      </c>
      <c r="K86">
        <f t="shared" si="32"/>
        <v>12.240165254991297</v>
      </c>
      <c r="L86">
        <f t="shared" si="33"/>
        <v>655.55200000000002</v>
      </c>
      <c r="M86">
        <f t="shared" si="34"/>
        <v>184.73313299558319</v>
      </c>
      <c r="N86">
        <f t="shared" si="35"/>
        <v>18.321034822299932</v>
      </c>
      <c r="O86">
        <f t="shared" si="36"/>
        <v>65.014817997568002</v>
      </c>
      <c r="P86">
        <f t="shared" si="37"/>
        <v>4.3472655866616763E-2</v>
      </c>
      <c r="Q86">
        <f t="shared" si="38"/>
        <v>2.064177170475415</v>
      </c>
      <c r="R86">
        <f t="shared" si="39"/>
        <v>4.2970356389070881E-2</v>
      </c>
      <c r="S86">
        <f t="shared" si="40"/>
        <v>2.6901118705707557E-2</v>
      </c>
      <c r="T86">
        <f t="shared" si="41"/>
        <v>276.11387422550996</v>
      </c>
      <c r="U86">
        <f t="shared" si="42"/>
        <v>28.694794291416493</v>
      </c>
      <c r="V86">
        <f t="shared" si="43"/>
        <v>28.694794291416493</v>
      </c>
      <c r="W86">
        <f t="shared" si="44"/>
        <v>3.9512892835426157</v>
      </c>
      <c r="X86">
        <f t="shared" si="45"/>
        <v>47.484740122744036</v>
      </c>
      <c r="Y86">
        <f t="shared" si="46"/>
        <v>1.6808195748635999</v>
      </c>
      <c r="Z86">
        <f t="shared" si="47"/>
        <v>3.539704693589611</v>
      </c>
      <c r="AA86">
        <f t="shared" si="48"/>
        <v>2.2704697086790158</v>
      </c>
      <c r="AB86">
        <f t="shared" si="49"/>
        <v>-44.650685984687399</v>
      </c>
      <c r="AC86">
        <f t="shared" si="50"/>
        <v>-209.59149892872256</v>
      </c>
      <c r="AD86">
        <f t="shared" si="51"/>
        <v>-22.078648421164804</v>
      </c>
      <c r="AE86">
        <f t="shared" si="52"/>
        <v>-0.20695910906482595</v>
      </c>
      <c r="AF86">
        <v>46</v>
      </c>
      <c r="AG86">
        <v>15</v>
      </c>
      <c r="AH86">
        <f t="shared" si="53"/>
        <v>1</v>
      </c>
      <c r="AI86">
        <f t="shared" si="54"/>
        <v>0</v>
      </c>
      <c r="AJ86">
        <f t="shared" si="55"/>
        <v>52424.347074425285</v>
      </c>
      <c r="AK86">
        <f t="shared" si="56"/>
        <v>1799.99</v>
      </c>
      <c r="AL86">
        <f t="shared" si="57"/>
        <v>1499.1029516040001</v>
      </c>
      <c r="AM86">
        <f t="shared" si="58"/>
        <v>0.83283960000000001</v>
      </c>
      <c r="AN86">
        <f t="shared" si="59"/>
        <v>0.15339744899999999</v>
      </c>
      <c r="AO86">
        <v>33.6</v>
      </c>
      <c r="AP86">
        <v>0.5</v>
      </c>
      <c r="AQ86" t="s">
        <v>331</v>
      </c>
      <c r="AR86">
        <v>2</v>
      </c>
      <c r="AS86">
        <v>1690215984.5999999</v>
      </c>
      <c r="AT86">
        <v>655.55200000000002</v>
      </c>
      <c r="AU86">
        <v>799.96500000000003</v>
      </c>
      <c r="AV86">
        <v>16.947900000000001</v>
      </c>
      <c r="AW86">
        <v>5.80877</v>
      </c>
      <c r="AX86">
        <v>655.84</v>
      </c>
      <c r="AY86">
        <v>16.830400000000001</v>
      </c>
      <c r="AZ86">
        <v>300.23</v>
      </c>
      <c r="BA86">
        <v>99.075599999999994</v>
      </c>
      <c r="BB86">
        <v>0.10008400000000001</v>
      </c>
      <c r="BC86">
        <v>26.811399999999999</v>
      </c>
      <c r="BD86">
        <v>26.9908</v>
      </c>
      <c r="BE86">
        <v>28.359000000000002</v>
      </c>
      <c r="BF86">
        <v>0</v>
      </c>
      <c r="BG86">
        <v>0</v>
      </c>
      <c r="BH86">
        <v>10000.6</v>
      </c>
      <c r="BI86">
        <v>1075.8699999999999</v>
      </c>
      <c r="BJ86">
        <v>1.90625</v>
      </c>
      <c r="BK86">
        <v>-144.41399999999999</v>
      </c>
      <c r="BL86">
        <v>666.85299999999995</v>
      </c>
      <c r="BM86">
        <v>804.63900000000001</v>
      </c>
      <c r="BN86">
        <v>11.139200000000001</v>
      </c>
      <c r="BO86">
        <v>799.96500000000003</v>
      </c>
      <c r="BP86">
        <v>5.80877</v>
      </c>
      <c r="BQ86">
        <v>1.67913</v>
      </c>
      <c r="BR86">
        <v>0.57550699999999999</v>
      </c>
      <c r="BS86">
        <v>14.704800000000001</v>
      </c>
      <c r="BT86">
        <v>-0.88031999999999999</v>
      </c>
      <c r="BU86">
        <v>1799.99</v>
      </c>
      <c r="BV86">
        <v>0.90999699999999994</v>
      </c>
      <c r="BW86">
        <v>3.4004100000000002E-2</v>
      </c>
      <c r="BX86">
        <v>2.1999999999999999E-2</v>
      </c>
      <c r="BY86">
        <v>3.3999000000000001E-2</v>
      </c>
      <c r="BZ86">
        <v>25.083300000000001</v>
      </c>
      <c r="CA86">
        <v>33528.199999999997</v>
      </c>
      <c r="CB86">
        <v>1690214843</v>
      </c>
      <c r="CC86" t="s">
        <v>332</v>
      </c>
      <c r="CD86">
        <v>1690214842</v>
      </c>
      <c r="CE86">
        <v>1690214843</v>
      </c>
      <c r="CF86">
        <v>8</v>
      </c>
      <c r="CG86">
        <v>-6.3E-2</v>
      </c>
      <c r="CH86">
        <v>1E-3</v>
      </c>
      <c r="CI86">
        <v>-0.38900000000000001</v>
      </c>
      <c r="CJ86">
        <v>-6.6000000000000003E-2</v>
      </c>
      <c r="CK86">
        <v>800</v>
      </c>
      <c r="CL86">
        <v>6</v>
      </c>
      <c r="CM86">
        <v>0.23</v>
      </c>
      <c r="CN86">
        <v>0.02</v>
      </c>
      <c r="CO86">
        <v>-141.75507500000001</v>
      </c>
      <c r="CP86">
        <v>-14.235816135084089</v>
      </c>
      <c r="CQ86">
        <v>1.3701886802097709</v>
      </c>
      <c r="CR86">
        <v>-1</v>
      </c>
      <c r="CS86">
        <v>11.000375</v>
      </c>
      <c r="CT86">
        <v>0.74517073170732184</v>
      </c>
      <c r="CU86">
        <v>7.1699228552335209E-2</v>
      </c>
      <c r="CV86">
        <v>-1</v>
      </c>
      <c r="CW86">
        <v>0</v>
      </c>
      <c r="CX86">
        <v>0</v>
      </c>
      <c r="CY86" t="s">
        <v>333</v>
      </c>
      <c r="CZ86">
        <v>2.3645800000000001</v>
      </c>
      <c r="DA86">
        <v>2.7138800000000001</v>
      </c>
      <c r="DB86">
        <v>0.128056</v>
      </c>
      <c r="DC86">
        <v>0.146038</v>
      </c>
      <c r="DD86">
        <v>8.8857000000000005E-2</v>
      </c>
      <c r="DE86">
        <v>3.8406799999999998E-2</v>
      </c>
      <c r="DF86">
        <v>31825.5</v>
      </c>
      <c r="DG86">
        <v>27503.599999999999</v>
      </c>
      <c r="DH86">
        <v>31160.3</v>
      </c>
      <c r="DI86">
        <v>28064.5</v>
      </c>
      <c r="DJ86">
        <v>38553</v>
      </c>
      <c r="DK86">
        <v>38373.699999999997</v>
      </c>
      <c r="DL86">
        <v>44342.9</v>
      </c>
      <c r="DM86">
        <v>42531.9</v>
      </c>
      <c r="DN86">
        <v>1.3558300000000001</v>
      </c>
      <c r="DO86">
        <v>2.0329299999999999</v>
      </c>
      <c r="DP86">
        <v>8.4456100000000006E-2</v>
      </c>
      <c r="DQ86">
        <v>0.183504</v>
      </c>
      <c r="DR86">
        <v>25.608000000000001</v>
      </c>
      <c r="DS86">
        <v>25.357299999999999</v>
      </c>
      <c r="DT86">
        <v>17.2</v>
      </c>
      <c r="DU86">
        <v>29.8</v>
      </c>
      <c r="DV86">
        <v>7.31229</v>
      </c>
      <c r="DW86">
        <v>61.518500000000003</v>
      </c>
      <c r="DX86">
        <v>36.253999999999998</v>
      </c>
      <c r="DY86">
        <v>1</v>
      </c>
      <c r="DZ86">
        <v>-8.3465399999999995E-2</v>
      </c>
      <c r="EA86">
        <v>-0.12648699999999999</v>
      </c>
      <c r="EB86">
        <v>20.189900000000002</v>
      </c>
      <c r="EC86">
        <v>5.2411000000000003</v>
      </c>
      <c r="ED86">
        <v>12.039899999999999</v>
      </c>
      <c r="EE86">
        <v>5.0172999999999996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1.86896</v>
      </c>
      <c r="EL86">
        <v>1.86466</v>
      </c>
      <c r="EM86">
        <v>1.8691899999999999</v>
      </c>
      <c r="EN86">
        <v>1.86724</v>
      </c>
      <c r="EO86">
        <v>1.8633999999999999</v>
      </c>
      <c r="EP86">
        <v>1.8645799999999999</v>
      </c>
      <c r="EQ86">
        <v>1.87016</v>
      </c>
      <c r="ER86">
        <v>1.8694599999999999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-0.28799999999999998</v>
      </c>
      <c r="FG86">
        <v>0.11749999999999999</v>
      </c>
      <c r="FH86">
        <v>0.16202357103534001</v>
      </c>
      <c r="FI86">
        <v>-6.1462078757559423E-4</v>
      </c>
      <c r="FJ86">
        <v>-1.8861989874597051E-7</v>
      </c>
      <c r="FK86">
        <v>1.1980462299894961E-10</v>
      </c>
      <c r="FL86">
        <v>-3.0039189969545878E-2</v>
      </c>
      <c r="FM86">
        <v>-1.6848085045870601E-2</v>
      </c>
      <c r="FN86">
        <v>1.9789084769509481E-3</v>
      </c>
      <c r="FO86">
        <v>-2.7142391389806329E-5</v>
      </c>
      <c r="FP86">
        <v>3</v>
      </c>
      <c r="FQ86">
        <v>2158</v>
      </c>
      <c r="FR86">
        <v>1</v>
      </c>
      <c r="FS86">
        <v>19</v>
      </c>
      <c r="FT86">
        <v>19</v>
      </c>
      <c r="FU86">
        <v>19</v>
      </c>
      <c r="FV86">
        <v>1.7785599999999999</v>
      </c>
      <c r="FW86">
        <v>2.5903299999999998</v>
      </c>
      <c r="FX86">
        <v>1.5490699999999999</v>
      </c>
      <c r="FY86">
        <v>2.3290999999999999</v>
      </c>
      <c r="FZ86">
        <v>1.50146</v>
      </c>
      <c r="GA86">
        <v>2.2729499999999998</v>
      </c>
      <c r="GB86">
        <v>33.850900000000003</v>
      </c>
      <c r="GC86">
        <v>23.982399999999998</v>
      </c>
      <c r="GD86">
        <v>19</v>
      </c>
      <c r="GE86">
        <v>235.27600000000001</v>
      </c>
      <c r="GF86">
        <v>581.64099999999996</v>
      </c>
      <c r="GG86">
        <v>25.009899999999998</v>
      </c>
      <c r="GH86">
        <v>26.3429</v>
      </c>
      <c r="GI86">
        <v>30</v>
      </c>
      <c r="GJ86">
        <v>26.479099999999999</v>
      </c>
      <c r="GK86">
        <v>26.456</v>
      </c>
      <c r="GL86">
        <v>35.568899999999999</v>
      </c>
      <c r="GM86">
        <v>-30</v>
      </c>
      <c r="GN86">
        <v>-30</v>
      </c>
      <c r="GO86">
        <v>25.023</v>
      </c>
      <c r="GP86">
        <v>800</v>
      </c>
      <c r="GQ86">
        <v>12.5298</v>
      </c>
      <c r="GR86">
        <v>99.6982</v>
      </c>
      <c r="GS86">
        <v>99.500799999999998</v>
      </c>
    </row>
    <row r="87" spans="1:201" x14ac:dyDescent="0.25">
      <c r="A87">
        <v>71</v>
      </c>
      <c r="B87">
        <v>1690215994.5999999</v>
      </c>
      <c r="C87">
        <v>1049.099999904633</v>
      </c>
      <c r="D87" t="s">
        <v>475</v>
      </c>
      <c r="E87" t="s">
        <v>476</v>
      </c>
      <c r="F87" t="s">
        <v>330</v>
      </c>
      <c r="H87">
        <v>1690215994.5999999</v>
      </c>
      <c r="I87">
        <f t="shared" si="30"/>
        <v>1.024012082226007E-3</v>
      </c>
      <c r="J87">
        <f t="shared" si="31"/>
        <v>1.024012082226007</v>
      </c>
      <c r="K87">
        <f t="shared" si="32"/>
        <v>12.448232935469921</v>
      </c>
      <c r="L87">
        <f t="shared" si="33"/>
        <v>653.15200000000004</v>
      </c>
      <c r="M87">
        <f t="shared" si="34"/>
        <v>182.3699885804273</v>
      </c>
      <c r="N87">
        <f t="shared" si="35"/>
        <v>18.086550912263423</v>
      </c>
      <c r="O87">
        <f t="shared" si="36"/>
        <v>64.776375726080019</v>
      </c>
      <c r="P87">
        <f t="shared" si="37"/>
        <v>4.4206540084053274E-2</v>
      </c>
      <c r="Q87">
        <f t="shared" si="38"/>
        <v>2.0612857946048377</v>
      </c>
      <c r="R87">
        <f t="shared" si="39"/>
        <v>4.3686528394131986E-2</v>
      </c>
      <c r="S87">
        <f t="shared" si="40"/>
        <v>2.7350291491130094E-2</v>
      </c>
      <c r="T87">
        <f t="shared" si="41"/>
        <v>276.11353076941816</v>
      </c>
      <c r="U87">
        <f t="shared" si="42"/>
        <v>28.696037232962802</v>
      </c>
      <c r="V87">
        <f t="shared" si="43"/>
        <v>28.696037232962802</v>
      </c>
      <c r="W87">
        <f t="shared" si="44"/>
        <v>3.9515741264024058</v>
      </c>
      <c r="X87">
        <f t="shared" si="45"/>
        <v>47.822294152822522</v>
      </c>
      <c r="Y87">
        <f t="shared" si="46"/>
        <v>1.6930666953600002</v>
      </c>
      <c r="Z87">
        <f t="shared" si="47"/>
        <v>3.5403293073928652</v>
      </c>
      <c r="AA87">
        <f t="shared" si="48"/>
        <v>2.2585074310424056</v>
      </c>
      <c r="AB87">
        <f t="shared" si="49"/>
        <v>-45.158932826166904</v>
      </c>
      <c r="AC87">
        <f t="shared" si="50"/>
        <v>-209.1026572362083</v>
      </c>
      <c r="AD87">
        <f t="shared" si="51"/>
        <v>-22.058517162341364</v>
      </c>
      <c r="AE87">
        <f t="shared" si="52"/>
        <v>-0.20657645529840352</v>
      </c>
      <c r="AF87">
        <v>46</v>
      </c>
      <c r="AG87">
        <v>15</v>
      </c>
      <c r="AH87">
        <f t="shared" si="53"/>
        <v>1</v>
      </c>
      <c r="AI87">
        <f t="shared" si="54"/>
        <v>0</v>
      </c>
      <c r="AJ87">
        <f t="shared" si="55"/>
        <v>52291.628161632172</v>
      </c>
      <c r="AK87">
        <f t="shared" si="56"/>
        <v>1799.99</v>
      </c>
      <c r="AL87">
        <f t="shared" si="57"/>
        <v>1499.1031208030599</v>
      </c>
      <c r="AM87">
        <f t="shared" si="58"/>
        <v>0.83283969399999991</v>
      </c>
      <c r="AN87">
        <f t="shared" si="59"/>
        <v>0.15339725819000002</v>
      </c>
      <c r="AO87">
        <v>33.6</v>
      </c>
      <c r="AP87">
        <v>0.5</v>
      </c>
      <c r="AQ87" t="s">
        <v>331</v>
      </c>
      <c r="AR87">
        <v>2</v>
      </c>
      <c r="AS87">
        <v>1690215994.5999999</v>
      </c>
      <c r="AT87">
        <v>653.15200000000004</v>
      </c>
      <c r="AU87">
        <v>799.95600000000002</v>
      </c>
      <c r="AV87">
        <v>17.0715</v>
      </c>
      <c r="AW87">
        <v>5.8065800000000003</v>
      </c>
      <c r="AX87">
        <v>653.43899999999996</v>
      </c>
      <c r="AY87">
        <v>16.950700000000001</v>
      </c>
      <c r="AZ87">
        <v>300.21899999999999</v>
      </c>
      <c r="BA87">
        <v>99.075000000000003</v>
      </c>
      <c r="BB87">
        <v>0.10004</v>
      </c>
      <c r="BC87">
        <v>26.814399999999999</v>
      </c>
      <c r="BD87">
        <v>26.9849</v>
      </c>
      <c r="BE87">
        <v>28.357900000000001</v>
      </c>
      <c r="BF87">
        <v>0</v>
      </c>
      <c r="BG87">
        <v>0</v>
      </c>
      <c r="BH87">
        <v>9974.3799999999992</v>
      </c>
      <c r="BI87">
        <v>1075.8800000000001</v>
      </c>
      <c r="BJ87">
        <v>1.90625</v>
      </c>
      <c r="BK87">
        <v>-146.804</v>
      </c>
      <c r="BL87">
        <v>664.49599999999998</v>
      </c>
      <c r="BM87">
        <v>804.62900000000002</v>
      </c>
      <c r="BN87">
        <v>11.264900000000001</v>
      </c>
      <c r="BO87">
        <v>799.95600000000002</v>
      </c>
      <c r="BP87">
        <v>5.8065800000000003</v>
      </c>
      <c r="BQ87">
        <v>1.69136</v>
      </c>
      <c r="BR87">
        <v>0.57528699999999999</v>
      </c>
      <c r="BS87">
        <v>14.817399999999999</v>
      </c>
      <c r="BT87">
        <v>-0.88555499999999998</v>
      </c>
      <c r="BU87">
        <v>1799.99</v>
      </c>
      <c r="BV87">
        <v>0.91000199999999998</v>
      </c>
      <c r="BW87">
        <v>3.40021E-2</v>
      </c>
      <c r="BX87">
        <v>2.19987E-2</v>
      </c>
      <c r="BY87">
        <v>3.3996899999999997E-2</v>
      </c>
      <c r="BZ87">
        <v>25.125</v>
      </c>
      <c r="CA87">
        <v>33528.300000000003</v>
      </c>
      <c r="CB87">
        <v>1690214843</v>
      </c>
      <c r="CC87" t="s">
        <v>332</v>
      </c>
      <c r="CD87">
        <v>1690214842</v>
      </c>
      <c r="CE87">
        <v>1690214843</v>
      </c>
      <c r="CF87">
        <v>8</v>
      </c>
      <c r="CG87">
        <v>-6.3E-2</v>
      </c>
      <c r="CH87">
        <v>1E-3</v>
      </c>
      <c r="CI87">
        <v>-0.38900000000000001</v>
      </c>
      <c r="CJ87">
        <v>-6.6000000000000003E-2</v>
      </c>
      <c r="CK87">
        <v>800</v>
      </c>
      <c r="CL87">
        <v>6</v>
      </c>
      <c r="CM87">
        <v>0.23</v>
      </c>
      <c r="CN87">
        <v>0.02</v>
      </c>
      <c r="CO87">
        <v>-144.3792</v>
      </c>
      <c r="CP87">
        <v>-14.45293058161297</v>
      </c>
      <c r="CQ87">
        <v>1.3907861661664609</v>
      </c>
      <c r="CR87">
        <v>-1</v>
      </c>
      <c r="CS87">
        <v>11.13668</v>
      </c>
      <c r="CT87">
        <v>0.74930656660408779</v>
      </c>
      <c r="CU87">
        <v>7.2086244180148626E-2</v>
      </c>
      <c r="CV87">
        <v>-1</v>
      </c>
      <c r="CW87">
        <v>0</v>
      </c>
      <c r="CX87">
        <v>0</v>
      </c>
      <c r="CY87" t="s">
        <v>333</v>
      </c>
      <c r="CZ87">
        <v>2.3645499999999999</v>
      </c>
      <c r="DA87">
        <v>2.7138100000000001</v>
      </c>
      <c r="DB87">
        <v>0.12773300000000001</v>
      </c>
      <c r="DC87">
        <v>0.146036</v>
      </c>
      <c r="DD87">
        <v>8.9319599999999999E-2</v>
      </c>
      <c r="DE87">
        <v>3.8394900000000003E-2</v>
      </c>
      <c r="DF87">
        <v>31837.8</v>
      </c>
      <c r="DG87">
        <v>27503.7</v>
      </c>
      <c r="DH87">
        <v>31160.7</v>
      </c>
      <c r="DI87">
        <v>28064.6</v>
      </c>
      <c r="DJ87">
        <v>38533.4</v>
      </c>
      <c r="DK87">
        <v>38374.199999999997</v>
      </c>
      <c r="DL87">
        <v>44343.199999999997</v>
      </c>
      <c r="DM87">
        <v>42531.9</v>
      </c>
      <c r="DN87">
        <v>1.35615</v>
      </c>
      <c r="DO87">
        <v>2.0331000000000001</v>
      </c>
      <c r="DP87">
        <v>8.3964300000000006E-2</v>
      </c>
      <c r="DQ87">
        <v>0.18334400000000001</v>
      </c>
      <c r="DR87">
        <v>25.610199999999999</v>
      </c>
      <c r="DS87">
        <v>25.358799999999999</v>
      </c>
      <c r="DT87">
        <v>17.2</v>
      </c>
      <c r="DU87">
        <v>29.8</v>
      </c>
      <c r="DV87">
        <v>7.3120000000000003</v>
      </c>
      <c r="DW87">
        <v>62.078499999999998</v>
      </c>
      <c r="DX87">
        <v>36.234000000000002</v>
      </c>
      <c r="DY87">
        <v>1</v>
      </c>
      <c r="DZ87">
        <v>-8.3455299999999996E-2</v>
      </c>
      <c r="EA87">
        <v>-0.10662000000000001</v>
      </c>
      <c r="EB87">
        <v>20.190000000000001</v>
      </c>
      <c r="EC87">
        <v>5.2409499999999998</v>
      </c>
      <c r="ED87">
        <v>12.039899999999999</v>
      </c>
      <c r="EE87">
        <v>5.0170500000000002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1.8689499999999999</v>
      </c>
      <c r="EL87">
        <v>1.86467</v>
      </c>
      <c r="EM87">
        <v>1.8692</v>
      </c>
      <c r="EN87">
        <v>1.8672599999999999</v>
      </c>
      <c r="EO87">
        <v>1.86341</v>
      </c>
      <c r="EP87">
        <v>1.86459</v>
      </c>
      <c r="EQ87">
        <v>1.8701700000000001</v>
      </c>
      <c r="ER87">
        <v>1.86947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-0.28699999999999998</v>
      </c>
      <c r="FG87">
        <v>0.1208</v>
      </c>
      <c r="FH87">
        <v>0.16202357103534001</v>
      </c>
      <c r="FI87">
        <v>-6.1462078757559423E-4</v>
      </c>
      <c r="FJ87">
        <v>-1.8861989874597051E-7</v>
      </c>
      <c r="FK87">
        <v>1.1980462299894961E-10</v>
      </c>
      <c r="FL87">
        <v>-3.0039189969545878E-2</v>
      </c>
      <c r="FM87">
        <v>-1.6848085045870601E-2</v>
      </c>
      <c r="FN87">
        <v>1.9789084769509481E-3</v>
      </c>
      <c r="FO87">
        <v>-2.7142391389806329E-5</v>
      </c>
      <c r="FP87">
        <v>3</v>
      </c>
      <c r="FQ87">
        <v>2158</v>
      </c>
      <c r="FR87">
        <v>1</v>
      </c>
      <c r="FS87">
        <v>19</v>
      </c>
      <c r="FT87">
        <v>19.2</v>
      </c>
      <c r="FU87">
        <v>19.2</v>
      </c>
      <c r="FV87">
        <v>1.7785599999999999</v>
      </c>
      <c r="FW87">
        <v>2.5854499999999998</v>
      </c>
      <c r="FX87">
        <v>1.5490699999999999</v>
      </c>
      <c r="FY87">
        <v>2.3290999999999999</v>
      </c>
      <c r="FZ87">
        <v>1.50146</v>
      </c>
      <c r="GA87">
        <v>2.2692899999999998</v>
      </c>
      <c r="GB87">
        <v>33.850900000000003</v>
      </c>
      <c r="GC87">
        <v>23.982399999999998</v>
      </c>
      <c r="GD87">
        <v>19</v>
      </c>
      <c r="GE87">
        <v>235.38900000000001</v>
      </c>
      <c r="GF87">
        <v>581.76700000000005</v>
      </c>
      <c r="GG87">
        <v>25.034300000000002</v>
      </c>
      <c r="GH87">
        <v>26.339700000000001</v>
      </c>
      <c r="GI87">
        <v>30</v>
      </c>
      <c r="GJ87">
        <v>26.476900000000001</v>
      </c>
      <c r="GK87">
        <v>26.4543</v>
      </c>
      <c r="GL87">
        <v>35.570099999999996</v>
      </c>
      <c r="GM87">
        <v>-30</v>
      </c>
      <c r="GN87">
        <v>-30</v>
      </c>
      <c r="GO87">
        <v>25.040299999999998</v>
      </c>
      <c r="GP87">
        <v>800</v>
      </c>
      <c r="GQ87">
        <v>12.5298</v>
      </c>
      <c r="GR87">
        <v>99.699100000000001</v>
      </c>
      <c r="GS87">
        <v>99.500900000000001</v>
      </c>
    </row>
    <row r="88" spans="1:201" x14ac:dyDescent="0.25">
      <c r="A88">
        <v>72</v>
      </c>
      <c r="B88">
        <v>1690216004.5999999</v>
      </c>
      <c r="C88">
        <v>1059.099999904633</v>
      </c>
      <c r="D88" t="s">
        <v>477</v>
      </c>
      <c r="E88" t="s">
        <v>478</v>
      </c>
      <c r="F88" t="s">
        <v>330</v>
      </c>
      <c r="H88">
        <v>1690216004.5999999</v>
      </c>
      <c r="I88">
        <f t="shared" si="30"/>
        <v>1.0356903450542429E-3</v>
      </c>
      <c r="J88">
        <f t="shared" si="31"/>
        <v>1.035690345054243</v>
      </c>
      <c r="K88">
        <f t="shared" si="32"/>
        <v>12.666144857542408</v>
      </c>
      <c r="L88">
        <f t="shared" si="33"/>
        <v>650.68299999999999</v>
      </c>
      <c r="M88">
        <f t="shared" si="34"/>
        <v>180.11849659308442</v>
      </c>
      <c r="N88">
        <f t="shared" si="35"/>
        <v>17.863285905991301</v>
      </c>
      <c r="O88">
        <f t="shared" si="36"/>
        <v>64.531609373950403</v>
      </c>
      <c r="P88">
        <f t="shared" si="37"/>
        <v>4.4991230562227896E-2</v>
      </c>
      <c r="Q88">
        <f t="shared" si="38"/>
        <v>2.0641727340102745</v>
      </c>
      <c r="R88">
        <f t="shared" si="39"/>
        <v>4.4453458776861923E-2</v>
      </c>
      <c r="S88">
        <f t="shared" si="40"/>
        <v>2.7831192763293704E-2</v>
      </c>
      <c r="T88">
        <f t="shared" si="41"/>
        <v>276.1132627509071</v>
      </c>
      <c r="U88">
        <f t="shared" si="42"/>
        <v>28.690659362309788</v>
      </c>
      <c r="V88">
        <f t="shared" si="43"/>
        <v>28.690659362309788</v>
      </c>
      <c r="W88">
        <f t="shared" si="44"/>
        <v>3.9503418175429892</v>
      </c>
      <c r="X88">
        <f t="shared" si="45"/>
        <v>48.173330134427047</v>
      </c>
      <c r="Y88">
        <f t="shared" si="46"/>
        <v>1.7056148969824001</v>
      </c>
      <c r="Z88">
        <f t="shared" si="47"/>
        <v>3.5405791798551274</v>
      </c>
      <c r="AA88">
        <f t="shared" si="48"/>
        <v>2.2447269205605891</v>
      </c>
      <c r="AB88">
        <f t="shared" si="49"/>
        <v>-45.67394421689211</v>
      </c>
      <c r="AC88">
        <f t="shared" si="50"/>
        <v>-208.66350687374094</v>
      </c>
      <c r="AD88">
        <f t="shared" si="51"/>
        <v>-21.980944972068116</v>
      </c>
      <c r="AE88">
        <f t="shared" si="52"/>
        <v>-0.20513331179407146</v>
      </c>
      <c r="AF88">
        <v>46</v>
      </c>
      <c r="AG88">
        <v>15</v>
      </c>
      <c r="AH88">
        <f t="shared" si="53"/>
        <v>1</v>
      </c>
      <c r="AI88">
        <f t="shared" si="54"/>
        <v>0</v>
      </c>
      <c r="AJ88">
        <f t="shared" si="55"/>
        <v>52423.401031207672</v>
      </c>
      <c r="AK88">
        <f t="shared" si="56"/>
        <v>1799.99</v>
      </c>
      <c r="AL88">
        <f t="shared" si="57"/>
        <v>1499.1039757983101</v>
      </c>
      <c r="AM88">
        <f t="shared" si="58"/>
        <v>0.83284016900000002</v>
      </c>
      <c r="AN88">
        <f t="shared" si="59"/>
        <v>0.15339710929</v>
      </c>
      <c r="AO88">
        <v>33.6</v>
      </c>
      <c r="AP88">
        <v>0.5</v>
      </c>
      <c r="AQ88" t="s">
        <v>331</v>
      </c>
      <c r="AR88">
        <v>2</v>
      </c>
      <c r="AS88">
        <v>1690216004.5999999</v>
      </c>
      <c r="AT88">
        <v>650.68299999999999</v>
      </c>
      <c r="AU88">
        <v>799.99800000000005</v>
      </c>
      <c r="AV88">
        <v>17.198</v>
      </c>
      <c r="AW88">
        <v>5.8048999999999999</v>
      </c>
      <c r="AX88">
        <v>650.96799999999996</v>
      </c>
      <c r="AY88">
        <v>17.074000000000002</v>
      </c>
      <c r="AZ88">
        <v>300.18799999999999</v>
      </c>
      <c r="BA88">
        <v>99.075199999999995</v>
      </c>
      <c r="BB88">
        <v>9.9988800000000003E-2</v>
      </c>
      <c r="BC88">
        <v>26.8156</v>
      </c>
      <c r="BD88">
        <v>26.980899999999998</v>
      </c>
      <c r="BE88">
        <v>28.338000000000001</v>
      </c>
      <c r="BF88">
        <v>0</v>
      </c>
      <c r="BG88">
        <v>0</v>
      </c>
      <c r="BH88">
        <v>10000.6</v>
      </c>
      <c r="BI88">
        <v>1075.81</v>
      </c>
      <c r="BJ88">
        <v>1.90625</v>
      </c>
      <c r="BK88">
        <v>-149.31399999999999</v>
      </c>
      <c r="BL88">
        <v>662.07</v>
      </c>
      <c r="BM88">
        <v>804.66899999999998</v>
      </c>
      <c r="BN88">
        <v>11.3931</v>
      </c>
      <c r="BO88">
        <v>799.99800000000005</v>
      </c>
      <c r="BP88">
        <v>5.8048999999999999</v>
      </c>
      <c r="BQ88">
        <v>1.7039</v>
      </c>
      <c r="BR88">
        <v>0.57512200000000002</v>
      </c>
      <c r="BS88">
        <v>14.932</v>
      </c>
      <c r="BT88">
        <v>-0.88946099999999995</v>
      </c>
      <c r="BU88">
        <v>1799.99</v>
      </c>
      <c r="BV88">
        <v>0.91000800000000004</v>
      </c>
      <c r="BW88">
        <v>3.3999799999999997E-2</v>
      </c>
      <c r="BX88">
        <v>2.1997200000000001E-2</v>
      </c>
      <c r="BY88">
        <v>3.3994700000000003E-2</v>
      </c>
      <c r="BZ88">
        <v>25.5</v>
      </c>
      <c r="CA88">
        <v>33528.199999999997</v>
      </c>
      <c r="CB88">
        <v>1690214843</v>
      </c>
      <c r="CC88" t="s">
        <v>332</v>
      </c>
      <c r="CD88">
        <v>1690214842</v>
      </c>
      <c r="CE88">
        <v>1690214843</v>
      </c>
      <c r="CF88">
        <v>8</v>
      </c>
      <c r="CG88">
        <v>-6.3E-2</v>
      </c>
      <c r="CH88">
        <v>1E-3</v>
      </c>
      <c r="CI88">
        <v>-0.38900000000000001</v>
      </c>
      <c r="CJ88">
        <v>-6.6000000000000003E-2</v>
      </c>
      <c r="CK88">
        <v>800</v>
      </c>
      <c r="CL88">
        <v>6</v>
      </c>
      <c r="CM88">
        <v>0.23</v>
      </c>
      <c r="CN88">
        <v>0.02</v>
      </c>
      <c r="CO88">
        <v>-146.60846341463409</v>
      </c>
      <c r="CP88">
        <v>-14.55802787456452</v>
      </c>
      <c r="CQ88">
        <v>1.435803303628423</v>
      </c>
      <c r="CR88">
        <v>-1</v>
      </c>
      <c r="CS88">
        <v>11.25228292682927</v>
      </c>
      <c r="CT88">
        <v>0.75322578397213502</v>
      </c>
      <c r="CU88">
        <v>7.4277649536734616E-2</v>
      </c>
      <c r="CV88">
        <v>-1</v>
      </c>
      <c r="CW88">
        <v>0</v>
      </c>
      <c r="CX88">
        <v>0</v>
      </c>
      <c r="CY88" t="s">
        <v>333</v>
      </c>
      <c r="CZ88">
        <v>2.3644400000000001</v>
      </c>
      <c r="DA88">
        <v>2.7137799999999999</v>
      </c>
      <c r="DB88">
        <v>0.12740099999999999</v>
      </c>
      <c r="DC88">
        <v>0.14604200000000001</v>
      </c>
      <c r="DD88">
        <v>8.97926E-2</v>
      </c>
      <c r="DE88">
        <v>3.8386000000000003E-2</v>
      </c>
      <c r="DF88">
        <v>31849.5</v>
      </c>
      <c r="DG88">
        <v>27503.9</v>
      </c>
      <c r="DH88">
        <v>31160.3</v>
      </c>
      <c r="DI88">
        <v>28065</v>
      </c>
      <c r="DJ88">
        <v>38512.9</v>
      </c>
      <c r="DK88">
        <v>38375</v>
      </c>
      <c r="DL88">
        <v>44342.8</v>
      </c>
      <c r="DM88">
        <v>42532.4</v>
      </c>
      <c r="DN88">
        <v>1.3562000000000001</v>
      </c>
      <c r="DO88">
        <v>2.0330300000000001</v>
      </c>
      <c r="DP88">
        <v>8.3591799999999994E-2</v>
      </c>
      <c r="DQ88">
        <v>0.18201800000000001</v>
      </c>
      <c r="DR88">
        <v>25.612300000000001</v>
      </c>
      <c r="DS88">
        <v>25.360499999999998</v>
      </c>
      <c r="DT88">
        <v>17.2</v>
      </c>
      <c r="DU88">
        <v>29.8</v>
      </c>
      <c r="DV88">
        <v>7.3121400000000003</v>
      </c>
      <c r="DW88">
        <v>61.768500000000003</v>
      </c>
      <c r="DX88">
        <v>36.246000000000002</v>
      </c>
      <c r="DY88">
        <v>1</v>
      </c>
      <c r="DZ88">
        <v>-8.3874500000000005E-2</v>
      </c>
      <c r="EA88">
        <v>-0.10760599999999999</v>
      </c>
      <c r="EB88">
        <v>20.189900000000002</v>
      </c>
      <c r="EC88">
        <v>5.2406499999999996</v>
      </c>
      <c r="ED88">
        <v>12.039899999999999</v>
      </c>
      <c r="EE88">
        <v>5.0170000000000003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1.86894</v>
      </c>
      <c r="EL88">
        <v>1.8646400000000001</v>
      </c>
      <c r="EM88">
        <v>1.8692</v>
      </c>
      <c r="EN88">
        <v>1.86727</v>
      </c>
      <c r="EO88">
        <v>1.8633999999999999</v>
      </c>
      <c r="EP88">
        <v>1.8645799999999999</v>
      </c>
      <c r="EQ88">
        <v>1.8701700000000001</v>
      </c>
      <c r="ER88">
        <v>1.8694500000000001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-0.28499999999999998</v>
      </c>
      <c r="FG88">
        <v>0.124</v>
      </c>
      <c r="FH88">
        <v>0.16202357103534001</v>
      </c>
      <c r="FI88">
        <v>-6.1462078757559423E-4</v>
      </c>
      <c r="FJ88">
        <v>-1.8861989874597051E-7</v>
      </c>
      <c r="FK88">
        <v>1.1980462299894961E-10</v>
      </c>
      <c r="FL88">
        <v>-3.0039189969545878E-2</v>
      </c>
      <c r="FM88">
        <v>-1.6848085045870601E-2</v>
      </c>
      <c r="FN88">
        <v>1.9789084769509481E-3</v>
      </c>
      <c r="FO88">
        <v>-2.7142391389806329E-5</v>
      </c>
      <c r="FP88">
        <v>3</v>
      </c>
      <c r="FQ88">
        <v>2158</v>
      </c>
      <c r="FR88">
        <v>1</v>
      </c>
      <c r="FS88">
        <v>19</v>
      </c>
      <c r="FT88">
        <v>19.399999999999999</v>
      </c>
      <c r="FU88">
        <v>19.399999999999999</v>
      </c>
      <c r="FV88">
        <v>1.7785599999999999</v>
      </c>
      <c r="FW88">
        <v>2.5854499999999998</v>
      </c>
      <c r="FX88">
        <v>1.5490699999999999</v>
      </c>
      <c r="FY88">
        <v>2.3290999999999999</v>
      </c>
      <c r="FZ88">
        <v>1.50146</v>
      </c>
      <c r="GA88">
        <v>2.2753899999999998</v>
      </c>
      <c r="GB88">
        <v>33.850900000000003</v>
      </c>
      <c r="GC88">
        <v>23.982399999999998</v>
      </c>
      <c r="GD88">
        <v>19</v>
      </c>
      <c r="GE88">
        <v>235.40100000000001</v>
      </c>
      <c r="GF88">
        <v>581.69899999999996</v>
      </c>
      <c r="GG88">
        <v>25.049800000000001</v>
      </c>
      <c r="GH88">
        <v>26.337499999999999</v>
      </c>
      <c r="GI88">
        <v>30.0001</v>
      </c>
      <c r="GJ88">
        <v>26.474699999999999</v>
      </c>
      <c r="GK88">
        <v>26.453700000000001</v>
      </c>
      <c r="GL88">
        <v>35.567999999999998</v>
      </c>
      <c r="GM88">
        <v>-30</v>
      </c>
      <c r="GN88">
        <v>-30</v>
      </c>
      <c r="GO88">
        <v>25.0532</v>
      </c>
      <c r="GP88">
        <v>800</v>
      </c>
      <c r="GQ88">
        <v>12.5298</v>
      </c>
      <c r="GR88">
        <v>99.697999999999993</v>
      </c>
      <c r="GS88">
        <v>99.502200000000002</v>
      </c>
    </row>
    <row r="89" spans="1:201" x14ac:dyDescent="0.25">
      <c r="A89">
        <v>73</v>
      </c>
      <c r="B89">
        <v>1690216014.5999999</v>
      </c>
      <c r="C89">
        <v>1069.099999904633</v>
      </c>
      <c r="D89" t="s">
        <v>479</v>
      </c>
      <c r="E89" t="s">
        <v>480</v>
      </c>
      <c r="F89" t="s">
        <v>330</v>
      </c>
      <c r="H89">
        <v>1690216014.5999999</v>
      </c>
      <c r="I89">
        <f t="shared" si="30"/>
        <v>1.0476948271771118E-3</v>
      </c>
      <c r="J89">
        <f t="shared" si="31"/>
        <v>1.0476948271771118</v>
      </c>
      <c r="K89">
        <f t="shared" si="32"/>
        <v>12.884242748023075</v>
      </c>
      <c r="L89">
        <f t="shared" si="33"/>
        <v>648.23299999999995</v>
      </c>
      <c r="M89">
        <f t="shared" si="34"/>
        <v>177.5848632808036</v>
      </c>
      <c r="N89">
        <f t="shared" si="35"/>
        <v>17.61183071009772</v>
      </c>
      <c r="O89">
        <f t="shared" si="36"/>
        <v>64.287967148677993</v>
      </c>
      <c r="P89">
        <f t="shared" si="37"/>
        <v>4.5748902701662153E-2</v>
      </c>
      <c r="Q89">
        <f t="shared" si="38"/>
        <v>2.0620323610858233</v>
      </c>
      <c r="R89">
        <f t="shared" si="39"/>
        <v>4.5192417008117859E-2</v>
      </c>
      <c r="S89">
        <f t="shared" si="40"/>
        <v>2.8294694615445183E-2</v>
      </c>
      <c r="T89">
        <f t="shared" si="41"/>
        <v>276.11314373556837</v>
      </c>
      <c r="U89">
        <f t="shared" si="42"/>
        <v>28.696294366204764</v>
      </c>
      <c r="V89">
        <f t="shared" si="43"/>
        <v>28.696294366204764</v>
      </c>
      <c r="W89">
        <f t="shared" si="44"/>
        <v>3.9516330554379837</v>
      </c>
      <c r="X89">
        <f t="shared" si="45"/>
        <v>48.505451909468626</v>
      </c>
      <c r="Y89">
        <f t="shared" si="46"/>
        <v>1.7182023433666</v>
      </c>
      <c r="Z89">
        <f t="shared" si="47"/>
        <v>3.5422870537800186</v>
      </c>
      <c r="AA89">
        <f t="shared" si="48"/>
        <v>2.2334307120713834</v>
      </c>
      <c r="AB89">
        <f t="shared" si="49"/>
        <v>-46.203341878510628</v>
      </c>
      <c r="AC89">
        <f t="shared" si="50"/>
        <v>-208.1619941993585</v>
      </c>
      <c r="AD89">
        <f t="shared" si="51"/>
        <v>-21.952390128671578</v>
      </c>
      <c r="AE89">
        <f t="shared" si="52"/>
        <v>-0.20458247097232629</v>
      </c>
      <c r="AF89">
        <v>46</v>
      </c>
      <c r="AG89">
        <v>15</v>
      </c>
      <c r="AH89">
        <f t="shared" si="53"/>
        <v>1</v>
      </c>
      <c r="AI89">
        <f t="shared" si="54"/>
        <v>0</v>
      </c>
      <c r="AJ89">
        <f t="shared" si="55"/>
        <v>52324.075637759081</v>
      </c>
      <c r="AK89">
        <f t="shared" si="56"/>
        <v>1799.99</v>
      </c>
      <c r="AL89">
        <f t="shared" si="57"/>
        <v>1499.1051151919801</v>
      </c>
      <c r="AM89">
        <f t="shared" si="58"/>
        <v>0.83284080199999999</v>
      </c>
      <c r="AN89">
        <f t="shared" si="59"/>
        <v>0.15339704317000002</v>
      </c>
      <c r="AO89">
        <v>33.6</v>
      </c>
      <c r="AP89">
        <v>0.5</v>
      </c>
      <c r="AQ89" t="s">
        <v>331</v>
      </c>
      <c r="AR89">
        <v>2</v>
      </c>
      <c r="AS89">
        <v>1690216014.5999999</v>
      </c>
      <c r="AT89">
        <v>648.23299999999995</v>
      </c>
      <c r="AU89">
        <v>800.01499999999999</v>
      </c>
      <c r="AV89">
        <v>17.325099999999999</v>
      </c>
      <c r="AW89">
        <v>5.8039300000000003</v>
      </c>
      <c r="AX89">
        <v>648.51599999999996</v>
      </c>
      <c r="AY89">
        <v>17.197700000000001</v>
      </c>
      <c r="AZ89">
        <v>300.25299999999999</v>
      </c>
      <c r="BA89">
        <v>99.074100000000001</v>
      </c>
      <c r="BB89">
        <v>0.100066</v>
      </c>
      <c r="BC89">
        <v>26.823799999999999</v>
      </c>
      <c r="BD89">
        <v>27.005199999999999</v>
      </c>
      <c r="BE89">
        <v>28.341699999999999</v>
      </c>
      <c r="BF89">
        <v>0</v>
      </c>
      <c r="BG89">
        <v>0</v>
      </c>
      <c r="BH89">
        <v>9981.25</v>
      </c>
      <c r="BI89">
        <v>1075.81</v>
      </c>
      <c r="BJ89">
        <v>1.90625</v>
      </c>
      <c r="BK89">
        <v>-151.78299999999999</v>
      </c>
      <c r="BL89">
        <v>659.66099999999994</v>
      </c>
      <c r="BM89">
        <v>804.68600000000004</v>
      </c>
      <c r="BN89">
        <v>11.5212</v>
      </c>
      <c r="BO89">
        <v>800.01499999999999</v>
      </c>
      <c r="BP89">
        <v>5.8039300000000003</v>
      </c>
      <c r="BQ89">
        <v>1.7164699999999999</v>
      </c>
      <c r="BR89">
        <v>0.57501899999999995</v>
      </c>
      <c r="BS89">
        <v>15.046200000000001</v>
      </c>
      <c r="BT89">
        <v>-0.89190999999999998</v>
      </c>
      <c r="BU89">
        <v>1799.99</v>
      </c>
      <c r="BV89">
        <v>0.91001299999999996</v>
      </c>
      <c r="BW89">
        <v>3.3998E-2</v>
      </c>
      <c r="BX89">
        <v>2.1996100000000001E-2</v>
      </c>
      <c r="BY89">
        <v>3.39929E-2</v>
      </c>
      <c r="BZ89">
        <v>25.666699999999999</v>
      </c>
      <c r="CA89">
        <v>33528.300000000003</v>
      </c>
      <c r="CB89">
        <v>1690214843</v>
      </c>
      <c r="CC89" t="s">
        <v>332</v>
      </c>
      <c r="CD89">
        <v>1690214842</v>
      </c>
      <c r="CE89">
        <v>1690214843</v>
      </c>
      <c r="CF89">
        <v>8</v>
      </c>
      <c r="CG89">
        <v>-6.3E-2</v>
      </c>
      <c r="CH89">
        <v>1E-3</v>
      </c>
      <c r="CI89">
        <v>-0.38900000000000001</v>
      </c>
      <c r="CJ89">
        <v>-6.6000000000000003E-2</v>
      </c>
      <c r="CK89">
        <v>800</v>
      </c>
      <c r="CL89">
        <v>6</v>
      </c>
      <c r="CM89">
        <v>0.23</v>
      </c>
      <c r="CN89">
        <v>0.02</v>
      </c>
      <c r="CO89">
        <v>-149.05568292682929</v>
      </c>
      <c r="CP89">
        <v>-14.87619512195111</v>
      </c>
      <c r="CQ89">
        <v>1.467100249937624</v>
      </c>
      <c r="CR89">
        <v>-1</v>
      </c>
      <c r="CS89">
        <v>11.3791243902439</v>
      </c>
      <c r="CT89">
        <v>0.76617491289201034</v>
      </c>
      <c r="CU89">
        <v>7.5553075450269042E-2</v>
      </c>
      <c r="CV89">
        <v>-1</v>
      </c>
      <c r="CW89">
        <v>0</v>
      </c>
      <c r="CX89">
        <v>0</v>
      </c>
      <c r="CY89" t="s">
        <v>333</v>
      </c>
      <c r="CZ89">
        <v>2.3646600000000002</v>
      </c>
      <c r="DA89">
        <v>2.7138399999999998</v>
      </c>
      <c r="DB89">
        <v>0.12706999999999999</v>
      </c>
      <c r="DC89">
        <v>0.14604300000000001</v>
      </c>
      <c r="DD89">
        <v>9.0264999999999998E-2</v>
      </c>
      <c r="DE89">
        <v>3.8380499999999998E-2</v>
      </c>
      <c r="DF89">
        <v>31861.599999999999</v>
      </c>
      <c r="DG89">
        <v>27504.3</v>
      </c>
      <c r="DH89">
        <v>31160.3</v>
      </c>
      <c r="DI89">
        <v>28065.4</v>
      </c>
      <c r="DJ89">
        <v>38492.5</v>
      </c>
      <c r="DK89">
        <v>38376</v>
      </c>
      <c r="DL89">
        <v>44342.6</v>
      </c>
      <c r="DM89">
        <v>42533.2</v>
      </c>
      <c r="DN89">
        <v>1.3567199999999999</v>
      </c>
      <c r="DO89">
        <v>2.03288</v>
      </c>
      <c r="DP89">
        <v>8.4973900000000005E-2</v>
      </c>
      <c r="DQ89">
        <v>0.18205099999999999</v>
      </c>
      <c r="DR89">
        <v>25.614000000000001</v>
      </c>
      <c r="DS89">
        <v>25.363700000000001</v>
      </c>
      <c r="DT89">
        <v>17.2</v>
      </c>
      <c r="DU89">
        <v>29.8</v>
      </c>
      <c r="DV89">
        <v>7.3120000000000003</v>
      </c>
      <c r="DW89">
        <v>61.848500000000001</v>
      </c>
      <c r="DX89">
        <v>36.270000000000003</v>
      </c>
      <c r="DY89">
        <v>1</v>
      </c>
      <c r="DZ89">
        <v>-8.3999000000000004E-2</v>
      </c>
      <c r="EA89">
        <v>-8.2211300000000001E-2</v>
      </c>
      <c r="EB89">
        <v>20.189800000000002</v>
      </c>
      <c r="EC89">
        <v>5.2411000000000003</v>
      </c>
      <c r="ED89">
        <v>12.039899999999999</v>
      </c>
      <c r="EE89">
        <v>5.0168999999999997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1.86894</v>
      </c>
      <c r="EL89">
        <v>1.86466</v>
      </c>
      <c r="EM89">
        <v>1.8692</v>
      </c>
      <c r="EN89">
        <v>1.86724</v>
      </c>
      <c r="EO89">
        <v>1.8633999999999999</v>
      </c>
      <c r="EP89">
        <v>1.8645499999999999</v>
      </c>
      <c r="EQ89">
        <v>1.87018</v>
      </c>
      <c r="ER89">
        <v>1.8694500000000001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-0.28299999999999997</v>
      </c>
      <c r="FG89">
        <v>0.12740000000000001</v>
      </c>
      <c r="FH89">
        <v>0.16202357103534001</v>
      </c>
      <c r="FI89">
        <v>-6.1462078757559423E-4</v>
      </c>
      <c r="FJ89">
        <v>-1.8861989874597051E-7</v>
      </c>
      <c r="FK89">
        <v>1.1980462299894961E-10</v>
      </c>
      <c r="FL89">
        <v>-3.0039189969545878E-2</v>
      </c>
      <c r="FM89">
        <v>-1.6848085045870601E-2</v>
      </c>
      <c r="FN89">
        <v>1.9789084769509481E-3</v>
      </c>
      <c r="FO89">
        <v>-2.7142391389806329E-5</v>
      </c>
      <c r="FP89">
        <v>3</v>
      </c>
      <c r="FQ89">
        <v>2158</v>
      </c>
      <c r="FR89">
        <v>1</v>
      </c>
      <c r="FS89">
        <v>19</v>
      </c>
      <c r="FT89">
        <v>19.5</v>
      </c>
      <c r="FU89">
        <v>19.5</v>
      </c>
      <c r="FV89">
        <v>1.7785599999999999</v>
      </c>
      <c r="FW89">
        <v>2.5878899999999998</v>
      </c>
      <c r="FX89">
        <v>1.5490699999999999</v>
      </c>
      <c r="FY89">
        <v>2.3290999999999999</v>
      </c>
      <c r="FZ89">
        <v>1.50146</v>
      </c>
      <c r="GA89">
        <v>2.2460900000000001</v>
      </c>
      <c r="GB89">
        <v>33.850900000000003</v>
      </c>
      <c r="GC89">
        <v>23.982399999999998</v>
      </c>
      <c r="GD89">
        <v>19</v>
      </c>
      <c r="GE89">
        <v>235.59</v>
      </c>
      <c r="GF89">
        <v>581.54999999999995</v>
      </c>
      <c r="GG89">
        <v>25.063199999999998</v>
      </c>
      <c r="GH89">
        <v>26.3352</v>
      </c>
      <c r="GI89">
        <v>30</v>
      </c>
      <c r="GJ89">
        <v>26.4724</v>
      </c>
      <c r="GK89">
        <v>26.451599999999999</v>
      </c>
      <c r="GL89">
        <v>35.564500000000002</v>
      </c>
      <c r="GM89">
        <v>-30</v>
      </c>
      <c r="GN89">
        <v>-30</v>
      </c>
      <c r="GO89">
        <v>25.009899999999998</v>
      </c>
      <c r="GP89">
        <v>800</v>
      </c>
      <c r="GQ89">
        <v>12.5298</v>
      </c>
      <c r="GR89">
        <v>99.697800000000001</v>
      </c>
      <c r="GS89">
        <v>99.503900000000002</v>
      </c>
    </row>
    <row r="90" spans="1:201" x14ac:dyDescent="0.25">
      <c r="A90">
        <v>74</v>
      </c>
      <c r="B90">
        <v>1690216024.5999999</v>
      </c>
      <c r="C90">
        <v>1079.099999904633</v>
      </c>
      <c r="D90" t="s">
        <v>481</v>
      </c>
      <c r="E90" t="s">
        <v>482</v>
      </c>
      <c r="F90" t="s">
        <v>330</v>
      </c>
      <c r="H90">
        <v>1690216024.5999999</v>
      </c>
      <c r="I90">
        <f t="shared" si="30"/>
        <v>1.0590471584022137E-3</v>
      </c>
      <c r="J90">
        <f t="shared" si="31"/>
        <v>1.0590471584022136</v>
      </c>
      <c r="K90">
        <f t="shared" si="32"/>
        <v>13.092679280078979</v>
      </c>
      <c r="L90">
        <f t="shared" si="33"/>
        <v>645.74599999999998</v>
      </c>
      <c r="M90">
        <f t="shared" si="34"/>
        <v>175.75732754118067</v>
      </c>
      <c r="N90">
        <f t="shared" si="35"/>
        <v>17.430617134817744</v>
      </c>
      <c r="O90">
        <f t="shared" si="36"/>
        <v>64.041434003386001</v>
      </c>
      <c r="P90">
        <f t="shared" si="37"/>
        <v>4.6546712700118509E-2</v>
      </c>
      <c r="Q90">
        <f t="shared" si="38"/>
        <v>2.0627906219123457</v>
      </c>
      <c r="R90">
        <f t="shared" si="39"/>
        <v>4.5970989440550454E-2</v>
      </c>
      <c r="S90">
        <f t="shared" si="40"/>
        <v>2.8783001495827559E-2</v>
      </c>
      <c r="T90">
        <f t="shared" si="41"/>
        <v>276.11275956370264</v>
      </c>
      <c r="U90">
        <f t="shared" si="42"/>
        <v>28.688597243252815</v>
      </c>
      <c r="V90">
        <f t="shared" si="43"/>
        <v>28.688597243252815</v>
      </c>
      <c r="W90">
        <f t="shared" si="44"/>
        <v>3.9498693834449852</v>
      </c>
      <c r="X90">
        <f t="shared" si="45"/>
        <v>48.863843664372219</v>
      </c>
      <c r="Y90">
        <f t="shared" si="46"/>
        <v>1.73059225045</v>
      </c>
      <c r="Z90">
        <f t="shared" si="47"/>
        <v>3.5416621384449449</v>
      </c>
      <c r="AA90">
        <f t="shared" si="48"/>
        <v>2.2192771329949852</v>
      </c>
      <c r="AB90">
        <f t="shared" si="49"/>
        <v>-46.703979685537625</v>
      </c>
      <c r="AC90">
        <f t="shared" si="50"/>
        <v>-207.7161774307873</v>
      </c>
      <c r="AD90">
        <f t="shared" si="51"/>
        <v>-21.896153633008048</v>
      </c>
      <c r="AE90">
        <f t="shared" si="52"/>
        <v>-0.2035511856303458</v>
      </c>
      <c r="AF90">
        <v>46</v>
      </c>
      <c r="AG90">
        <v>15</v>
      </c>
      <c r="AH90">
        <f t="shared" si="53"/>
        <v>1</v>
      </c>
      <c r="AI90">
        <f t="shared" si="54"/>
        <v>0</v>
      </c>
      <c r="AJ90">
        <f t="shared" si="55"/>
        <v>52359.260215308779</v>
      </c>
      <c r="AK90">
        <f t="shared" si="56"/>
        <v>1799.99</v>
      </c>
      <c r="AL90">
        <f t="shared" si="57"/>
        <v>1499.10512779191</v>
      </c>
      <c r="AM90">
        <f t="shared" si="58"/>
        <v>0.83284080900000002</v>
      </c>
      <c r="AN90">
        <f t="shared" si="59"/>
        <v>0.15339682974000002</v>
      </c>
      <c r="AO90">
        <v>33.6</v>
      </c>
      <c r="AP90">
        <v>0.5</v>
      </c>
      <c r="AQ90" t="s">
        <v>331</v>
      </c>
      <c r="AR90">
        <v>2</v>
      </c>
      <c r="AS90">
        <v>1690216024.5999999</v>
      </c>
      <c r="AT90">
        <v>645.74599999999998</v>
      </c>
      <c r="AU90">
        <v>799.95500000000004</v>
      </c>
      <c r="AV90">
        <v>17.45</v>
      </c>
      <c r="AW90">
        <v>5.8023300000000004</v>
      </c>
      <c r="AX90">
        <v>646.02700000000004</v>
      </c>
      <c r="AY90">
        <v>17.319299999999998</v>
      </c>
      <c r="AZ90">
        <v>300.17200000000003</v>
      </c>
      <c r="BA90">
        <v>99.074299999999994</v>
      </c>
      <c r="BB90">
        <v>0.100041</v>
      </c>
      <c r="BC90">
        <v>26.820799999999998</v>
      </c>
      <c r="BD90">
        <v>27.003</v>
      </c>
      <c r="BE90">
        <v>28.359300000000001</v>
      </c>
      <c r="BF90">
        <v>0</v>
      </c>
      <c r="BG90">
        <v>0</v>
      </c>
      <c r="BH90">
        <v>9988.1200000000008</v>
      </c>
      <c r="BI90">
        <v>1075.8699999999999</v>
      </c>
      <c r="BJ90">
        <v>1.90625</v>
      </c>
      <c r="BK90">
        <v>-154.21</v>
      </c>
      <c r="BL90">
        <v>657.21400000000006</v>
      </c>
      <c r="BM90">
        <v>804.62400000000002</v>
      </c>
      <c r="BN90">
        <v>11.6477</v>
      </c>
      <c r="BO90">
        <v>799.95500000000004</v>
      </c>
      <c r="BP90">
        <v>5.8023300000000004</v>
      </c>
      <c r="BQ90">
        <v>1.72885</v>
      </c>
      <c r="BR90">
        <v>0.57486199999999998</v>
      </c>
      <c r="BS90">
        <v>15.1579</v>
      </c>
      <c r="BT90">
        <v>-0.89565700000000004</v>
      </c>
      <c r="BU90">
        <v>1799.99</v>
      </c>
      <c r="BV90">
        <v>0.91001799999999999</v>
      </c>
      <c r="BW90">
        <v>3.3995999999999998E-2</v>
      </c>
      <c r="BX90">
        <v>2.1994699999999999E-2</v>
      </c>
      <c r="BY90">
        <v>3.3990800000000002E-2</v>
      </c>
      <c r="BZ90">
        <v>25.666699999999999</v>
      </c>
      <c r="CA90">
        <v>33528.400000000001</v>
      </c>
      <c r="CB90">
        <v>1690214843</v>
      </c>
      <c r="CC90" t="s">
        <v>332</v>
      </c>
      <c r="CD90">
        <v>1690214842</v>
      </c>
      <c r="CE90">
        <v>1690214843</v>
      </c>
      <c r="CF90">
        <v>8</v>
      </c>
      <c r="CG90">
        <v>-6.3E-2</v>
      </c>
      <c r="CH90">
        <v>1E-3</v>
      </c>
      <c r="CI90">
        <v>-0.38900000000000001</v>
      </c>
      <c r="CJ90">
        <v>-6.6000000000000003E-2</v>
      </c>
      <c r="CK90">
        <v>800</v>
      </c>
      <c r="CL90">
        <v>6</v>
      </c>
      <c r="CM90">
        <v>0.23</v>
      </c>
      <c r="CN90">
        <v>0.02</v>
      </c>
      <c r="CO90">
        <v>-151.47637499999999</v>
      </c>
      <c r="CP90">
        <v>-14.774352720449761</v>
      </c>
      <c r="CQ90">
        <v>1.4214782039746521</v>
      </c>
      <c r="CR90">
        <v>-1</v>
      </c>
      <c r="CS90">
        <v>11.5051775</v>
      </c>
      <c r="CT90">
        <v>0.77832382739210426</v>
      </c>
      <c r="CU90">
        <v>7.4875411476331755E-2</v>
      </c>
      <c r="CV90">
        <v>-1</v>
      </c>
      <c r="CW90">
        <v>0</v>
      </c>
      <c r="CX90">
        <v>0</v>
      </c>
      <c r="CY90" t="s">
        <v>333</v>
      </c>
      <c r="CZ90">
        <v>2.3644099999999999</v>
      </c>
      <c r="DA90">
        <v>2.7138200000000001</v>
      </c>
      <c r="DB90">
        <v>0.12673400000000001</v>
      </c>
      <c r="DC90">
        <v>0.146037</v>
      </c>
      <c r="DD90">
        <v>9.0728799999999998E-2</v>
      </c>
      <c r="DE90">
        <v>3.8372099999999999E-2</v>
      </c>
      <c r="DF90">
        <v>31874.400000000001</v>
      </c>
      <c r="DG90">
        <v>27504.3</v>
      </c>
      <c r="DH90">
        <v>31160.799999999999</v>
      </c>
      <c r="DI90">
        <v>28065.200000000001</v>
      </c>
      <c r="DJ90">
        <v>38473.300000000003</v>
      </c>
      <c r="DK90">
        <v>38376</v>
      </c>
      <c r="DL90">
        <v>44343.4</v>
      </c>
      <c r="DM90">
        <v>42532.800000000003</v>
      </c>
      <c r="DN90">
        <v>1.35605</v>
      </c>
      <c r="DO90">
        <v>2.0331199999999998</v>
      </c>
      <c r="DP90">
        <v>8.4809999999999997E-2</v>
      </c>
      <c r="DQ90">
        <v>0.18303800000000001</v>
      </c>
      <c r="DR90">
        <v>25.6145</v>
      </c>
      <c r="DS90">
        <v>25.365200000000002</v>
      </c>
      <c r="DT90">
        <v>17.2</v>
      </c>
      <c r="DU90">
        <v>29.8</v>
      </c>
      <c r="DV90">
        <v>7.3119800000000001</v>
      </c>
      <c r="DW90">
        <v>61.778500000000001</v>
      </c>
      <c r="DX90">
        <v>36.274000000000001</v>
      </c>
      <c r="DY90">
        <v>1</v>
      </c>
      <c r="DZ90">
        <v>-8.4148899999999999E-2</v>
      </c>
      <c r="EA90">
        <v>1.6108399999999998E-2</v>
      </c>
      <c r="EB90">
        <v>20.189800000000002</v>
      </c>
      <c r="EC90">
        <v>5.24125</v>
      </c>
      <c r="ED90">
        <v>12.039899999999999</v>
      </c>
      <c r="EE90">
        <v>5.0168999999999997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1.8689199999999999</v>
      </c>
      <c r="EL90">
        <v>1.86467</v>
      </c>
      <c r="EM90">
        <v>1.8692</v>
      </c>
      <c r="EN90">
        <v>1.8672299999999999</v>
      </c>
      <c r="EO90">
        <v>1.8633999999999999</v>
      </c>
      <c r="EP90">
        <v>1.8646</v>
      </c>
      <c r="EQ90">
        <v>1.8702000000000001</v>
      </c>
      <c r="ER90">
        <v>1.8694900000000001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-0.28100000000000003</v>
      </c>
      <c r="FG90">
        <v>0.13070000000000001</v>
      </c>
      <c r="FH90">
        <v>0.16202357103534001</v>
      </c>
      <c r="FI90">
        <v>-6.1462078757559423E-4</v>
      </c>
      <c r="FJ90">
        <v>-1.8861989874597051E-7</v>
      </c>
      <c r="FK90">
        <v>1.1980462299894961E-10</v>
      </c>
      <c r="FL90">
        <v>-3.0039189969545878E-2</v>
      </c>
      <c r="FM90">
        <v>-1.6848085045870601E-2</v>
      </c>
      <c r="FN90">
        <v>1.9789084769509481E-3</v>
      </c>
      <c r="FO90">
        <v>-2.7142391389806329E-5</v>
      </c>
      <c r="FP90">
        <v>3</v>
      </c>
      <c r="FQ90">
        <v>2158</v>
      </c>
      <c r="FR90">
        <v>1</v>
      </c>
      <c r="FS90">
        <v>19</v>
      </c>
      <c r="FT90">
        <v>19.7</v>
      </c>
      <c r="FU90">
        <v>19.7</v>
      </c>
      <c r="FV90">
        <v>1.7785599999999999</v>
      </c>
      <c r="FW90">
        <v>2.5854499999999998</v>
      </c>
      <c r="FX90">
        <v>1.5490699999999999</v>
      </c>
      <c r="FY90">
        <v>2.3290999999999999</v>
      </c>
      <c r="FZ90">
        <v>1.50146</v>
      </c>
      <c r="GA90">
        <v>2.2656200000000002</v>
      </c>
      <c r="GB90">
        <v>33.850900000000003</v>
      </c>
      <c r="GC90">
        <v>23.982399999999998</v>
      </c>
      <c r="GD90">
        <v>19</v>
      </c>
      <c r="GE90">
        <v>235.33</v>
      </c>
      <c r="GF90">
        <v>581.73099999999999</v>
      </c>
      <c r="GG90">
        <v>25.002600000000001</v>
      </c>
      <c r="GH90">
        <v>26.333100000000002</v>
      </c>
      <c r="GI90">
        <v>29.9999</v>
      </c>
      <c r="GJ90">
        <v>26.470600000000001</v>
      </c>
      <c r="GK90">
        <v>26.449300000000001</v>
      </c>
      <c r="GL90">
        <v>35.566899999999997</v>
      </c>
      <c r="GM90">
        <v>-30</v>
      </c>
      <c r="GN90">
        <v>-30</v>
      </c>
      <c r="GO90">
        <v>24.999600000000001</v>
      </c>
      <c r="GP90">
        <v>800</v>
      </c>
      <c r="GQ90">
        <v>12.5298</v>
      </c>
      <c r="GR90">
        <v>99.699399999999997</v>
      </c>
      <c r="GS90">
        <v>99.503</v>
      </c>
    </row>
    <row r="91" spans="1:201" x14ac:dyDescent="0.25">
      <c r="A91">
        <v>75</v>
      </c>
      <c r="B91">
        <v>1690216034.5999999</v>
      </c>
      <c r="C91">
        <v>1089.099999904633</v>
      </c>
      <c r="D91" t="s">
        <v>483</v>
      </c>
      <c r="E91" t="s">
        <v>484</v>
      </c>
      <c r="F91" t="s">
        <v>330</v>
      </c>
      <c r="H91">
        <v>1690216034.5999999</v>
      </c>
      <c r="I91">
        <f t="shared" si="30"/>
        <v>1.0711363386968469E-3</v>
      </c>
      <c r="J91">
        <f t="shared" si="31"/>
        <v>1.0711363386968469</v>
      </c>
      <c r="K91">
        <f t="shared" si="32"/>
        <v>13.32257171169055</v>
      </c>
      <c r="L91">
        <f t="shared" si="33"/>
        <v>643.20399999999995</v>
      </c>
      <c r="M91">
        <f t="shared" si="34"/>
        <v>173.894445384465</v>
      </c>
      <c r="N91">
        <f t="shared" si="35"/>
        <v>17.245946563884129</v>
      </c>
      <c r="O91">
        <f t="shared" si="36"/>
        <v>63.789627030073589</v>
      </c>
      <c r="P91">
        <f t="shared" si="37"/>
        <v>4.7424476179843966E-2</v>
      </c>
      <c r="Q91">
        <f t="shared" si="38"/>
        <v>2.0636902202920284</v>
      </c>
      <c r="R91">
        <f t="shared" si="39"/>
        <v>4.6827241794229521E-2</v>
      </c>
      <c r="S91">
        <f t="shared" si="40"/>
        <v>2.9320058573141752E-2</v>
      </c>
      <c r="T91">
        <f t="shared" si="41"/>
        <v>276.11274820576568</v>
      </c>
      <c r="U91">
        <f t="shared" si="42"/>
        <v>28.675834530033722</v>
      </c>
      <c r="V91">
        <f t="shared" si="43"/>
        <v>28.675834530033722</v>
      </c>
      <c r="W91">
        <f t="shared" si="44"/>
        <v>3.9469465256959153</v>
      </c>
      <c r="X91">
        <f t="shared" si="45"/>
        <v>49.25011760581792</v>
      </c>
      <c r="Y91">
        <f t="shared" si="46"/>
        <v>1.7434830383921598</v>
      </c>
      <c r="Z91">
        <f t="shared" si="47"/>
        <v>3.5400586295984842</v>
      </c>
      <c r="AA91">
        <f t="shared" si="48"/>
        <v>2.2034634873037557</v>
      </c>
      <c r="AB91">
        <f t="shared" si="49"/>
        <v>-47.237112536530951</v>
      </c>
      <c r="AC91">
        <f t="shared" si="50"/>
        <v>-207.24349834319506</v>
      </c>
      <c r="AD91">
        <f t="shared" si="51"/>
        <v>-21.83457389206626</v>
      </c>
      <c r="AE91">
        <f t="shared" si="52"/>
        <v>-0.20243656602659144</v>
      </c>
      <c r="AF91">
        <v>46</v>
      </c>
      <c r="AG91">
        <v>15</v>
      </c>
      <c r="AH91">
        <f t="shared" si="53"/>
        <v>1</v>
      </c>
      <c r="AI91">
        <f t="shared" si="54"/>
        <v>0</v>
      </c>
      <c r="AJ91">
        <f t="shared" si="55"/>
        <v>52401.754560796639</v>
      </c>
      <c r="AK91">
        <f t="shared" si="56"/>
        <v>1799.99</v>
      </c>
      <c r="AL91">
        <f t="shared" si="57"/>
        <v>1499.1064039848202</v>
      </c>
      <c r="AM91">
        <f t="shared" si="58"/>
        <v>0.83284151800000006</v>
      </c>
      <c r="AN91">
        <f t="shared" si="59"/>
        <v>0.15339682343</v>
      </c>
      <c r="AO91">
        <v>33.6</v>
      </c>
      <c r="AP91">
        <v>0.5</v>
      </c>
      <c r="AQ91" t="s">
        <v>331</v>
      </c>
      <c r="AR91">
        <v>2</v>
      </c>
      <c r="AS91">
        <v>1690216034.5999999</v>
      </c>
      <c r="AT91">
        <v>643.20399999999995</v>
      </c>
      <c r="AU91">
        <v>800.03800000000001</v>
      </c>
      <c r="AV91">
        <v>17.579899999999999</v>
      </c>
      <c r="AW91">
        <v>5.8012199999999998</v>
      </c>
      <c r="AX91">
        <v>643.48400000000004</v>
      </c>
      <c r="AY91">
        <v>17.445699999999999</v>
      </c>
      <c r="AZ91">
        <v>300.18200000000002</v>
      </c>
      <c r="BA91">
        <v>99.074799999999996</v>
      </c>
      <c r="BB91">
        <v>9.9998400000000001E-2</v>
      </c>
      <c r="BC91">
        <v>26.813099999999999</v>
      </c>
      <c r="BD91">
        <v>26.983799999999999</v>
      </c>
      <c r="BE91">
        <v>28.359300000000001</v>
      </c>
      <c r="BF91">
        <v>0</v>
      </c>
      <c r="BG91">
        <v>0</v>
      </c>
      <c r="BH91">
        <v>9996.25</v>
      </c>
      <c r="BI91">
        <v>1075.82</v>
      </c>
      <c r="BJ91">
        <v>1.90625</v>
      </c>
      <c r="BK91">
        <v>-156.833</v>
      </c>
      <c r="BL91">
        <v>654.71400000000006</v>
      </c>
      <c r="BM91">
        <v>804.70600000000002</v>
      </c>
      <c r="BN91">
        <v>11.778700000000001</v>
      </c>
      <c r="BO91">
        <v>800.03800000000001</v>
      </c>
      <c r="BP91">
        <v>5.8012199999999998</v>
      </c>
      <c r="BQ91">
        <v>1.74173</v>
      </c>
      <c r="BR91">
        <v>0.57475500000000002</v>
      </c>
      <c r="BS91">
        <v>15.273400000000001</v>
      </c>
      <c r="BT91">
        <v>-0.89818399999999998</v>
      </c>
      <c r="BU91">
        <v>1799.99</v>
      </c>
      <c r="BV91">
        <v>0.910022</v>
      </c>
      <c r="BW91">
        <v>3.39946E-2</v>
      </c>
      <c r="BX91">
        <v>2.19939E-2</v>
      </c>
      <c r="BY91">
        <v>3.3989499999999999E-2</v>
      </c>
      <c r="BZ91">
        <v>25.666699999999999</v>
      </c>
      <c r="CA91">
        <v>33528.400000000001</v>
      </c>
      <c r="CB91">
        <v>1690214843</v>
      </c>
      <c r="CC91" t="s">
        <v>332</v>
      </c>
      <c r="CD91">
        <v>1690214842</v>
      </c>
      <c r="CE91">
        <v>1690214843</v>
      </c>
      <c r="CF91">
        <v>8</v>
      </c>
      <c r="CG91">
        <v>-6.3E-2</v>
      </c>
      <c r="CH91">
        <v>1E-3</v>
      </c>
      <c r="CI91">
        <v>-0.38900000000000001</v>
      </c>
      <c r="CJ91">
        <v>-6.6000000000000003E-2</v>
      </c>
      <c r="CK91">
        <v>800</v>
      </c>
      <c r="CL91">
        <v>6</v>
      </c>
      <c r="CM91">
        <v>0.23</v>
      </c>
      <c r="CN91">
        <v>0.02</v>
      </c>
      <c r="CO91">
        <v>-153.97132500000001</v>
      </c>
      <c r="CP91">
        <v>-15.14675797373302</v>
      </c>
      <c r="CQ91">
        <v>1.457465958221666</v>
      </c>
      <c r="CR91">
        <v>-1</v>
      </c>
      <c r="CS91">
        <v>11.634304999999999</v>
      </c>
      <c r="CT91">
        <v>0.77276397748592363</v>
      </c>
      <c r="CU91">
        <v>7.434652295164855E-2</v>
      </c>
      <c r="CV91">
        <v>-1</v>
      </c>
      <c r="CW91">
        <v>0</v>
      </c>
      <c r="CX91">
        <v>0</v>
      </c>
      <c r="CY91" t="s">
        <v>333</v>
      </c>
      <c r="CZ91">
        <v>2.36443</v>
      </c>
      <c r="DA91">
        <v>2.7137899999999999</v>
      </c>
      <c r="DB91">
        <v>0.12639</v>
      </c>
      <c r="DC91">
        <v>0.14604800000000001</v>
      </c>
      <c r="DD91">
        <v>9.1210200000000005E-2</v>
      </c>
      <c r="DE91">
        <v>3.8366499999999998E-2</v>
      </c>
      <c r="DF91">
        <v>31887</v>
      </c>
      <c r="DG91">
        <v>27504.3</v>
      </c>
      <c r="DH91">
        <v>31160.799999999999</v>
      </c>
      <c r="DI91">
        <v>28065.599999999999</v>
      </c>
      <c r="DJ91">
        <v>38452.9</v>
      </c>
      <c r="DK91">
        <v>38376.699999999997</v>
      </c>
      <c r="DL91">
        <v>44343.5</v>
      </c>
      <c r="DM91">
        <v>42533.4</v>
      </c>
      <c r="DN91">
        <v>1.3564000000000001</v>
      </c>
      <c r="DO91">
        <v>2.03315</v>
      </c>
      <c r="DP91">
        <v>8.3636500000000003E-2</v>
      </c>
      <c r="DQ91">
        <v>0.18290799999999999</v>
      </c>
      <c r="DR91">
        <v>25.6145</v>
      </c>
      <c r="DS91">
        <v>25.3673</v>
      </c>
      <c r="DT91">
        <v>17.2</v>
      </c>
      <c r="DU91">
        <v>29.8</v>
      </c>
      <c r="DV91">
        <v>7.3118499999999997</v>
      </c>
      <c r="DW91">
        <v>61.6785</v>
      </c>
      <c r="DX91">
        <v>35.945500000000003</v>
      </c>
      <c r="DY91">
        <v>1</v>
      </c>
      <c r="DZ91">
        <v>-8.4562999999999999E-2</v>
      </c>
      <c r="EA91">
        <v>-5.9166700000000003E-2</v>
      </c>
      <c r="EB91">
        <v>20.189900000000002</v>
      </c>
      <c r="EC91">
        <v>5.2406499999999996</v>
      </c>
      <c r="ED91">
        <v>12.039899999999999</v>
      </c>
      <c r="EE91">
        <v>5.0167999999999999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1.8689499999999999</v>
      </c>
      <c r="EL91">
        <v>1.86467</v>
      </c>
      <c r="EM91">
        <v>1.8691899999999999</v>
      </c>
      <c r="EN91">
        <v>1.8672299999999999</v>
      </c>
      <c r="EO91">
        <v>1.8633999999999999</v>
      </c>
      <c r="EP91">
        <v>1.86459</v>
      </c>
      <c r="EQ91">
        <v>1.87019</v>
      </c>
      <c r="ER91">
        <v>1.8694900000000001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-0.28000000000000003</v>
      </c>
      <c r="FG91">
        <v>0.13420000000000001</v>
      </c>
      <c r="FH91">
        <v>0.16202357103534001</v>
      </c>
      <c r="FI91">
        <v>-6.1462078757559423E-4</v>
      </c>
      <c r="FJ91">
        <v>-1.8861989874597051E-7</v>
      </c>
      <c r="FK91">
        <v>1.1980462299894961E-10</v>
      </c>
      <c r="FL91">
        <v>-3.0039189969545878E-2</v>
      </c>
      <c r="FM91">
        <v>-1.6848085045870601E-2</v>
      </c>
      <c r="FN91">
        <v>1.9789084769509481E-3</v>
      </c>
      <c r="FO91">
        <v>-2.7142391389806329E-5</v>
      </c>
      <c r="FP91">
        <v>3</v>
      </c>
      <c r="FQ91">
        <v>2158</v>
      </c>
      <c r="FR91">
        <v>1</v>
      </c>
      <c r="FS91">
        <v>19</v>
      </c>
      <c r="FT91">
        <v>19.899999999999999</v>
      </c>
      <c r="FU91">
        <v>19.899999999999999</v>
      </c>
      <c r="FV91">
        <v>1.7785599999999999</v>
      </c>
      <c r="FW91">
        <v>2.5842299999999998</v>
      </c>
      <c r="FX91">
        <v>1.5490699999999999</v>
      </c>
      <c r="FY91">
        <v>2.3290999999999999</v>
      </c>
      <c r="FZ91">
        <v>1.50146</v>
      </c>
      <c r="GA91">
        <v>2.2936999999999999</v>
      </c>
      <c r="GB91">
        <v>33.850900000000003</v>
      </c>
      <c r="GC91">
        <v>23.982399999999998</v>
      </c>
      <c r="GD91">
        <v>19</v>
      </c>
      <c r="GE91">
        <v>235.46</v>
      </c>
      <c r="GF91">
        <v>581.73400000000004</v>
      </c>
      <c r="GG91">
        <v>24.996300000000002</v>
      </c>
      <c r="GH91">
        <v>26.3308</v>
      </c>
      <c r="GI91">
        <v>30</v>
      </c>
      <c r="GJ91">
        <v>26.47</v>
      </c>
      <c r="GK91">
        <v>26.447600000000001</v>
      </c>
      <c r="GL91">
        <v>35.566699999999997</v>
      </c>
      <c r="GM91">
        <v>-30</v>
      </c>
      <c r="GN91">
        <v>-30</v>
      </c>
      <c r="GO91">
        <v>25.017199999999999</v>
      </c>
      <c r="GP91">
        <v>800</v>
      </c>
      <c r="GQ91">
        <v>12.5298</v>
      </c>
      <c r="GR91">
        <v>99.699600000000004</v>
      </c>
      <c r="GS91">
        <v>99.504499999999993</v>
      </c>
    </row>
    <row r="92" spans="1:201" x14ac:dyDescent="0.25">
      <c r="A92">
        <v>76</v>
      </c>
      <c r="B92">
        <v>1690216044.5999999</v>
      </c>
      <c r="C92">
        <v>1099.099999904633</v>
      </c>
      <c r="D92" t="s">
        <v>485</v>
      </c>
      <c r="E92" t="s">
        <v>486</v>
      </c>
      <c r="F92" t="s">
        <v>330</v>
      </c>
      <c r="H92">
        <v>1690216044.5999999</v>
      </c>
      <c r="I92">
        <f t="shared" si="30"/>
        <v>1.0828706603499166E-3</v>
      </c>
      <c r="J92">
        <f t="shared" si="31"/>
        <v>1.0828706603499165</v>
      </c>
      <c r="K92">
        <f t="shared" si="32"/>
        <v>13.544431801557812</v>
      </c>
      <c r="L92">
        <f t="shared" si="33"/>
        <v>640.65499999999997</v>
      </c>
      <c r="M92">
        <f t="shared" si="34"/>
        <v>171.91223660921426</v>
      </c>
      <c r="N92">
        <f t="shared" si="35"/>
        <v>17.049760897867355</v>
      </c>
      <c r="O92">
        <f t="shared" si="36"/>
        <v>63.538319223041</v>
      </c>
      <c r="P92">
        <f t="shared" si="37"/>
        <v>4.8264452382979453E-2</v>
      </c>
      <c r="Q92">
        <f t="shared" si="38"/>
        <v>2.0646123813413952</v>
      </c>
      <c r="R92">
        <f t="shared" si="39"/>
        <v>4.7646295543980609E-2</v>
      </c>
      <c r="S92">
        <f t="shared" si="40"/>
        <v>2.9833813988808279E-2</v>
      </c>
      <c r="T92">
        <f t="shared" si="41"/>
        <v>276.11414117999999</v>
      </c>
      <c r="U92">
        <f t="shared" si="42"/>
        <v>28.668886081547534</v>
      </c>
      <c r="V92">
        <f t="shared" si="43"/>
        <v>28.668886081547534</v>
      </c>
      <c r="W92">
        <f t="shared" si="44"/>
        <v>3.9453560172384341</v>
      </c>
      <c r="X92">
        <f t="shared" si="45"/>
        <v>49.612906255832463</v>
      </c>
      <c r="Y92">
        <f t="shared" si="46"/>
        <v>1.75611938508318</v>
      </c>
      <c r="Z92">
        <f t="shared" si="47"/>
        <v>3.539642237500916</v>
      </c>
      <c r="AA92">
        <f t="shared" si="48"/>
        <v>2.1892366321552541</v>
      </c>
      <c r="AB92">
        <f t="shared" si="49"/>
        <v>-47.754596121431319</v>
      </c>
      <c r="AC92">
        <f t="shared" si="50"/>
        <v>-206.78530635889021</v>
      </c>
      <c r="AD92">
        <f t="shared" si="51"/>
        <v>-21.775596234112044</v>
      </c>
      <c r="AE92">
        <f t="shared" si="52"/>
        <v>-0.2013575344335834</v>
      </c>
      <c r="AF92">
        <v>46</v>
      </c>
      <c r="AG92">
        <v>15</v>
      </c>
      <c r="AH92">
        <f t="shared" si="53"/>
        <v>1</v>
      </c>
      <c r="AI92">
        <f t="shared" si="54"/>
        <v>0</v>
      </c>
      <c r="AJ92">
        <f t="shared" si="55"/>
        <v>52444.35099841364</v>
      </c>
      <c r="AK92">
        <f t="shared" si="56"/>
        <v>1800</v>
      </c>
      <c r="AL92">
        <f t="shared" si="57"/>
        <v>1499.1161309999998</v>
      </c>
      <c r="AM92">
        <f t="shared" si="58"/>
        <v>0.83284229499999984</v>
      </c>
      <c r="AN92">
        <f t="shared" si="59"/>
        <v>0.15339674510000001</v>
      </c>
      <c r="AO92">
        <v>33.6</v>
      </c>
      <c r="AP92">
        <v>0.5</v>
      </c>
      <c r="AQ92" t="s">
        <v>331</v>
      </c>
      <c r="AR92">
        <v>2</v>
      </c>
      <c r="AS92">
        <v>1690216044.5999999</v>
      </c>
      <c r="AT92">
        <v>640.65499999999997</v>
      </c>
      <c r="AU92">
        <v>800.03599999999994</v>
      </c>
      <c r="AV92">
        <v>17.706900000000001</v>
      </c>
      <c r="AW92">
        <v>5.7999700000000001</v>
      </c>
      <c r="AX92">
        <v>640.93299999999999</v>
      </c>
      <c r="AY92">
        <v>17.569299999999998</v>
      </c>
      <c r="AZ92">
        <v>300.16300000000001</v>
      </c>
      <c r="BA92">
        <v>99.077200000000005</v>
      </c>
      <c r="BB92">
        <v>9.9922200000000003E-2</v>
      </c>
      <c r="BC92">
        <v>26.8111</v>
      </c>
      <c r="BD92">
        <v>26.981999999999999</v>
      </c>
      <c r="BE92">
        <v>28.359100000000002</v>
      </c>
      <c r="BF92">
        <v>0</v>
      </c>
      <c r="BG92">
        <v>0</v>
      </c>
      <c r="BH92">
        <v>10004.4</v>
      </c>
      <c r="BI92">
        <v>1075.75</v>
      </c>
      <c r="BJ92">
        <v>1.90625</v>
      </c>
      <c r="BK92">
        <v>-159.38200000000001</v>
      </c>
      <c r="BL92">
        <v>652.20299999999997</v>
      </c>
      <c r="BM92">
        <v>804.70399999999995</v>
      </c>
      <c r="BN92">
        <v>11.907</v>
      </c>
      <c r="BO92">
        <v>800.03599999999994</v>
      </c>
      <c r="BP92">
        <v>5.7999700000000001</v>
      </c>
      <c r="BQ92">
        <v>1.7543500000000001</v>
      </c>
      <c r="BR92">
        <v>0.57464499999999996</v>
      </c>
      <c r="BS92">
        <v>15.385899999999999</v>
      </c>
      <c r="BT92">
        <v>-0.900814</v>
      </c>
      <c r="BU92">
        <v>1800</v>
      </c>
      <c r="BV92">
        <v>0.91002799999999995</v>
      </c>
      <c r="BW92">
        <v>3.3992500000000002E-2</v>
      </c>
      <c r="BX92">
        <v>2.1992500000000002E-2</v>
      </c>
      <c r="BY92">
        <v>3.3987400000000001E-2</v>
      </c>
      <c r="BZ92">
        <v>25.666699999999999</v>
      </c>
      <c r="CA92">
        <v>33528.5</v>
      </c>
      <c r="CB92">
        <v>1690214843</v>
      </c>
      <c r="CC92" t="s">
        <v>332</v>
      </c>
      <c r="CD92">
        <v>1690214842</v>
      </c>
      <c r="CE92">
        <v>1690214843</v>
      </c>
      <c r="CF92">
        <v>8</v>
      </c>
      <c r="CG92">
        <v>-6.3E-2</v>
      </c>
      <c r="CH92">
        <v>1E-3</v>
      </c>
      <c r="CI92">
        <v>-0.38900000000000001</v>
      </c>
      <c r="CJ92">
        <v>-6.6000000000000003E-2</v>
      </c>
      <c r="CK92">
        <v>800</v>
      </c>
      <c r="CL92">
        <v>6</v>
      </c>
      <c r="CM92">
        <v>0.23</v>
      </c>
      <c r="CN92">
        <v>0.02</v>
      </c>
      <c r="CO92">
        <v>-156.56897560975611</v>
      </c>
      <c r="CP92">
        <v>-15.32161672473865</v>
      </c>
      <c r="CQ92">
        <v>1.510985907955221</v>
      </c>
      <c r="CR92">
        <v>-1</v>
      </c>
      <c r="CS92">
        <v>11.76653658536585</v>
      </c>
      <c r="CT92">
        <v>0.7792703832752631</v>
      </c>
      <c r="CU92">
        <v>7.6850595491282009E-2</v>
      </c>
      <c r="CV92">
        <v>-1</v>
      </c>
      <c r="CW92">
        <v>0</v>
      </c>
      <c r="CX92">
        <v>0</v>
      </c>
      <c r="CY92" t="s">
        <v>333</v>
      </c>
      <c r="CZ92">
        <v>2.3643900000000002</v>
      </c>
      <c r="DA92">
        <v>2.7137199999999999</v>
      </c>
      <c r="DB92">
        <v>0.12604699999999999</v>
      </c>
      <c r="DC92">
        <v>0.14605099999999999</v>
      </c>
      <c r="DD92">
        <v>9.1681299999999993E-2</v>
      </c>
      <c r="DE92">
        <v>3.8360699999999998E-2</v>
      </c>
      <c r="DF92">
        <v>31899.3</v>
      </c>
      <c r="DG92">
        <v>27504.6</v>
      </c>
      <c r="DH92">
        <v>31160.6</v>
      </c>
      <c r="DI92">
        <v>28065.9</v>
      </c>
      <c r="DJ92">
        <v>38432.400000000001</v>
      </c>
      <c r="DK92">
        <v>38377.5</v>
      </c>
      <c r="DL92">
        <v>44343.1</v>
      </c>
      <c r="DM92">
        <v>42534</v>
      </c>
      <c r="DN92">
        <v>1.35612</v>
      </c>
      <c r="DO92">
        <v>2.0335200000000002</v>
      </c>
      <c r="DP92">
        <v>8.3528500000000006E-2</v>
      </c>
      <c r="DQ92">
        <v>0.182897</v>
      </c>
      <c r="DR92">
        <v>25.6145</v>
      </c>
      <c r="DS92">
        <v>25.3673</v>
      </c>
      <c r="DT92">
        <v>17.2</v>
      </c>
      <c r="DU92">
        <v>29.8</v>
      </c>
      <c r="DV92">
        <v>7.31203</v>
      </c>
      <c r="DW92">
        <v>61.608499999999999</v>
      </c>
      <c r="DX92">
        <v>36.165900000000001</v>
      </c>
      <c r="DY92">
        <v>1</v>
      </c>
      <c r="DZ92">
        <v>-8.4359799999999999E-2</v>
      </c>
      <c r="EA92">
        <v>-0.11759799999999999</v>
      </c>
      <c r="EB92">
        <v>20.189699999999998</v>
      </c>
      <c r="EC92">
        <v>5.2408000000000001</v>
      </c>
      <c r="ED92">
        <v>12.039899999999999</v>
      </c>
      <c r="EE92">
        <v>5.01715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1.86893</v>
      </c>
      <c r="EL92">
        <v>1.86469</v>
      </c>
      <c r="EM92">
        <v>1.8692</v>
      </c>
      <c r="EN92">
        <v>1.8672200000000001</v>
      </c>
      <c r="EO92">
        <v>1.8633999999999999</v>
      </c>
      <c r="EP92">
        <v>1.86459</v>
      </c>
      <c r="EQ92">
        <v>1.87018</v>
      </c>
      <c r="ER92">
        <v>1.86947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-0.27800000000000002</v>
      </c>
      <c r="FG92">
        <v>0.1376</v>
      </c>
      <c r="FH92">
        <v>0.16202357103534001</v>
      </c>
      <c r="FI92">
        <v>-6.1462078757559423E-4</v>
      </c>
      <c r="FJ92">
        <v>-1.8861989874597051E-7</v>
      </c>
      <c r="FK92">
        <v>1.1980462299894961E-10</v>
      </c>
      <c r="FL92">
        <v>-3.0039189969545878E-2</v>
      </c>
      <c r="FM92">
        <v>-1.6848085045870601E-2</v>
      </c>
      <c r="FN92">
        <v>1.9789084769509481E-3</v>
      </c>
      <c r="FO92">
        <v>-2.7142391389806329E-5</v>
      </c>
      <c r="FP92">
        <v>3</v>
      </c>
      <c r="FQ92">
        <v>2158</v>
      </c>
      <c r="FR92">
        <v>1</v>
      </c>
      <c r="FS92">
        <v>19</v>
      </c>
      <c r="FT92">
        <v>20</v>
      </c>
      <c r="FU92">
        <v>20</v>
      </c>
      <c r="FV92">
        <v>1.7785599999999999</v>
      </c>
      <c r="FW92">
        <v>2.5842299999999998</v>
      </c>
      <c r="FX92">
        <v>1.5490699999999999</v>
      </c>
      <c r="FY92">
        <v>2.3290999999999999</v>
      </c>
      <c r="FZ92">
        <v>1.50146</v>
      </c>
      <c r="GA92">
        <v>2.2717299999999998</v>
      </c>
      <c r="GB92">
        <v>33.850900000000003</v>
      </c>
      <c r="GC92">
        <v>23.982399999999998</v>
      </c>
      <c r="GD92">
        <v>19</v>
      </c>
      <c r="GE92">
        <v>235.34899999999999</v>
      </c>
      <c r="GF92">
        <v>582.03599999999994</v>
      </c>
      <c r="GG92">
        <v>25.0259</v>
      </c>
      <c r="GH92">
        <v>26.328600000000002</v>
      </c>
      <c r="GI92">
        <v>30.0002</v>
      </c>
      <c r="GJ92">
        <v>26.468</v>
      </c>
      <c r="GK92">
        <v>26.447099999999999</v>
      </c>
      <c r="GL92">
        <v>35.566800000000001</v>
      </c>
      <c r="GM92">
        <v>-30</v>
      </c>
      <c r="GN92">
        <v>-30</v>
      </c>
      <c r="GO92">
        <v>25.043800000000001</v>
      </c>
      <c r="GP92">
        <v>800</v>
      </c>
      <c r="GQ92">
        <v>12.5298</v>
      </c>
      <c r="GR92">
        <v>99.698899999999995</v>
      </c>
      <c r="GS92">
        <v>99.505799999999994</v>
      </c>
    </row>
    <row r="93" spans="1:201" x14ac:dyDescent="0.25">
      <c r="A93">
        <v>77</v>
      </c>
      <c r="B93">
        <v>1690216054.5999999</v>
      </c>
      <c r="C93">
        <v>1109.099999904633</v>
      </c>
      <c r="D93" t="s">
        <v>487</v>
      </c>
      <c r="E93" t="s">
        <v>488</v>
      </c>
      <c r="F93" t="s">
        <v>330</v>
      </c>
      <c r="H93">
        <v>1690216054.5999999</v>
      </c>
      <c r="I93">
        <f t="shared" si="30"/>
        <v>1.0947299061091656E-3</v>
      </c>
      <c r="J93">
        <f t="shared" si="31"/>
        <v>1.0947299061091655</v>
      </c>
      <c r="K93">
        <f t="shared" si="32"/>
        <v>13.757118651878377</v>
      </c>
      <c r="L93">
        <f t="shared" si="33"/>
        <v>638.125</v>
      </c>
      <c r="M93">
        <f t="shared" si="34"/>
        <v>169.57428296800015</v>
      </c>
      <c r="N93">
        <f t="shared" si="35"/>
        <v>16.818261565530985</v>
      </c>
      <c r="O93">
        <f t="shared" si="36"/>
        <v>63.288801660624998</v>
      </c>
      <c r="P93">
        <f t="shared" si="37"/>
        <v>4.9036155815987706E-2</v>
      </c>
      <c r="Q93">
        <f t="shared" si="38"/>
        <v>2.0588521641388762</v>
      </c>
      <c r="R93">
        <f t="shared" si="39"/>
        <v>4.8396454633984128E-2</v>
      </c>
      <c r="S93">
        <f t="shared" si="40"/>
        <v>3.0304563446037016E-2</v>
      </c>
      <c r="T93">
        <f t="shared" si="41"/>
        <v>276.11410186800003</v>
      </c>
      <c r="U93">
        <f t="shared" si="42"/>
        <v>28.678609258660561</v>
      </c>
      <c r="V93">
        <f t="shared" si="43"/>
        <v>28.678609258660561</v>
      </c>
      <c r="W93">
        <f t="shared" si="44"/>
        <v>3.9475818207340967</v>
      </c>
      <c r="X93">
        <f t="shared" si="45"/>
        <v>49.943648898908435</v>
      </c>
      <c r="Y93">
        <f t="shared" si="46"/>
        <v>1.7687936931730999</v>
      </c>
      <c r="Z93">
        <f t="shared" si="47"/>
        <v>3.5415788236725301</v>
      </c>
      <c r="AA93">
        <f t="shared" si="48"/>
        <v>2.1787881275609968</v>
      </c>
      <c r="AB93">
        <f t="shared" si="49"/>
        <v>-48.277588859414202</v>
      </c>
      <c r="AC93">
        <f t="shared" si="50"/>
        <v>-206.25535181775629</v>
      </c>
      <c r="AD93">
        <f t="shared" si="51"/>
        <v>-21.782623129947623</v>
      </c>
      <c r="AE93">
        <f t="shared" si="52"/>
        <v>-0.20146193911810428</v>
      </c>
      <c r="AF93">
        <v>46</v>
      </c>
      <c r="AG93">
        <v>15</v>
      </c>
      <c r="AH93">
        <f t="shared" si="53"/>
        <v>1</v>
      </c>
      <c r="AI93">
        <f t="shared" si="54"/>
        <v>0</v>
      </c>
      <c r="AJ93">
        <f t="shared" si="55"/>
        <v>52179.601364557573</v>
      </c>
      <c r="AK93">
        <f t="shared" si="56"/>
        <v>1800</v>
      </c>
      <c r="AL93">
        <f t="shared" si="57"/>
        <v>1499.1153048000001</v>
      </c>
      <c r="AM93">
        <f t="shared" si="58"/>
        <v>0.83284183600000006</v>
      </c>
      <c r="AN93">
        <f t="shared" si="59"/>
        <v>0.15339672326000001</v>
      </c>
      <c r="AO93">
        <v>33.6</v>
      </c>
      <c r="AP93">
        <v>0.5</v>
      </c>
      <c r="AQ93" t="s">
        <v>331</v>
      </c>
      <c r="AR93">
        <v>2</v>
      </c>
      <c r="AS93">
        <v>1690216054.5999999</v>
      </c>
      <c r="AT93">
        <v>638.125</v>
      </c>
      <c r="AU93">
        <v>799.94299999999998</v>
      </c>
      <c r="AV93">
        <v>17.834299999999999</v>
      </c>
      <c r="AW93">
        <v>5.7983700000000002</v>
      </c>
      <c r="AX93">
        <v>638.40099999999995</v>
      </c>
      <c r="AY93">
        <v>17.693200000000001</v>
      </c>
      <c r="AZ93">
        <v>300.15899999999999</v>
      </c>
      <c r="BA93">
        <v>99.079300000000003</v>
      </c>
      <c r="BB93">
        <v>0.10001699999999999</v>
      </c>
      <c r="BC93">
        <v>26.820399999999999</v>
      </c>
      <c r="BD93">
        <v>26.986699999999999</v>
      </c>
      <c r="BE93">
        <v>28.343499999999999</v>
      </c>
      <c r="BF93">
        <v>0</v>
      </c>
      <c r="BG93">
        <v>0</v>
      </c>
      <c r="BH93">
        <v>9951.8799999999992</v>
      </c>
      <c r="BI93">
        <v>1075.9000000000001</v>
      </c>
      <c r="BJ93">
        <v>1.8894299999999999</v>
      </c>
      <c r="BK93">
        <v>-161.81899999999999</v>
      </c>
      <c r="BL93">
        <v>649.71199999999999</v>
      </c>
      <c r="BM93">
        <v>804.60900000000004</v>
      </c>
      <c r="BN93">
        <v>12.0359</v>
      </c>
      <c r="BO93">
        <v>799.94299999999998</v>
      </c>
      <c r="BP93">
        <v>5.7983700000000002</v>
      </c>
      <c r="BQ93">
        <v>1.76701</v>
      </c>
      <c r="BR93">
        <v>0.57449899999999998</v>
      </c>
      <c r="BS93">
        <v>15.4979</v>
      </c>
      <c r="BT93">
        <v>-0.90428900000000001</v>
      </c>
      <c r="BU93">
        <v>1800</v>
      </c>
      <c r="BV93">
        <v>0.910026</v>
      </c>
      <c r="BW93">
        <v>3.3996400000000003E-2</v>
      </c>
      <c r="BX93">
        <v>2.1991799999999999E-2</v>
      </c>
      <c r="BY93">
        <v>3.3986200000000001E-2</v>
      </c>
      <c r="BZ93">
        <v>25.666699999999999</v>
      </c>
      <c r="CA93">
        <v>33528.5</v>
      </c>
      <c r="CB93">
        <v>1690214843</v>
      </c>
      <c r="CC93" t="s">
        <v>332</v>
      </c>
      <c r="CD93">
        <v>1690214842</v>
      </c>
      <c r="CE93">
        <v>1690214843</v>
      </c>
      <c r="CF93">
        <v>8</v>
      </c>
      <c r="CG93">
        <v>-6.3E-2</v>
      </c>
      <c r="CH93">
        <v>1E-3</v>
      </c>
      <c r="CI93">
        <v>-0.38900000000000001</v>
      </c>
      <c r="CJ93">
        <v>-6.6000000000000003E-2</v>
      </c>
      <c r="CK93">
        <v>800</v>
      </c>
      <c r="CL93">
        <v>6</v>
      </c>
      <c r="CM93">
        <v>0.23</v>
      </c>
      <c r="CN93">
        <v>0.02</v>
      </c>
      <c r="CO93">
        <v>-159.03890000000001</v>
      </c>
      <c r="CP93">
        <v>-15.04171857410862</v>
      </c>
      <c r="CQ93">
        <v>1.4470295228501731</v>
      </c>
      <c r="CR93">
        <v>-1</v>
      </c>
      <c r="CS93">
        <v>11.891697499999999</v>
      </c>
      <c r="CT93">
        <v>0.76237485928701221</v>
      </c>
      <c r="CU93">
        <v>7.3346218332985699E-2</v>
      </c>
      <c r="CV93">
        <v>-1</v>
      </c>
      <c r="CW93">
        <v>0</v>
      </c>
      <c r="CX93">
        <v>0</v>
      </c>
      <c r="CY93" t="s">
        <v>333</v>
      </c>
      <c r="CZ93">
        <v>2.36436</v>
      </c>
      <c r="DA93">
        <v>2.7137699999999998</v>
      </c>
      <c r="DB93">
        <v>0.12570500000000001</v>
      </c>
      <c r="DC93">
        <v>0.14604400000000001</v>
      </c>
      <c r="DD93">
        <v>9.2152100000000001E-2</v>
      </c>
      <c r="DE93">
        <v>3.8352999999999998E-2</v>
      </c>
      <c r="DF93">
        <v>31911.9</v>
      </c>
      <c r="DG93">
        <v>27504.5</v>
      </c>
      <c r="DH93">
        <v>31160.7</v>
      </c>
      <c r="DI93">
        <v>28065.599999999999</v>
      </c>
      <c r="DJ93">
        <v>38412.5</v>
      </c>
      <c r="DK93">
        <v>38377.4</v>
      </c>
      <c r="DL93">
        <v>44343.3</v>
      </c>
      <c r="DM93">
        <v>42533.599999999999</v>
      </c>
      <c r="DN93">
        <v>1.35612</v>
      </c>
      <c r="DO93">
        <v>2.0335200000000002</v>
      </c>
      <c r="DP93">
        <v>8.3744499999999999E-2</v>
      </c>
      <c r="DQ93">
        <v>0.18193599999999999</v>
      </c>
      <c r="DR93">
        <v>25.615600000000001</v>
      </c>
      <c r="DS93">
        <v>25.3674</v>
      </c>
      <c r="DT93">
        <v>17.2</v>
      </c>
      <c r="DU93">
        <v>29.8</v>
      </c>
      <c r="DV93">
        <v>7.3121099999999997</v>
      </c>
      <c r="DW93">
        <v>61.718499999999999</v>
      </c>
      <c r="DX93">
        <v>36.081699999999998</v>
      </c>
      <c r="DY93">
        <v>1</v>
      </c>
      <c r="DZ93">
        <v>-8.4407999999999997E-2</v>
      </c>
      <c r="EA93">
        <v>-0.138184</v>
      </c>
      <c r="EB93">
        <v>20.189699999999998</v>
      </c>
      <c r="EC93">
        <v>5.2409499999999998</v>
      </c>
      <c r="ED93">
        <v>12.039899999999999</v>
      </c>
      <c r="EE93">
        <v>5.0168999999999997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1.86893</v>
      </c>
      <c r="EL93">
        <v>1.86467</v>
      </c>
      <c r="EM93">
        <v>1.8692</v>
      </c>
      <c r="EN93">
        <v>1.86727</v>
      </c>
      <c r="EO93">
        <v>1.8633999999999999</v>
      </c>
      <c r="EP93">
        <v>1.8646</v>
      </c>
      <c r="EQ93">
        <v>1.8702000000000001</v>
      </c>
      <c r="ER93">
        <v>1.8694500000000001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-0.27600000000000002</v>
      </c>
      <c r="FG93">
        <v>0.1411</v>
      </c>
      <c r="FH93">
        <v>0.16202357103534001</v>
      </c>
      <c r="FI93">
        <v>-6.1462078757559423E-4</v>
      </c>
      <c r="FJ93">
        <v>-1.8861989874597051E-7</v>
      </c>
      <c r="FK93">
        <v>1.1980462299894961E-10</v>
      </c>
      <c r="FL93">
        <v>-3.0039189969545878E-2</v>
      </c>
      <c r="FM93">
        <v>-1.6848085045870601E-2</v>
      </c>
      <c r="FN93">
        <v>1.9789084769509481E-3</v>
      </c>
      <c r="FO93">
        <v>-2.7142391389806329E-5</v>
      </c>
      <c r="FP93">
        <v>3</v>
      </c>
      <c r="FQ93">
        <v>2158</v>
      </c>
      <c r="FR93">
        <v>1</v>
      </c>
      <c r="FS93">
        <v>19</v>
      </c>
      <c r="FT93">
        <v>20.2</v>
      </c>
      <c r="FU93">
        <v>20.2</v>
      </c>
      <c r="FV93">
        <v>1.7785599999999999</v>
      </c>
      <c r="FW93">
        <v>2.5830099999999998</v>
      </c>
      <c r="FX93">
        <v>1.5490699999999999</v>
      </c>
      <c r="FY93">
        <v>2.3290999999999999</v>
      </c>
      <c r="FZ93">
        <v>1.50146</v>
      </c>
      <c r="GA93">
        <v>2.2936999999999999</v>
      </c>
      <c r="GB93">
        <v>33.850900000000003</v>
      </c>
      <c r="GC93">
        <v>23.973700000000001</v>
      </c>
      <c r="GD93">
        <v>19</v>
      </c>
      <c r="GE93">
        <v>235.34200000000001</v>
      </c>
      <c r="GF93">
        <v>582.01099999999997</v>
      </c>
      <c r="GG93">
        <v>25.058199999999999</v>
      </c>
      <c r="GH93">
        <v>26.3264</v>
      </c>
      <c r="GI93">
        <v>30.0002</v>
      </c>
      <c r="GJ93">
        <v>26.465800000000002</v>
      </c>
      <c r="GK93">
        <v>26.444900000000001</v>
      </c>
      <c r="GL93">
        <v>35.5687</v>
      </c>
      <c r="GM93">
        <v>-30</v>
      </c>
      <c r="GN93">
        <v>-30</v>
      </c>
      <c r="GO93">
        <v>25.065200000000001</v>
      </c>
      <c r="GP93">
        <v>800</v>
      </c>
      <c r="GQ93">
        <v>12.5298</v>
      </c>
      <c r="GR93">
        <v>99.699200000000005</v>
      </c>
      <c r="GS93">
        <v>99.5047</v>
      </c>
    </row>
    <row r="94" spans="1:201" x14ac:dyDescent="0.25">
      <c r="A94">
        <v>78</v>
      </c>
      <c r="B94">
        <v>1690216064.5999999</v>
      </c>
      <c r="C94">
        <v>1119.099999904633</v>
      </c>
      <c r="D94" t="s">
        <v>489</v>
      </c>
      <c r="E94" t="s">
        <v>490</v>
      </c>
      <c r="F94" t="s">
        <v>330</v>
      </c>
      <c r="H94">
        <v>1690216064.5999999</v>
      </c>
      <c r="I94">
        <f t="shared" si="30"/>
        <v>1.1067299096797036E-3</v>
      </c>
      <c r="J94">
        <f t="shared" si="31"/>
        <v>1.1067299096797036</v>
      </c>
      <c r="K94">
        <f t="shared" si="32"/>
        <v>13.985738110601769</v>
      </c>
      <c r="L94">
        <f t="shared" si="33"/>
        <v>635.58299999999997</v>
      </c>
      <c r="M94">
        <f t="shared" si="34"/>
        <v>167.48721009736732</v>
      </c>
      <c r="N94">
        <f t="shared" si="35"/>
        <v>16.611365418684723</v>
      </c>
      <c r="O94">
        <f t="shared" si="36"/>
        <v>63.037060924032005</v>
      </c>
      <c r="P94">
        <f t="shared" si="37"/>
        <v>4.9891616688582746E-2</v>
      </c>
      <c r="Q94">
        <f t="shared" si="38"/>
        <v>2.0592705345307096</v>
      </c>
      <c r="R94">
        <f t="shared" si="39"/>
        <v>4.9229696066380682E-2</v>
      </c>
      <c r="S94">
        <f t="shared" si="40"/>
        <v>3.0827299310141415E-2</v>
      </c>
      <c r="T94">
        <f t="shared" si="41"/>
        <v>276.11412294600001</v>
      </c>
      <c r="U94">
        <f t="shared" si="42"/>
        <v>28.675649371965129</v>
      </c>
      <c r="V94">
        <f t="shared" si="43"/>
        <v>28.675649371965129</v>
      </c>
      <c r="W94">
        <f t="shared" si="44"/>
        <v>3.9469041355339227</v>
      </c>
      <c r="X94">
        <f t="shared" si="45"/>
        <v>50.301292545052668</v>
      </c>
      <c r="Y94">
        <f t="shared" si="46"/>
        <v>1.7816380414848001</v>
      </c>
      <c r="Z94">
        <f t="shared" si="47"/>
        <v>3.5419329232724284</v>
      </c>
      <c r="AA94">
        <f t="shared" si="48"/>
        <v>2.1652660940491226</v>
      </c>
      <c r="AB94">
        <f t="shared" si="49"/>
        <v>-48.80678901687493</v>
      </c>
      <c r="AC94">
        <f t="shared" si="50"/>
        <v>-205.77992627790078</v>
      </c>
      <c r="AD94">
        <f t="shared" si="51"/>
        <v>-21.727860626697026</v>
      </c>
      <c r="AE94">
        <f t="shared" si="52"/>
        <v>-0.20045297547275709</v>
      </c>
      <c r="AF94">
        <v>45</v>
      </c>
      <c r="AG94">
        <v>15</v>
      </c>
      <c r="AH94">
        <f t="shared" si="53"/>
        <v>1</v>
      </c>
      <c r="AI94">
        <f t="shared" si="54"/>
        <v>0</v>
      </c>
      <c r="AJ94">
        <f t="shared" si="55"/>
        <v>52198.398609381569</v>
      </c>
      <c r="AK94">
        <f t="shared" si="56"/>
        <v>1800</v>
      </c>
      <c r="AL94">
        <f t="shared" si="57"/>
        <v>1499.1093845999999</v>
      </c>
      <c r="AM94">
        <f t="shared" si="58"/>
        <v>0.83283854699999993</v>
      </c>
      <c r="AN94">
        <f t="shared" si="59"/>
        <v>0.15339673497</v>
      </c>
      <c r="AO94">
        <v>33.6</v>
      </c>
      <c r="AP94">
        <v>0.5</v>
      </c>
      <c r="AQ94" t="s">
        <v>331</v>
      </c>
      <c r="AR94">
        <v>2</v>
      </c>
      <c r="AS94">
        <v>1690216064.5999999</v>
      </c>
      <c r="AT94">
        <v>635.58299999999997</v>
      </c>
      <c r="AU94">
        <v>800.00400000000002</v>
      </c>
      <c r="AV94">
        <v>17.963699999999999</v>
      </c>
      <c r="AW94">
        <v>5.7982100000000001</v>
      </c>
      <c r="AX94">
        <v>635.85799999999995</v>
      </c>
      <c r="AY94">
        <v>17.819199999999999</v>
      </c>
      <c r="AZ94">
        <v>300.178</v>
      </c>
      <c r="BA94">
        <v>99.079800000000006</v>
      </c>
      <c r="BB94">
        <v>0.100104</v>
      </c>
      <c r="BC94">
        <v>26.822099999999999</v>
      </c>
      <c r="BD94">
        <v>26.9909</v>
      </c>
      <c r="BE94">
        <v>28.3566</v>
      </c>
      <c r="BF94">
        <v>0</v>
      </c>
      <c r="BG94">
        <v>0</v>
      </c>
      <c r="BH94">
        <v>9955.6200000000008</v>
      </c>
      <c r="BI94">
        <v>1075.82</v>
      </c>
      <c r="BJ94">
        <v>1.71702</v>
      </c>
      <c r="BK94">
        <v>-164.42</v>
      </c>
      <c r="BL94">
        <v>647.21</v>
      </c>
      <c r="BM94">
        <v>804.66899999999998</v>
      </c>
      <c r="BN94">
        <v>12.1655</v>
      </c>
      <c r="BO94">
        <v>800.00400000000002</v>
      </c>
      <c r="BP94">
        <v>5.7982100000000001</v>
      </c>
      <c r="BQ94">
        <v>1.7798400000000001</v>
      </c>
      <c r="BR94">
        <v>0.57448500000000002</v>
      </c>
      <c r="BS94">
        <v>15.610900000000001</v>
      </c>
      <c r="BT94">
        <v>-0.90461499999999995</v>
      </c>
      <c r="BU94">
        <v>1800</v>
      </c>
      <c r="BV94">
        <v>0.91000199999999998</v>
      </c>
      <c r="BW94">
        <v>3.4007099999999998E-2</v>
      </c>
      <c r="BX94">
        <v>2.1990599999999999E-2</v>
      </c>
      <c r="BY94">
        <v>3.4000099999999998E-2</v>
      </c>
      <c r="BZ94">
        <v>25.666699999999999</v>
      </c>
      <c r="CA94">
        <v>33528.5</v>
      </c>
      <c r="CB94">
        <v>1690214843</v>
      </c>
      <c r="CC94" t="s">
        <v>332</v>
      </c>
      <c r="CD94">
        <v>1690214842</v>
      </c>
      <c r="CE94">
        <v>1690214843</v>
      </c>
      <c r="CF94">
        <v>8</v>
      </c>
      <c r="CG94">
        <v>-6.3E-2</v>
      </c>
      <c r="CH94">
        <v>1E-3</v>
      </c>
      <c r="CI94">
        <v>-0.38900000000000001</v>
      </c>
      <c r="CJ94">
        <v>-6.6000000000000003E-2</v>
      </c>
      <c r="CK94">
        <v>800</v>
      </c>
      <c r="CL94">
        <v>6</v>
      </c>
      <c r="CM94">
        <v>0.23</v>
      </c>
      <c r="CN94">
        <v>0.02</v>
      </c>
      <c r="CO94">
        <v>-161.63451219512191</v>
      </c>
      <c r="CP94">
        <v>-15.32402090592335</v>
      </c>
      <c r="CQ94">
        <v>1.511392785575709</v>
      </c>
      <c r="CR94">
        <v>-1</v>
      </c>
      <c r="CS94">
        <v>12.023807317073169</v>
      </c>
      <c r="CT94">
        <v>0.78527874564459887</v>
      </c>
      <c r="CU94">
        <v>7.7438852006721737E-2</v>
      </c>
      <c r="CV94">
        <v>-1</v>
      </c>
      <c r="CW94">
        <v>0</v>
      </c>
      <c r="CX94">
        <v>0</v>
      </c>
      <c r="CY94" t="s">
        <v>333</v>
      </c>
      <c r="CZ94">
        <v>2.3644599999999998</v>
      </c>
      <c r="DA94">
        <v>2.7138599999999999</v>
      </c>
      <c r="DB94">
        <v>0.12536</v>
      </c>
      <c r="DC94">
        <v>0.14605299999999999</v>
      </c>
      <c r="DD94">
        <v>9.2627799999999996E-2</v>
      </c>
      <c r="DE94">
        <v>3.8352499999999998E-2</v>
      </c>
      <c r="DF94">
        <v>31924.7</v>
      </c>
      <c r="DG94">
        <v>27504.2</v>
      </c>
      <c r="DH94">
        <v>31160.9</v>
      </c>
      <c r="DI94">
        <v>28065.5</v>
      </c>
      <c r="DJ94">
        <v>38392.400000000001</v>
      </c>
      <c r="DK94">
        <v>38377.199999999997</v>
      </c>
      <c r="DL94">
        <v>44343.6</v>
      </c>
      <c r="DM94">
        <v>42533.4</v>
      </c>
      <c r="DN94">
        <v>1.3569500000000001</v>
      </c>
      <c r="DO94">
        <v>2.0332300000000001</v>
      </c>
      <c r="DP94">
        <v>8.3833900000000003E-2</v>
      </c>
      <c r="DQ94">
        <v>0.18260999999999999</v>
      </c>
      <c r="DR94">
        <v>25.618300000000001</v>
      </c>
      <c r="DS94">
        <v>25.369499999999999</v>
      </c>
      <c r="DT94">
        <v>17.2</v>
      </c>
      <c r="DU94">
        <v>29.8</v>
      </c>
      <c r="DV94">
        <v>7.3110600000000003</v>
      </c>
      <c r="DW94">
        <v>61.888500000000001</v>
      </c>
      <c r="DX94">
        <v>36.213900000000002</v>
      </c>
      <c r="DY94">
        <v>1</v>
      </c>
      <c r="DZ94">
        <v>-8.4603700000000004E-2</v>
      </c>
      <c r="EA94">
        <v>-0.119739</v>
      </c>
      <c r="EB94">
        <v>20.189699999999998</v>
      </c>
      <c r="EC94">
        <v>5.2409499999999998</v>
      </c>
      <c r="ED94">
        <v>12.039899999999999</v>
      </c>
      <c r="EE94">
        <v>5.01715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1.8689199999999999</v>
      </c>
      <c r="EL94">
        <v>1.86466</v>
      </c>
      <c r="EM94">
        <v>1.8692</v>
      </c>
      <c r="EN94">
        <v>1.8672599999999999</v>
      </c>
      <c r="EO94">
        <v>1.8633999999999999</v>
      </c>
      <c r="EP94">
        <v>1.8645799999999999</v>
      </c>
      <c r="EQ94">
        <v>1.87019</v>
      </c>
      <c r="ER94">
        <v>1.8694299999999999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-0.27500000000000002</v>
      </c>
      <c r="FG94">
        <v>0.14449999999999999</v>
      </c>
      <c r="FH94">
        <v>0.16202357103534001</v>
      </c>
      <c r="FI94">
        <v>-6.1462078757559423E-4</v>
      </c>
      <c r="FJ94">
        <v>-1.8861989874597051E-7</v>
      </c>
      <c r="FK94">
        <v>1.1980462299894961E-10</v>
      </c>
      <c r="FL94">
        <v>-3.0039189969545878E-2</v>
      </c>
      <c r="FM94">
        <v>-1.6848085045870601E-2</v>
      </c>
      <c r="FN94">
        <v>1.9789084769509481E-3</v>
      </c>
      <c r="FO94">
        <v>-2.7142391389806329E-5</v>
      </c>
      <c r="FP94">
        <v>3</v>
      </c>
      <c r="FQ94">
        <v>2158</v>
      </c>
      <c r="FR94">
        <v>1</v>
      </c>
      <c r="FS94">
        <v>19</v>
      </c>
      <c r="FT94">
        <v>20.399999999999999</v>
      </c>
      <c r="FU94">
        <v>20.399999999999999</v>
      </c>
      <c r="FV94">
        <v>1.7785599999999999</v>
      </c>
      <c r="FW94">
        <v>2.5805699999999998</v>
      </c>
      <c r="FX94">
        <v>1.5490699999999999</v>
      </c>
      <c r="FY94">
        <v>2.3290999999999999</v>
      </c>
      <c r="FZ94">
        <v>1.50146</v>
      </c>
      <c r="GA94">
        <v>2.2888199999999999</v>
      </c>
      <c r="GB94">
        <v>33.850900000000003</v>
      </c>
      <c r="GC94">
        <v>23.973700000000001</v>
      </c>
      <c r="GD94">
        <v>19</v>
      </c>
      <c r="GE94">
        <v>235.643</v>
      </c>
      <c r="GF94">
        <v>581.73900000000003</v>
      </c>
      <c r="GG94">
        <v>25.075299999999999</v>
      </c>
      <c r="GH94">
        <v>26.324200000000001</v>
      </c>
      <c r="GI94">
        <v>30</v>
      </c>
      <c r="GJ94">
        <v>26.4636</v>
      </c>
      <c r="GK94">
        <v>26.442699999999999</v>
      </c>
      <c r="GL94">
        <v>35.567300000000003</v>
      </c>
      <c r="GM94">
        <v>-30</v>
      </c>
      <c r="GN94">
        <v>-30</v>
      </c>
      <c r="GO94">
        <v>25.078099999999999</v>
      </c>
      <c r="GP94">
        <v>800</v>
      </c>
      <c r="GQ94">
        <v>12.5298</v>
      </c>
      <c r="GR94">
        <v>99.699799999999996</v>
      </c>
      <c r="GS94">
        <v>99.504300000000001</v>
      </c>
    </row>
    <row r="95" spans="1:201" x14ac:dyDescent="0.25">
      <c r="A95">
        <v>79</v>
      </c>
      <c r="B95">
        <v>1690216074.5999999</v>
      </c>
      <c r="C95">
        <v>1129.099999904633</v>
      </c>
      <c r="D95" t="s">
        <v>491</v>
      </c>
      <c r="E95" t="s">
        <v>492</v>
      </c>
      <c r="F95" t="s">
        <v>330</v>
      </c>
      <c r="H95">
        <v>1690216074.5999999</v>
      </c>
      <c r="I95">
        <f t="shared" si="30"/>
        <v>1.1188365988933214E-3</v>
      </c>
      <c r="J95">
        <f t="shared" si="31"/>
        <v>1.1188365988933215</v>
      </c>
      <c r="K95">
        <f t="shared" si="32"/>
        <v>14.208327588084478</v>
      </c>
      <c r="L95">
        <f t="shared" si="33"/>
        <v>633.00199999999995</v>
      </c>
      <c r="M95">
        <f t="shared" si="34"/>
        <v>165.83384250166395</v>
      </c>
      <c r="N95">
        <f t="shared" si="35"/>
        <v>16.447206639553148</v>
      </c>
      <c r="O95">
        <f t="shared" si="36"/>
        <v>62.780398380661993</v>
      </c>
      <c r="P95">
        <f t="shared" si="37"/>
        <v>5.0779682506391408E-2</v>
      </c>
      <c r="Q95">
        <f t="shared" si="38"/>
        <v>2.0629098361296569</v>
      </c>
      <c r="R95">
        <f t="shared" si="39"/>
        <v>5.0095354301094415E-2</v>
      </c>
      <c r="S95">
        <f t="shared" si="40"/>
        <v>3.1370312255680655E-2</v>
      </c>
      <c r="T95">
        <f t="shared" si="41"/>
        <v>276.11259297462811</v>
      </c>
      <c r="U95">
        <f t="shared" si="42"/>
        <v>28.669627171635263</v>
      </c>
      <c r="V95">
        <f t="shared" si="43"/>
        <v>28.669627171635263</v>
      </c>
      <c r="W95">
        <f t="shared" si="44"/>
        <v>3.945525627042735</v>
      </c>
      <c r="X95">
        <f t="shared" si="45"/>
        <v>50.662012259115585</v>
      </c>
      <c r="Y95">
        <f t="shared" si="46"/>
        <v>1.7945516859971</v>
      </c>
      <c r="Z95">
        <f t="shared" si="47"/>
        <v>3.5422037261739585</v>
      </c>
      <c r="AA95">
        <f t="shared" si="48"/>
        <v>2.1509739410456348</v>
      </c>
      <c r="AB95">
        <f t="shared" si="49"/>
        <v>-49.340694011195474</v>
      </c>
      <c r="AC95">
        <f t="shared" si="50"/>
        <v>-205.32925355629146</v>
      </c>
      <c r="AD95">
        <f t="shared" si="51"/>
        <v>-21.641516271613767</v>
      </c>
      <c r="AE95">
        <f t="shared" si="52"/>
        <v>-0.19887086447258184</v>
      </c>
      <c r="AF95">
        <v>46</v>
      </c>
      <c r="AG95">
        <v>15</v>
      </c>
      <c r="AH95">
        <f t="shared" si="53"/>
        <v>1</v>
      </c>
      <c r="AI95">
        <f t="shared" si="54"/>
        <v>0</v>
      </c>
      <c r="AJ95">
        <f t="shared" si="55"/>
        <v>52364.352933700095</v>
      </c>
      <c r="AK95">
        <f t="shared" si="56"/>
        <v>1799.99</v>
      </c>
      <c r="AL95">
        <f t="shared" si="57"/>
        <v>1499.0986748277601</v>
      </c>
      <c r="AM95">
        <f t="shared" si="58"/>
        <v>0.83283722400000004</v>
      </c>
      <c r="AN95">
        <f t="shared" si="59"/>
        <v>0.15339673718999999</v>
      </c>
      <c r="AO95">
        <v>33.6</v>
      </c>
      <c r="AP95">
        <v>0.5</v>
      </c>
      <c r="AQ95" t="s">
        <v>331</v>
      </c>
      <c r="AR95">
        <v>2</v>
      </c>
      <c r="AS95">
        <v>1690216074.5999999</v>
      </c>
      <c r="AT95">
        <v>633.00199999999995</v>
      </c>
      <c r="AU95">
        <v>799.97</v>
      </c>
      <c r="AV95">
        <v>18.094100000000001</v>
      </c>
      <c r="AW95">
        <v>5.79704</v>
      </c>
      <c r="AX95">
        <v>633.27499999999998</v>
      </c>
      <c r="AY95">
        <v>17.946000000000002</v>
      </c>
      <c r="AZ95">
        <v>300.17500000000001</v>
      </c>
      <c r="BA95">
        <v>99.078800000000001</v>
      </c>
      <c r="BB95">
        <v>0.10003099999999999</v>
      </c>
      <c r="BC95">
        <v>26.823399999999999</v>
      </c>
      <c r="BD95">
        <v>26.998200000000001</v>
      </c>
      <c r="BE95">
        <v>28.3657</v>
      </c>
      <c r="BF95">
        <v>0</v>
      </c>
      <c r="BG95">
        <v>0</v>
      </c>
      <c r="BH95">
        <v>9988.75</v>
      </c>
      <c r="BI95">
        <v>1075.95</v>
      </c>
      <c r="BJ95">
        <v>1.8501799999999999</v>
      </c>
      <c r="BK95">
        <v>-166.96799999999999</v>
      </c>
      <c r="BL95">
        <v>644.66700000000003</v>
      </c>
      <c r="BM95">
        <v>804.63499999999999</v>
      </c>
      <c r="BN95">
        <v>12.297000000000001</v>
      </c>
      <c r="BO95">
        <v>799.97</v>
      </c>
      <c r="BP95">
        <v>5.79704</v>
      </c>
      <c r="BQ95">
        <v>1.79274</v>
      </c>
      <c r="BR95">
        <v>0.57436399999999999</v>
      </c>
      <c r="BS95">
        <v>15.723599999999999</v>
      </c>
      <c r="BT95">
        <v>-0.90748399999999996</v>
      </c>
      <c r="BU95">
        <v>1799.99</v>
      </c>
      <c r="BV95">
        <v>0.90998999999999997</v>
      </c>
      <c r="BW95">
        <v>3.4008299999999998E-2</v>
      </c>
      <c r="BX95">
        <v>2.1989700000000001E-2</v>
      </c>
      <c r="BY95">
        <v>3.4011699999999999E-2</v>
      </c>
      <c r="BZ95">
        <v>25.666699999999999</v>
      </c>
      <c r="CA95">
        <v>33528.400000000001</v>
      </c>
      <c r="CB95">
        <v>1690214843</v>
      </c>
      <c r="CC95" t="s">
        <v>332</v>
      </c>
      <c r="CD95">
        <v>1690214842</v>
      </c>
      <c r="CE95">
        <v>1690214843</v>
      </c>
      <c r="CF95">
        <v>8</v>
      </c>
      <c r="CG95">
        <v>-6.3E-2</v>
      </c>
      <c r="CH95">
        <v>1E-3</v>
      </c>
      <c r="CI95">
        <v>-0.38900000000000001</v>
      </c>
      <c r="CJ95">
        <v>-6.6000000000000003E-2</v>
      </c>
      <c r="CK95">
        <v>800</v>
      </c>
      <c r="CL95">
        <v>6</v>
      </c>
      <c r="CM95">
        <v>0.23</v>
      </c>
      <c r="CN95">
        <v>0.02</v>
      </c>
      <c r="CO95">
        <v>-164.14765</v>
      </c>
      <c r="CP95">
        <v>-15.72932082551552</v>
      </c>
      <c r="CQ95">
        <v>1.5135916151657309</v>
      </c>
      <c r="CR95">
        <v>-1</v>
      </c>
      <c r="CS95">
        <v>12.151517500000001</v>
      </c>
      <c r="CT95">
        <v>0.79006941838645739</v>
      </c>
      <c r="CU95">
        <v>7.6016655699589916E-2</v>
      </c>
      <c r="CV95">
        <v>-1</v>
      </c>
      <c r="CW95">
        <v>0</v>
      </c>
      <c r="CX95">
        <v>0</v>
      </c>
      <c r="CY95" t="s">
        <v>333</v>
      </c>
      <c r="CZ95">
        <v>2.3644099999999999</v>
      </c>
      <c r="DA95">
        <v>2.7138100000000001</v>
      </c>
      <c r="DB95">
        <v>0.12500600000000001</v>
      </c>
      <c r="DC95">
        <v>0.14604800000000001</v>
      </c>
      <c r="DD95">
        <v>9.3104000000000006E-2</v>
      </c>
      <c r="DE95">
        <v>3.8346100000000001E-2</v>
      </c>
      <c r="DF95">
        <v>31937.599999999999</v>
      </c>
      <c r="DG95">
        <v>27504.5</v>
      </c>
      <c r="DH95">
        <v>31160.9</v>
      </c>
      <c r="DI95">
        <v>28065.7</v>
      </c>
      <c r="DJ95">
        <v>38371.9</v>
      </c>
      <c r="DK95">
        <v>38377.800000000003</v>
      </c>
      <c r="DL95">
        <v>44343.5</v>
      </c>
      <c r="DM95">
        <v>42533.599999999999</v>
      </c>
      <c r="DN95">
        <v>1.3565499999999999</v>
      </c>
      <c r="DO95">
        <v>2.0333199999999998</v>
      </c>
      <c r="DP95">
        <v>8.4251199999999998E-2</v>
      </c>
      <c r="DQ95">
        <v>0.18296799999999999</v>
      </c>
      <c r="DR95">
        <v>25.6188</v>
      </c>
      <c r="DS95">
        <v>25.372800000000002</v>
      </c>
      <c r="DT95">
        <v>17.2</v>
      </c>
      <c r="DU95">
        <v>29.8</v>
      </c>
      <c r="DV95">
        <v>7.31135</v>
      </c>
      <c r="DW95">
        <v>61.608499999999999</v>
      </c>
      <c r="DX95">
        <v>36.253999999999998</v>
      </c>
      <c r="DY95">
        <v>1</v>
      </c>
      <c r="DZ95">
        <v>-8.4651900000000002E-2</v>
      </c>
      <c r="EA95">
        <v>-0.125218</v>
      </c>
      <c r="EB95">
        <v>20.189900000000002</v>
      </c>
      <c r="EC95">
        <v>5.2411000000000003</v>
      </c>
      <c r="ED95">
        <v>12.039899999999999</v>
      </c>
      <c r="EE95">
        <v>5.0172499999999998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1.8689199999999999</v>
      </c>
      <c r="EL95">
        <v>1.86467</v>
      </c>
      <c r="EM95">
        <v>1.8692</v>
      </c>
      <c r="EN95">
        <v>1.8672200000000001</v>
      </c>
      <c r="EO95">
        <v>1.8633999999999999</v>
      </c>
      <c r="EP95">
        <v>1.8645799999999999</v>
      </c>
      <c r="EQ95">
        <v>1.8701700000000001</v>
      </c>
      <c r="ER95">
        <v>1.8694599999999999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-0.27300000000000002</v>
      </c>
      <c r="FG95">
        <v>0.14810000000000001</v>
      </c>
      <c r="FH95">
        <v>0.16202357103534001</v>
      </c>
      <c r="FI95">
        <v>-6.1462078757559423E-4</v>
      </c>
      <c r="FJ95">
        <v>-1.8861989874597051E-7</v>
      </c>
      <c r="FK95">
        <v>1.1980462299894961E-10</v>
      </c>
      <c r="FL95">
        <v>-3.0039189969545878E-2</v>
      </c>
      <c r="FM95">
        <v>-1.6848085045870601E-2</v>
      </c>
      <c r="FN95">
        <v>1.9789084769509481E-3</v>
      </c>
      <c r="FO95">
        <v>-2.7142391389806329E-5</v>
      </c>
      <c r="FP95">
        <v>3</v>
      </c>
      <c r="FQ95">
        <v>2158</v>
      </c>
      <c r="FR95">
        <v>1</v>
      </c>
      <c r="FS95">
        <v>19</v>
      </c>
      <c r="FT95">
        <v>20.5</v>
      </c>
      <c r="FU95">
        <v>20.5</v>
      </c>
      <c r="FV95">
        <v>1.7785599999999999</v>
      </c>
      <c r="FW95">
        <v>2.5817899999999998</v>
      </c>
      <c r="FX95">
        <v>1.5490699999999999</v>
      </c>
      <c r="FY95">
        <v>2.3290999999999999</v>
      </c>
      <c r="FZ95">
        <v>1.50146</v>
      </c>
      <c r="GA95">
        <v>2.3095699999999999</v>
      </c>
      <c r="GB95">
        <v>33.850900000000003</v>
      </c>
      <c r="GC95">
        <v>23.982399999999998</v>
      </c>
      <c r="GD95">
        <v>19</v>
      </c>
      <c r="GE95">
        <v>235.489</v>
      </c>
      <c r="GF95">
        <v>581.803</v>
      </c>
      <c r="GG95">
        <v>25.084800000000001</v>
      </c>
      <c r="GH95">
        <v>26.322299999999998</v>
      </c>
      <c r="GI95">
        <v>30.0001</v>
      </c>
      <c r="GJ95">
        <v>26.462299999999999</v>
      </c>
      <c r="GK95">
        <v>26.440999999999999</v>
      </c>
      <c r="GL95">
        <v>35.567300000000003</v>
      </c>
      <c r="GM95">
        <v>-30</v>
      </c>
      <c r="GN95">
        <v>-30</v>
      </c>
      <c r="GO95">
        <v>25.091699999999999</v>
      </c>
      <c r="GP95">
        <v>800</v>
      </c>
      <c r="GQ95">
        <v>12.5298</v>
      </c>
      <c r="GR95">
        <v>99.699700000000007</v>
      </c>
      <c r="GS95">
        <v>99.504900000000006</v>
      </c>
    </row>
    <row r="96" spans="1:201" x14ac:dyDescent="0.25">
      <c r="A96">
        <v>80</v>
      </c>
      <c r="B96">
        <v>1690216084.5999999</v>
      </c>
      <c r="C96">
        <v>1139.099999904633</v>
      </c>
      <c r="D96" t="s">
        <v>493</v>
      </c>
      <c r="E96" t="s">
        <v>494</v>
      </c>
      <c r="F96" t="s">
        <v>330</v>
      </c>
      <c r="H96">
        <v>1690216084.5999999</v>
      </c>
      <c r="I96">
        <f t="shared" si="30"/>
        <v>1.1308953690621786E-3</v>
      </c>
      <c r="J96">
        <f t="shared" si="31"/>
        <v>1.1308953690621786</v>
      </c>
      <c r="K96">
        <f t="shared" si="32"/>
        <v>14.44445018908479</v>
      </c>
      <c r="L96">
        <f t="shared" si="33"/>
        <v>630.33699999999999</v>
      </c>
      <c r="M96">
        <f t="shared" si="34"/>
        <v>163.93454955520403</v>
      </c>
      <c r="N96">
        <f t="shared" si="35"/>
        <v>16.25905272326392</v>
      </c>
      <c r="O96">
        <f t="shared" si="36"/>
        <v>62.516916319539</v>
      </c>
      <c r="P96">
        <f t="shared" si="37"/>
        <v>5.1701117156607253E-2</v>
      </c>
      <c r="Q96">
        <f t="shared" si="38"/>
        <v>2.0629935556095464</v>
      </c>
      <c r="R96">
        <f t="shared" si="39"/>
        <v>5.0991943733139714E-2</v>
      </c>
      <c r="S96">
        <f t="shared" si="40"/>
        <v>3.1932870814606759E-2</v>
      </c>
      <c r="T96">
        <f t="shared" si="41"/>
        <v>276.11600014799996</v>
      </c>
      <c r="U96">
        <f t="shared" si="42"/>
        <v>28.659767316268411</v>
      </c>
      <c r="V96">
        <f t="shared" si="43"/>
        <v>28.659767316268411</v>
      </c>
      <c r="W96">
        <f t="shared" si="44"/>
        <v>3.943269568731576</v>
      </c>
      <c r="X96">
        <f t="shared" si="45"/>
        <v>51.042066264296281</v>
      </c>
      <c r="Y96">
        <f t="shared" si="46"/>
        <v>1.8074292448839</v>
      </c>
      <c r="Z96">
        <f t="shared" si="47"/>
        <v>3.5410581451092025</v>
      </c>
      <c r="AA96">
        <f t="shared" si="48"/>
        <v>2.1358403238476757</v>
      </c>
      <c r="AB96">
        <f t="shared" si="49"/>
        <v>-49.872485775642076</v>
      </c>
      <c r="AC96">
        <f t="shared" si="50"/>
        <v>-204.85268288694732</v>
      </c>
      <c r="AD96">
        <f t="shared" si="51"/>
        <v>-21.588755030350438</v>
      </c>
      <c r="AE96">
        <f t="shared" si="52"/>
        <v>-0.19792354493986863</v>
      </c>
      <c r="AF96">
        <v>46</v>
      </c>
      <c r="AG96">
        <v>15</v>
      </c>
      <c r="AH96">
        <f t="shared" si="53"/>
        <v>1</v>
      </c>
      <c r="AI96">
        <f t="shared" si="54"/>
        <v>0</v>
      </c>
      <c r="AJ96">
        <f t="shared" si="55"/>
        <v>52369.169254796616</v>
      </c>
      <c r="AK96">
        <f t="shared" si="56"/>
        <v>1800</v>
      </c>
      <c r="AL96">
        <f t="shared" si="57"/>
        <v>1499.1083748000001</v>
      </c>
      <c r="AM96">
        <f t="shared" si="58"/>
        <v>0.83283798600000003</v>
      </c>
      <c r="AN96">
        <f t="shared" si="59"/>
        <v>0.15339777785999997</v>
      </c>
      <c r="AO96">
        <v>33.6</v>
      </c>
      <c r="AP96">
        <v>0.5</v>
      </c>
      <c r="AQ96" t="s">
        <v>331</v>
      </c>
      <c r="AR96">
        <v>2</v>
      </c>
      <c r="AS96">
        <v>1690216084.5999999</v>
      </c>
      <c r="AT96">
        <v>630.33699999999999</v>
      </c>
      <c r="AU96">
        <v>799.98900000000003</v>
      </c>
      <c r="AV96">
        <v>18.223700000000001</v>
      </c>
      <c r="AW96">
        <v>5.7965299999999997</v>
      </c>
      <c r="AX96">
        <v>630.60799999999995</v>
      </c>
      <c r="AY96">
        <v>18.072099999999999</v>
      </c>
      <c r="AZ96">
        <v>300.19400000000002</v>
      </c>
      <c r="BA96">
        <v>99.080100000000002</v>
      </c>
      <c r="BB96">
        <v>0.100047</v>
      </c>
      <c r="BC96">
        <v>26.817900000000002</v>
      </c>
      <c r="BD96">
        <v>26.991700000000002</v>
      </c>
      <c r="BE96">
        <v>28.360499999999998</v>
      </c>
      <c r="BF96">
        <v>0</v>
      </c>
      <c r="BG96">
        <v>0</v>
      </c>
      <c r="BH96">
        <v>9989.3799999999992</v>
      </c>
      <c r="BI96">
        <v>1075.93</v>
      </c>
      <c r="BJ96">
        <v>1.90625</v>
      </c>
      <c r="BK96">
        <v>-169.65199999999999</v>
      </c>
      <c r="BL96">
        <v>642.03800000000001</v>
      </c>
      <c r="BM96">
        <v>804.654</v>
      </c>
      <c r="BN96">
        <v>12.427099999999999</v>
      </c>
      <c r="BO96">
        <v>799.98900000000003</v>
      </c>
      <c r="BP96">
        <v>5.7965299999999997</v>
      </c>
      <c r="BQ96">
        <v>1.8056000000000001</v>
      </c>
      <c r="BR96">
        <v>0.57432099999999997</v>
      </c>
      <c r="BS96">
        <v>15.8354</v>
      </c>
      <c r="BT96">
        <v>-0.90851599999999999</v>
      </c>
      <c r="BU96">
        <v>1800</v>
      </c>
      <c r="BV96">
        <v>0.90997700000000004</v>
      </c>
      <c r="BW96">
        <v>3.4007099999999998E-2</v>
      </c>
      <c r="BX96">
        <v>2.2002799999999999E-2</v>
      </c>
      <c r="BY96">
        <v>3.40132E-2</v>
      </c>
      <c r="BZ96">
        <v>25.666699999999999</v>
      </c>
      <c r="CA96">
        <v>33528.199999999997</v>
      </c>
      <c r="CB96">
        <v>1690214843</v>
      </c>
      <c r="CC96" t="s">
        <v>332</v>
      </c>
      <c r="CD96">
        <v>1690214842</v>
      </c>
      <c r="CE96">
        <v>1690214843</v>
      </c>
      <c r="CF96">
        <v>8</v>
      </c>
      <c r="CG96">
        <v>-6.3E-2</v>
      </c>
      <c r="CH96">
        <v>1E-3</v>
      </c>
      <c r="CI96">
        <v>-0.38900000000000001</v>
      </c>
      <c r="CJ96">
        <v>-6.6000000000000003E-2</v>
      </c>
      <c r="CK96">
        <v>800</v>
      </c>
      <c r="CL96">
        <v>6</v>
      </c>
      <c r="CM96">
        <v>0.23</v>
      </c>
      <c r="CN96">
        <v>0.02</v>
      </c>
      <c r="CO96">
        <v>-166.71877499999999</v>
      </c>
      <c r="CP96">
        <v>-15.384056285177749</v>
      </c>
      <c r="CQ96">
        <v>1.4805760616648509</v>
      </c>
      <c r="CR96">
        <v>-1</v>
      </c>
      <c r="CS96">
        <v>12.281215</v>
      </c>
      <c r="CT96">
        <v>0.77624465290803935</v>
      </c>
      <c r="CU96">
        <v>7.4689907450739237E-2</v>
      </c>
      <c r="CV96">
        <v>-1</v>
      </c>
      <c r="CW96">
        <v>0</v>
      </c>
      <c r="CX96">
        <v>0</v>
      </c>
      <c r="CY96" t="s">
        <v>333</v>
      </c>
      <c r="CZ96">
        <v>2.36449</v>
      </c>
      <c r="DA96">
        <v>2.7138300000000002</v>
      </c>
      <c r="DB96">
        <v>0.124642</v>
      </c>
      <c r="DC96">
        <v>0.14605199999999999</v>
      </c>
      <c r="DD96">
        <v>9.3577999999999995E-2</v>
      </c>
      <c r="DE96">
        <v>3.8343799999999997E-2</v>
      </c>
      <c r="DF96">
        <v>31951.4</v>
      </c>
      <c r="DG96">
        <v>27504.799999999999</v>
      </c>
      <c r="DH96">
        <v>31161.4</v>
      </c>
      <c r="DI96">
        <v>28066.2</v>
      </c>
      <c r="DJ96">
        <v>38352.300000000003</v>
      </c>
      <c r="DK96">
        <v>38378.5</v>
      </c>
      <c r="DL96">
        <v>44344.2</v>
      </c>
      <c r="DM96">
        <v>42534.400000000001</v>
      </c>
      <c r="DN96">
        <v>1.3566199999999999</v>
      </c>
      <c r="DO96">
        <v>2.0332499999999998</v>
      </c>
      <c r="DP96">
        <v>8.3852599999999999E-2</v>
      </c>
      <c r="DQ96">
        <v>0.182588</v>
      </c>
      <c r="DR96">
        <v>25.6188</v>
      </c>
      <c r="DS96">
        <v>25.373799999999999</v>
      </c>
      <c r="DT96">
        <v>17.2</v>
      </c>
      <c r="DU96">
        <v>29.8</v>
      </c>
      <c r="DV96">
        <v>7.3120000000000003</v>
      </c>
      <c r="DW96">
        <v>61.718499999999999</v>
      </c>
      <c r="DX96">
        <v>36.037700000000001</v>
      </c>
      <c r="DY96">
        <v>1</v>
      </c>
      <c r="DZ96">
        <v>-8.4778999999999993E-2</v>
      </c>
      <c r="EA96">
        <v>3.6574099999999998E-2</v>
      </c>
      <c r="EB96">
        <v>20.189699999999998</v>
      </c>
      <c r="EC96">
        <v>5.2408000000000001</v>
      </c>
      <c r="ED96">
        <v>12.039899999999999</v>
      </c>
      <c r="EE96">
        <v>5.0174500000000002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1.86893</v>
      </c>
      <c r="EL96">
        <v>1.8646799999999999</v>
      </c>
      <c r="EM96">
        <v>1.8692</v>
      </c>
      <c r="EN96">
        <v>1.86724</v>
      </c>
      <c r="EO96">
        <v>1.8633999999999999</v>
      </c>
      <c r="EP96">
        <v>1.86459</v>
      </c>
      <c r="EQ96">
        <v>1.8701700000000001</v>
      </c>
      <c r="ER96">
        <v>1.8694599999999999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-0.27100000000000002</v>
      </c>
      <c r="FG96">
        <v>0.15160000000000001</v>
      </c>
      <c r="FH96">
        <v>0.16202357103534001</v>
      </c>
      <c r="FI96">
        <v>-6.1462078757559423E-4</v>
      </c>
      <c r="FJ96">
        <v>-1.8861989874597051E-7</v>
      </c>
      <c r="FK96">
        <v>1.1980462299894961E-10</v>
      </c>
      <c r="FL96">
        <v>-3.0039189969545878E-2</v>
      </c>
      <c r="FM96">
        <v>-1.6848085045870601E-2</v>
      </c>
      <c r="FN96">
        <v>1.9789084769509481E-3</v>
      </c>
      <c r="FO96">
        <v>-2.7142391389806329E-5</v>
      </c>
      <c r="FP96">
        <v>3</v>
      </c>
      <c r="FQ96">
        <v>2158</v>
      </c>
      <c r="FR96">
        <v>1</v>
      </c>
      <c r="FS96">
        <v>19</v>
      </c>
      <c r="FT96">
        <v>20.7</v>
      </c>
      <c r="FU96">
        <v>20.7</v>
      </c>
      <c r="FV96">
        <v>1.7785599999999999</v>
      </c>
      <c r="FW96">
        <v>2.5830099999999998</v>
      </c>
      <c r="FX96">
        <v>1.5490699999999999</v>
      </c>
      <c r="FY96">
        <v>2.3290999999999999</v>
      </c>
      <c r="FZ96">
        <v>1.50146</v>
      </c>
      <c r="GA96">
        <v>2.3071299999999999</v>
      </c>
      <c r="GB96">
        <v>33.850900000000003</v>
      </c>
      <c r="GC96">
        <v>23.982399999999998</v>
      </c>
      <c r="GD96">
        <v>19</v>
      </c>
      <c r="GE96">
        <v>235.51400000000001</v>
      </c>
      <c r="GF96">
        <v>581.73500000000001</v>
      </c>
      <c r="GG96">
        <v>25.061499999999999</v>
      </c>
      <c r="GH96">
        <v>26.320599999999999</v>
      </c>
      <c r="GI96">
        <v>29.9999</v>
      </c>
      <c r="GJ96">
        <v>26.461300000000001</v>
      </c>
      <c r="GK96">
        <v>26.4405</v>
      </c>
      <c r="GL96">
        <v>35.567399999999999</v>
      </c>
      <c r="GM96">
        <v>-30</v>
      </c>
      <c r="GN96">
        <v>-30</v>
      </c>
      <c r="GO96">
        <v>25.056699999999999</v>
      </c>
      <c r="GP96">
        <v>800</v>
      </c>
      <c r="GQ96">
        <v>12.5298</v>
      </c>
      <c r="GR96">
        <v>99.701400000000007</v>
      </c>
      <c r="GS96">
        <v>99.506600000000006</v>
      </c>
    </row>
    <row r="97" spans="1:201" x14ac:dyDescent="0.25">
      <c r="A97">
        <v>81</v>
      </c>
      <c r="B97">
        <v>1690216094.5999999</v>
      </c>
      <c r="C97">
        <v>1149.099999904633</v>
      </c>
      <c r="D97" t="s">
        <v>495</v>
      </c>
      <c r="E97" t="s">
        <v>496</v>
      </c>
      <c r="F97" t="s">
        <v>330</v>
      </c>
      <c r="H97">
        <v>1690216094.5999999</v>
      </c>
      <c r="I97">
        <f t="shared" si="30"/>
        <v>1.1427596090743983E-3</v>
      </c>
      <c r="J97">
        <f t="shared" si="31"/>
        <v>1.1427596090743983</v>
      </c>
      <c r="K97">
        <f t="shared" si="32"/>
        <v>14.676174902637465</v>
      </c>
      <c r="L97">
        <f t="shared" si="33"/>
        <v>627.74300000000005</v>
      </c>
      <c r="M97">
        <f t="shared" si="34"/>
        <v>161.95954260772663</v>
      </c>
      <c r="N97">
        <f t="shared" si="35"/>
        <v>16.062847972640046</v>
      </c>
      <c r="O97">
        <f t="shared" si="36"/>
        <v>62.258390043193003</v>
      </c>
      <c r="P97">
        <f t="shared" si="37"/>
        <v>5.2591862119512271E-2</v>
      </c>
      <c r="Q97">
        <f t="shared" si="38"/>
        <v>2.0675622023383893</v>
      </c>
      <c r="R97">
        <f t="shared" si="39"/>
        <v>5.1859825595557012E-2</v>
      </c>
      <c r="S97">
        <f t="shared" si="40"/>
        <v>3.2477312680375445E-2</v>
      </c>
      <c r="T97">
        <f t="shared" si="41"/>
        <v>276.11530239157571</v>
      </c>
      <c r="U97">
        <f t="shared" si="42"/>
        <v>28.654420248288716</v>
      </c>
      <c r="V97">
        <f t="shared" si="43"/>
        <v>28.654420248288716</v>
      </c>
      <c r="W97">
        <f t="shared" si="44"/>
        <v>3.9420465632270156</v>
      </c>
      <c r="X97">
        <f t="shared" si="45"/>
        <v>51.391683206581497</v>
      </c>
      <c r="Y97">
        <f t="shared" si="46"/>
        <v>1.8200876737067002</v>
      </c>
      <c r="Z97">
        <f t="shared" si="47"/>
        <v>3.5415996522052233</v>
      </c>
      <c r="AA97">
        <f t="shared" si="48"/>
        <v>2.1219588895203154</v>
      </c>
      <c r="AB97">
        <f t="shared" si="49"/>
        <v>-50.395698760180963</v>
      </c>
      <c r="AC97">
        <f t="shared" si="50"/>
        <v>-204.42051263460149</v>
      </c>
      <c r="AD97">
        <f t="shared" si="51"/>
        <v>-21.49531020530425</v>
      </c>
      <c r="AE97">
        <f t="shared" si="52"/>
        <v>-0.19621920851096775</v>
      </c>
      <c r="AF97">
        <v>45</v>
      </c>
      <c r="AG97">
        <v>15</v>
      </c>
      <c r="AH97">
        <f t="shared" si="53"/>
        <v>1</v>
      </c>
      <c r="AI97">
        <f t="shared" si="54"/>
        <v>0</v>
      </c>
      <c r="AJ97">
        <f t="shared" si="55"/>
        <v>52577.859457941478</v>
      </c>
      <c r="AK97">
        <f t="shared" si="56"/>
        <v>1799.99</v>
      </c>
      <c r="AL97">
        <f t="shared" si="57"/>
        <v>1499.1012740133199</v>
      </c>
      <c r="AM97">
        <f t="shared" si="58"/>
        <v>0.83283866799999995</v>
      </c>
      <c r="AN97">
        <f t="shared" si="59"/>
        <v>0.15339824243</v>
      </c>
      <c r="AO97">
        <v>33.6</v>
      </c>
      <c r="AP97">
        <v>0.5</v>
      </c>
      <c r="AQ97" t="s">
        <v>331</v>
      </c>
      <c r="AR97">
        <v>2</v>
      </c>
      <c r="AS97">
        <v>1690216094.5999999</v>
      </c>
      <c r="AT97">
        <v>627.74300000000005</v>
      </c>
      <c r="AU97">
        <v>800.03399999999999</v>
      </c>
      <c r="AV97">
        <v>18.351700000000001</v>
      </c>
      <c r="AW97">
        <v>5.79617</v>
      </c>
      <c r="AX97">
        <v>628.01199999999994</v>
      </c>
      <c r="AY97">
        <v>18.1966</v>
      </c>
      <c r="AZ97">
        <v>300.20299999999997</v>
      </c>
      <c r="BA97">
        <v>99.078100000000006</v>
      </c>
      <c r="BB97">
        <v>0.100051</v>
      </c>
      <c r="BC97">
        <v>26.820499999999999</v>
      </c>
      <c r="BD97">
        <v>26.982900000000001</v>
      </c>
      <c r="BE97">
        <v>28.347000000000001</v>
      </c>
      <c r="BF97">
        <v>0</v>
      </c>
      <c r="BG97">
        <v>0</v>
      </c>
      <c r="BH97">
        <v>10031.200000000001</v>
      </c>
      <c r="BI97">
        <v>1075.8800000000001</v>
      </c>
      <c r="BJ97">
        <v>1.90625</v>
      </c>
      <c r="BK97">
        <v>-172.29</v>
      </c>
      <c r="BL97">
        <v>639.47900000000004</v>
      </c>
      <c r="BM97">
        <v>804.69799999999998</v>
      </c>
      <c r="BN97">
        <v>12.5555</v>
      </c>
      <c r="BO97">
        <v>800.03399999999999</v>
      </c>
      <c r="BP97">
        <v>5.79617</v>
      </c>
      <c r="BQ97">
        <v>1.8182499999999999</v>
      </c>
      <c r="BR97">
        <v>0.57427399999999995</v>
      </c>
      <c r="BS97">
        <v>15.944599999999999</v>
      </c>
      <c r="BT97">
        <v>-0.90963099999999997</v>
      </c>
      <c r="BU97">
        <v>1799.99</v>
      </c>
      <c r="BV97">
        <v>0.90997399999999995</v>
      </c>
      <c r="BW97">
        <v>3.40057E-2</v>
      </c>
      <c r="BX97">
        <v>2.2008900000000001E-2</v>
      </c>
      <c r="BY97">
        <v>3.4011699999999999E-2</v>
      </c>
      <c r="BZ97">
        <v>25.708300000000001</v>
      </c>
      <c r="CA97">
        <v>33528</v>
      </c>
      <c r="CB97">
        <v>1690214843</v>
      </c>
      <c r="CC97" t="s">
        <v>332</v>
      </c>
      <c r="CD97">
        <v>1690214842</v>
      </c>
      <c r="CE97">
        <v>1690214843</v>
      </c>
      <c r="CF97">
        <v>8</v>
      </c>
      <c r="CG97">
        <v>-6.3E-2</v>
      </c>
      <c r="CH97">
        <v>1E-3</v>
      </c>
      <c r="CI97">
        <v>-0.38900000000000001</v>
      </c>
      <c r="CJ97">
        <v>-6.6000000000000003E-2</v>
      </c>
      <c r="CK97">
        <v>800</v>
      </c>
      <c r="CL97">
        <v>6</v>
      </c>
      <c r="CM97">
        <v>0.23</v>
      </c>
      <c r="CN97">
        <v>0.02</v>
      </c>
      <c r="CO97">
        <v>-169.37370731707321</v>
      </c>
      <c r="CP97">
        <v>-15.7542229965158</v>
      </c>
      <c r="CQ97">
        <v>1.5537858446137529</v>
      </c>
      <c r="CR97">
        <v>-1</v>
      </c>
      <c r="CS97">
        <v>12.413643902439031</v>
      </c>
      <c r="CT97">
        <v>0.77570383275263655</v>
      </c>
      <c r="CU97">
        <v>7.6490834932516003E-2</v>
      </c>
      <c r="CV97">
        <v>-1</v>
      </c>
      <c r="CW97">
        <v>0</v>
      </c>
      <c r="CX97">
        <v>0</v>
      </c>
      <c r="CY97" t="s">
        <v>333</v>
      </c>
      <c r="CZ97">
        <v>2.3645200000000002</v>
      </c>
      <c r="DA97">
        <v>2.71387</v>
      </c>
      <c r="DB97">
        <v>0.12428400000000001</v>
      </c>
      <c r="DC97">
        <v>0.14605499999999999</v>
      </c>
      <c r="DD97">
        <v>9.4042200000000006E-2</v>
      </c>
      <c r="DE97">
        <v>3.8341399999999998E-2</v>
      </c>
      <c r="DF97">
        <v>31964.7</v>
      </c>
      <c r="DG97">
        <v>27505.200000000001</v>
      </c>
      <c r="DH97">
        <v>31161.599999999999</v>
      </c>
      <c r="DI97">
        <v>28066.7</v>
      </c>
      <c r="DJ97">
        <v>38332.699999999997</v>
      </c>
      <c r="DK97">
        <v>38379.5</v>
      </c>
      <c r="DL97">
        <v>44344.5</v>
      </c>
      <c r="DM97">
        <v>42535.3</v>
      </c>
      <c r="DN97">
        <v>1.35687</v>
      </c>
      <c r="DO97">
        <v>2.0330699999999999</v>
      </c>
      <c r="DP97">
        <v>8.3316100000000004E-2</v>
      </c>
      <c r="DQ97">
        <v>0.181757</v>
      </c>
      <c r="DR97">
        <v>25.6188</v>
      </c>
      <c r="DS97">
        <v>25.373799999999999</v>
      </c>
      <c r="DT97">
        <v>17.2</v>
      </c>
      <c r="DU97">
        <v>29.8</v>
      </c>
      <c r="DV97">
        <v>7.3113900000000003</v>
      </c>
      <c r="DW97">
        <v>61.438499999999998</v>
      </c>
      <c r="DX97">
        <v>36.290100000000002</v>
      </c>
      <c r="DY97">
        <v>1</v>
      </c>
      <c r="DZ97">
        <v>-8.5157499999999997E-2</v>
      </c>
      <c r="EA97">
        <v>-0.10230400000000001</v>
      </c>
      <c r="EB97">
        <v>20.189900000000002</v>
      </c>
      <c r="EC97">
        <v>5.2413999999999996</v>
      </c>
      <c r="ED97">
        <v>12.039899999999999</v>
      </c>
      <c r="EE97">
        <v>5.0175000000000001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1.8689100000000001</v>
      </c>
      <c r="EL97">
        <v>1.8646400000000001</v>
      </c>
      <c r="EM97">
        <v>1.8692</v>
      </c>
      <c r="EN97">
        <v>1.86724</v>
      </c>
      <c r="EO97">
        <v>1.8633999999999999</v>
      </c>
      <c r="EP97">
        <v>1.8645700000000001</v>
      </c>
      <c r="EQ97">
        <v>1.87018</v>
      </c>
      <c r="ER97">
        <v>1.8694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-0.26900000000000002</v>
      </c>
      <c r="FG97">
        <v>0.15509999999999999</v>
      </c>
      <c r="FH97">
        <v>0.16202357103534001</v>
      </c>
      <c r="FI97">
        <v>-6.1462078757559423E-4</v>
      </c>
      <c r="FJ97">
        <v>-1.8861989874597051E-7</v>
      </c>
      <c r="FK97">
        <v>1.1980462299894961E-10</v>
      </c>
      <c r="FL97">
        <v>-3.0039189969545878E-2</v>
      </c>
      <c r="FM97">
        <v>-1.6848085045870601E-2</v>
      </c>
      <c r="FN97">
        <v>1.9789084769509481E-3</v>
      </c>
      <c r="FO97">
        <v>-2.7142391389806329E-5</v>
      </c>
      <c r="FP97">
        <v>3</v>
      </c>
      <c r="FQ97">
        <v>2158</v>
      </c>
      <c r="FR97">
        <v>1</v>
      </c>
      <c r="FS97">
        <v>19</v>
      </c>
      <c r="FT97">
        <v>20.9</v>
      </c>
      <c r="FU97">
        <v>20.9</v>
      </c>
      <c r="FV97">
        <v>1.7785599999999999</v>
      </c>
      <c r="FW97">
        <v>2.5817899999999998</v>
      </c>
      <c r="FX97">
        <v>1.5490699999999999</v>
      </c>
      <c r="FY97">
        <v>2.3290999999999999</v>
      </c>
      <c r="FZ97">
        <v>1.50146</v>
      </c>
      <c r="GA97">
        <v>2.2997999999999998</v>
      </c>
      <c r="GB97">
        <v>33.850900000000003</v>
      </c>
      <c r="GC97">
        <v>23.982399999999998</v>
      </c>
      <c r="GD97">
        <v>19</v>
      </c>
      <c r="GE97">
        <v>235.59899999999999</v>
      </c>
      <c r="GF97">
        <v>581.56600000000003</v>
      </c>
      <c r="GG97">
        <v>25.058199999999999</v>
      </c>
      <c r="GH97">
        <v>26.3184</v>
      </c>
      <c r="GI97">
        <v>30</v>
      </c>
      <c r="GJ97">
        <v>26.459099999999999</v>
      </c>
      <c r="GK97">
        <v>26.438300000000002</v>
      </c>
      <c r="GL97">
        <v>35.5642</v>
      </c>
      <c r="GM97">
        <v>-30</v>
      </c>
      <c r="GN97">
        <v>-30</v>
      </c>
      <c r="GO97">
        <v>25.0748</v>
      </c>
      <c r="GP97">
        <v>800</v>
      </c>
      <c r="GQ97">
        <v>12.5298</v>
      </c>
      <c r="GR97">
        <v>99.701999999999998</v>
      </c>
      <c r="GS97">
        <v>99.508700000000005</v>
      </c>
    </row>
    <row r="98" spans="1:201" x14ac:dyDescent="0.25">
      <c r="A98">
        <v>82</v>
      </c>
      <c r="B98">
        <v>1690216104.5999999</v>
      </c>
      <c r="C98">
        <v>1159.099999904633</v>
      </c>
      <c r="D98" t="s">
        <v>497</v>
      </c>
      <c r="E98" t="s">
        <v>498</v>
      </c>
      <c r="F98" t="s">
        <v>330</v>
      </c>
      <c r="H98">
        <v>1690216104.5999999</v>
      </c>
      <c r="I98">
        <f t="shared" si="30"/>
        <v>1.1550786449491617E-3</v>
      </c>
      <c r="J98">
        <f t="shared" si="31"/>
        <v>1.1550786449491617</v>
      </c>
      <c r="K98">
        <f t="shared" si="32"/>
        <v>14.913414253014606</v>
      </c>
      <c r="L98">
        <f t="shared" si="33"/>
        <v>625.02300000000002</v>
      </c>
      <c r="M98">
        <f t="shared" si="34"/>
        <v>160.08415393588388</v>
      </c>
      <c r="N98">
        <f t="shared" si="35"/>
        <v>15.87696158621366</v>
      </c>
      <c r="O98">
        <f t="shared" si="36"/>
        <v>61.989059613448802</v>
      </c>
      <c r="P98">
        <f t="shared" si="37"/>
        <v>5.353341400779852E-2</v>
      </c>
      <c r="Q98">
        <f t="shared" si="38"/>
        <v>2.0656632492955715</v>
      </c>
      <c r="R98">
        <f t="shared" si="39"/>
        <v>5.2774448906264031E-2</v>
      </c>
      <c r="S98">
        <f t="shared" si="40"/>
        <v>3.305132414048613E-2</v>
      </c>
      <c r="T98">
        <f t="shared" si="41"/>
        <v>276.11661018599995</v>
      </c>
      <c r="U98">
        <f t="shared" si="42"/>
        <v>28.64934377055781</v>
      </c>
      <c r="V98">
        <f t="shared" si="43"/>
        <v>28.64934377055781</v>
      </c>
      <c r="W98">
        <f t="shared" si="44"/>
        <v>3.9408857544855338</v>
      </c>
      <c r="X98">
        <f t="shared" si="45"/>
        <v>51.772594317163353</v>
      </c>
      <c r="Y98">
        <f t="shared" si="46"/>
        <v>1.8333407966851201</v>
      </c>
      <c r="Z98">
        <f t="shared" si="47"/>
        <v>3.5411414491881885</v>
      </c>
      <c r="AA98">
        <f t="shared" si="48"/>
        <v>2.107544957800414</v>
      </c>
      <c r="AB98">
        <f t="shared" si="49"/>
        <v>-50.938968242258028</v>
      </c>
      <c r="AC98">
        <f t="shared" si="50"/>
        <v>-203.9124263888414</v>
      </c>
      <c r="AD98">
        <f t="shared" si="51"/>
        <v>-21.460815597569287</v>
      </c>
      <c r="AE98">
        <f t="shared" si="52"/>
        <v>-0.19560004266875808</v>
      </c>
      <c r="AF98">
        <v>45</v>
      </c>
      <c r="AG98">
        <v>15</v>
      </c>
      <c r="AH98">
        <f t="shared" si="53"/>
        <v>1</v>
      </c>
      <c r="AI98">
        <f t="shared" si="54"/>
        <v>0</v>
      </c>
      <c r="AJ98">
        <f t="shared" si="55"/>
        <v>52491.241346236689</v>
      </c>
      <c r="AK98">
        <f t="shared" si="56"/>
        <v>1800</v>
      </c>
      <c r="AL98">
        <f t="shared" si="57"/>
        <v>1499.1096276000001</v>
      </c>
      <c r="AM98">
        <f t="shared" si="58"/>
        <v>0.832838682</v>
      </c>
      <c r="AN98">
        <f t="shared" si="59"/>
        <v>0.15339811676999998</v>
      </c>
      <c r="AO98">
        <v>33.6</v>
      </c>
      <c r="AP98">
        <v>0.5</v>
      </c>
      <c r="AQ98" t="s">
        <v>331</v>
      </c>
      <c r="AR98">
        <v>2</v>
      </c>
      <c r="AS98">
        <v>1690216104.5999999</v>
      </c>
      <c r="AT98">
        <v>625.02300000000002</v>
      </c>
      <c r="AU98">
        <v>800.03</v>
      </c>
      <c r="AV98">
        <v>18.485199999999999</v>
      </c>
      <c r="AW98">
        <v>5.7953700000000001</v>
      </c>
      <c r="AX98">
        <v>625.29</v>
      </c>
      <c r="AY98">
        <v>18.326499999999999</v>
      </c>
      <c r="AZ98">
        <v>300.18700000000001</v>
      </c>
      <c r="BA98">
        <v>99.078900000000004</v>
      </c>
      <c r="BB98">
        <v>9.9945599999999996E-2</v>
      </c>
      <c r="BC98">
        <v>26.818300000000001</v>
      </c>
      <c r="BD98">
        <v>26.9895</v>
      </c>
      <c r="BE98">
        <v>28.368200000000002</v>
      </c>
      <c r="BF98">
        <v>0</v>
      </c>
      <c r="BG98">
        <v>0</v>
      </c>
      <c r="BH98">
        <v>10013.799999999999</v>
      </c>
      <c r="BI98">
        <v>1075.82</v>
      </c>
      <c r="BJ98">
        <v>1.90625</v>
      </c>
      <c r="BK98">
        <v>-175.00700000000001</v>
      </c>
      <c r="BL98">
        <v>636.79499999999996</v>
      </c>
      <c r="BM98">
        <v>804.69399999999996</v>
      </c>
      <c r="BN98">
        <v>12.6899</v>
      </c>
      <c r="BO98">
        <v>800.03</v>
      </c>
      <c r="BP98">
        <v>5.7953700000000001</v>
      </c>
      <c r="BQ98">
        <v>1.8314999999999999</v>
      </c>
      <c r="BR98">
        <v>0.57419900000000001</v>
      </c>
      <c r="BS98">
        <v>16.058199999999999</v>
      </c>
      <c r="BT98">
        <v>-0.91141700000000003</v>
      </c>
      <c r="BU98">
        <v>1800</v>
      </c>
      <c r="BV98">
        <v>0.90997700000000004</v>
      </c>
      <c r="BW98">
        <v>3.4004399999999997E-2</v>
      </c>
      <c r="BX98">
        <v>2.2008099999999999E-2</v>
      </c>
      <c r="BY98">
        <v>3.4010499999999999E-2</v>
      </c>
      <c r="BZ98">
        <v>25.75</v>
      </c>
      <c r="CA98">
        <v>33528.1</v>
      </c>
      <c r="CB98">
        <v>1690214843</v>
      </c>
      <c r="CC98" t="s">
        <v>332</v>
      </c>
      <c r="CD98">
        <v>1690214842</v>
      </c>
      <c r="CE98">
        <v>1690214843</v>
      </c>
      <c r="CF98">
        <v>8</v>
      </c>
      <c r="CG98">
        <v>-6.3E-2</v>
      </c>
      <c r="CH98">
        <v>1E-3</v>
      </c>
      <c r="CI98">
        <v>-0.38900000000000001</v>
      </c>
      <c r="CJ98">
        <v>-6.6000000000000003E-2</v>
      </c>
      <c r="CK98">
        <v>800</v>
      </c>
      <c r="CL98">
        <v>6</v>
      </c>
      <c r="CM98">
        <v>0.23</v>
      </c>
      <c r="CN98">
        <v>0.02</v>
      </c>
      <c r="CO98">
        <v>-172.02821951219511</v>
      </c>
      <c r="CP98">
        <v>-15.862390243902629</v>
      </c>
      <c r="CQ98">
        <v>1.5647504049730061</v>
      </c>
      <c r="CR98">
        <v>-1</v>
      </c>
      <c r="CS98">
        <v>12.54481951219512</v>
      </c>
      <c r="CT98">
        <v>0.7904864111498342</v>
      </c>
      <c r="CU98">
        <v>7.7963212774381674E-2</v>
      </c>
      <c r="CV98">
        <v>-1</v>
      </c>
      <c r="CW98">
        <v>0</v>
      </c>
      <c r="CX98">
        <v>0</v>
      </c>
      <c r="CY98" t="s">
        <v>333</v>
      </c>
      <c r="CZ98">
        <v>2.3644699999999998</v>
      </c>
      <c r="DA98">
        <v>2.7137500000000001</v>
      </c>
      <c r="DB98">
        <v>0.12391099999999999</v>
      </c>
      <c r="DC98">
        <v>0.14605699999999999</v>
      </c>
      <c r="DD98">
        <v>9.4527600000000003E-2</v>
      </c>
      <c r="DE98">
        <v>3.8337499999999997E-2</v>
      </c>
      <c r="DF98">
        <v>31978.3</v>
      </c>
      <c r="DG98">
        <v>27505.200000000001</v>
      </c>
      <c r="DH98">
        <v>31161.5</v>
      </c>
      <c r="DI98">
        <v>28066.7</v>
      </c>
      <c r="DJ98">
        <v>38311.9</v>
      </c>
      <c r="DK98">
        <v>38379.4</v>
      </c>
      <c r="DL98">
        <v>44344.5</v>
      </c>
      <c r="DM98">
        <v>42535.1</v>
      </c>
      <c r="DN98">
        <v>1.3569500000000001</v>
      </c>
      <c r="DO98">
        <v>2.03335</v>
      </c>
      <c r="DP98">
        <v>8.3852599999999999E-2</v>
      </c>
      <c r="DQ98">
        <v>0.183061</v>
      </c>
      <c r="DR98">
        <v>25.616700000000002</v>
      </c>
      <c r="DS98">
        <v>25.373799999999999</v>
      </c>
      <c r="DT98">
        <v>17.2</v>
      </c>
      <c r="DU98">
        <v>29.8</v>
      </c>
      <c r="DV98">
        <v>7.31135</v>
      </c>
      <c r="DW98">
        <v>61.638500000000001</v>
      </c>
      <c r="DX98">
        <v>36.145800000000001</v>
      </c>
      <c r="DY98">
        <v>1</v>
      </c>
      <c r="DZ98">
        <v>-8.5119399999999998E-2</v>
      </c>
      <c r="EA98">
        <v>-0.127105</v>
      </c>
      <c r="EB98">
        <v>20.189800000000002</v>
      </c>
      <c r="EC98">
        <v>5.2411000000000003</v>
      </c>
      <c r="ED98">
        <v>12.039899999999999</v>
      </c>
      <c r="EE98">
        <v>5.01755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1.86893</v>
      </c>
      <c r="EL98">
        <v>1.8646499999999999</v>
      </c>
      <c r="EM98">
        <v>1.8692</v>
      </c>
      <c r="EN98">
        <v>1.8672299999999999</v>
      </c>
      <c r="EO98">
        <v>1.8633999999999999</v>
      </c>
      <c r="EP98">
        <v>1.8645799999999999</v>
      </c>
      <c r="EQ98">
        <v>1.87018</v>
      </c>
      <c r="ER98">
        <v>1.8694299999999999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-0.26700000000000002</v>
      </c>
      <c r="FG98">
        <v>0.15870000000000001</v>
      </c>
      <c r="FH98">
        <v>0.16202357103534001</v>
      </c>
      <c r="FI98">
        <v>-6.1462078757559423E-4</v>
      </c>
      <c r="FJ98">
        <v>-1.8861989874597051E-7</v>
      </c>
      <c r="FK98">
        <v>1.1980462299894961E-10</v>
      </c>
      <c r="FL98">
        <v>-3.0039189969545878E-2</v>
      </c>
      <c r="FM98">
        <v>-1.6848085045870601E-2</v>
      </c>
      <c r="FN98">
        <v>1.9789084769509481E-3</v>
      </c>
      <c r="FO98">
        <v>-2.7142391389806329E-5</v>
      </c>
      <c r="FP98">
        <v>3</v>
      </c>
      <c r="FQ98">
        <v>2158</v>
      </c>
      <c r="FR98">
        <v>1</v>
      </c>
      <c r="FS98">
        <v>19</v>
      </c>
      <c r="FT98">
        <v>21</v>
      </c>
      <c r="FU98">
        <v>21</v>
      </c>
      <c r="FV98">
        <v>1.7785599999999999</v>
      </c>
      <c r="FW98">
        <v>2.5817899999999998</v>
      </c>
      <c r="FX98">
        <v>1.5490699999999999</v>
      </c>
      <c r="FY98">
        <v>2.3290999999999999</v>
      </c>
      <c r="FZ98">
        <v>1.50146</v>
      </c>
      <c r="GA98">
        <v>2.3290999999999999</v>
      </c>
      <c r="GB98">
        <v>33.850900000000003</v>
      </c>
      <c r="GC98">
        <v>23.973700000000001</v>
      </c>
      <c r="GD98">
        <v>19</v>
      </c>
      <c r="GE98">
        <v>235.619</v>
      </c>
      <c r="GF98">
        <v>581.76800000000003</v>
      </c>
      <c r="GG98">
        <v>25.081399999999999</v>
      </c>
      <c r="GH98">
        <v>26.316700000000001</v>
      </c>
      <c r="GI98">
        <v>30.0001</v>
      </c>
      <c r="GJ98">
        <v>26.456900000000001</v>
      </c>
      <c r="GK98">
        <v>26.4361</v>
      </c>
      <c r="GL98">
        <v>35.565899999999999</v>
      </c>
      <c r="GM98">
        <v>-30</v>
      </c>
      <c r="GN98">
        <v>-30</v>
      </c>
      <c r="GO98">
        <v>25.089600000000001</v>
      </c>
      <c r="GP98">
        <v>800</v>
      </c>
      <c r="GQ98">
        <v>12.5298</v>
      </c>
      <c r="GR98">
        <v>99.701899999999995</v>
      </c>
      <c r="GS98">
        <v>99.508300000000006</v>
      </c>
    </row>
    <row r="99" spans="1:201" x14ac:dyDescent="0.25">
      <c r="A99">
        <v>83</v>
      </c>
      <c r="B99">
        <v>1690216114.5999999</v>
      </c>
      <c r="C99">
        <v>1169.099999904633</v>
      </c>
      <c r="D99" t="s">
        <v>499</v>
      </c>
      <c r="E99" t="s">
        <v>500</v>
      </c>
      <c r="F99" t="s">
        <v>330</v>
      </c>
      <c r="H99">
        <v>1690216114.5999999</v>
      </c>
      <c r="I99">
        <f t="shared" si="30"/>
        <v>1.1673898892009199E-3</v>
      </c>
      <c r="J99">
        <f t="shared" si="31"/>
        <v>1.16738988920092</v>
      </c>
      <c r="K99">
        <f t="shared" si="32"/>
        <v>15.145196816241711</v>
      </c>
      <c r="L99">
        <f t="shared" si="33"/>
        <v>622.32600000000002</v>
      </c>
      <c r="M99">
        <f t="shared" si="34"/>
        <v>158.54893865124808</v>
      </c>
      <c r="N99">
        <f t="shared" si="35"/>
        <v>15.724681918486777</v>
      </c>
      <c r="O99">
        <f t="shared" si="36"/>
        <v>61.72150052123461</v>
      </c>
      <c r="P99">
        <f t="shared" si="37"/>
        <v>5.4497086757413798E-2</v>
      </c>
      <c r="Q99">
        <f t="shared" si="38"/>
        <v>2.0659254813361798</v>
      </c>
      <c r="R99">
        <f t="shared" si="39"/>
        <v>5.3710865607830983E-2</v>
      </c>
      <c r="S99">
        <f t="shared" si="40"/>
        <v>3.3638984914275395E-2</v>
      </c>
      <c r="T99">
        <f t="shared" si="41"/>
        <v>276.11492671566276</v>
      </c>
      <c r="U99">
        <f t="shared" si="42"/>
        <v>28.643607186897441</v>
      </c>
      <c r="V99">
        <f t="shared" si="43"/>
        <v>28.643607186897441</v>
      </c>
      <c r="W99">
        <f t="shared" si="44"/>
        <v>3.9395743619413408</v>
      </c>
      <c r="X99">
        <f t="shared" si="45"/>
        <v>52.157089458449867</v>
      </c>
      <c r="Y99">
        <f t="shared" si="46"/>
        <v>1.8468368309472303</v>
      </c>
      <c r="Z99">
        <f t="shared" si="47"/>
        <v>3.5409123670876688</v>
      </c>
      <c r="AA99">
        <f t="shared" si="48"/>
        <v>2.0927375309941105</v>
      </c>
      <c r="AB99">
        <f t="shared" si="49"/>
        <v>-51.481894113760568</v>
      </c>
      <c r="AC99">
        <f t="shared" si="50"/>
        <v>-203.42189846126533</v>
      </c>
      <c r="AD99">
        <f t="shared" si="51"/>
        <v>-21.405741408095249</v>
      </c>
      <c r="AE99">
        <f t="shared" si="52"/>
        <v>-0.19460726745839452</v>
      </c>
      <c r="AF99">
        <v>45</v>
      </c>
      <c r="AG99">
        <v>15</v>
      </c>
      <c r="AH99">
        <f t="shared" si="53"/>
        <v>1</v>
      </c>
      <c r="AI99">
        <f t="shared" si="54"/>
        <v>0</v>
      </c>
      <c r="AJ99">
        <f t="shared" si="55"/>
        <v>52503.442721044674</v>
      </c>
      <c r="AK99">
        <f t="shared" si="56"/>
        <v>1799.99</v>
      </c>
      <c r="AL99">
        <f t="shared" si="57"/>
        <v>1499.1019922093301</v>
      </c>
      <c r="AM99">
        <f t="shared" si="58"/>
        <v>0.8328390670000001</v>
      </c>
      <c r="AN99">
        <f t="shared" si="59"/>
        <v>0.15339803371999999</v>
      </c>
      <c r="AO99">
        <v>33.6</v>
      </c>
      <c r="AP99">
        <v>0.5</v>
      </c>
      <c r="AQ99" t="s">
        <v>331</v>
      </c>
      <c r="AR99">
        <v>2</v>
      </c>
      <c r="AS99">
        <v>1690216114.5999999</v>
      </c>
      <c r="AT99">
        <v>622.32600000000002</v>
      </c>
      <c r="AU99">
        <v>800.02499999999998</v>
      </c>
      <c r="AV99">
        <v>18.621300000000002</v>
      </c>
      <c r="AW99">
        <v>5.7946200000000001</v>
      </c>
      <c r="AX99">
        <v>622.59</v>
      </c>
      <c r="AY99">
        <v>18.4587</v>
      </c>
      <c r="AZ99">
        <v>300.108</v>
      </c>
      <c r="BA99">
        <v>99.078800000000001</v>
      </c>
      <c r="BB99">
        <v>9.9927100000000005E-2</v>
      </c>
      <c r="BC99">
        <v>26.8172</v>
      </c>
      <c r="BD99">
        <v>27.003799999999998</v>
      </c>
      <c r="BE99">
        <v>28.351800000000001</v>
      </c>
      <c r="BF99">
        <v>0</v>
      </c>
      <c r="BG99">
        <v>0</v>
      </c>
      <c r="BH99">
        <v>10016.200000000001</v>
      </c>
      <c r="BI99">
        <v>1075.8499999999999</v>
      </c>
      <c r="BJ99">
        <v>1.90625</v>
      </c>
      <c r="BK99">
        <v>-177.7</v>
      </c>
      <c r="BL99">
        <v>634.13400000000001</v>
      </c>
      <c r="BM99">
        <v>804.68799999999999</v>
      </c>
      <c r="BN99">
        <v>12.826599999999999</v>
      </c>
      <c r="BO99">
        <v>800.02499999999998</v>
      </c>
      <c r="BP99">
        <v>5.7946200000000001</v>
      </c>
      <c r="BQ99">
        <v>1.84497</v>
      </c>
      <c r="BR99">
        <v>0.57412399999999997</v>
      </c>
      <c r="BS99">
        <v>16.173100000000002</v>
      </c>
      <c r="BT99">
        <v>-0.91320199999999996</v>
      </c>
      <c r="BU99">
        <v>1799.99</v>
      </c>
      <c r="BV99">
        <v>0.90998100000000004</v>
      </c>
      <c r="BW99">
        <v>3.4002999999999999E-2</v>
      </c>
      <c r="BX99">
        <v>2.2007100000000002E-2</v>
      </c>
      <c r="BY99">
        <v>3.4008999999999998E-2</v>
      </c>
      <c r="BZ99">
        <v>25.791699999999999</v>
      </c>
      <c r="CA99">
        <v>33528</v>
      </c>
      <c r="CB99">
        <v>1690214843</v>
      </c>
      <c r="CC99" t="s">
        <v>332</v>
      </c>
      <c r="CD99">
        <v>1690214842</v>
      </c>
      <c r="CE99">
        <v>1690214843</v>
      </c>
      <c r="CF99">
        <v>8</v>
      </c>
      <c r="CG99">
        <v>-6.3E-2</v>
      </c>
      <c r="CH99">
        <v>1E-3</v>
      </c>
      <c r="CI99">
        <v>-0.38900000000000001</v>
      </c>
      <c r="CJ99">
        <v>-6.6000000000000003E-2</v>
      </c>
      <c r="CK99">
        <v>800</v>
      </c>
      <c r="CL99">
        <v>6</v>
      </c>
      <c r="CM99">
        <v>0.23</v>
      </c>
      <c r="CN99">
        <v>0.02</v>
      </c>
      <c r="CO99">
        <v>-174.70121951219511</v>
      </c>
      <c r="CP99">
        <v>-16.100027874564731</v>
      </c>
      <c r="CQ99">
        <v>1.5880487415293429</v>
      </c>
      <c r="CR99">
        <v>-1</v>
      </c>
      <c r="CS99">
        <v>12.677109756097559</v>
      </c>
      <c r="CT99">
        <v>0.79652404181183278</v>
      </c>
      <c r="CU99">
        <v>7.8553936123076026E-2</v>
      </c>
      <c r="CV99">
        <v>-1</v>
      </c>
      <c r="CW99">
        <v>0</v>
      </c>
      <c r="CX99">
        <v>0</v>
      </c>
      <c r="CY99" t="s">
        <v>333</v>
      </c>
      <c r="CZ99">
        <v>2.3642300000000001</v>
      </c>
      <c r="DA99">
        <v>2.71373</v>
      </c>
      <c r="DB99">
        <v>0.12354</v>
      </c>
      <c r="DC99">
        <v>0.14605699999999999</v>
      </c>
      <c r="DD99">
        <v>9.5019800000000001E-2</v>
      </c>
      <c r="DE99">
        <v>3.8333600000000002E-2</v>
      </c>
      <c r="DF99">
        <v>31992.2</v>
      </c>
      <c r="DG99">
        <v>27505.5</v>
      </c>
      <c r="DH99">
        <v>31161.9</v>
      </c>
      <c r="DI99">
        <v>28067</v>
      </c>
      <c r="DJ99">
        <v>38291.199999999997</v>
      </c>
      <c r="DK99">
        <v>38379.9</v>
      </c>
      <c r="DL99">
        <v>44344.9</v>
      </c>
      <c r="DM99">
        <v>42535.5</v>
      </c>
      <c r="DN99">
        <v>1.3569</v>
      </c>
      <c r="DO99">
        <v>2.0333000000000001</v>
      </c>
      <c r="DP99">
        <v>8.4895600000000002E-2</v>
      </c>
      <c r="DQ99">
        <v>0.18205499999999999</v>
      </c>
      <c r="DR99">
        <v>25.613900000000001</v>
      </c>
      <c r="DS99">
        <v>25.373799999999999</v>
      </c>
      <c r="DT99">
        <v>17.100000000000001</v>
      </c>
      <c r="DU99">
        <v>29.8</v>
      </c>
      <c r="DV99">
        <v>7.2688100000000002</v>
      </c>
      <c r="DW99">
        <v>61.7485</v>
      </c>
      <c r="DX99">
        <v>36.213900000000002</v>
      </c>
      <c r="DY99">
        <v>1</v>
      </c>
      <c r="DZ99">
        <v>-8.5292199999999999E-2</v>
      </c>
      <c r="EA99">
        <v>-0.14041100000000001</v>
      </c>
      <c r="EB99">
        <v>20.190000000000001</v>
      </c>
      <c r="EC99">
        <v>5.24125</v>
      </c>
      <c r="ED99">
        <v>12.039899999999999</v>
      </c>
      <c r="EE99">
        <v>5.0174500000000002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1.8689100000000001</v>
      </c>
      <c r="EL99">
        <v>1.8646499999999999</v>
      </c>
      <c r="EM99">
        <v>1.8691899999999999</v>
      </c>
      <c r="EN99">
        <v>1.8672200000000001</v>
      </c>
      <c r="EO99">
        <v>1.8633999999999999</v>
      </c>
      <c r="EP99">
        <v>1.8645499999999999</v>
      </c>
      <c r="EQ99">
        <v>1.87015</v>
      </c>
      <c r="ER99">
        <v>1.86941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-0.26400000000000001</v>
      </c>
      <c r="FG99">
        <v>0.16259999999999999</v>
      </c>
      <c r="FH99">
        <v>0.16202357103534001</v>
      </c>
      <c r="FI99">
        <v>-6.1462078757559423E-4</v>
      </c>
      <c r="FJ99">
        <v>-1.8861989874597051E-7</v>
      </c>
      <c r="FK99">
        <v>1.1980462299894961E-10</v>
      </c>
      <c r="FL99">
        <v>-3.0039189969545878E-2</v>
      </c>
      <c r="FM99">
        <v>-1.6848085045870601E-2</v>
      </c>
      <c r="FN99">
        <v>1.9789084769509481E-3</v>
      </c>
      <c r="FO99">
        <v>-2.7142391389806329E-5</v>
      </c>
      <c r="FP99">
        <v>3</v>
      </c>
      <c r="FQ99">
        <v>2158</v>
      </c>
      <c r="FR99">
        <v>1</v>
      </c>
      <c r="FS99">
        <v>19</v>
      </c>
      <c r="FT99">
        <v>21.2</v>
      </c>
      <c r="FU99">
        <v>21.2</v>
      </c>
      <c r="FV99">
        <v>1.7785599999999999</v>
      </c>
      <c r="FW99">
        <v>2.5842299999999998</v>
      </c>
      <c r="FX99">
        <v>1.5490699999999999</v>
      </c>
      <c r="FY99">
        <v>2.3290999999999999</v>
      </c>
      <c r="FZ99">
        <v>1.50146</v>
      </c>
      <c r="GA99">
        <v>2.2790499999999998</v>
      </c>
      <c r="GB99">
        <v>33.8735</v>
      </c>
      <c r="GC99">
        <v>23.982399999999998</v>
      </c>
      <c r="GD99">
        <v>19</v>
      </c>
      <c r="GE99">
        <v>235.59299999999999</v>
      </c>
      <c r="GF99">
        <v>581.702</v>
      </c>
      <c r="GG99">
        <v>25.1008</v>
      </c>
      <c r="GH99">
        <v>26.315300000000001</v>
      </c>
      <c r="GI99">
        <v>30</v>
      </c>
      <c r="GJ99">
        <v>26.454699999999999</v>
      </c>
      <c r="GK99">
        <v>26.433900000000001</v>
      </c>
      <c r="GL99">
        <v>35.566299999999998</v>
      </c>
      <c r="GM99">
        <v>-30</v>
      </c>
      <c r="GN99">
        <v>-30</v>
      </c>
      <c r="GO99">
        <v>25.103999999999999</v>
      </c>
      <c r="GP99">
        <v>800</v>
      </c>
      <c r="GQ99">
        <v>12.5298</v>
      </c>
      <c r="GR99">
        <v>99.703000000000003</v>
      </c>
      <c r="GS99">
        <v>99.509399999999999</v>
      </c>
    </row>
    <row r="100" spans="1:201" x14ac:dyDescent="0.25">
      <c r="A100">
        <v>84</v>
      </c>
      <c r="B100">
        <v>1690216124.5999999</v>
      </c>
      <c r="C100">
        <v>1179.099999904633</v>
      </c>
      <c r="D100" t="s">
        <v>501</v>
      </c>
      <c r="E100" t="s">
        <v>502</v>
      </c>
      <c r="F100" t="s">
        <v>330</v>
      </c>
      <c r="H100">
        <v>1690216124.5999999</v>
      </c>
      <c r="I100">
        <f t="shared" si="30"/>
        <v>1.1794201692441242E-3</v>
      </c>
      <c r="J100">
        <f t="shared" si="31"/>
        <v>1.1794201692441242</v>
      </c>
      <c r="K100">
        <f t="shared" si="32"/>
        <v>15.375333943980767</v>
      </c>
      <c r="L100">
        <f t="shared" si="33"/>
        <v>619.69200000000001</v>
      </c>
      <c r="M100">
        <f t="shared" si="34"/>
        <v>156.27086312104802</v>
      </c>
      <c r="N100">
        <f t="shared" si="35"/>
        <v>15.498872163477643</v>
      </c>
      <c r="O100">
        <f t="shared" si="36"/>
        <v>61.460766881988</v>
      </c>
      <c r="P100">
        <f t="shared" si="37"/>
        <v>5.5361850750070607E-2</v>
      </c>
      <c r="Q100">
        <f t="shared" si="38"/>
        <v>2.0622980929864987</v>
      </c>
      <c r="R100">
        <f t="shared" si="39"/>
        <v>5.4549276049007278E-2</v>
      </c>
      <c r="S100">
        <f t="shared" si="40"/>
        <v>3.4165310577517094E-2</v>
      </c>
      <c r="T100">
        <f t="shared" si="41"/>
        <v>276.1147005289194</v>
      </c>
      <c r="U100">
        <f t="shared" si="42"/>
        <v>28.650579037958579</v>
      </c>
      <c r="V100">
        <f t="shared" si="43"/>
        <v>28.650579037958579</v>
      </c>
      <c r="W100">
        <f t="shared" si="44"/>
        <v>3.941168188474625</v>
      </c>
      <c r="X100">
        <f t="shared" si="45"/>
        <v>52.48870242170284</v>
      </c>
      <c r="Y100">
        <f t="shared" si="46"/>
        <v>1.8594973408031996</v>
      </c>
      <c r="Z100">
        <f t="shared" si="47"/>
        <v>3.5426620491847811</v>
      </c>
      <c r="AA100">
        <f t="shared" si="48"/>
        <v>2.0816708476714254</v>
      </c>
      <c r="AB100">
        <f t="shared" si="49"/>
        <v>-52.012429463665875</v>
      </c>
      <c r="AC100">
        <f t="shared" si="50"/>
        <v>-202.90594137550914</v>
      </c>
      <c r="AD100">
        <f t="shared" si="51"/>
        <v>-21.390642981306019</v>
      </c>
      <c r="AE100">
        <f t="shared" si="52"/>
        <v>-0.19431329156165589</v>
      </c>
      <c r="AF100">
        <v>45</v>
      </c>
      <c r="AG100">
        <v>15</v>
      </c>
      <c r="AH100">
        <f t="shared" si="53"/>
        <v>1</v>
      </c>
      <c r="AI100">
        <f t="shared" si="54"/>
        <v>0</v>
      </c>
      <c r="AJ100">
        <f t="shared" si="55"/>
        <v>52336.020337764479</v>
      </c>
      <c r="AK100">
        <f t="shared" si="56"/>
        <v>1799.99</v>
      </c>
      <c r="AL100">
        <f t="shared" si="57"/>
        <v>1499.1020174091898</v>
      </c>
      <c r="AM100">
        <f t="shared" si="58"/>
        <v>0.83283908099999993</v>
      </c>
      <c r="AN100">
        <f t="shared" si="59"/>
        <v>0.15339790806</v>
      </c>
      <c r="AO100">
        <v>33.6</v>
      </c>
      <c r="AP100">
        <v>0.5</v>
      </c>
      <c r="AQ100" t="s">
        <v>331</v>
      </c>
      <c r="AR100">
        <v>2</v>
      </c>
      <c r="AS100">
        <v>1690216124.5999999</v>
      </c>
      <c r="AT100">
        <v>619.69200000000001</v>
      </c>
      <c r="AU100">
        <v>799.97699999999998</v>
      </c>
      <c r="AV100">
        <v>18.748799999999999</v>
      </c>
      <c r="AW100">
        <v>5.7944699999999996</v>
      </c>
      <c r="AX100">
        <v>619.95500000000004</v>
      </c>
      <c r="AY100">
        <v>18.582799999999999</v>
      </c>
      <c r="AZ100">
        <v>300.17399999999998</v>
      </c>
      <c r="BA100">
        <v>99.079499999999996</v>
      </c>
      <c r="BB100">
        <v>0.100039</v>
      </c>
      <c r="BC100">
        <v>26.825600000000001</v>
      </c>
      <c r="BD100">
        <v>26.9998</v>
      </c>
      <c r="BE100">
        <v>28.373999999999999</v>
      </c>
      <c r="BF100">
        <v>0</v>
      </c>
      <c r="BG100">
        <v>0</v>
      </c>
      <c r="BH100">
        <v>9983.1200000000008</v>
      </c>
      <c r="BI100">
        <v>1075.8900000000001</v>
      </c>
      <c r="BJ100">
        <v>1.90625</v>
      </c>
      <c r="BK100">
        <v>-180.285</v>
      </c>
      <c r="BL100">
        <v>631.53200000000004</v>
      </c>
      <c r="BM100">
        <v>804.63900000000001</v>
      </c>
      <c r="BN100">
        <v>12.9544</v>
      </c>
      <c r="BO100">
        <v>799.97699999999998</v>
      </c>
      <c r="BP100">
        <v>5.7944699999999996</v>
      </c>
      <c r="BQ100">
        <v>1.85762</v>
      </c>
      <c r="BR100">
        <v>0.57411299999999998</v>
      </c>
      <c r="BS100">
        <v>16.2803</v>
      </c>
      <c r="BT100">
        <v>-0.91346899999999998</v>
      </c>
      <c r="BU100">
        <v>1799.99</v>
      </c>
      <c r="BV100">
        <v>0.90998400000000002</v>
      </c>
      <c r="BW100">
        <v>3.4001700000000003E-2</v>
      </c>
      <c r="BX100">
        <v>2.2006299999999999E-2</v>
      </c>
      <c r="BY100">
        <v>3.4007799999999998E-2</v>
      </c>
      <c r="BZ100">
        <v>25.833300000000001</v>
      </c>
      <c r="CA100">
        <v>33528.199999999997</v>
      </c>
      <c r="CB100">
        <v>1690214843</v>
      </c>
      <c r="CC100" t="s">
        <v>332</v>
      </c>
      <c r="CD100">
        <v>1690214842</v>
      </c>
      <c r="CE100">
        <v>1690214843</v>
      </c>
      <c r="CF100">
        <v>8</v>
      </c>
      <c r="CG100">
        <v>-6.3E-2</v>
      </c>
      <c r="CH100">
        <v>1E-3</v>
      </c>
      <c r="CI100">
        <v>-0.38900000000000001</v>
      </c>
      <c r="CJ100">
        <v>-6.6000000000000003E-2</v>
      </c>
      <c r="CK100">
        <v>800</v>
      </c>
      <c r="CL100">
        <v>6</v>
      </c>
      <c r="CM100">
        <v>0.23</v>
      </c>
      <c r="CN100">
        <v>0.02</v>
      </c>
      <c r="CO100">
        <v>-177.39512195121949</v>
      </c>
      <c r="CP100">
        <v>-16.04017421602807</v>
      </c>
      <c r="CQ100">
        <v>1.5822992870845849</v>
      </c>
      <c r="CR100">
        <v>-1</v>
      </c>
      <c r="CS100">
        <v>12.81072682926829</v>
      </c>
      <c r="CT100">
        <v>0.80461463414637757</v>
      </c>
      <c r="CU100">
        <v>7.935039927786261E-2</v>
      </c>
      <c r="CV100">
        <v>-1</v>
      </c>
      <c r="CW100">
        <v>0</v>
      </c>
      <c r="CX100">
        <v>0</v>
      </c>
      <c r="CY100" t="s">
        <v>333</v>
      </c>
      <c r="CZ100">
        <v>2.3644400000000001</v>
      </c>
      <c r="DA100">
        <v>2.7138200000000001</v>
      </c>
      <c r="DB100">
        <v>0.12317699999999999</v>
      </c>
      <c r="DC100">
        <v>0.14605199999999999</v>
      </c>
      <c r="DD100">
        <v>9.5480599999999999E-2</v>
      </c>
      <c r="DE100">
        <v>3.8333300000000001E-2</v>
      </c>
      <c r="DF100">
        <v>32005.9</v>
      </c>
      <c r="DG100">
        <v>27506</v>
      </c>
      <c r="DH100">
        <v>31162.3</v>
      </c>
      <c r="DI100">
        <v>28067.4</v>
      </c>
      <c r="DJ100">
        <v>38272</v>
      </c>
      <c r="DK100">
        <v>38380.6</v>
      </c>
      <c r="DL100">
        <v>44345.5</v>
      </c>
      <c r="DM100">
        <v>42536.2</v>
      </c>
      <c r="DN100">
        <v>1.35697</v>
      </c>
      <c r="DO100">
        <v>2.0333999999999999</v>
      </c>
      <c r="DP100">
        <v>8.4746600000000005E-2</v>
      </c>
      <c r="DQ100">
        <v>0.183444</v>
      </c>
      <c r="DR100">
        <v>25.612300000000001</v>
      </c>
      <c r="DS100">
        <v>25.3733</v>
      </c>
      <c r="DT100">
        <v>17.100000000000001</v>
      </c>
      <c r="DU100">
        <v>29.8</v>
      </c>
      <c r="DV100">
        <v>7.2690400000000004</v>
      </c>
      <c r="DW100">
        <v>61.738500000000002</v>
      </c>
      <c r="DX100">
        <v>36.310099999999998</v>
      </c>
      <c r="DY100">
        <v>1</v>
      </c>
      <c r="DZ100">
        <v>-8.5922299999999993E-2</v>
      </c>
      <c r="EA100">
        <v>-4.1299000000000002E-2</v>
      </c>
      <c r="EB100">
        <v>20.190100000000001</v>
      </c>
      <c r="EC100">
        <v>5.2411000000000003</v>
      </c>
      <c r="ED100">
        <v>12.039899999999999</v>
      </c>
      <c r="EE100">
        <v>5.01715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1.8689199999999999</v>
      </c>
      <c r="EL100">
        <v>1.8646400000000001</v>
      </c>
      <c r="EM100">
        <v>1.8691899999999999</v>
      </c>
      <c r="EN100">
        <v>1.8672299999999999</v>
      </c>
      <c r="EO100">
        <v>1.8633999999999999</v>
      </c>
      <c r="EP100">
        <v>1.86456</v>
      </c>
      <c r="EQ100">
        <v>1.87015</v>
      </c>
      <c r="ER100">
        <v>1.8694500000000001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-0.26300000000000001</v>
      </c>
      <c r="FG100">
        <v>0.16600000000000001</v>
      </c>
      <c r="FH100">
        <v>0.16202357103534001</v>
      </c>
      <c r="FI100">
        <v>-6.1462078757559423E-4</v>
      </c>
      <c r="FJ100">
        <v>-1.8861989874597051E-7</v>
      </c>
      <c r="FK100">
        <v>1.1980462299894961E-10</v>
      </c>
      <c r="FL100">
        <v>-3.0039189969545878E-2</v>
      </c>
      <c r="FM100">
        <v>-1.6848085045870601E-2</v>
      </c>
      <c r="FN100">
        <v>1.9789084769509481E-3</v>
      </c>
      <c r="FO100">
        <v>-2.7142391389806329E-5</v>
      </c>
      <c r="FP100">
        <v>3</v>
      </c>
      <c r="FQ100">
        <v>2158</v>
      </c>
      <c r="FR100">
        <v>1</v>
      </c>
      <c r="FS100">
        <v>19</v>
      </c>
      <c r="FT100">
        <v>21.4</v>
      </c>
      <c r="FU100">
        <v>21.4</v>
      </c>
      <c r="FV100">
        <v>1.7785599999999999</v>
      </c>
      <c r="FW100">
        <v>2.5830099999999998</v>
      </c>
      <c r="FX100">
        <v>1.5490699999999999</v>
      </c>
      <c r="FY100">
        <v>2.3290999999999999</v>
      </c>
      <c r="FZ100">
        <v>1.50146</v>
      </c>
      <c r="GA100">
        <v>2.2778299999999998</v>
      </c>
      <c r="GB100">
        <v>33.850900000000003</v>
      </c>
      <c r="GC100">
        <v>23.982399999999998</v>
      </c>
      <c r="GD100">
        <v>19</v>
      </c>
      <c r="GE100">
        <v>235.61699999999999</v>
      </c>
      <c r="GF100">
        <v>581.76</v>
      </c>
      <c r="GG100">
        <v>25.089400000000001</v>
      </c>
      <c r="GH100">
        <v>26.312999999999999</v>
      </c>
      <c r="GI100">
        <v>29.9998</v>
      </c>
      <c r="GJ100">
        <v>26.453399999999998</v>
      </c>
      <c r="GK100">
        <v>26.431699999999999</v>
      </c>
      <c r="GL100">
        <v>35.566600000000001</v>
      </c>
      <c r="GM100">
        <v>-30</v>
      </c>
      <c r="GN100">
        <v>-30</v>
      </c>
      <c r="GO100">
        <v>25.086600000000001</v>
      </c>
      <c r="GP100">
        <v>800</v>
      </c>
      <c r="GQ100">
        <v>12.5298</v>
      </c>
      <c r="GR100">
        <v>99.7042</v>
      </c>
      <c r="GS100">
        <v>99.510999999999996</v>
      </c>
    </row>
    <row r="101" spans="1:201" x14ac:dyDescent="0.25">
      <c r="A101">
        <v>85</v>
      </c>
      <c r="B101">
        <v>1690216134.5999999</v>
      </c>
      <c r="C101">
        <v>1189.099999904633</v>
      </c>
      <c r="D101" t="s">
        <v>503</v>
      </c>
      <c r="E101" t="s">
        <v>504</v>
      </c>
      <c r="F101" t="s">
        <v>330</v>
      </c>
      <c r="H101">
        <v>1690216134.5999999</v>
      </c>
      <c r="I101">
        <f t="shared" si="30"/>
        <v>1.1920963146236467E-3</v>
      </c>
      <c r="J101">
        <f t="shared" si="31"/>
        <v>1.1920963146236467</v>
      </c>
      <c r="K101">
        <f t="shared" si="32"/>
        <v>15.620308513288315</v>
      </c>
      <c r="L101">
        <f t="shared" si="33"/>
        <v>616.97199999999998</v>
      </c>
      <c r="M101">
        <f t="shared" si="34"/>
        <v>154.85048450985039</v>
      </c>
      <c r="N101">
        <f t="shared" si="35"/>
        <v>15.357876251777448</v>
      </c>
      <c r="O101">
        <f t="shared" si="36"/>
        <v>61.190506809223997</v>
      </c>
      <c r="P101">
        <f t="shared" si="37"/>
        <v>5.6397129517081951E-2</v>
      </c>
      <c r="Q101">
        <f t="shared" si="38"/>
        <v>2.0659243722147225</v>
      </c>
      <c r="R101">
        <f t="shared" si="39"/>
        <v>5.5555585399972955E-2</v>
      </c>
      <c r="S101">
        <f t="shared" si="40"/>
        <v>3.4796804182329846E-2</v>
      </c>
      <c r="T101">
        <f t="shared" si="41"/>
        <v>276.1146013674703</v>
      </c>
      <c r="U101">
        <f t="shared" si="42"/>
        <v>28.63943860300758</v>
      </c>
      <c r="V101">
        <f t="shared" si="43"/>
        <v>28.63943860300758</v>
      </c>
      <c r="W101">
        <f t="shared" si="44"/>
        <v>3.9386216555286939</v>
      </c>
      <c r="X101">
        <f t="shared" si="45"/>
        <v>52.876325098685214</v>
      </c>
      <c r="Y101">
        <f t="shared" si="46"/>
        <v>1.8728219388085998</v>
      </c>
      <c r="Z101">
        <f t="shared" si="47"/>
        <v>3.541891262891808</v>
      </c>
      <c r="AA101">
        <f t="shared" si="48"/>
        <v>2.0657997167200941</v>
      </c>
      <c r="AB101">
        <f t="shared" si="49"/>
        <v>-52.571447474902818</v>
      </c>
      <c r="AC101">
        <f t="shared" si="50"/>
        <v>-202.43402309713014</v>
      </c>
      <c r="AD101">
        <f t="shared" si="51"/>
        <v>-21.301854954857337</v>
      </c>
      <c r="AE101">
        <f t="shared" si="52"/>
        <v>-0.19272415941998133</v>
      </c>
      <c r="AF101">
        <v>45</v>
      </c>
      <c r="AG101">
        <v>15</v>
      </c>
      <c r="AH101">
        <f t="shared" si="53"/>
        <v>1</v>
      </c>
      <c r="AI101">
        <f t="shared" si="54"/>
        <v>0</v>
      </c>
      <c r="AJ101">
        <f t="shared" si="55"/>
        <v>52502.566687725121</v>
      </c>
      <c r="AK101">
        <f t="shared" si="56"/>
        <v>1799.99</v>
      </c>
      <c r="AL101">
        <f t="shared" si="57"/>
        <v>1499.1025862060301</v>
      </c>
      <c r="AM101">
        <f t="shared" si="58"/>
        <v>0.83283939699999998</v>
      </c>
      <c r="AN101">
        <f t="shared" si="59"/>
        <v>0.15339785297</v>
      </c>
      <c r="AO101">
        <v>33.6</v>
      </c>
      <c r="AP101">
        <v>0.5</v>
      </c>
      <c r="AQ101" t="s">
        <v>331</v>
      </c>
      <c r="AR101">
        <v>2</v>
      </c>
      <c r="AS101">
        <v>1690216134.5999999</v>
      </c>
      <c r="AT101">
        <v>616.97199999999998</v>
      </c>
      <c r="AU101">
        <v>800.01599999999996</v>
      </c>
      <c r="AV101">
        <v>18.883299999999998</v>
      </c>
      <c r="AW101">
        <v>5.7940199999999997</v>
      </c>
      <c r="AX101">
        <v>617.23299999999995</v>
      </c>
      <c r="AY101">
        <v>18.7135</v>
      </c>
      <c r="AZ101">
        <v>300.23099999999999</v>
      </c>
      <c r="BA101">
        <v>99.078699999999998</v>
      </c>
      <c r="BB101">
        <v>0.10004200000000001</v>
      </c>
      <c r="BC101">
        <v>26.821899999999999</v>
      </c>
      <c r="BD101">
        <v>26.983799999999999</v>
      </c>
      <c r="BE101">
        <v>28.369900000000001</v>
      </c>
      <c r="BF101">
        <v>0</v>
      </c>
      <c r="BG101">
        <v>0</v>
      </c>
      <c r="BH101">
        <v>10016.200000000001</v>
      </c>
      <c r="BI101">
        <v>1075.8800000000001</v>
      </c>
      <c r="BJ101">
        <v>1.90625</v>
      </c>
      <c r="BK101">
        <v>-183.04400000000001</v>
      </c>
      <c r="BL101">
        <v>628.846</v>
      </c>
      <c r="BM101">
        <v>804.678</v>
      </c>
      <c r="BN101">
        <v>13.0893</v>
      </c>
      <c r="BO101">
        <v>800.01599999999996</v>
      </c>
      <c r="BP101">
        <v>5.7940199999999997</v>
      </c>
      <c r="BQ101">
        <v>1.87093</v>
      </c>
      <c r="BR101">
        <v>0.57406299999999999</v>
      </c>
      <c r="BS101">
        <v>16.392299999999999</v>
      </c>
      <c r="BT101">
        <v>-0.91464199999999996</v>
      </c>
      <c r="BU101">
        <v>1799.99</v>
      </c>
      <c r="BV101">
        <v>0.90998699999999999</v>
      </c>
      <c r="BW101">
        <v>3.4000599999999999E-2</v>
      </c>
      <c r="BX101">
        <v>2.20056E-2</v>
      </c>
      <c r="BY101">
        <v>3.4006700000000001E-2</v>
      </c>
      <c r="BZ101">
        <v>25.958300000000001</v>
      </c>
      <c r="CA101">
        <v>33528.1</v>
      </c>
      <c r="CB101">
        <v>1690214843</v>
      </c>
      <c r="CC101" t="s">
        <v>332</v>
      </c>
      <c r="CD101">
        <v>1690214842</v>
      </c>
      <c r="CE101">
        <v>1690214843</v>
      </c>
      <c r="CF101">
        <v>8</v>
      </c>
      <c r="CG101">
        <v>-6.3E-2</v>
      </c>
      <c r="CH101">
        <v>1E-3</v>
      </c>
      <c r="CI101">
        <v>-0.38900000000000001</v>
      </c>
      <c r="CJ101">
        <v>-6.6000000000000003E-2</v>
      </c>
      <c r="CK101">
        <v>800</v>
      </c>
      <c r="CL101">
        <v>6</v>
      </c>
      <c r="CM101">
        <v>0.23</v>
      </c>
      <c r="CN101">
        <v>0.02</v>
      </c>
      <c r="CO101">
        <v>-180.02459999999999</v>
      </c>
      <c r="CP101">
        <v>-16.007482176359929</v>
      </c>
      <c r="CQ101">
        <v>1.5407005516971819</v>
      </c>
      <c r="CR101">
        <v>-1</v>
      </c>
      <c r="CS101">
        <v>12.941509999999999</v>
      </c>
      <c r="CT101">
        <v>0.79943414634142851</v>
      </c>
      <c r="CU101">
        <v>7.6927855163133357E-2</v>
      </c>
      <c r="CV101">
        <v>-1</v>
      </c>
      <c r="CW101">
        <v>0</v>
      </c>
      <c r="CX101">
        <v>0</v>
      </c>
      <c r="CY101" t="s">
        <v>333</v>
      </c>
      <c r="CZ101">
        <v>2.3645999999999998</v>
      </c>
      <c r="DA101">
        <v>2.7138499999999999</v>
      </c>
      <c r="DB101">
        <v>0.12279900000000001</v>
      </c>
      <c r="DC101">
        <v>0.14605599999999999</v>
      </c>
      <c r="DD101">
        <v>9.5963400000000004E-2</v>
      </c>
      <c r="DE101">
        <v>3.8330700000000002E-2</v>
      </c>
      <c r="DF101">
        <v>32020</v>
      </c>
      <c r="DG101">
        <v>27506.5</v>
      </c>
      <c r="DH101">
        <v>31162.6</v>
      </c>
      <c r="DI101">
        <v>28068</v>
      </c>
      <c r="DJ101">
        <v>38251.5</v>
      </c>
      <c r="DK101">
        <v>38381.5</v>
      </c>
      <c r="DL101">
        <v>44345.7</v>
      </c>
      <c r="DM101">
        <v>42537.1</v>
      </c>
      <c r="DN101">
        <v>1.3574200000000001</v>
      </c>
      <c r="DO101">
        <v>2.0333199999999998</v>
      </c>
      <c r="DP101">
        <v>8.3804100000000006E-2</v>
      </c>
      <c r="DQ101">
        <v>0.18316099999999999</v>
      </c>
      <c r="DR101">
        <v>25.611699999999999</v>
      </c>
      <c r="DS101">
        <v>25.373799999999999</v>
      </c>
      <c r="DT101">
        <v>17.100000000000001</v>
      </c>
      <c r="DU101">
        <v>29.8</v>
      </c>
      <c r="DV101">
        <v>7.2695600000000002</v>
      </c>
      <c r="DW101">
        <v>61.578499999999998</v>
      </c>
      <c r="DX101">
        <v>36.161900000000003</v>
      </c>
      <c r="DY101">
        <v>1</v>
      </c>
      <c r="DZ101">
        <v>-8.5968000000000003E-2</v>
      </c>
      <c r="EA101">
        <v>-0.104175</v>
      </c>
      <c r="EB101">
        <v>20.189900000000002</v>
      </c>
      <c r="EC101">
        <v>5.2411000000000003</v>
      </c>
      <c r="ED101">
        <v>12.039899999999999</v>
      </c>
      <c r="EE101">
        <v>5.0173500000000004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1.8689100000000001</v>
      </c>
      <c r="EL101">
        <v>1.8646400000000001</v>
      </c>
      <c r="EM101">
        <v>1.8691899999999999</v>
      </c>
      <c r="EN101">
        <v>1.8672299999999999</v>
      </c>
      <c r="EO101">
        <v>1.8633999999999999</v>
      </c>
      <c r="EP101">
        <v>1.8645700000000001</v>
      </c>
      <c r="EQ101">
        <v>1.87016</v>
      </c>
      <c r="ER101">
        <v>1.86944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-0.26100000000000001</v>
      </c>
      <c r="FG101">
        <v>0.16980000000000001</v>
      </c>
      <c r="FH101">
        <v>0.16202357103534001</v>
      </c>
      <c r="FI101">
        <v>-6.1462078757559423E-4</v>
      </c>
      <c r="FJ101">
        <v>-1.8861989874597051E-7</v>
      </c>
      <c r="FK101">
        <v>1.1980462299894961E-10</v>
      </c>
      <c r="FL101">
        <v>-3.0039189969545878E-2</v>
      </c>
      <c r="FM101">
        <v>-1.6848085045870601E-2</v>
      </c>
      <c r="FN101">
        <v>1.9789084769509481E-3</v>
      </c>
      <c r="FO101">
        <v>-2.7142391389806329E-5</v>
      </c>
      <c r="FP101">
        <v>3</v>
      </c>
      <c r="FQ101">
        <v>2158</v>
      </c>
      <c r="FR101">
        <v>1</v>
      </c>
      <c r="FS101">
        <v>19</v>
      </c>
      <c r="FT101">
        <v>21.5</v>
      </c>
      <c r="FU101">
        <v>21.5</v>
      </c>
      <c r="FV101">
        <v>1.7785599999999999</v>
      </c>
      <c r="FW101">
        <v>2.5866699999999998</v>
      </c>
      <c r="FX101">
        <v>1.5490699999999999</v>
      </c>
      <c r="FY101">
        <v>2.3290999999999999</v>
      </c>
      <c r="FZ101">
        <v>1.50146</v>
      </c>
      <c r="GA101">
        <v>2.2827099999999998</v>
      </c>
      <c r="GB101">
        <v>33.850900000000003</v>
      </c>
      <c r="GC101">
        <v>23.982399999999998</v>
      </c>
      <c r="GD101">
        <v>19</v>
      </c>
      <c r="GE101">
        <v>235.78200000000001</v>
      </c>
      <c r="GF101">
        <v>581.68499999999995</v>
      </c>
      <c r="GG101">
        <v>25.087499999999999</v>
      </c>
      <c r="GH101">
        <v>26.3109</v>
      </c>
      <c r="GI101">
        <v>29.9999</v>
      </c>
      <c r="GJ101">
        <v>26.452400000000001</v>
      </c>
      <c r="GK101">
        <v>26.430499999999999</v>
      </c>
      <c r="GL101">
        <v>35.5657</v>
      </c>
      <c r="GM101">
        <v>-30</v>
      </c>
      <c r="GN101">
        <v>-30</v>
      </c>
      <c r="GO101">
        <v>25.0977</v>
      </c>
      <c r="GP101">
        <v>800</v>
      </c>
      <c r="GQ101">
        <v>12.5298</v>
      </c>
      <c r="GR101">
        <v>99.704800000000006</v>
      </c>
      <c r="GS101">
        <v>99.513099999999994</v>
      </c>
    </row>
    <row r="102" spans="1:201" x14ac:dyDescent="0.25">
      <c r="A102">
        <v>86</v>
      </c>
      <c r="B102">
        <v>1690216144.5999999</v>
      </c>
      <c r="C102">
        <v>1199.099999904633</v>
      </c>
      <c r="D102" t="s">
        <v>505</v>
      </c>
      <c r="E102" t="s">
        <v>506</v>
      </c>
      <c r="F102" t="s">
        <v>330</v>
      </c>
      <c r="H102">
        <v>1690216144.5999999</v>
      </c>
      <c r="I102">
        <f t="shared" si="30"/>
        <v>1.2041009470826842E-3</v>
      </c>
      <c r="J102">
        <f t="shared" si="31"/>
        <v>1.2041009470826842</v>
      </c>
      <c r="K102">
        <f t="shared" si="32"/>
        <v>15.855522266994511</v>
      </c>
      <c r="L102">
        <f t="shared" si="33"/>
        <v>614.25800000000004</v>
      </c>
      <c r="M102">
        <f t="shared" si="34"/>
        <v>152.8631859001807</v>
      </c>
      <c r="N102">
        <f t="shared" si="35"/>
        <v>15.160998399957615</v>
      </c>
      <c r="O102">
        <f t="shared" si="36"/>
        <v>60.922219436420605</v>
      </c>
      <c r="P102">
        <f t="shared" si="37"/>
        <v>5.7332194404409474E-2</v>
      </c>
      <c r="Q102">
        <f t="shared" si="38"/>
        <v>2.0617553881415556</v>
      </c>
      <c r="R102">
        <f t="shared" si="39"/>
        <v>5.6461016002461055E-2</v>
      </c>
      <c r="S102">
        <f t="shared" si="40"/>
        <v>3.5365304163776687E-2</v>
      </c>
      <c r="T102">
        <f t="shared" si="41"/>
        <v>276.11602657200007</v>
      </c>
      <c r="U102">
        <f t="shared" si="42"/>
        <v>28.640661661235782</v>
      </c>
      <c r="V102">
        <f t="shared" si="43"/>
        <v>28.640661661235782</v>
      </c>
      <c r="W102">
        <f t="shared" si="44"/>
        <v>3.9389011577799518</v>
      </c>
      <c r="X102">
        <f t="shared" si="45"/>
        <v>53.237870430227716</v>
      </c>
      <c r="Y102">
        <f t="shared" si="46"/>
        <v>1.8858714639382204</v>
      </c>
      <c r="Z102">
        <f t="shared" si="47"/>
        <v>3.5423495506075859</v>
      </c>
      <c r="AA102">
        <f t="shared" si="48"/>
        <v>2.0530296938417312</v>
      </c>
      <c r="AB102">
        <f t="shared" si="49"/>
        <v>-53.100851766346373</v>
      </c>
      <c r="AC102">
        <f t="shared" si="50"/>
        <v>-201.91692590921022</v>
      </c>
      <c r="AD102">
        <f t="shared" si="51"/>
        <v>-21.290768331729403</v>
      </c>
      <c r="AE102">
        <f t="shared" si="52"/>
        <v>-0.19251943528593074</v>
      </c>
      <c r="AF102">
        <v>45</v>
      </c>
      <c r="AG102">
        <v>15</v>
      </c>
      <c r="AH102">
        <f t="shared" si="53"/>
        <v>1</v>
      </c>
      <c r="AI102">
        <f t="shared" si="54"/>
        <v>0</v>
      </c>
      <c r="AJ102">
        <f t="shared" si="55"/>
        <v>52311.49823452565</v>
      </c>
      <c r="AK102">
        <f t="shared" si="56"/>
        <v>1800</v>
      </c>
      <c r="AL102">
        <f t="shared" si="57"/>
        <v>1499.1117641999999</v>
      </c>
      <c r="AM102">
        <f t="shared" si="58"/>
        <v>0.83283986899999995</v>
      </c>
      <c r="AN102">
        <f t="shared" si="59"/>
        <v>0.15339779254000002</v>
      </c>
      <c r="AO102">
        <v>33.6</v>
      </c>
      <c r="AP102">
        <v>0.5</v>
      </c>
      <c r="AQ102" t="s">
        <v>331</v>
      </c>
      <c r="AR102">
        <v>2</v>
      </c>
      <c r="AS102">
        <v>1690216144.5999999</v>
      </c>
      <c r="AT102">
        <v>614.25800000000004</v>
      </c>
      <c r="AU102">
        <v>800.01099999999997</v>
      </c>
      <c r="AV102">
        <v>19.014600000000002</v>
      </c>
      <c r="AW102">
        <v>5.79312</v>
      </c>
      <c r="AX102">
        <v>614.51700000000005</v>
      </c>
      <c r="AY102">
        <v>18.841100000000001</v>
      </c>
      <c r="AZ102">
        <v>300.18200000000002</v>
      </c>
      <c r="BA102">
        <v>99.080200000000005</v>
      </c>
      <c r="BB102">
        <v>9.9980700000000006E-2</v>
      </c>
      <c r="BC102">
        <v>26.824100000000001</v>
      </c>
      <c r="BD102">
        <v>27.0077</v>
      </c>
      <c r="BE102">
        <v>28.3642</v>
      </c>
      <c r="BF102">
        <v>0</v>
      </c>
      <c r="BG102">
        <v>0</v>
      </c>
      <c r="BH102">
        <v>9978.1200000000008</v>
      </c>
      <c r="BI102">
        <v>1076</v>
      </c>
      <c r="BJ102">
        <v>1.90625</v>
      </c>
      <c r="BK102">
        <v>-185.75299999999999</v>
      </c>
      <c r="BL102">
        <v>626.16399999999999</v>
      </c>
      <c r="BM102">
        <v>804.67200000000003</v>
      </c>
      <c r="BN102">
        <v>13.221500000000001</v>
      </c>
      <c r="BO102">
        <v>800.01099999999997</v>
      </c>
      <c r="BP102">
        <v>5.79312</v>
      </c>
      <c r="BQ102">
        <v>1.8839699999999999</v>
      </c>
      <c r="BR102">
        <v>0.57398300000000002</v>
      </c>
      <c r="BS102">
        <v>16.5015</v>
      </c>
      <c r="BT102">
        <v>-0.91654999999999998</v>
      </c>
      <c r="BU102">
        <v>1800</v>
      </c>
      <c r="BV102">
        <v>0.90999099999999999</v>
      </c>
      <c r="BW102">
        <v>3.39992E-2</v>
      </c>
      <c r="BX102">
        <v>2.2004699999999999E-2</v>
      </c>
      <c r="BY102">
        <v>3.4005199999999999E-2</v>
      </c>
      <c r="BZ102">
        <v>25.833300000000001</v>
      </c>
      <c r="CA102">
        <v>33528.300000000003</v>
      </c>
      <c r="CB102">
        <v>1690214843</v>
      </c>
      <c r="CC102" t="s">
        <v>332</v>
      </c>
      <c r="CD102">
        <v>1690214842</v>
      </c>
      <c r="CE102">
        <v>1690214843</v>
      </c>
      <c r="CF102">
        <v>8</v>
      </c>
      <c r="CG102">
        <v>-6.3E-2</v>
      </c>
      <c r="CH102">
        <v>1E-3</v>
      </c>
      <c r="CI102">
        <v>-0.38900000000000001</v>
      </c>
      <c r="CJ102">
        <v>-6.6000000000000003E-2</v>
      </c>
      <c r="CK102">
        <v>800</v>
      </c>
      <c r="CL102">
        <v>6</v>
      </c>
      <c r="CM102">
        <v>0.23</v>
      </c>
      <c r="CN102">
        <v>0.02</v>
      </c>
      <c r="CO102">
        <v>-182.7679268292683</v>
      </c>
      <c r="CP102">
        <v>-16.120494773518921</v>
      </c>
      <c r="CQ102">
        <v>1.5901234096951959</v>
      </c>
      <c r="CR102">
        <v>-1</v>
      </c>
      <c r="CS102">
        <v>13.07674634146341</v>
      </c>
      <c r="CT102">
        <v>0.79302020905921033</v>
      </c>
      <c r="CU102">
        <v>7.8216737955320081E-2</v>
      </c>
      <c r="CV102">
        <v>-1</v>
      </c>
      <c r="CW102">
        <v>0</v>
      </c>
      <c r="CX102">
        <v>0</v>
      </c>
      <c r="CY102" t="s">
        <v>333</v>
      </c>
      <c r="CZ102">
        <v>2.3644799999999999</v>
      </c>
      <c r="DA102">
        <v>2.7137500000000001</v>
      </c>
      <c r="DB102">
        <v>0.12242500000000001</v>
      </c>
      <c r="DC102">
        <v>0.14605799999999999</v>
      </c>
      <c r="DD102">
        <v>9.64362E-2</v>
      </c>
      <c r="DE102">
        <v>3.8326499999999999E-2</v>
      </c>
      <c r="DF102">
        <v>32033.7</v>
      </c>
      <c r="DG102">
        <v>27506.1</v>
      </c>
      <c r="DH102">
        <v>31162.7</v>
      </c>
      <c r="DI102">
        <v>28067.7</v>
      </c>
      <c r="DJ102">
        <v>38231.800000000003</v>
      </c>
      <c r="DK102">
        <v>38381.1</v>
      </c>
      <c r="DL102">
        <v>44346.2</v>
      </c>
      <c r="DM102">
        <v>42536.5</v>
      </c>
      <c r="DN102">
        <v>1.3573500000000001</v>
      </c>
      <c r="DO102">
        <v>2.03355</v>
      </c>
      <c r="DP102">
        <v>8.5230899999999998E-2</v>
      </c>
      <c r="DQ102">
        <v>0.18281500000000001</v>
      </c>
      <c r="DR102">
        <v>25.612300000000001</v>
      </c>
      <c r="DS102">
        <v>25.373799999999999</v>
      </c>
      <c r="DT102">
        <v>17.100000000000001</v>
      </c>
      <c r="DU102">
        <v>29.8</v>
      </c>
      <c r="DV102">
        <v>7.2693700000000003</v>
      </c>
      <c r="DW102">
        <v>61.598500000000001</v>
      </c>
      <c r="DX102">
        <v>36.225999999999999</v>
      </c>
      <c r="DY102">
        <v>1</v>
      </c>
      <c r="DZ102">
        <v>-8.6282999999999999E-2</v>
      </c>
      <c r="EA102">
        <v>-0.118154</v>
      </c>
      <c r="EB102">
        <v>20.189900000000002</v>
      </c>
      <c r="EC102">
        <v>5.24125</v>
      </c>
      <c r="ED102">
        <v>12.039899999999999</v>
      </c>
      <c r="EE102">
        <v>5.01715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1.86467</v>
      </c>
      <c r="EM102">
        <v>1.8691899999999999</v>
      </c>
      <c r="EN102">
        <v>1.8672299999999999</v>
      </c>
      <c r="EO102">
        <v>1.8633999999999999</v>
      </c>
      <c r="EP102">
        <v>1.86459</v>
      </c>
      <c r="EQ102">
        <v>1.87018</v>
      </c>
      <c r="ER102">
        <v>1.86947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-0.25900000000000001</v>
      </c>
      <c r="FG102">
        <v>0.17349999999999999</v>
      </c>
      <c r="FH102">
        <v>0.16202357103534001</v>
      </c>
      <c r="FI102">
        <v>-6.1462078757559423E-4</v>
      </c>
      <c r="FJ102">
        <v>-1.8861989874597051E-7</v>
      </c>
      <c r="FK102">
        <v>1.1980462299894961E-10</v>
      </c>
      <c r="FL102">
        <v>-3.0039189969545878E-2</v>
      </c>
      <c r="FM102">
        <v>-1.6848085045870601E-2</v>
      </c>
      <c r="FN102">
        <v>1.9789084769509481E-3</v>
      </c>
      <c r="FO102">
        <v>-2.7142391389806329E-5</v>
      </c>
      <c r="FP102">
        <v>3</v>
      </c>
      <c r="FQ102">
        <v>2158</v>
      </c>
      <c r="FR102">
        <v>1</v>
      </c>
      <c r="FS102">
        <v>19</v>
      </c>
      <c r="FT102">
        <v>21.7</v>
      </c>
      <c r="FU102">
        <v>21.7</v>
      </c>
      <c r="FV102">
        <v>1.7785599999999999</v>
      </c>
      <c r="FW102">
        <v>2.5842299999999998</v>
      </c>
      <c r="FX102">
        <v>1.5490699999999999</v>
      </c>
      <c r="FY102">
        <v>2.3290999999999999</v>
      </c>
      <c r="FZ102">
        <v>1.50146</v>
      </c>
      <c r="GA102">
        <v>2.2741699999999998</v>
      </c>
      <c r="GB102">
        <v>33.850900000000003</v>
      </c>
      <c r="GC102">
        <v>23.973700000000001</v>
      </c>
      <c r="GD102">
        <v>19</v>
      </c>
      <c r="GE102">
        <v>235.74600000000001</v>
      </c>
      <c r="GF102">
        <v>581.85799999999995</v>
      </c>
      <c r="GG102">
        <v>25.102</v>
      </c>
      <c r="GH102">
        <v>26.308599999999998</v>
      </c>
      <c r="GI102">
        <v>30.0001</v>
      </c>
      <c r="GJ102">
        <v>26.450199999999999</v>
      </c>
      <c r="GK102">
        <v>26.429400000000001</v>
      </c>
      <c r="GL102">
        <v>35.568300000000001</v>
      </c>
      <c r="GM102">
        <v>-30</v>
      </c>
      <c r="GN102">
        <v>-30</v>
      </c>
      <c r="GO102">
        <v>25.094000000000001</v>
      </c>
      <c r="GP102">
        <v>800</v>
      </c>
      <c r="GQ102">
        <v>12.5298</v>
      </c>
      <c r="GR102">
        <v>99.705699999999993</v>
      </c>
      <c r="GS102">
        <v>99.511700000000005</v>
      </c>
    </row>
    <row r="103" spans="1:201" x14ac:dyDescent="0.25">
      <c r="A103">
        <v>87</v>
      </c>
      <c r="B103">
        <v>1690216154.5999999</v>
      </c>
      <c r="C103">
        <v>1209.099999904633</v>
      </c>
      <c r="D103" t="s">
        <v>507</v>
      </c>
      <c r="E103" t="s">
        <v>508</v>
      </c>
      <c r="F103" t="s">
        <v>330</v>
      </c>
      <c r="H103">
        <v>1690216154.5999999</v>
      </c>
      <c r="I103">
        <f t="shared" si="30"/>
        <v>1.2164935549389784E-3</v>
      </c>
      <c r="J103">
        <f t="shared" si="31"/>
        <v>1.2164935549389784</v>
      </c>
      <c r="K103">
        <f t="shared" si="32"/>
        <v>16.105335189402393</v>
      </c>
      <c r="L103">
        <f t="shared" si="33"/>
        <v>611.48299999999995</v>
      </c>
      <c r="M103">
        <f t="shared" si="34"/>
        <v>150.70911161958347</v>
      </c>
      <c r="N103">
        <f t="shared" si="35"/>
        <v>14.947505266545326</v>
      </c>
      <c r="O103">
        <f t="shared" si="36"/>
        <v>60.647596317695005</v>
      </c>
      <c r="P103">
        <f t="shared" si="37"/>
        <v>5.8309246502696477E-2</v>
      </c>
      <c r="Q103">
        <f t="shared" si="38"/>
        <v>2.0570755836466104</v>
      </c>
      <c r="R103">
        <f t="shared" si="39"/>
        <v>5.7406358225852397E-2</v>
      </c>
      <c r="S103">
        <f t="shared" si="40"/>
        <v>3.5958930188831145E-2</v>
      </c>
      <c r="T103">
        <f t="shared" si="41"/>
        <v>276.11595576000002</v>
      </c>
      <c r="U103">
        <f t="shared" si="42"/>
        <v>28.640939453045728</v>
      </c>
      <c r="V103">
        <f t="shared" si="43"/>
        <v>28.640939453045728</v>
      </c>
      <c r="W103">
        <f t="shared" si="44"/>
        <v>3.9389646432157739</v>
      </c>
      <c r="X103">
        <f t="shared" si="45"/>
        <v>53.607628699727137</v>
      </c>
      <c r="Y103">
        <f t="shared" si="46"/>
        <v>1.8990812749540003</v>
      </c>
      <c r="Z103">
        <f t="shared" si="47"/>
        <v>3.5425578803183781</v>
      </c>
      <c r="AA103">
        <f t="shared" si="48"/>
        <v>2.0398833682617736</v>
      </c>
      <c r="AB103">
        <f t="shared" si="49"/>
        <v>-53.647365772808946</v>
      </c>
      <c r="AC103">
        <f t="shared" si="50"/>
        <v>-201.37851807262356</v>
      </c>
      <c r="AD103">
        <f t="shared" si="51"/>
        <v>-21.282439272860582</v>
      </c>
      <c r="AE103">
        <f t="shared" si="52"/>
        <v>-0.19236735829306895</v>
      </c>
      <c r="AF103">
        <v>45</v>
      </c>
      <c r="AG103">
        <v>15</v>
      </c>
      <c r="AH103">
        <f t="shared" si="53"/>
        <v>1</v>
      </c>
      <c r="AI103">
        <f t="shared" si="54"/>
        <v>0</v>
      </c>
      <c r="AJ103">
        <f t="shared" si="55"/>
        <v>52097.842931380335</v>
      </c>
      <c r="AK103">
        <f t="shared" si="56"/>
        <v>1800</v>
      </c>
      <c r="AL103">
        <f t="shared" si="57"/>
        <v>1499.112468</v>
      </c>
      <c r="AM103">
        <f t="shared" si="58"/>
        <v>0.83284026</v>
      </c>
      <c r="AN103">
        <f t="shared" si="59"/>
        <v>0.15339775320000001</v>
      </c>
      <c r="AO103">
        <v>33.6</v>
      </c>
      <c r="AP103">
        <v>0.5</v>
      </c>
      <c r="AQ103" t="s">
        <v>331</v>
      </c>
      <c r="AR103">
        <v>2</v>
      </c>
      <c r="AS103">
        <v>1690216154.5999999</v>
      </c>
      <c r="AT103">
        <v>611.48299999999995</v>
      </c>
      <c r="AU103">
        <v>800.07899999999995</v>
      </c>
      <c r="AV103">
        <v>19.147600000000001</v>
      </c>
      <c r="AW103">
        <v>5.7919</v>
      </c>
      <c r="AX103">
        <v>611.74</v>
      </c>
      <c r="AY103">
        <v>18.970400000000001</v>
      </c>
      <c r="AZ103">
        <v>300.18299999999999</v>
      </c>
      <c r="BA103">
        <v>99.081100000000006</v>
      </c>
      <c r="BB103">
        <v>0.100065</v>
      </c>
      <c r="BC103">
        <v>26.825099999999999</v>
      </c>
      <c r="BD103">
        <v>26.9892</v>
      </c>
      <c r="BE103">
        <v>28.36</v>
      </c>
      <c r="BF103">
        <v>0</v>
      </c>
      <c r="BG103">
        <v>0</v>
      </c>
      <c r="BH103">
        <v>9935.6200000000008</v>
      </c>
      <c r="BI103">
        <v>1075.96</v>
      </c>
      <c r="BJ103">
        <v>1.90625</v>
      </c>
      <c r="BK103">
        <v>-188.59700000000001</v>
      </c>
      <c r="BL103">
        <v>623.41899999999998</v>
      </c>
      <c r="BM103">
        <v>804.74</v>
      </c>
      <c r="BN103">
        <v>13.355700000000001</v>
      </c>
      <c r="BO103">
        <v>800.07899999999995</v>
      </c>
      <c r="BP103">
        <v>5.7919</v>
      </c>
      <c r="BQ103">
        <v>1.89716</v>
      </c>
      <c r="BR103">
        <v>0.57386800000000004</v>
      </c>
      <c r="BS103">
        <v>16.6112</v>
      </c>
      <c r="BT103">
        <v>-0.91930400000000001</v>
      </c>
      <c r="BU103">
        <v>1800</v>
      </c>
      <c r="BV103">
        <v>0.90999399999999997</v>
      </c>
      <c r="BW103">
        <v>3.3998100000000003E-2</v>
      </c>
      <c r="BX103">
        <v>2.2003999999999999E-2</v>
      </c>
      <c r="BY103">
        <v>3.4004199999999998E-2</v>
      </c>
      <c r="BZ103">
        <v>25.916699999999999</v>
      </c>
      <c r="CA103">
        <v>33528.300000000003</v>
      </c>
      <c r="CB103">
        <v>1690214843</v>
      </c>
      <c r="CC103" t="s">
        <v>332</v>
      </c>
      <c r="CD103">
        <v>1690214842</v>
      </c>
      <c r="CE103">
        <v>1690214843</v>
      </c>
      <c r="CF103">
        <v>8</v>
      </c>
      <c r="CG103">
        <v>-6.3E-2</v>
      </c>
      <c r="CH103">
        <v>1E-3</v>
      </c>
      <c r="CI103">
        <v>-0.38900000000000001</v>
      </c>
      <c r="CJ103">
        <v>-6.6000000000000003E-2</v>
      </c>
      <c r="CK103">
        <v>800</v>
      </c>
      <c r="CL103">
        <v>6</v>
      </c>
      <c r="CM103">
        <v>0.23</v>
      </c>
      <c r="CN103">
        <v>0.02</v>
      </c>
      <c r="CO103">
        <v>-185.38800000000001</v>
      </c>
      <c r="CP103">
        <v>-16.235572232644781</v>
      </c>
      <c r="CQ103">
        <v>1.562191969637535</v>
      </c>
      <c r="CR103">
        <v>-1</v>
      </c>
      <c r="CS103">
        <v>13.2051675</v>
      </c>
      <c r="CT103">
        <v>0.79264502814256865</v>
      </c>
      <c r="CU103">
        <v>7.6250089795029188E-2</v>
      </c>
      <c r="CV103">
        <v>-1</v>
      </c>
      <c r="CW103">
        <v>0</v>
      </c>
      <c r="CX103">
        <v>0</v>
      </c>
      <c r="CY103" t="s">
        <v>333</v>
      </c>
      <c r="CZ103">
        <v>2.3644799999999999</v>
      </c>
      <c r="DA103">
        <v>2.7138</v>
      </c>
      <c r="DB103">
        <v>0.12204</v>
      </c>
      <c r="DC103">
        <v>0.146069</v>
      </c>
      <c r="DD103">
        <v>9.6912799999999993E-2</v>
      </c>
      <c r="DE103">
        <v>3.8320399999999998E-2</v>
      </c>
      <c r="DF103">
        <v>32047.7</v>
      </c>
      <c r="DG103">
        <v>27505.599999999999</v>
      </c>
      <c r="DH103">
        <v>31162.6</v>
      </c>
      <c r="DI103">
        <v>28067.5</v>
      </c>
      <c r="DJ103">
        <v>38211.300000000003</v>
      </c>
      <c r="DK103">
        <v>38381.1</v>
      </c>
      <c r="DL103">
        <v>44346.2</v>
      </c>
      <c r="DM103">
        <v>42536.2</v>
      </c>
      <c r="DN103">
        <v>1.35728</v>
      </c>
      <c r="DO103">
        <v>2.0333199999999998</v>
      </c>
      <c r="DP103">
        <v>8.3968000000000001E-2</v>
      </c>
      <c r="DQ103">
        <v>0.18255399999999999</v>
      </c>
      <c r="DR103">
        <v>25.6145</v>
      </c>
      <c r="DS103">
        <v>25.373799999999999</v>
      </c>
      <c r="DT103">
        <v>17.100000000000001</v>
      </c>
      <c r="DU103">
        <v>29.8</v>
      </c>
      <c r="DV103">
        <v>7.2691499999999998</v>
      </c>
      <c r="DW103">
        <v>61.798499999999997</v>
      </c>
      <c r="DX103">
        <v>36.201900000000002</v>
      </c>
      <c r="DY103">
        <v>1</v>
      </c>
      <c r="DZ103">
        <v>-8.6425299999999997E-2</v>
      </c>
      <c r="EA103">
        <v>-0.102309</v>
      </c>
      <c r="EB103">
        <v>20.190200000000001</v>
      </c>
      <c r="EC103">
        <v>5.2411000000000003</v>
      </c>
      <c r="ED103">
        <v>12.039899999999999</v>
      </c>
      <c r="EE103">
        <v>5.0175000000000001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1.8689100000000001</v>
      </c>
      <c r="EL103">
        <v>1.8646799999999999</v>
      </c>
      <c r="EM103">
        <v>1.8692</v>
      </c>
      <c r="EN103">
        <v>1.8672500000000001</v>
      </c>
      <c r="EO103">
        <v>1.8633999999999999</v>
      </c>
      <c r="EP103">
        <v>1.8645799999999999</v>
      </c>
      <c r="EQ103">
        <v>1.87016</v>
      </c>
      <c r="ER103">
        <v>1.86944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-0.25700000000000001</v>
      </c>
      <c r="FG103">
        <v>0.1772</v>
      </c>
      <c r="FH103">
        <v>0.16202357103534001</v>
      </c>
      <c r="FI103">
        <v>-6.1462078757559423E-4</v>
      </c>
      <c r="FJ103">
        <v>-1.8861989874597051E-7</v>
      </c>
      <c r="FK103">
        <v>1.1980462299894961E-10</v>
      </c>
      <c r="FL103">
        <v>-3.0039189969545878E-2</v>
      </c>
      <c r="FM103">
        <v>-1.6848085045870601E-2</v>
      </c>
      <c r="FN103">
        <v>1.9789084769509481E-3</v>
      </c>
      <c r="FO103">
        <v>-2.7142391389806329E-5</v>
      </c>
      <c r="FP103">
        <v>3</v>
      </c>
      <c r="FQ103">
        <v>2158</v>
      </c>
      <c r="FR103">
        <v>1</v>
      </c>
      <c r="FS103">
        <v>19</v>
      </c>
      <c r="FT103">
        <v>21.9</v>
      </c>
      <c r="FU103">
        <v>21.9</v>
      </c>
      <c r="FV103">
        <v>1.7785599999999999</v>
      </c>
      <c r="FW103">
        <v>2.5817899999999998</v>
      </c>
      <c r="FX103">
        <v>1.5490699999999999</v>
      </c>
      <c r="FY103">
        <v>2.3290999999999999</v>
      </c>
      <c r="FZ103">
        <v>1.50146</v>
      </c>
      <c r="GA103">
        <v>2.3095699999999999</v>
      </c>
      <c r="GB103">
        <v>33.8735</v>
      </c>
      <c r="GC103">
        <v>23.982399999999998</v>
      </c>
      <c r="GD103">
        <v>19</v>
      </c>
      <c r="GE103">
        <v>235.71</v>
      </c>
      <c r="GF103">
        <v>581.64800000000002</v>
      </c>
      <c r="GG103">
        <v>25.0961</v>
      </c>
      <c r="GH103">
        <v>26.306799999999999</v>
      </c>
      <c r="GI103">
        <v>30</v>
      </c>
      <c r="GJ103">
        <v>26.448</v>
      </c>
      <c r="GK103">
        <v>26.427299999999999</v>
      </c>
      <c r="GL103">
        <v>35.566800000000001</v>
      </c>
      <c r="GM103">
        <v>-30</v>
      </c>
      <c r="GN103">
        <v>-30</v>
      </c>
      <c r="GO103">
        <v>25.105799999999999</v>
      </c>
      <c r="GP103">
        <v>800</v>
      </c>
      <c r="GQ103">
        <v>12.5298</v>
      </c>
      <c r="GR103">
        <v>99.705500000000001</v>
      </c>
      <c r="GS103">
        <v>99.510999999999996</v>
      </c>
    </row>
    <row r="104" spans="1:201" x14ac:dyDescent="0.25">
      <c r="A104">
        <v>88</v>
      </c>
      <c r="B104">
        <v>1690216164.5999999</v>
      </c>
      <c r="C104">
        <v>1219.099999904633</v>
      </c>
      <c r="D104" t="s">
        <v>509</v>
      </c>
      <c r="E104" t="s">
        <v>510</v>
      </c>
      <c r="F104" t="s">
        <v>330</v>
      </c>
      <c r="H104">
        <v>1690216164.5999999</v>
      </c>
      <c r="I104">
        <f t="shared" si="30"/>
        <v>1.2288084271709688E-3</v>
      </c>
      <c r="J104">
        <f t="shared" si="31"/>
        <v>1.2288084271709687</v>
      </c>
      <c r="K104">
        <f t="shared" si="32"/>
        <v>16.335165271034388</v>
      </c>
      <c r="L104">
        <f t="shared" si="33"/>
        <v>608.75300000000004</v>
      </c>
      <c r="M104">
        <f t="shared" si="34"/>
        <v>149.88081723840591</v>
      </c>
      <c r="N104">
        <f t="shared" si="35"/>
        <v>14.865373489411095</v>
      </c>
      <c r="O104">
        <f t="shared" si="36"/>
        <v>60.376910631633805</v>
      </c>
      <c r="P104">
        <f t="shared" si="37"/>
        <v>5.9383822955010629E-2</v>
      </c>
      <c r="Q104">
        <f t="shared" si="38"/>
        <v>2.0638315615904865</v>
      </c>
      <c r="R104">
        <f t="shared" si="39"/>
        <v>5.8450650256726522E-2</v>
      </c>
      <c r="S104">
        <f t="shared" si="40"/>
        <v>3.6614276733447498E-2</v>
      </c>
      <c r="T104">
        <f t="shared" si="41"/>
        <v>276.11560317599998</v>
      </c>
      <c r="U104">
        <f t="shared" si="42"/>
        <v>28.627740405229716</v>
      </c>
      <c r="V104">
        <f t="shared" si="43"/>
        <v>28.627740405229716</v>
      </c>
      <c r="W104">
        <f t="shared" si="44"/>
        <v>3.9359491712569503</v>
      </c>
      <c r="X104">
        <f t="shared" si="45"/>
        <v>53.992534743843834</v>
      </c>
      <c r="Y104">
        <f t="shared" si="46"/>
        <v>1.9123343774415198</v>
      </c>
      <c r="Z104">
        <f t="shared" si="47"/>
        <v>3.5418496029389726</v>
      </c>
      <c r="AA104">
        <f t="shared" si="48"/>
        <v>2.0236147938154305</v>
      </c>
      <c r="AB104">
        <f t="shared" si="49"/>
        <v>-54.190451638239722</v>
      </c>
      <c r="AC104">
        <f t="shared" si="50"/>
        <v>-200.94960428961681</v>
      </c>
      <c r="AD104">
        <f t="shared" si="51"/>
        <v>-21.165835565890564</v>
      </c>
      <c r="AE104">
        <f t="shared" si="52"/>
        <v>-0.1902883177471324</v>
      </c>
      <c r="AF104">
        <v>45</v>
      </c>
      <c r="AG104">
        <v>15</v>
      </c>
      <c r="AH104">
        <f t="shared" si="53"/>
        <v>1</v>
      </c>
      <c r="AI104">
        <f t="shared" si="54"/>
        <v>0</v>
      </c>
      <c r="AJ104">
        <f t="shared" si="55"/>
        <v>52406.857257852709</v>
      </c>
      <c r="AK104">
        <f t="shared" si="56"/>
        <v>1800</v>
      </c>
      <c r="AL104">
        <f t="shared" si="57"/>
        <v>1499.1119406</v>
      </c>
      <c r="AM104">
        <f t="shared" si="58"/>
        <v>0.83283996699999996</v>
      </c>
      <c r="AN104">
        <f t="shared" si="59"/>
        <v>0.15339755731999999</v>
      </c>
      <c r="AO104">
        <v>33.6</v>
      </c>
      <c r="AP104">
        <v>0.5</v>
      </c>
      <c r="AQ104" t="s">
        <v>331</v>
      </c>
      <c r="AR104">
        <v>2</v>
      </c>
      <c r="AS104">
        <v>1690216164.5999999</v>
      </c>
      <c r="AT104">
        <v>608.75300000000004</v>
      </c>
      <c r="AU104">
        <v>799.97400000000005</v>
      </c>
      <c r="AV104">
        <v>19.281199999999998</v>
      </c>
      <c r="AW104">
        <v>5.7917300000000003</v>
      </c>
      <c r="AX104">
        <v>609.00800000000004</v>
      </c>
      <c r="AY104">
        <v>19.100200000000001</v>
      </c>
      <c r="AZ104">
        <v>300.17399999999998</v>
      </c>
      <c r="BA104">
        <v>99.081299999999999</v>
      </c>
      <c r="BB104">
        <v>9.9994600000000003E-2</v>
      </c>
      <c r="BC104">
        <v>26.8217</v>
      </c>
      <c r="BD104">
        <v>26.995100000000001</v>
      </c>
      <c r="BE104">
        <v>28.351199999999999</v>
      </c>
      <c r="BF104">
        <v>0</v>
      </c>
      <c r="BG104">
        <v>0</v>
      </c>
      <c r="BH104">
        <v>9996.8799999999992</v>
      </c>
      <c r="BI104">
        <v>1076.02</v>
      </c>
      <c r="BJ104">
        <v>1.90625</v>
      </c>
      <c r="BK104">
        <v>-191.221</v>
      </c>
      <c r="BL104">
        <v>620.721</v>
      </c>
      <c r="BM104">
        <v>804.63400000000001</v>
      </c>
      <c r="BN104">
        <v>13.4895</v>
      </c>
      <c r="BO104">
        <v>799.97400000000005</v>
      </c>
      <c r="BP104">
        <v>5.7917300000000003</v>
      </c>
      <c r="BQ104">
        <v>1.9104099999999999</v>
      </c>
      <c r="BR104">
        <v>0.573851</v>
      </c>
      <c r="BS104">
        <v>16.720700000000001</v>
      </c>
      <c r="BT104">
        <v>-0.91968799999999995</v>
      </c>
      <c r="BU104">
        <v>1800</v>
      </c>
      <c r="BV104">
        <v>0.90999699999999994</v>
      </c>
      <c r="BW104">
        <v>3.3996699999999998E-2</v>
      </c>
      <c r="BX104">
        <v>2.2003100000000001E-2</v>
      </c>
      <c r="BY104">
        <v>3.40028E-2</v>
      </c>
      <c r="BZ104">
        <v>26</v>
      </c>
      <c r="CA104">
        <v>33528.300000000003</v>
      </c>
      <c r="CB104">
        <v>1690214843</v>
      </c>
      <c r="CC104" t="s">
        <v>332</v>
      </c>
      <c r="CD104">
        <v>1690214842</v>
      </c>
      <c r="CE104">
        <v>1690214843</v>
      </c>
      <c r="CF104">
        <v>8</v>
      </c>
      <c r="CG104">
        <v>-6.3E-2</v>
      </c>
      <c r="CH104">
        <v>1E-3</v>
      </c>
      <c r="CI104">
        <v>-0.38900000000000001</v>
      </c>
      <c r="CJ104">
        <v>-6.6000000000000003E-2</v>
      </c>
      <c r="CK104">
        <v>800</v>
      </c>
      <c r="CL104">
        <v>6</v>
      </c>
      <c r="CM104">
        <v>0.23</v>
      </c>
      <c r="CN104">
        <v>0.02</v>
      </c>
      <c r="CO104">
        <v>-188.21290243902439</v>
      </c>
      <c r="CP104">
        <v>-16.550341463415219</v>
      </c>
      <c r="CQ104">
        <v>1.633008040021402</v>
      </c>
      <c r="CR104">
        <v>-1</v>
      </c>
      <c r="CS104">
        <v>13.342151219512189</v>
      </c>
      <c r="CT104">
        <v>0.80672822299652258</v>
      </c>
      <c r="CU104">
        <v>7.9548788900812045E-2</v>
      </c>
      <c r="CV104">
        <v>-1</v>
      </c>
      <c r="CW104">
        <v>0</v>
      </c>
      <c r="CX104">
        <v>0</v>
      </c>
      <c r="CY104" t="s">
        <v>333</v>
      </c>
      <c r="CZ104">
        <v>2.3644400000000001</v>
      </c>
      <c r="DA104">
        <v>2.7137799999999999</v>
      </c>
      <c r="DB104">
        <v>0.121659</v>
      </c>
      <c r="DC104">
        <v>0.14605699999999999</v>
      </c>
      <c r="DD104">
        <v>9.7389600000000007E-2</v>
      </c>
      <c r="DE104">
        <v>3.8319800000000001E-2</v>
      </c>
      <c r="DF104">
        <v>32061.599999999999</v>
      </c>
      <c r="DG104">
        <v>27506.1</v>
      </c>
      <c r="DH104">
        <v>31162.6</v>
      </c>
      <c r="DI104">
        <v>28067.599999999999</v>
      </c>
      <c r="DJ104">
        <v>38190.9</v>
      </c>
      <c r="DK104">
        <v>38381.4</v>
      </c>
      <c r="DL104">
        <v>44346.1</v>
      </c>
      <c r="DM104">
        <v>42536.5</v>
      </c>
      <c r="DN104">
        <v>1.35745</v>
      </c>
      <c r="DO104">
        <v>2.0335800000000002</v>
      </c>
      <c r="DP104">
        <v>8.4459800000000002E-2</v>
      </c>
      <c r="DQ104">
        <v>0.182144</v>
      </c>
      <c r="DR104">
        <v>25.612300000000001</v>
      </c>
      <c r="DS104">
        <v>25.371700000000001</v>
      </c>
      <c r="DT104">
        <v>17.100000000000001</v>
      </c>
      <c r="DU104">
        <v>29.8</v>
      </c>
      <c r="DV104">
        <v>7.26945</v>
      </c>
      <c r="DW104">
        <v>61.698500000000003</v>
      </c>
      <c r="DX104">
        <v>36.153799999999997</v>
      </c>
      <c r="DY104">
        <v>1</v>
      </c>
      <c r="DZ104">
        <v>-8.6323700000000003E-2</v>
      </c>
      <c r="EA104">
        <v>-0.115637</v>
      </c>
      <c r="EB104">
        <v>20.190000000000001</v>
      </c>
      <c r="EC104">
        <v>5.2409499999999998</v>
      </c>
      <c r="ED104">
        <v>12.039899999999999</v>
      </c>
      <c r="EE104">
        <v>5.01715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1.8689100000000001</v>
      </c>
      <c r="EL104">
        <v>1.8646799999999999</v>
      </c>
      <c r="EM104">
        <v>1.8692</v>
      </c>
      <c r="EN104">
        <v>1.8672299999999999</v>
      </c>
      <c r="EO104">
        <v>1.8633999999999999</v>
      </c>
      <c r="EP104">
        <v>1.86459</v>
      </c>
      <c r="EQ104">
        <v>1.87015</v>
      </c>
      <c r="ER104">
        <v>1.8694299999999999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-0.255</v>
      </c>
      <c r="FG104">
        <v>0.18099999999999999</v>
      </c>
      <c r="FH104">
        <v>0.16202357103534001</v>
      </c>
      <c r="FI104">
        <v>-6.1462078757559423E-4</v>
      </c>
      <c r="FJ104">
        <v>-1.8861989874597051E-7</v>
      </c>
      <c r="FK104">
        <v>1.1980462299894961E-10</v>
      </c>
      <c r="FL104">
        <v>-3.0039189969545878E-2</v>
      </c>
      <c r="FM104">
        <v>-1.6848085045870601E-2</v>
      </c>
      <c r="FN104">
        <v>1.9789084769509481E-3</v>
      </c>
      <c r="FO104">
        <v>-2.7142391389806329E-5</v>
      </c>
      <c r="FP104">
        <v>3</v>
      </c>
      <c r="FQ104">
        <v>2158</v>
      </c>
      <c r="FR104">
        <v>1</v>
      </c>
      <c r="FS104">
        <v>19</v>
      </c>
      <c r="FT104">
        <v>22</v>
      </c>
      <c r="FU104">
        <v>22</v>
      </c>
      <c r="FV104">
        <v>1.7785599999999999</v>
      </c>
      <c r="FW104">
        <v>2.5830099999999998</v>
      </c>
      <c r="FX104">
        <v>1.5490699999999999</v>
      </c>
      <c r="FY104">
        <v>2.3290999999999999</v>
      </c>
      <c r="FZ104">
        <v>1.50146</v>
      </c>
      <c r="GA104">
        <v>2.3144499999999999</v>
      </c>
      <c r="GB104">
        <v>33.850900000000003</v>
      </c>
      <c r="GC104">
        <v>23.982399999999998</v>
      </c>
      <c r="GD104">
        <v>19</v>
      </c>
      <c r="GE104">
        <v>235.774</v>
      </c>
      <c r="GF104">
        <v>581.82899999999995</v>
      </c>
      <c r="GG104">
        <v>25.108899999999998</v>
      </c>
      <c r="GH104">
        <v>26.305099999999999</v>
      </c>
      <c r="GI104">
        <v>30.0001</v>
      </c>
      <c r="GJ104">
        <v>26.447299999999998</v>
      </c>
      <c r="GK104">
        <v>26.425000000000001</v>
      </c>
      <c r="GL104">
        <v>35.565600000000003</v>
      </c>
      <c r="GM104">
        <v>-30</v>
      </c>
      <c r="GN104">
        <v>-30</v>
      </c>
      <c r="GO104">
        <v>25.102399999999999</v>
      </c>
      <c r="GP104">
        <v>800</v>
      </c>
      <c r="GQ104">
        <v>12.5298</v>
      </c>
      <c r="GR104">
        <v>99.705500000000001</v>
      </c>
      <c r="GS104">
        <v>99.511700000000005</v>
      </c>
    </row>
    <row r="105" spans="1:201" x14ac:dyDescent="0.25">
      <c r="A105">
        <v>89</v>
      </c>
      <c r="B105">
        <v>1690216174.5999999</v>
      </c>
      <c r="C105">
        <v>1229.099999904633</v>
      </c>
      <c r="D105" t="s">
        <v>511</v>
      </c>
      <c r="E105" t="s">
        <v>512</v>
      </c>
      <c r="F105" t="s">
        <v>330</v>
      </c>
      <c r="H105">
        <v>1690216174.5999999</v>
      </c>
      <c r="I105">
        <f t="shared" si="30"/>
        <v>1.2410383461485693E-3</v>
      </c>
      <c r="J105">
        <f t="shared" si="31"/>
        <v>1.2410383461485692</v>
      </c>
      <c r="K105">
        <f t="shared" si="32"/>
        <v>16.579694138854769</v>
      </c>
      <c r="L105">
        <f t="shared" si="33"/>
        <v>606.03099999999995</v>
      </c>
      <c r="M105">
        <f t="shared" si="34"/>
        <v>148.26079764190791</v>
      </c>
      <c r="N105">
        <f t="shared" si="35"/>
        <v>14.70440381773917</v>
      </c>
      <c r="O105">
        <f t="shared" si="36"/>
        <v>60.105737267053392</v>
      </c>
      <c r="P105">
        <f t="shared" si="37"/>
        <v>6.0413296443175349E-2</v>
      </c>
      <c r="Q105">
        <f t="shared" si="38"/>
        <v>2.0659321360419449</v>
      </c>
      <c r="R105">
        <f t="shared" si="39"/>
        <v>5.944873687803269E-2</v>
      </c>
      <c r="S105">
        <f t="shared" si="40"/>
        <v>3.7240839560038888E-2</v>
      </c>
      <c r="T105">
        <f t="shared" si="41"/>
        <v>276.1140177567126</v>
      </c>
      <c r="U105">
        <f t="shared" si="42"/>
        <v>28.622078776902409</v>
      </c>
      <c r="V105">
        <f t="shared" si="43"/>
        <v>28.622078776902409</v>
      </c>
      <c r="W105">
        <f t="shared" si="44"/>
        <v>3.9346563252981226</v>
      </c>
      <c r="X105">
        <f t="shared" si="45"/>
        <v>54.359524357125991</v>
      </c>
      <c r="Y105">
        <f t="shared" si="46"/>
        <v>1.9253778901393401</v>
      </c>
      <c r="Z105">
        <f t="shared" si="47"/>
        <v>3.5419329232724284</v>
      </c>
      <c r="AA105">
        <f t="shared" si="48"/>
        <v>2.0092784351587825</v>
      </c>
      <c r="AB105">
        <f t="shared" si="49"/>
        <v>-54.729791065151908</v>
      </c>
      <c r="AC105">
        <f t="shared" si="50"/>
        <v>-200.47899617544599</v>
      </c>
      <c r="AD105">
        <f t="shared" si="51"/>
        <v>-21.094241603239393</v>
      </c>
      <c r="AE105">
        <f t="shared" si="52"/>
        <v>-0.1890110871246975</v>
      </c>
      <c r="AF105">
        <v>45</v>
      </c>
      <c r="AG105">
        <v>15</v>
      </c>
      <c r="AH105">
        <f t="shared" si="53"/>
        <v>1</v>
      </c>
      <c r="AI105">
        <f t="shared" si="54"/>
        <v>0</v>
      </c>
      <c r="AJ105">
        <f t="shared" si="55"/>
        <v>52502.902600392852</v>
      </c>
      <c r="AK105">
        <f t="shared" si="56"/>
        <v>1799.99</v>
      </c>
      <c r="AL105">
        <f t="shared" si="57"/>
        <v>1499.1047227941599</v>
      </c>
      <c r="AM105">
        <f t="shared" si="58"/>
        <v>0.83284058399999994</v>
      </c>
      <c r="AN105">
        <f t="shared" si="59"/>
        <v>0.15339752874000001</v>
      </c>
      <c r="AO105">
        <v>33.6</v>
      </c>
      <c r="AP105">
        <v>0.5</v>
      </c>
      <c r="AQ105" t="s">
        <v>331</v>
      </c>
      <c r="AR105">
        <v>2</v>
      </c>
      <c r="AS105">
        <v>1690216174.5999999</v>
      </c>
      <c r="AT105">
        <v>606.03099999999995</v>
      </c>
      <c r="AU105">
        <v>800.04499999999996</v>
      </c>
      <c r="AV105">
        <v>19.4131</v>
      </c>
      <c r="AW105">
        <v>5.7904799999999996</v>
      </c>
      <c r="AX105">
        <v>606.28399999999999</v>
      </c>
      <c r="AY105">
        <v>19.228400000000001</v>
      </c>
      <c r="AZ105">
        <v>300.15800000000002</v>
      </c>
      <c r="BA105">
        <v>99.079400000000007</v>
      </c>
      <c r="BB105">
        <v>9.9911399999999997E-2</v>
      </c>
      <c r="BC105">
        <v>26.822099999999999</v>
      </c>
      <c r="BD105">
        <v>26.993300000000001</v>
      </c>
      <c r="BE105">
        <v>28.355699999999999</v>
      </c>
      <c r="BF105">
        <v>0</v>
      </c>
      <c r="BG105">
        <v>0</v>
      </c>
      <c r="BH105">
        <v>10016.200000000001</v>
      </c>
      <c r="BI105">
        <v>1076.02</v>
      </c>
      <c r="BJ105">
        <v>1.90625</v>
      </c>
      <c r="BK105">
        <v>-194.01400000000001</v>
      </c>
      <c r="BL105">
        <v>618.029</v>
      </c>
      <c r="BM105">
        <v>804.70500000000004</v>
      </c>
      <c r="BN105">
        <v>13.6226</v>
      </c>
      <c r="BO105">
        <v>800.04499999999996</v>
      </c>
      <c r="BP105">
        <v>5.7904799999999996</v>
      </c>
      <c r="BQ105">
        <v>1.92344</v>
      </c>
      <c r="BR105">
        <v>0.57371799999999995</v>
      </c>
      <c r="BS105">
        <v>16.8278</v>
      </c>
      <c r="BT105">
        <v>-0.922875</v>
      </c>
      <c r="BU105">
        <v>1799.99</v>
      </c>
      <c r="BV105">
        <v>0.91000099999999995</v>
      </c>
      <c r="BW105">
        <v>3.3995400000000002E-2</v>
      </c>
      <c r="BX105">
        <v>2.20022E-2</v>
      </c>
      <c r="BY105">
        <v>3.4001400000000001E-2</v>
      </c>
      <c r="BZ105">
        <v>26</v>
      </c>
      <c r="CA105">
        <v>33528.300000000003</v>
      </c>
      <c r="CB105">
        <v>1690214843</v>
      </c>
      <c r="CC105" t="s">
        <v>332</v>
      </c>
      <c r="CD105">
        <v>1690214842</v>
      </c>
      <c r="CE105">
        <v>1690214843</v>
      </c>
      <c r="CF105">
        <v>8</v>
      </c>
      <c r="CG105">
        <v>-6.3E-2</v>
      </c>
      <c r="CH105">
        <v>1E-3</v>
      </c>
      <c r="CI105">
        <v>-0.38900000000000001</v>
      </c>
      <c r="CJ105">
        <v>-6.6000000000000003E-2</v>
      </c>
      <c r="CK105">
        <v>800</v>
      </c>
      <c r="CL105">
        <v>6</v>
      </c>
      <c r="CM105">
        <v>0.23</v>
      </c>
      <c r="CN105">
        <v>0.02</v>
      </c>
      <c r="CO105">
        <v>-191.172325</v>
      </c>
      <c r="CP105">
        <v>-16.175628517823419</v>
      </c>
      <c r="CQ105">
        <v>1.556617252048492</v>
      </c>
      <c r="CR105">
        <v>-1</v>
      </c>
      <c r="CS105">
        <v>13.486295</v>
      </c>
      <c r="CT105">
        <v>0.80014333958721318</v>
      </c>
      <c r="CU105">
        <v>7.69712672040678E-2</v>
      </c>
      <c r="CV105">
        <v>-1</v>
      </c>
      <c r="CW105">
        <v>0</v>
      </c>
      <c r="CX105">
        <v>0</v>
      </c>
      <c r="CY105" t="s">
        <v>333</v>
      </c>
      <c r="CZ105">
        <v>2.36436</v>
      </c>
      <c r="DA105">
        <v>2.7137199999999999</v>
      </c>
      <c r="DB105">
        <v>0.121277</v>
      </c>
      <c r="DC105">
        <v>0.146063</v>
      </c>
      <c r="DD105">
        <v>9.7857E-2</v>
      </c>
      <c r="DE105">
        <v>3.8312499999999999E-2</v>
      </c>
      <c r="DF105">
        <v>32075.7</v>
      </c>
      <c r="DG105">
        <v>27506.3</v>
      </c>
      <c r="DH105">
        <v>31162.7</v>
      </c>
      <c r="DI105">
        <v>28068</v>
      </c>
      <c r="DJ105">
        <v>38171.1</v>
      </c>
      <c r="DK105">
        <v>38382.1</v>
      </c>
      <c r="DL105">
        <v>44346.400000000001</v>
      </c>
      <c r="DM105">
        <v>42536.9</v>
      </c>
      <c r="DN105">
        <v>1.3573200000000001</v>
      </c>
      <c r="DO105">
        <v>2.0336500000000002</v>
      </c>
      <c r="DP105">
        <v>8.4348000000000006E-2</v>
      </c>
      <c r="DQ105">
        <v>0.18242</v>
      </c>
      <c r="DR105">
        <v>25.612300000000001</v>
      </c>
      <c r="DS105">
        <v>25.371700000000001</v>
      </c>
      <c r="DT105">
        <v>17.100000000000001</v>
      </c>
      <c r="DU105">
        <v>29.8</v>
      </c>
      <c r="DV105">
        <v>7.2692500000000004</v>
      </c>
      <c r="DW105">
        <v>61.388500000000001</v>
      </c>
      <c r="DX105">
        <v>36.265999999999998</v>
      </c>
      <c r="DY105">
        <v>1</v>
      </c>
      <c r="DZ105">
        <v>-8.6333800000000002E-2</v>
      </c>
      <c r="EA105">
        <v>-0.10095899999999999</v>
      </c>
      <c r="EB105">
        <v>20.190000000000001</v>
      </c>
      <c r="EC105">
        <v>5.2409499999999998</v>
      </c>
      <c r="ED105">
        <v>12.039899999999999</v>
      </c>
      <c r="EE105">
        <v>5.0173500000000004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1.8689199999999999</v>
      </c>
      <c r="EL105">
        <v>1.86467</v>
      </c>
      <c r="EM105">
        <v>1.8692</v>
      </c>
      <c r="EN105">
        <v>1.8672500000000001</v>
      </c>
      <c r="EO105">
        <v>1.86341</v>
      </c>
      <c r="EP105">
        <v>1.8645799999999999</v>
      </c>
      <c r="EQ105">
        <v>1.8701700000000001</v>
      </c>
      <c r="ER105">
        <v>1.8694500000000001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-0.253</v>
      </c>
      <c r="FG105">
        <v>0.1847</v>
      </c>
      <c r="FH105">
        <v>0.16202357103534001</v>
      </c>
      <c r="FI105">
        <v>-6.1462078757559423E-4</v>
      </c>
      <c r="FJ105">
        <v>-1.8861989874597051E-7</v>
      </c>
      <c r="FK105">
        <v>1.1980462299894961E-10</v>
      </c>
      <c r="FL105">
        <v>-3.0039189969545878E-2</v>
      </c>
      <c r="FM105">
        <v>-1.6848085045870601E-2</v>
      </c>
      <c r="FN105">
        <v>1.9789084769509481E-3</v>
      </c>
      <c r="FO105">
        <v>-2.7142391389806329E-5</v>
      </c>
      <c r="FP105">
        <v>3</v>
      </c>
      <c r="FQ105">
        <v>2158</v>
      </c>
      <c r="FR105">
        <v>1</v>
      </c>
      <c r="FS105">
        <v>19</v>
      </c>
      <c r="FT105">
        <v>22.2</v>
      </c>
      <c r="FU105">
        <v>22.2</v>
      </c>
      <c r="FV105">
        <v>1.7785599999999999</v>
      </c>
      <c r="FW105">
        <v>2.5817899999999998</v>
      </c>
      <c r="FX105">
        <v>1.5490699999999999</v>
      </c>
      <c r="FY105">
        <v>2.3290999999999999</v>
      </c>
      <c r="FZ105">
        <v>1.50146</v>
      </c>
      <c r="GA105">
        <v>2.323</v>
      </c>
      <c r="GB105">
        <v>33.850900000000003</v>
      </c>
      <c r="GC105">
        <v>23.982399999999998</v>
      </c>
      <c r="GD105">
        <v>19</v>
      </c>
      <c r="GE105">
        <v>235.72200000000001</v>
      </c>
      <c r="GF105">
        <v>581.87800000000004</v>
      </c>
      <c r="GG105">
        <v>25.104099999999999</v>
      </c>
      <c r="GH105">
        <v>26.304200000000002</v>
      </c>
      <c r="GI105">
        <v>29.9999</v>
      </c>
      <c r="GJ105">
        <v>26.445799999999998</v>
      </c>
      <c r="GK105">
        <v>26.4239</v>
      </c>
      <c r="GL105">
        <v>35.566600000000001</v>
      </c>
      <c r="GM105">
        <v>-30</v>
      </c>
      <c r="GN105">
        <v>-30</v>
      </c>
      <c r="GO105">
        <v>25.104099999999999</v>
      </c>
      <c r="GP105">
        <v>800</v>
      </c>
      <c r="GQ105">
        <v>12.5298</v>
      </c>
      <c r="GR105">
        <v>99.706000000000003</v>
      </c>
      <c r="GS105">
        <v>99.512799999999999</v>
      </c>
    </row>
    <row r="106" spans="1:201" x14ac:dyDescent="0.25">
      <c r="A106">
        <v>90</v>
      </c>
      <c r="B106">
        <v>1690216184.5999999</v>
      </c>
      <c r="C106">
        <v>1239.099999904633</v>
      </c>
      <c r="D106" t="s">
        <v>513</v>
      </c>
      <c r="E106" t="s">
        <v>514</v>
      </c>
      <c r="F106" t="s">
        <v>330</v>
      </c>
      <c r="H106">
        <v>1690216184.5999999</v>
      </c>
      <c r="I106">
        <f t="shared" si="30"/>
        <v>1.2536856570595459E-3</v>
      </c>
      <c r="J106">
        <f t="shared" si="31"/>
        <v>1.2536856570595458</v>
      </c>
      <c r="K106">
        <f t="shared" si="32"/>
        <v>16.827583840130476</v>
      </c>
      <c r="L106">
        <f t="shared" si="33"/>
        <v>603.154</v>
      </c>
      <c r="M106">
        <f t="shared" si="34"/>
        <v>147.06243768578111</v>
      </c>
      <c r="N106">
        <f t="shared" si="35"/>
        <v>14.586062270920918</v>
      </c>
      <c r="O106">
        <f t="shared" si="36"/>
        <v>59.8224940467286</v>
      </c>
      <c r="P106">
        <f t="shared" si="37"/>
        <v>6.1539546952432779E-2</v>
      </c>
      <c r="Q106">
        <f t="shared" si="38"/>
        <v>2.0692564093648094</v>
      </c>
      <c r="R106">
        <f t="shared" si="39"/>
        <v>6.0540589015734156E-2</v>
      </c>
      <c r="S106">
        <f t="shared" si="40"/>
        <v>3.7926269773922744E-2</v>
      </c>
      <c r="T106">
        <f t="shared" si="41"/>
        <v>276.11376322012671</v>
      </c>
      <c r="U106">
        <f t="shared" si="42"/>
        <v>28.610237450881471</v>
      </c>
      <c r="V106">
        <f t="shared" si="43"/>
        <v>28.610237450881471</v>
      </c>
      <c r="W106">
        <f t="shared" si="44"/>
        <v>3.9319535283762748</v>
      </c>
      <c r="X106">
        <f t="shared" si="45"/>
        <v>54.754874697442766</v>
      </c>
      <c r="Y106">
        <f t="shared" si="46"/>
        <v>1.9388449353303803</v>
      </c>
      <c r="Z106">
        <f t="shared" si="47"/>
        <v>3.5409540174163352</v>
      </c>
      <c r="AA106">
        <f t="shared" si="48"/>
        <v>1.9931085930458945</v>
      </c>
      <c r="AB106">
        <f t="shared" si="49"/>
        <v>-55.287537476325973</v>
      </c>
      <c r="AC106">
        <f t="shared" si="50"/>
        <v>-200.0049149000462</v>
      </c>
      <c r="AD106">
        <f t="shared" si="51"/>
        <v>-21.00881628028543</v>
      </c>
      <c r="AE106">
        <f t="shared" si="52"/>
        <v>-0.18750543653089835</v>
      </c>
      <c r="AF106">
        <v>45</v>
      </c>
      <c r="AG106">
        <v>15</v>
      </c>
      <c r="AH106">
        <f t="shared" si="53"/>
        <v>1</v>
      </c>
      <c r="AI106">
        <f t="shared" si="54"/>
        <v>0</v>
      </c>
      <c r="AJ106">
        <f t="shared" si="55"/>
        <v>52656.234204394241</v>
      </c>
      <c r="AK106">
        <f t="shared" si="56"/>
        <v>1799.99</v>
      </c>
      <c r="AL106">
        <f t="shared" si="57"/>
        <v>1499.1046129947699</v>
      </c>
      <c r="AM106">
        <f t="shared" si="58"/>
        <v>0.832840523</v>
      </c>
      <c r="AN106">
        <f t="shared" si="59"/>
        <v>0.15339738733</v>
      </c>
      <c r="AO106">
        <v>33.6</v>
      </c>
      <c r="AP106">
        <v>0.5</v>
      </c>
      <c r="AQ106" t="s">
        <v>331</v>
      </c>
      <c r="AR106">
        <v>2</v>
      </c>
      <c r="AS106">
        <v>1690216184.5999999</v>
      </c>
      <c r="AT106">
        <v>603.154</v>
      </c>
      <c r="AU106">
        <v>799.96799999999996</v>
      </c>
      <c r="AV106">
        <v>19.548200000000001</v>
      </c>
      <c r="AW106">
        <v>5.7900700000000001</v>
      </c>
      <c r="AX106">
        <v>603.40499999999997</v>
      </c>
      <c r="AY106">
        <v>19.3597</v>
      </c>
      <c r="AZ106">
        <v>300.18900000000002</v>
      </c>
      <c r="BA106">
        <v>99.082800000000006</v>
      </c>
      <c r="BB106">
        <v>9.9985900000000003E-2</v>
      </c>
      <c r="BC106">
        <v>26.817399999999999</v>
      </c>
      <c r="BD106">
        <v>26.9878</v>
      </c>
      <c r="BE106">
        <v>28.366</v>
      </c>
      <c r="BF106">
        <v>0</v>
      </c>
      <c r="BG106">
        <v>0</v>
      </c>
      <c r="BH106">
        <v>10046.200000000001</v>
      </c>
      <c r="BI106">
        <v>1076.06</v>
      </c>
      <c r="BJ106">
        <v>1.90625</v>
      </c>
      <c r="BK106">
        <v>-196.815</v>
      </c>
      <c r="BL106">
        <v>615.17899999999997</v>
      </c>
      <c r="BM106">
        <v>804.62699999999995</v>
      </c>
      <c r="BN106">
        <v>13.7582</v>
      </c>
      <c r="BO106">
        <v>799.96799999999996</v>
      </c>
      <c r="BP106">
        <v>5.7900700000000001</v>
      </c>
      <c r="BQ106">
        <v>1.9369000000000001</v>
      </c>
      <c r="BR106">
        <v>0.57369700000000001</v>
      </c>
      <c r="BS106">
        <v>16.9377</v>
      </c>
      <c r="BT106">
        <v>-0.92337100000000005</v>
      </c>
      <c r="BU106">
        <v>1799.99</v>
      </c>
      <c r="BV106">
        <v>0.91000400000000004</v>
      </c>
      <c r="BW106">
        <v>3.3994099999999999E-2</v>
      </c>
      <c r="BX106">
        <v>2.2001400000000001E-2</v>
      </c>
      <c r="BY106">
        <v>3.4000099999999998E-2</v>
      </c>
      <c r="BZ106">
        <v>25.958300000000001</v>
      </c>
      <c r="CA106">
        <v>33528.300000000003</v>
      </c>
      <c r="CB106">
        <v>1690214843</v>
      </c>
      <c r="CC106" t="s">
        <v>332</v>
      </c>
      <c r="CD106">
        <v>1690214842</v>
      </c>
      <c r="CE106">
        <v>1690214843</v>
      </c>
      <c r="CF106">
        <v>8</v>
      </c>
      <c r="CG106">
        <v>-6.3E-2</v>
      </c>
      <c r="CH106">
        <v>1E-3</v>
      </c>
      <c r="CI106">
        <v>-0.38900000000000001</v>
      </c>
      <c r="CJ106">
        <v>-6.6000000000000003E-2</v>
      </c>
      <c r="CK106">
        <v>800</v>
      </c>
      <c r="CL106">
        <v>6</v>
      </c>
      <c r="CM106">
        <v>0.23</v>
      </c>
      <c r="CN106">
        <v>0.02</v>
      </c>
      <c r="CO106">
        <v>-193.73043902439031</v>
      </c>
      <c r="CP106">
        <v>-16.873714285714119</v>
      </c>
      <c r="CQ106">
        <v>1.6640953310048729</v>
      </c>
      <c r="CR106">
        <v>-1</v>
      </c>
      <c r="CS106">
        <v>13.610182926829269</v>
      </c>
      <c r="CT106">
        <v>0.80880209059234021</v>
      </c>
      <c r="CU106">
        <v>7.9751029972518761E-2</v>
      </c>
      <c r="CV106">
        <v>-1</v>
      </c>
      <c r="CW106">
        <v>0</v>
      </c>
      <c r="CX106">
        <v>0</v>
      </c>
      <c r="CY106" t="s">
        <v>333</v>
      </c>
      <c r="CZ106">
        <v>2.36449</v>
      </c>
      <c r="DA106">
        <v>2.7138200000000001</v>
      </c>
      <c r="DB106">
        <v>0.120878</v>
      </c>
      <c r="DC106">
        <v>0.14605899999999999</v>
      </c>
      <c r="DD106">
        <v>9.8339599999999999E-2</v>
      </c>
      <c r="DE106">
        <v>3.8311600000000001E-2</v>
      </c>
      <c r="DF106">
        <v>32090.2</v>
      </c>
      <c r="DG106">
        <v>27506.5</v>
      </c>
      <c r="DH106">
        <v>31162.6</v>
      </c>
      <c r="DI106">
        <v>28068.1</v>
      </c>
      <c r="DJ106">
        <v>38150.199999999997</v>
      </c>
      <c r="DK106">
        <v>38382.300000000003</v>
      </c>
      <c r="DL106">
        <v>44346.1</v>
      </c>
      <c r="DM106">
        <v>42537.2</v>
      </c>
      <c r="DN106">
        <v>1.35785</v>
      </c>
      <c r="DO106">
        <v>2.0334699999999999</v>
      </c>
      <c r="DP106">
        <v>8.4009E-2</v>
      </c>
      <c r="DQ106">
        <v>0.18305299999999999</v>
      </c>
      <c r="DR106">
        <v>25.612300000000001</v>
      </c>
      <c r="DS106">
        <v>25.371700000000001</v>
      </c>
      <c r="DT106">
        <v>17.100000000000001</v>
      </c>
      <c r="DU106">
        <v>29.8</v>
      </c>
      <c r="DV106">
        <v>7.2680899999999999</v>
      </c>
      <c r="DW106">
        <v>61.648499999999999</v>
      </c>
      <c r="DX106">
        <v>36.0657</v>
      </c>
      <c r="DY106">
        <v>1</v>
      </c>
      <c r="DZ106">
        <v>-8.6516800000000005E-2</v>
      </c>
      <c r="EA106">
        <v>-0.10707800000000001</v>
      </c>
      <c r="EB106">
        <v>20.190100000000001</v>
      </c>
      <c r="EC106">
        <v>5.2411000000000003</v>
      </c>
      <c r="ED106">
        <v>12.039899999999999</v>
      </c>
      <c r="EE106">
        <v>5.01715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1.8689199999999999</v>
      </c>
      <c r="EL106">
        <v>1.86467</v>
      </c>
      <c r="EM106">
        <v>1.8692</v>
      </c>
      <c r="EN106">
        <v>1.86724</v>
      </c>
      <c r="EO106">
        <v>1.86341</v>
      </c>
      <c r="EP106">
        <v>1.86459</v>
      </c>
      <c r="EQ106">
        <v>1.87016</v>
      </c>
      <c r="ER106">
        <v>1.86944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-0.251</v>
      </c>
      <c r="FG106">
        <v>0.1885</v>
      </c>
      <c r="FH106">
        <v>0.16202357103534001</v>
      </c>
      <c r="FI106">
        <v>-6.1462078757559423E-4</v>
      </c>
      <c r="FJ106">
        <v>-1.8861989874597051E-7</v>
      </c>
      <c r="FK106">
        <v>1.1980462299894961E-10</v>
      </c>
      <c r="FL106">
        <v>-3.0039189969545878E-2</v>
      </c>
      <c r="FM106">
        <v>-1.6848085045870601E-2</v>
      </c>
      <c r="FN106">
        <v>1.9789084769509481E-3</v>
      </c>
      <c r="FO106">
        <v>-2.7142391389806329E-5</v>
      </c>
      <c r="FP106">
        <v>3</v>
      </c>
      <c r="FQ106">
        <v>2158</v>
      </c>
      <c r="FR106">
        <v>1</v>
      </c>
      <c r="FS106">
        <v>19</v>
      </c>
      <c r="FT106">
        <v>22.4</v>
      </c>
      <c r="FU106">
        <v>22.4</v>
      </c>
      <c r="FV106">
        <v>1.7785599999999999</v>
      </c>
      <c r="FW106">
        <v>2.5793499999999998</v>
      </c>
      <c r="FX106">
        <v>1.5490699999999999</v>
      </c>
      <c r="FY106">
        <v>2.3290999999999999</v>
      </c>
      <c r="FZ106">
        <v>1.50146</v>
      </c>
      <c r="GA106">
        <v>2.3315399999999999</v>
      </c>
      <c r="GB106">
        <v>33.850900000000003</v>
      </c>
      <c r="GC106">
        <v>23.982399999999998</v>
      </c>
      <c r="GD106">
        <v>19</v>
      </c>
      <c r="GE106">
        <v>235.91</v>
      </c>
      <c r="GF106">
        <v>581.72199999999998</v>
      </c>
      <c r="GG106">
        <v>25.103999999999999</v>
      </c>
      <c r="GH106">
        <v>26.3019</v>
      </c>
      <c r="GI106">
        <v>29.9999</v>
      </c>
      <c r="GJ106">
        <v>26.4435</v>
      </c>
      <c r="GK106">
        <v>26.422799999999999</v>
      </c>
      <c r="GL106">
        <v>35.566800000000001</v>
      </c>
      <c r="GM106">
        <v>-30</v>
      </c>
      <c r="GN106">
        <v>-30</v>
      </c>
      <c r="GO106">
        <v>25.114799999999999</v>
      </c>
      <c r="GP106">
        <v>800</v>
      </c>
      <c r="GQ106">
        <v>12.5298</v>
      </c>
      <c r="GR106">
        <v>99.705399999999997</v>
      </c>
      <c r="GS106">
        <v>99.513199999999998</v>
      </c>
    </row>
    <row r="107" spans="1:201" x14ac:dyDescent="0.25">
      <c r="A107">
        <v>91</v>
      </c>
      <c r="B107">
        <v>1690216194.5999999</v>
      </c>
      <c r="C107">
        <v>1249.099999904633</v>
      </c>
      <c r="D107" t="s">
        <v>515</v>
      </c>
      <c r="E107" t="s">
        <v>516</v>
      </c>
      <c r="F107" t="s">
        <v>330</v>
      </c>
      <c r="H107">
        <v>1690216194.5999999</v>
      </c>
      <c r="I107">
        <f t="shared" si="30"/>
        <v>1.2656051513042748E-3</v>
      </c>
      <c r="J107">
        <f t="shared" si="31"/>
        <v>1.2656051513042748</v>
      </c>
      <c r="K107">
        <f t="shared" si="32"/>
        <v>17.070392116918722</v>
      </c>
      <c r="L107">
        <f t="shared" si="33"/>
        <v>600.38800000000003</v>
      </c>
      <c r="M107">
        <f t="shared" si="34"/>
        <v>145.11606033555927</v>
      </c>
      <c r="N107">
        <f t="shared" si="35"/>
        <v>14.392684292807296</v>
      </c>
      <c r="O107">
        <f t="shared" si="36"/>
        <v>59.546785636328003</v>
      </c>
      <c r="P107">
        <f t="shared" si="37"/>
        <v>6.2537164852863522E-2</v>
      </c>
      <c r="Q107">
        <f t="shared" si="38"/>
        <v>2.0645061815302816</v>
      </c>
      <c r="R107">
        <f t="shared" si="39"/>
        <v>6.1503518086066265E-2</v>
      </c>
      <c r="S107">
        <f t="shared" si="40"/>
        <v>3.8531144747000382E-2</v>
      </c>
      <c r="T107">
        <f t="shared" si="41"/>
        <v>276.115226382</v>
      </c>
      <c r="U107">
        <f t="shared" si="42"/>
        <v>28.610407029310764</v>
      </c>
      <c r="V107">
        <f t="shared" si="43"/>
        <v>28.610407029310764</v>
      </c>
      <c r="W107">
        <f t="shared" si="44"/>
        <v>3.9319922234254143</v>
      </c>
      <c r="X107">
        <f t="shared" si="45"/>
        <v>55.113230371358327</v>
      </c>
      <c r="Y107">
        <f t="shared" si="46"/>
        <v>1.9516144887643998</v>
      </c>
      <c r="Z107">
        <f t="shared" si="47"/>
        <v>3.541099796934839</v>
      </c>
      <c r="AA107">
        <f t="shared" si="48"/>
        <v>1.9803777346610145</v>
      </c>
      <c r="AB107">
        <f t="shared" si="49"/>
        <v>-55.813187172518518</v>
      </c>
      <c r="AC107">
        <f t="shared" si="50"/>
        <v>-199.48674267863458</v>
      </c>
      <c r="AD107">
        <f t="shared" si="51"/>
        <v>-21.002691687104331</v>
      </c>
      <c r="AE107">
        <f t="shared" si="52"/>
        <v>-0.18739515625745184</v>
      </c>
      <c r="AF107">
        <v>45</v>
      </c>
      <c r="AG107">
        <v>15</v>
      </c>
      <c r="AH107">
        <f t="shared" si="53"/>
        <v>1</v>
      </c>
      <c r="AI107">
        <f t="shared" si="54"/>
        <v>0</v>
      </c>
      <c r="AJ107">
        <f t="shared" si="55"/>
        <v>52438.337600200095</v>
      </c>
      <c r="AK107">
        <f t="shared" si="56"/>
        <v>1800</v>
      </c>
      <c r="AL107">
        <f t="shared" si="57"/>
        <v>1499.1136451999998</v>
      </c>
      <c r="AM107">
        <f t="shared" si="58"/>
        <v>0.83284091399999993</v>
      </c>
      <c r="AN107">
        <f t="shared" si="59"/>
        <v>0.15339734798999999</v>
      </c>
      <c r="AO107">
        <v>33.6</v>
      </c>
      <c r="AP107">
        <v>0.5</v>
      </c>
      <c r="AQ107" t="s">
        <v>331</v>
      </c>
      <c r="AR107">
        <v>2</v>
      </c>
      <c r="AS107">
        <v>1690216194.5999999</v>
      </c>
      <c r="AT107">
        <v>600.38800000000003</v>
      </c>
      <c r="AU107">
        <v>799.971</v>
      </c>
      <c r="AV107">
        <v>19.677399999999999</v>
      </c>
      <c r="AW107">
        <v>5.7896000000000001</v>
      </c>
      <c r="AX107">
        <v>600.63800000000003</v>
      </c>
      <c r="AY107">
        <v>19.485199999999999</v>
      </c>
      <c r="AZ107">
        <v>300.17399999999998</v>
      </c>
      <c r="BA107">
        <v>99.080500000000001</v>
      </c>
      <c r="BB107">
        <v>0.100006</v>
      </c>
      <c r="BC107">
        <v>26.818100000000001</v>
      </c>
      <c r="BD107">
        <v>26.9864</v>
      </c>
      <c r="BE107">
        <v>28.365300000000001</v>
      </c>
      <c r="BF107">
        <v>0</v>
      </c>
      <c r="BG107">
        <v>0</v>
      </c>
      <c r="BH107">
        <v>10003.1</v>
      </c>
      <c r="BI107">
        <v>1075.99</v>
      </c>
      <c r="BJ107">
        <v>1.90625</v>
      </c>
      <c r="BK107">
        <v>-199.58199999999999</v>
      </c>
      <c r="BL107">
        <v>612.44000000000005</v>
      </c>
      <c r="BM107">
        <v>804.62900000000002</v>
      </c>
      <c r="BN107">
        <v>13.8878</v>
      </c>
      <c r="BO107">
        <v>799.971</v>
      </c>
      <c r="BP107">
        <v>5.7896000000000001</v>
      </c>
      <c r="BQ107">
        <v>1.9496500000000001</v>
      </c>
      <c r="BR107">
        <v>0.57363699999999995</v>
      </c>
      <c r="BS107">
        <v>17.0413</v>
      </c>
      <c r="BT107">
        <v>-0.92480600000000002</v>
      </c>
      <c r="BU107">
        <v>1800</v>
      </c>
      <c r="BV107">
        <v>0.91000700000000001</v>
      </c>
      <c r="BW107">
        <v>3.3993000000000002E-2</v>
      </c>
      <c r="BX107">
        <v>2.2000700000000002E-2</v>
      </c>
      <c r="BY107">
        <v>3.3999099999999997E-2</v>
      </c>
      <c r="BZ107">
        <v>26</v>
      </c>
      <c r="CA107">
        <v>33528.400000000001</v>
      </c>
      <c r="CB107">
        <v>1690214843</v>
      </c>
      <c r="CC107" t="s">
        <v>332</v>
      </c>
      <c r="CD107">
        <v>1690214842</v>
      </c>
      <c r="CE107">
        <v>1690214843</v>
      </c>
      <c r="CF107">
        <v>8</v>
      </c>
      <c r="CG107">
        <v>-6.3E-2</v>
      </c>
      <c r="CH107">
        <v>1E-3</v>
      </c>
      <c r="CI107">
        <v>-0.38900000000000001</v>
      </c>
      <c r="CJ107">
        <v>-6.6000000000000003E-2</v>
      </c>
      <c r="CK107">
        <v>800</v>
      </c>
      <c r="CL107">
        <v>6</v>
      </c>
      <c r="CM107">
        <v>0.23</v>
      </c>
      <c r="CN107">
        <v>0.02</v>
      </c>
      <c r="CO107">
        <v>-196.47347500000001</v>
      </c>
      <c r="CP107">
        <v>-16.854270168855251</v>
      </c>
      <c r="CQ107">
        <v>1.621563057477259</v>
      </c>
      <c r="CR107">
        <v>-1</v>
      </c>
      <c r="CS107">
        <v>13.740525</v>
      </c>
      <c r="CT107">
        <v>0.79641500938083754</v>
      </c>
      <c r="CU107">
        <v>7.6624029357636819E-2</v>
      </c>
      <c r="CV107">
        <v>-1</v>
      </c>
      <c r="CW107">
        <v>0</v>
      </c>
      <c r="CX107">
        <v>0</v>
      </c>
      <c r="CY107" t="s">
        <v>333</v>
      </c>
      <c r="CZ107">
        <v>2.36443</v>
      </c>
      <c r="DA107">
        <v>2.7138</v>
      </c>
      <c r="DB107">
        <v>0.120487</v>
      </c>
      <c r="DC107">
        <v>0.14605599999999999</v>
      </c>
      <c r="DD107">
        <v>9.8794199999999999E-2</v>
      </c>
      <c r="DE107">
        <v>3.8308200000000001E-2</v>
      </c>
      <c r="DF107">
        <v>32104.6</v>
      </c>
      <c r="DG107">
        <v>27506.799999999999</v>
      </c>
      <c r="DH107">
        <v>31162.799999999999</v>
      </c>
      <c r="DI107">
        <v>28068.3</v>
      </c>
      <c r="DJ107">
        <v>38130.9</v>
      </c>
      <c r="DK107">
        <v>38382.6</v>
      </c>
      <c r="DL107">
        <v>44346.3</v>
      </c>
      <c r="DM107">
        <v>42537.4</v>
      </c>
      <c r="DN107">
        <v>1.35785</v>
      </c>
      <c r="DO107">
        <v>2.0337999999999998</v>
      </c>
      <c r="DP107">
        <v>8.3923300000000006E-2</v>
      </c>
      <c r="DQ107">
        <v>0.18300900000000001</v>
      </c>
      <c r="DR107">
        <v>25.612300000000001</v>
      </c>
      <c r="DS107">
        <v>25.371700000000001</v>
      </c>
      <c r="DT107">
        <v>17.100000000000001</v>
      </c>
      <c r="DU107">
        <v>29.8</v>
      </c>
      <c r="DV107">
        <v>7.2679799999999997</v>
      </c>
      <c r="DW107">
        <v>61.848500000000001</v>
      </c>
      <c r="DX107">
        <v>36.105800000000002</v>
      </c>
      <c r="DY107">
        <v>1</v>
      </c>
      <c r="DZ107">
        <v>-8.6572700000000002E-2</v>
      </c>
      <c r="EA107">
        <v>-0.12806899999999999</v>
      </c>
      <c r="EB107">
        <v>20.190000000000001</v>
      </c>
      <c r="EC107">
        <v>5.2409499999999998</v>
      </c>
      <c r="ED107">
        <v>12.039899999999999</v>
      </c>
      <c r="EE107">
        <v>5.0171000000000001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1.8689100000000001</v>
      </c>
      <c r="EL107">
        <v>1.8646799999999999</v>
      </c>
      <c r="EM107">
        <v>1.8691800000000001</v>
      </c>
      <c r="EN107">
        <v>1.8672299999999999</v>
      </c>
      <c r="EO107">
        <v>1.8633999999999999</v>
      </c>
      <c r="EP107">
        <v>1.86456</v>
      </c>
      <c r="EQ107">
        <v>1.87015</v>
      </c>
      <c r="ER107">
        <v>1.86944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-0.25</v>
      </c>
      <c r="FG107">
        <v>0.19220000000000001</v>
      </c>
      <c r="FH107">
        <v>0.16202357103534001</v>
      </c>
      <c r="FI107">
        <v>-6.1462078757559423E-4</v>
      </c>
      <c r="FJ107">
        <v>-1.8861989874597051E-7</v>
      </c>
      <c r="FK107">
        <v>1.1980462299894961E-10</v>
      </c>
      <c r="FL107">
        <v>-3.0039189969545878E-2</v>
      </c>
      <c r="FM107">
        <v>-1.6848085045870601E-2</v>
      </c>
      <c r="FN107">
        <v>1.9789084769509481E-3</v>
      </c>
      <c r="FO107">
        <v>-2.7142391389806329E-5</v>
      </c>
      <c r="FP107">
        <v>3</v>
      </c>
      <c r="FQ107">
        <v>2158</v>
      </c>
      <c r="FR107">
        <v>1</v>
      </c>
      <c r="FS107">
        <v>19</v>
      </c>
      <c r="FT107">
        <v>22.5</v>
      </c>
      <c r="FU107">
        <v>22.5</v>
      </c>
      <c r="FV107">
        <v>1.7785599999999999</v>
      </c>
      <c r="FW107">
        <v>2.5793499999999998</v>
      </c>
      <c r="FX107">
        <v>1.5490699999999999</v>
      </c>
      <c r="FY107">
        <v>2.3290999999999999</v>
      </c>
      <c r="FZ107">
        <v>1.50146</v>
      </c>
      <c r="GA107">
        <v>2.34253</v>
      </c>
      <c r="GB107">
        <v>33.850900000000003</v>
      </c>
      <c r="GC107">
        <v>23.982399999999998</v>
      </c>
      <c r="GD107">
        <v>19</v>
      </c>
      <c r="GE107">
        <v>235.904</v>
      </c>
      <c r="GF107">
        <v>581.96500000000003</v>
      </c>
      <c r="GG107">
        <v>25.118600000000001</v>
      </c>
      <c r="GH107">
        <v>26.299700000000001</v>
      </c>
      <c r="GI107">
        <v>29.9999</v>
      </c>
      <c r="GJ107">
        <v>26.441700000000001</v>
      </c>
      <c r="GK107">
        <v>26.4207</v>
      </c>
      <c r="GL107">
        <v>35.564399999999999</v>
      </c>
      <c r="GM107">
        <v>-30</v>
      </c>
      <c r="GN107">
        <v>-30</v>
      </c>
      <c r="GO107">
        <v>25.121099999999998</v>
      </c>
      <c r="GP107">
        <v>800</v>
      </c>
      <c r="GQ107">
        <v>12.5298</v>
      </c>
      <c r="GR107">
        <v>99.7059</v>
      </c>
      <c r="GS107">
        <v>99.513800000000003</v>
      </c>
    </row>
    <row r="108" spans="1:201" x14ac:dyDescent="0.25">
      <c r="A108">
        <v>92</v>
      </c>
      <c r="B108">
        <v>1690216204.5999999</v>
      </c>
      <c r="C108">
        <v>1259.099999904633</v>
      </c>
      <c r="D108" t="s">
        <v>517</v>
      </c>
      <c r="E108" t="s">
        <v>518</v>
      </c>
      <c r="F108" t="s">
        <v>330</v>
      </c>
      <c r="H108">
        <v>1690216204.5999999</v>
      </c>
      <c r="I108">
        <f t="shared" si="30"/>
        <v>1.2778905947523165E-3</v>
      </c>
      <c r="J108">
        <f t="shared" si="31"/>
        <v>1.2778905947523165</v>
      </c>
      <c r="K108">
        <f t="shared" si="32"/>
        <v>17.317471315492408</v>
      </c>
      <c r="L108">
        <f t="shared" si="33"/>
        <v>597.54200000000003</v>
      </c>
      <c r="M108">
        <f t="shared" si="34"/>
        <v>143.62087828766428</v>
      </c>
      <c r="N108">
        <f t="shared" si="35"/>
        <v>14.245255547559612</v>
      </c>
      <c r="O108">
        <f t="shared" si="36"/>
        <v>59.268113326466001</v>
      </c>
      <c r="P108">
        <f t="shared" si="37"/>
        <v>6.3627279931170691E-2</v>
      </c>
      <c r="Q108">
        <f t="shared" si="38"/>
        <v>2.0681372943227125</v>
      </c>
      <c r="R108">
        <f t="shared" si="39"/>
        <v>6.2559459433015718E-2</v>
      </c>
      <c r="S108">
        <f t="shared" si="40"/>
        <v>3.9194108844397058E-2</v>
      </c>
      <c r="T108">
        <f t="shared" si="41"/>
        <v>276.115272984</v>
      </c>
      <c r="U108">
        <f t="shared" si="42"/>
        <v>28.605452756330958</v>
      </c>
      <c r="V108">
        <f t="shared" si="43"/>
        <v>28.605452756330958</v>
      </c>
      <c r="W108">
        <f t="shared" si="44"/>
        <v>3.9308618755038567</v>
      </c>
      <c r="X108">
        <f t="shared" si="45"/>
        <v>55.484123351297562</v>
      </c>
      <c r="Y108">
        <f t="shared" si="46"/>
        <v>1.9650139631098997</v>
      </c>
      <c r="Z108">
        <f t="shared" si="47"/>
        <v>3.5415788236725301</v>
      </c>
      <c r="AA108">
        <f t="shared" si="48"/>
        <v>1.965847912393957</v>
      </c>
      <c r="AB108">
        <f t="shared" si="49"/>
        <v>-56.354975228577153</v>
      </c>
      <c r="AC108">
        <f t="shared" si="50"/>
        <v>-199.02877298824922</v>
      </c>
      <c r="AD108">
        <f t="shared" si="51"/>
        <v>-20.917405899176813</v>
      </c>
      <c r="AE108">
        <f t="shared" si="52"/>
        <v>-0.1858811320031748</v>
      </c>
      <c r="AF108">
        <v>45</v>
      </c>
      <c r="AG108">
        <v>15</v>
      </c>
      <c r="AH108">
        <f t="shared" si="53"/>
        <v>1</v>
      </c>
      <c r="AI108">
        <f t="shared" si="54"/>
        <v>0</v>
      </c>
      <c r="AJ108">
        <f t="shared" si="55"/>
        <v>52604.437485869399</v>
      </c>
      <c r="AK108">
        <f t="shared" si="56"/>
        <v>1800</v>
      </c>
      <c r="AL108">
        <f t="shared" si="57"/>
        <v>1499.1151733999998</v>
      </c>
      <c r="AM108">
        <f t="shared" si="58"/>
        <v>0.8328417629999999</v>
      </c>
      <c r="AN108">
        <f t="shared" si="59"/>
        <v>0.15339737387999999</v>
      </c>
      <c r="AO108">
        <v>33.6</v>
      </c>
      <c r="AP108">
        <v>0.5</v>
      </c>
      <c r="AQ108" t="s">
        <v>331</v>
      </c>
      <c r="AR108">
        <v>2</v>
      </c>
      <c r="AS108">
        <v>1690216204.5999999</v>
      </c>
      <c r="AT108">
        <v>597.54200000000003</v>
      </c>
      <c r="AU108">
        <v>799.94399999999996</v>
      </c>
      <c r="AV108">
        <v>19.811299999999999</v>
      </c>
      <c r="AW108">
        <v>5.7898100000000001</v>
      </c>
      <c r="AX108">
        <v>597.78899999999999</v>
      </c>
      <c r="AY108">
        <v>19.615200000000002</v>
      </c>
      <c r="AZ108">
        <v>300.15699999999998</v>
      </c>
      <c r="BA108">
        <v>99.086500000000001</v>
      </c>
      <c r="BB108">
        <v>0.100023</v>
      </c>
      <c r="BC108">
        <v>26.820399999999999</v>
      </c>
      <c r="BD108">
        <v>26.9922</v>
      </c>
      <c r="BE108">
        <v>28.352599999999999</v>
      </c>
      <c r="BF108">
        <v>0</v>
      </c>
      <c r="BG108">
        <v>0</v>
      </c>
      <c r="BH108">
        <v>10035.6</v>
      </c>
      <c r="BI108">
        <v>1076.06</v>
      </c>
      <c r="BJ108">
        <v>1.90625</v>
      </c>
      <c r="BK108">
        <v>-202.40299999999999</v>
      </c>
      <c r="BL108">
        <v>609.61900000000003</v>
      </c>
      <c r="BM108">
        <v>804.60299999999995</v>
      </c>
      <c r="BN108">
        <v>14.0214</v>
      </c>
      <c r="BO108">
        <v>799.94399999999996</v>
      </c>
      <c r="BP108">
        <v>5.7898100000000001</v>
      </c>
      <c r="BQ108">
        <v>1.9630300000000001</v>
      </c>
      <c r="BR108">
        <v>0.57369199999999998</v>
      </c>
      <c r="BS108">
        <v>17.1492</v>
      </c>
      <c r="BT108">
        <v>-0.92347699999999999</v>
      </c>
      <c r="BU108">
        <v>1800</v>
      </c>
      <c r="BV108">
        <v>0.91001100000000001</v>
      </c>
      <c r="BW108">
        <v>3.3991800000000003E-2</v>
      </c>
      <c r="BX108">
        <v>2.1999899999999999E-2</v>
      </c>
      <c r="BY108">
        <v>3.3997800000000002E-2</v>
      </c>
      <c r="BZ108">
        <v>26</v>
      </c>
      <c r="CA108">
        <v>33528.5</v>
      </c>
      <c r="CB108">
        <v>1690214843</v>
      </c>
      <c r="CC108" t="s">
        <v>332</v>
      </c>
      <c r="CD108">
        <v>1690214842</v>
      </c>
      <c r="CE108">
        <v>1690214843</v>
      </c>
      <c r="CF108">
        <v>8</v>
      </c>
      <c r="CG108">
        <v>-6.3E-2</v>
      </c>
      <c r="CH108">
        <v>1E-3</v>
      </c>
      <c r="CI108">
        <v>-0.38900000000000001</v>
      </c>
      <c r="CJ108">
        <v>-6.6000000000000003E-2</v>
      </c>
      <c r="CK108">
        <v>800</v>
      </c>
      <c r="CL108">
        <v>6</v>
      </c>
      <c r="CM108">
        <v>0.23</v>
      </c>
      <c r="CN108">
        <v>0.02</v>
      </c>
      <c r="CO108">
        <v>-199.28795</v>
      </c>
      <c r="CP108">
        <v>-16.96147091932426</v>
      </c>
      <c r="CQ108">
        <v>1.6319828116435531</v>
      </c>
      <c r="CR108">
        <v>-1</v>
      </c>
      <c r="CS108">
        <v>13.873340000000001</v>
      </c>
      <c r="CT108">
        <v>0.79630919324574645</v>
      </c>
      <c r="CU108">
        <v>7.6615291554623599E-2</v>
      </c>
      <c r="CV108">
        <v>-1</v>
      </c>
      <c r="CW108">
        <v>0</v>
      </c>
      <c r="CX108">
        <v>0</v>
      </c>
      <c r="CY108" t="s">
        <v>333</v>
      </c>
      <c r="CZ108">
        <v>2.3643800000000001</v>
      </c>
      <c r="DA108">
        <v>2.7138499999999999</v>
      </c>
      <c r="DB108">
        <v>0.12009400000000001</v>
      </c>
      <c r="DC108">
        <v>0.146063</v>
      </c>
      <c r="DD108">
        <v>9.9272700000000005E-2</v>
      </c>
      <c r="DE108">
        <v>3.8312100000000002E-2</v>
      </c>
      <c r="DF108">
        <v>32119.200000000001</v>
      </c>
      <c r="DG108">
        <v>27507</v>
      </c>
      <c r="DH108">
        <v>31163</v>
      </c>
      <c r="DI108">
        <v>28068.7</v>
      </c>
      <c r="DJ108">
        <v>38110.800000000003</v>
      </c>
      <c r="DK108">
        <v>38383.199999999997</v>
      </c>
      <c r="DL108">
        <v>44346.7</v>
      </c>
      <c r="DM108">
        <v>42538.1</v>
      </c>
      <c r="DN108">
        <v>1.3580000000000001</v>
      </c>
      <c r="DO108">
        <v>2.0335999999999999</v>
      </c>
      <c r="DP108">
        <v>8.4280999999999995E-2</v>
      </c>
      <c r="DQ108">
        <v>0.18223400000000001</v>
      </c>
      <c r="DR108">
        <v>25.612300000000001</v>
      </c>
      <c r="DS108">
        <v>25.371700000000001</v>
      </c>
      <c r="DT108">
        <v>17.100000000000001</v>
      </c>
      <c r="DU108">
        <v>29.8</v>
      </c>
      <c r="DV108">
        <v>7.2691499999999998</v>
      </c>
      <c r="DW108">
        <v>61.7485</v>
      </c>
      <c r="DX108">
        <v>36.085700000000003</v>
      </c>
      <c r="DY108">
        <v>1</v>
      </c>
      <c r="DZ108">
        <v>-8.64177E-2</v>
      </c>
      <c r="EA108">
        <v>-0.149815</v>
      </c>
      <c r="EB108">
        <v>20.190000000000001</v>
      </c>
      <c r="EC108">
        <v>5.2408000000000001</v>
      </c>
      <c r="ED108">
        <v>12.039899999999999</v>
      </c>
      <c r="EE108">
        <v>5.0171000000000001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1.8689100000000001</v>
      </c>
      <c r="EL108">
        <v>1.8646499999999999</v>
      </c>
      <c r="EM108">
        <v>1.8691899999999999</v>
      </c>
      <c r="EN108">
        <v>1.8672299999999999</v>
      </c>
      <c r="EO108">
        <v>1.8633999999999999</v>
      </c>
      <c r="EP108">
        <v>1.86459</v>
      </c>
      <c r="EQ108">
        <v>1.87015</v>
      </c>
      <c r="ER108">
        <v>1.8694299999999999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-0.247</v>
      </c>
      <c r="FG108">
        <v>0.1961</v>
      </c>
      <c r="FH108">
        <v>0.16202357103534001</v>
      </c>
      <c r="FI108">
        <v>-6.1462078757559423E-4</v>
      </c>
      <c r="FJ108">
        <v>-1.8861989874597051E-7</v>
      </c>
      <c r="FK108">
        <v>1.1980462299894961E-10</v>
      </c>
      <c r="FL108">
        <v>-3.0039189969545878E-2</v>
      </c>
      <c r="FM108">
        <v>-1.6848085045870601E-2</v>
      </c>
      <c r="FN108">
        <v>1.9789084769509481E-3</v>
      </c>
      <c r="FO108">
        <v>-2.7142391389806329E-5</v>
      </c>
      <c r="FP108">
        <v>3</v>
      </c>
      <c r="FQ108">
        <v>2158</v>
      </c>
      <c r="FR108">
        <v>1</v>
      </c>
      <c r="FS108">
        <v>19</v>
      </c>
      <c r="FT108">
        <v>22.7</v>
      </c>
      <c r="FU108">
        <v>22.7</v>
      </c>
      <c r="FV108">
        <v>1.7785599999999999</v>
      </c>
      <c r="FW108">
        <v>2.5781200000000002</v>
      </c>
      <c r="FX108">
        <v>1.5490699999999999</v>
      </c>
      <c r="FY108">
        <v>2.3290999999999999</v>
      </c>
      <c r="FZ108">
        <v>1.50146</v>
      </c>
      <c r="GA108">
        <v>2.34985</v>
      </c>
      <c r="GB108">
        <v>33.850900000000003</v>
      </c>
      <c r="GC108">
        <v>23.982399999999998</v>
      </c>
      <c r="GD108">
        <v>19</v>
      </c>
      <c r="GE108">
        <v>235.958</v>
      </c>
      <c r="GF108">
        <v>581.77499999999998</v>
      </c>
      <c r="GG108">
        <v>25.128699999999998</v>
      </c>
      <c r="GH108">
        <v>26.299499999999998</v>
      </c>
      <c r="GI108">
        <v>30.0001</v>
      </c>
      <c r="GJ108">
        <v>26.441299999999998</v>
      </c>
      <c r="GK108">
        <v>26.418399999999998</v>
      </c>
      <c r="GL108">
        <v>35.569299999999998</v>
      </c>
      <c r="GM108">
        <v>-30</v>
      </c>
      <c r="GN108">
        <v>-30</v>
      </c>
      <c r="GO108">
        <v>25.1389</v>
      </c>
      <c r="GP108">
        <v>800</v>
      </c>
      <c r="GQ108">
        <v>12.5298</v>
      </c>
      <c r="GR108">
        <v>99.706699999999998</v>
      </c>
      <c r="GS108">
        <v>99.5154</v>
      </c>
    </row>
    <row r="109" spans="1:201" x14ac:dyDescent="0.25">
      <c r="A109">
        <v>93</v>
      </c>
      <c r="B109">
        <v>1690216214.5999999</v>
      </c>
      <c r="C109">
        <v>1269.099999904633</v>
      </c>
      <c r="D109" t="s">
        <v>519</v>
      </c>
      <c r="E109" t="s">
        <v>520</v>
      </c>
      <c r="F109" t="s">
        <v>330</v>
      </c>
      <c r="H109">
        <v>1690216214.5999999</v>
      </c>
      <c r="I109">
        <f t="shared" si="30"/>
        <v>1.290744359309489E-3</v>
      </c>
      <c r="J109">
        <f t="shared" si="31"/>
        <v>1.2907443593094889</v>
      </c>
      <c r="K109">
        <f t="shared" si="32"/>
        <v>17.597562145574816</v>
      </c>
      <c r="L109">
        <f t="shared" si="33"/>
        <v>594.55799999999999</v>
      </c>
      <c r="M109">
        <f t="shared" si="34"/>
        <v>141.01768236617053</v>
      </c>
      <c r="N109">
        <f t="shared" si="35"/>
        <v>13.985988023505602</v>
      </c>
      <c r="O109">
        <f t="shared" si="36"/>
        <v>58.967648083218592</v>
      </c>
      <c r="P109">
        <f t="shared" si="37"/>
        <v>6.4704321280196764E-2</v>
      </c>
      <c r="Q109">
        <f t="shared" si="38"/>
        <v>2.0655875389526246</v>
      </c>
      <c r="R109">
        <f t="shared" si="39"/>
        <v>6.3599044548968711E-2</v>
      </c>
      <c r="S109">
        <f t="shared" si="40"/>
        <v>3.9847134916890334E-2</v>
      </c>
      <c r="T109">
        <f t="shared" si="41"/>
        <v>276.11519232599994</v>
      </c>
      <c r="U109">
        <f t="shared" si="42"/>
        <v>28.606831203807651</v>
      </c>
      <c r="V109">
        <f t="shared" si="43"/>
        <v>28.606831203807651</v>
      </c>
      <c r="W109">
        <f t="shared" si="44"/>
        <v>3.9311763483328974</v>
      </c>
      <c r="X109">
        <f t="shared" si="45"/>
        <v>55.846213990446117</v>
      </c>
      <c r="Y109">
        <f t="shared" si="46"/>
        <v>1.9783030129715597</v>
      </c>
      <c r="Z109">
        <f t="shared" si="47"/>
        <v>3.5424120483977624</v>
      </c>
      <c r="AA109">
        <f t="shared" si="48"/>
        <v>1.9528733353613377</v>
      </c>
      <c r="AB109">
        <f t="shared" si="49"/>
        <v>-56.921826245548466</v>
      </c>
      <c r="AC109">
        <f t="shared" si="50"/>
        <v>-198.49145935961306</v>
      </c>
      <c r="AD109">
        <f t="shared" si="51"/>
        <v>-20.887246134867009</v>
      </c>
      <c r="AE109">
        <f t="shared" si="52"/>
        <v>-0.18533941402859</v>
      </c>
      <c r="AF109">
        <v>45</v>
      </c>
      <c r="AG109">
        <v>15</v>
      </c>
      <c r="AH109">
        <f t="shared" si="53"/>
        <v>1</v>
      </c>
      <c r="AI109">
        <f t="shared" si="54"/>
        <v>0</v>
      </c>
      <c r="AJ109">
        <f t="shared" si="55"/>
        <v>52486.708279657585</v>
      </c>
      <c r="AK109">
        <f t="shared" si="56"/>
        <v>1800</v>
      </c>
      <c r="AL109">
        <f t="shared" si="57"/>
        <v>1499.1141995999999</v>
      </c>
      <c r="AM109">
        <f t="shared" si="58"/>
        <v>0.83284122199999999</v>
      </c>
      <c r="AN109">
        <f t="shared" si="59"/>
        <v>0.15339732906999998</v>
      </c>
      <c r="AO109">
        <v>33.6</v>
      </c>
      <c r="AP109">
        <v>0.5</v>
      </c>
      <c r="AQ109" t="s">
        <v>331</v>
      </c>
      <c r="AR109">
        <v>2</v>
      </c>
      <c r="AS109">
        <v>1690216214.5999999</v>
      </c>
      <c r="AT109">
        <v>594.55799999999999</v>
      </c>
      <c r="AU109">
        <v>800.10400000000004</v>
      </c>
      <c r="AV109">
        <v>19.9468</v>
      </c>
      <c r="AW109">
        <v>5.7885900000000001</v>
      </c>
      <c r="AX109">
        <v>594.803</v>
      </c>
      <c r="AY109">
        <v>19.7469</v>
      </c>
      <c r="AZ109">
        <v>300.20699999999999</v>
      </c>
      <c r="BA109">
        <v>99.078999999999994</v>
      </c>
      <c r="BB109">
        <v>9.9966700000000006E-2</v>
      </c>
      <c r="BC109">
        <v>26.824400000000001</v>
      </c>
      <c r="BD109">
        <v>26.997399999999999</v>
      </c>
      <c r="BE109">
        <v>28.372399999999999</v>
      </c>
      <c r="BF109">
        <v>0</v>
      </c>
      <c r="BG109">
        <v>0</v>
      </c>
      <c r="BH109">
        <v>10013.1</v>
      </c>
      <c r="BI109">
        <v>1076.1300000000001</v>
      </c>
      <c r="BJ109">
        <v>1.8922300000000001</v>
      </c>
      <c r="BK109">
        <v>-205.54599999999999</v>
      </c>
      <c r="BL109">
        <v>606.65899999999999</v>
      </c>
      <c r="BM109">
        <v>804.76300000000003</v>
      </c>
      <c r="BN109">
        <v>14.158200000000001</v>
      </c>
      <c r="BO109">
        <v>800.10400000000004</v>
      </c>
      <c r="BP109">
        <v>5.7885900000000001</v>
      </c>
      <c r="BQ109">
        <v>1.97631</v>
      </c>
      <c r="BR109">
        <v>0.57352800000000004</v>
      </c>
      <c r="BS109">
        <v>17.255800000000001</v>
      </c>
      <c r="BT109">
        <v>-0.92739000000000005</v>
      </c>
      <c r="BU109">
        <v>1800</v>
      </c>
      <c r="BV109">
        <v>0.91000899999999996</v>
      </c>
      <c r="BW109">
        <v>3.3995600000000001E-2</v>
      </c>
      <c r="BX109">
        <v>2.1999100000000001E-2</v>
      </c>
      <c r="BY109">
        <v>3.3996699999999998E-2</v>
      </c>
      <c r="BZ109">
        <v>26</v>
      </c>
      <c r="CA109">
        <v>33528.400000000001</v>
      </c>
      <c r="CB109">
        <v>1690214843</v>
      </c>
      <c r="CC109" t="s">
        <v>332</v>
      </c>
      <c r="CD109">
        <v>1690214842</v>
      </c>
      <c r="CE109">
        <v>1690214843</v>
      </c>
      <c r="CF109">
        <v>8</v>
      </c>
      <c r="CG109">
        <v>-6.3E-2</v>
      </c>
      <c r="CH109">
        <v>1E-3</v>
      </c>
      <c r="CI109">
        <v>-0.38900000000000001</v>
      </c>
      <c r="CJ109">
        <v>-6.6000000000000003E-2</v>
      </c>
      <c r="CK109">
        <v>800</v>
      </c>
      <c r="CL109">
        <v>6</v>
      </c>
      <c r="CM109">
        <v>0.23</v>
      </c>
      <c r="CN109">
        <v>0.02</v>
      </c>
      <c r="CO109">
        <v>-202.12950000000001</v>
      </c>
      <c r="CP109">
        <v>-17.299001876172461</v>
      </c>
      <c r="CQ109">
        <v>1.664696563941912</v>
      </c>
      <c r="CR109">
        <v>-1</v>
      </c>
      <c r="CS109">
        <v>14.005767499999999</v>
      </c>
      <c r="CT109">
        <v>0.79814296435266918</v>
      </c>
      <c r="CU109">
        <v>7.6788193713291625E-2</v>
      </c>
      <c r="CV109">
        <v>-1</v>
      </c>
      <c r="CW109">
        <v>0</v>
      </c>
      <c r="CX109">
        <v>0</v>
      </c>
      <c r="CY109" t="s">
        <v>333</v>
      </c>
      <c r="CZ109">
        <v>2.3645700000000001</v>
      </c>
      <c r="DA109">
        <v>2.7137699999999998</v>
      </c>
      <c r="DB109">
        <v>0.11966400000000001</v>
      </c>
      <c r="DC109">
        <v>0.14607200000000001</v>
      </c>
      <c r="DD109">
        <v>9.9742200000000003E-2</v>
      </c>
      <c r="DE109">
        <v>3.8302700000000002E-2</v>
      </c>
      <c r="DF109">
        <v>32134.799999999999</v>
      </c>
      <c r="DG109">
        <v>27507</v>
      </c>
      <c r="DH109">
        <v>31162.9</v>
      </c>
      <c r="DI109">
        <v>28069</v>
      </c>
      <c r="DJ109">
        <v>38090.5</v>
      </c>
      <c r="DK109">
        <v>38383.9</v>
      </c>
      <c r="DL109">
        <v>44346.5</v>
      </c>
      <c r="DM109">
        <v>42538.5</v>
      </c>
      <c r="DN109">
        <v>1.35842</v>
      </c>
      <c r="DO109">
        <v>2.03382</v>
      </c>
      <c r="DP109">
        <v>8.4597599999999995E-2</v>
      </c>
      <c r="DQ109">
        <v>0.183448</v>
      </c>
      <c r="DR109">
        <v>25.612300000000001</v>
      </c>
      <c r="DS109">
        <v>25.371700000000001</v>
      </c>
      <c r="DT109">
        <v>17.100000000000001</v>
      </c>
      <c r="DU109">
        <v>29.8</v>
      </c>
      <c r="DV109">
        <v>7.2697399999999996</v>
      </c>
      <c r="DW109">
        <v>61.648499999999999</v>
      </c>
      <c r="DX109">
        <v>36.185899999999997</v>
      </c>
      <c r="DY109">
        <v>1</v>
      </c>
      <c r="DZ109">
        <v>-8.7085899999999994E-2</v>
      </c>
      <c r="EA109">
        <v>-0.13269300000000001</v>
      </c>
      <c r="EB109">
        <v>20.189900000000002</v>
      </c>
      <c r="EC109">
        <v>5.2409499999999998</v>
      </c>
      <c r="ED109">
        <v>12.039899999999999</v>
      </c>
      <c r="EE109">
        <v>5.0171999999999999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1.8689100000000001</v>
      </c>
      <c r="EL109">
        <v>1.8646799999999999</v>
      </c>
      <c r="EM109">
        <v>1.8692</v>
      </c>
      <c r="EN109">
        <v>1.8672500000000001</v>
      </c>
      <c r="EO109">
        <v>1.8633999999999999</v>
      </c>
      <c r="EP109">
        <v>1.86456</v>
      </c>
      <c r="EQ109">
        <v>1.87015</v>
      </c>
      <c r="ER109">
        <v>1.8694500000000001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-0.245</v>
      </c>
      <c r="FG109">
        <v>0.19989999999999999</v>
      </c>
      <c r="FH109">
        <v>0.16202357103534001</v>
      </c>
      <c r="FI109">
        <v>-6.1462078757559423E-4</v>
      </c>
      <c r="FJ109">
        <v>-1.8861989874597051E-7</v>
      </c>
      <c r="FK109">
        <v>1.1980462299894961E-10</v>
      </c>
      <c r="FL109">
        <v>-3.0039189969545878E-2</v>
      </c>
      <c r="FM109">
        <v>-1.6848085045870601E-2</v>
      </c>
      <c r="FN109">
        <v>1.9789084769509481E-3</v>
      </c>
      <c r="FO109">
        <v>-2.7142391389806329E-5</v>
      </c>
      <c r="FP109">
        <v>3</v>
      </c>
      <c r="FQ109">
        <v>2158</v>
      </c>
      <c r="FR109">
        <v>1</v>
      </c>
      <c r="FS109">
        <v>19</v>
      </c>
      <c r="FT109">
        <v>22.9</v>
      </c>
      <c r="FU109">
        <v>22.9</v>
      </c>
      <c r="FV109">
        <v>1.7785599999999999</v>
      </c>
      <c r="FW109">
        <v>2.5842299999999998</v>
      </c>
      <c r="FX109">
        <v>1.5490699999999999</v>
      </c>
      <c r="FY109">
        <v>2.3290999999999999</v>
      </c>
      <c r="FZ109">
        <v>1.50146</v>
      </c>
      <c r="GA109">
        <v>2.34009</v>
      </c>
      <c r="GB109">
        <v>33.850900000000003</v>
      </c>
      <c r="GC109">
        <v>23.982399999999998</v>
      </c>
      <c r="GD109">
        <v>19</v>
      </c>
      <c r="GE109">
        <v>236.11</v>
      </c>
      <c r="GF109">
        <v>581.96100000000001</v>
      </c>
      <c r="GG109">
        <v>25.1448</v>
      </c>
      <c r="GH109">
        <v>26.297499999999999</v>
      </c>
      <c r="GI109">
        <v>30</v>
      </c>
      <c r="GJ109">
        <v>26.4391</v>
      </c>
      <c r="GK109">
        <v>26.418399999999998</v>
      </c>
      <c r="GL109">
        <v>35.564500000000002</v>
      </c>
      <c r="GM109">
        <v>-30</v>
      </c>
      <c r="GN109">
        <v>-30</v>
      </c>
      <c r="GO109">
        <v>25.124199999999998</v>
      </c>
      <c r="GP109">
        <v>800</v>
      </c>
      <c r="GQ109">
        <v>12.5298</v>
      </c>
      <c r="GR109">
        <v>99.706299999999999</v>
      </c>
      <c r="GS109">
        <v>99.516400000000004</v>
      </c>
    </row>
    <row r="110" spans="1:201" x14ac:dyDescent="0.25">
      <c r="A110">
        <v>94</v>
      </c>
      <c r="B110">
        <v>1690216224.5999999</v>
      </c>
      <c r="C110">
        <v>1279.099999904633</v>
      </c>
      <c r="D110" t="s">
        <v>521</v>
      </c>
      <c r="E110" t="s">
        <v>522</v>
      </c>
      <c r="F110" t="s">
        <v>330</v>
      </c>
      <c r="H110">
        <v>1690216224.5999999</v>
      </c>
      <c r="I110">
        <f t="shared" si="30"/>
        <v>1.3031830781135107E-3</v>
      </c>
      <c r="J110">
        <f t="shared" si="31"/>
        <v>1.3031830781135108</v>
      </c>
      <c r="K110">
        <f t="shared" si="32"/>
        <v>17.843298790149039</v>
      </c>
      <c r="L110">
        <f t="shared" si="33"/>
        <v>591.69899999999996</v>
      </c>
      <c r="M110">
        <f t="shared" si="34"/>
        <v>139.46135120756009</v>
      </c>
      <c r="N110">
        <f t="shared" si="35"/>
        <v>13.832018150634074</v>
      </c>
      <c r="O110">
        <f t="shared" si="36"/>
        <v>58.685730755119501</v>
      </c>
      <c r="P110">
        <f t="shared" si="37"/>
        <v>6.5795774022681164E-2</v>
      </c>
      <c r="Q110">
        <f t="shared" si="38"/>
        <v>2.0647951982677006</v>
      </c>
      <c r="R110">
        <f t="shared" si="39"/>
        <v>6.4652819163443648E-2</v>
      </c>
      <c r="S110">
        <f t="shared" si="40"/>
        <v>4.0509048146713932E-2</v>
      </c>
      <c r="T110">
        <f t="shared" si="41"/>
        <v>276.11519767200002</v>
      </c>
      <c r="U110">
        <f t="shared" si="42"/>
        <v>28.607081503259394</v>
      </c>
      <c r="V110">
        <f t="shared" si="43"/>
        <v>28.607081503259394</v>
      </c>
      <c r="W110">
        <f t="shared" si="44"/>
        <v>3.9312334528817465</v>
      </c>
      <c r="X110">
        <f t="shared" si="45"/>
        <v>56.212472774473667</v>
      </c>
      <c r="Y110">
        <f t="shared" si="46"/>
        <v>1.9917575937279501</v>
      </c>
      <c r="Z110">
        <f t="shared" si="47"/>
        <v>3.5432662813446201</v>
      </c>
      <c r="AA110">
        <f t="shared" si="48"/>
        <v>1.9394758591537964</v>
      </c>
      <c r="AB110">
        <f t="shared" si="49"/>
        <v>-57.470373744805826</v>
      </c>
      <c r="AC110">
        <f t="shared" si="50"/>
        <v>-197.9867817973246</v>
      </c>
      <c r="AD110">
        <f t="shared" si="51"/>
        <v>-20.842585274147922</v>
      </c>
      <c r="AE110">
        <f t="shared" si="52"/>
        <v>-0.18454314427830809</v>
      </c>
      <c r="AF110">
        <v>45</v>
      </c>
      <c r="AG110">
        <v>15</v>
      </c>
      <c r="AH110">
        <f t="shared" si="53"/>
        <v>1</v>
      </c>
      <c r="AI110">
        <f t="shared" si="54"/>
        <v>0</v>
      </c>
      <c r="AJ110">
        <f t="shared" si="55"/>
        <v>52449.774854650299</v>
      </c>
      <c r="AK110">
        <f t="shared" si="56"/>
        <v>1800</v>
      </c>
      <c r="AL110">
        <f t="shared" si="57"/>
        <v>1499.1122501999998</v>
      </c>
      <c r="AM110">
        <f t="shared" si="58"/>
        <v>0.83284013899999987</v>
      </c>
      <c r="AN110">
        <f t="shared" si="59"/>
        <v>0.15339733204</v>
      </c>
      <c r="AO110">
        <v>33.6</v>
      </c>
      <c r="AP110">
        <v>0.5</v>
      </c>
      <c r="AQ110" t="s">
        <v>331</v>
      </c>
      <c r="AR110">
        <v>2</v>
      </c>
      <c r="AS110">
        <v>1690216224.5999999</v>
      </c>
      <c r="AT110">
        <v>591.69899999999996</v>
      </c>
      <c r="AU110">
        <v>800.05100000000004</v>
      </c>
      <c r="AV110">
        <v>20.081900000000001</v>
      </c>
      <c r="AW110">
        <v>5.7882199999999999</v>
      </c>
      <c r="AX110">
        <v>591.94200000000001</v>
      </c>
      <c r="AY110">
        <v>19.8781</v>
      </c>
      <c r="AZ110">
        <v>300.18599999999998</v>
      </c>
      <c r="BA110">
        <v>99.081800000000001</v>
      </c>
      <c r="BB110">
        <v>9.9930500000000005E-2</v>
      </c>
      <c r="BC110">
        <v>26.828499999999998</v>
      </c>
      <c r="BD110">
        <v>26.999199999999998</v>
      </c>
      <c r="BE110">
        <v>28.358799999999999</v>
      </c>
      <c r="BF110">
        <v>0</v>
      </c>
      <c r="BG110">
        <v>0</v>
      </c>
      <c r="BH110">
        <v>10005.6</v>
      </c>
      <c r="BI110">
        <v>1076.18</v>
      </c>
      <c r="BJ110">
        <v>1.8642000000000001</v>
      </c>
      <c r="BK110">
        <v>-208.352</v>
      </c>
      <c r="BL110">
        <v>603.82500000000005</v>
      </c>
      <c r="BM110">
        <v>804.70899999999995</v>
      </c>
      <c r="BN110">
        <v>14.293699999999999</v>
      </c>
      <c r="BO110">
        <v>800.05100000000004</v>
      </c>
      <c r="BP110">
        <v>5.7882199999999999</v>
      </c>
      <c r="BQ110">
        <v>1.9897499999999999</v>
      </c>
      <c r="BR110">
        <v>0.57350699999999999</v>
      </c>
      <c r="BS110">
        <v>17.363</v>
      </c>
      <c r="BT110">
        <v>-0.92789900000000003</v>
      </c>
      <c r="BU110">
        <v>1800</v>
      </c>
      <c r="BV110">
        <v>0.91000300000000001</v>
      </c>
      <c r="BW110">
        <v>3.4002499999999998E-2</v>
      </c>
      <c r="BX110">
        <v>2.19987E-2</v>
      </c>
      <c r="BY110">
        <v>3.3995999999999998E-2</v>
      </c>
      <c r="BZ110">
        <v>25.958300000000001</v>
      </c>
      <c r="CA110">
        <v>33528.300000000003</v>
      </c>
      <c r="CB110">
        <v>1690214843</v>
      </c>
      <c r="CC110" t="s">
        <v>332</v>
      </c>
      <c r="CD110">
        <v>1690214842</v>
      </c>
      <c r="CE110">
        <v>1690214843</v>
      </c>
      <c r="CF110">
        <v>8</v>
      </c>
      <c r="CG110">
        <v>-6.3E-2</v>
      </c>
      <c r="CH110">
        <v>1E-3</v>
      </c>
      <c r="CI110">
        <v>-0.38900000000000001</v>
      </c>
      <c r="CJ110">
        <v>-6.6000000000000003E-2</v>
      </c>
      <c r="CK110">
        <v>800</v>
      </c>
      <c r="CL110">
        <v>6</v>
      </c>
      <c r="CM110">
        <v>0.23</v>
      </c>
      <c r="CN110">
        <v>0.02</v>
      </c>
      <c r="CO110">
        <v>-205.10982926829271</v>
      </c>
      <c r="CP110">
        <v>-17.518787456446169</v>
      </c>
      <c r="CQ110">
        <v>1.7290899185584421</v>
      </c>
      <c r="CR110">
        <v>-1</v>
      </c>
      <c r="CS110">
        <v>14.1441</v>
      </c>
      <c r="CT110">
        <v>0.82305156794422496</v>
      </c>
      <c r="CU110">
        <v>8.1159989541885816E-2</v>
      </c>
      <c r="CV110">
        <v>-1</v>
      </c>
      <c r="CW110">
        <v>0</v>
      </c>
      <c r="CX110">
        <v>0</v>
      </c>
      <c r="CY110" t="s">
        <v>333</v>
      </c>
      <c r="CZ110">
        <v>2.3644799999999999</v>
      </c>
      <c r="DA110">
        <v>2.71373</v>
      </c>
      <c r="DB110">
        <v>0.11926299999999999</v>
      </c>
      <c r="DC110">
        <v>0.146069</v>
      </c>
      <c r="DD110">
        <v>0.100219</v>
      </c>
      <c r="DE110">
        <v>3.8301799999999997E-2</v>
      </c>
      <c r="DF110">
        <v>32149.599999999999</v>
      </c>
      <c r="DG110">
        <v>27506.7</v>
      </c>
      <c r="DH110">
        <v>31163</v>
      </c>
      <c r="DI110">
        <v>28068.6</v>
      </c>
      <c r="DJ110">
        <v>38070.300000000003</v>
      </c>
      <c r="DK110">
        <v>38383.4</v>
      </c>
      <c r="DL110">
        <v>44346.6</v>
      </c>
      <c r="DM110">
        <v>42538</v>
      </c>
      <c r="DN110">
        <v>1.3581000000000001</v>
      </c>
      <c r="DO110">
        <v>2.03363</v>
      </c>
      <c r="DP110">
        <v>8.4843500000000002E-2</v>
      </c>
      <c r="DQ110">
        <v>0.18260999999999999</v>
      </c>
      <c r="DR110">
        <v>25.610199999999999</v>
      </c>
      <c r="DS110">
        <v>25.371700000000001</v>
      </c>
      <c r="DT110">
        <v>17.100000000000001</v>
      </c>
      <c r="DU110">
        <v>29.8</v>
      </c>
      <c r="DV110">
        <v>7.2683999999999997</v>
      </c>
      <c r="DW110">
        <v>61.638500000000001</v>
      </c>
      <c r="DX110">
        <v>36.041699999999999</v>
      </c>
      <c r="DY110">
        <v>1</v>
      </c>
      <c r="DZ110">
        <v>-8.6646299999999996E-2</v>
      </c>
      <c r="EA110">
        <v>-0.104564</v>
      </c>
      <c r="EB110">
        <v>20.189900000000002</v>
      </c>
      <c r="EC110">
        <v>5.2406499999999996</v>
      </c>
      <c r="ED110">
        <v>12.039899999999999</v>
      </c>
      <c r="EE110">
        <v>5.01675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1.86893</v>
      </c>
      <c r="EL110">
        <v>1.8646499999999999</v>
      </c>
      <c r="EM110">
        <v>1.8692</v>
      </c>
      <c r="EN110">
        <v>1.86724</v>
      </c>
      <c r="EO110">
        <v>1.8633999999999999</v>
      </c>
      <c r="EP110">
        <v>1.86459</v>
      </c>
      <c r="EQ110">
        <v>1.8701700000000001</v>
      </c>
      <c r="ER110">
        <v>1.8694599999999999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-0.24299999999999999</v>
      </c>
      <c r="FG110">
        <v>0.20380000000000001</v>
      </c>
      <c r="FH110">
        <v>0.16202357103534001</v>
      </c>
      <c r="FI110">
        <v>-6.1462078757559423E-4</v>
      </c>
      <c r="FJ110">
        <v>-1.8861989874597051E-7</v>
      </c>
      <c r="FK110">
        <v>1.1980462299894961E-10</v>
      </c>
      <c r="FL110">
        <v>-3.0039189969545878E-2</v>
      </c>
      <c r="FM110">
        <v>-1.6848085045870601E-2</v>
      </c>
      <c r="FN110">
        <v>1.9789084769509481E-3</v>
      </c>
      <c r="FO110">
        <v>-2.7142391389806329E-5</v>
      </c>
      <c r="FP110">
        <v>3</v>
      </c>
      <c r="FQ110">
        <v>2158</v>
      </c>
      <c r="FR110">
        <v>1</v>
      </c>
      <c r="FS110">
        <v>19</v>
      </c>
      <c r="FT110">
        <v>23</v>
      </c>
      <c r="FU110">
        <v>23</v>
      </c>
      <c r="FV110">
        <v>1.7785599999999999</v>
      </c>
      <c r="FW110">
        <v>2.5769000000000002</v>
      </c>
      <c r="FX110">
        <v>1.5490699999999999</v>
      </c>
      <c r="FY110">
        <v>2.3290999999999999</v>
      </c>
      <c r="FZ110">
        <v>1.50146</v>
      </c>
      <c r="GA110">
        <v>2.34741</v>
      </c>
      <c r="GB110">
        <v>33.850900000000003</v>
      </c>
      <c r="GC110">
        <v>23.982399999999998</v>
      </c>
      <c r="GD110">
        <v>19</v>
      </c>
      <c r="GE110">
        <v>235.98599999999999</v>
      </c>
      <c r="GF110">
        <v>581.77099999999996</v>
      </c>
      <c r="GG110">
        <v>25.127500000000001</v>
      </c>
      <c r="GH110">
        <v>26.295300000000001</v>
      </c>
      <c r="GI110">
        <v>30.000399999999999</v>
      </c>
      <c r="GJ110">
        <v>26.438400000000001</v>
      </c>
      <c r="GK110">
        <v>26.4162</v>
      </c>
      <c r="GL110">
        <v>35.563299999999998</v>
      </c>
      <c r="GM110">
        <v>-30</v>
      </c>
      <c r="GN110">
        <v>-30</v>
      </c>
      <c r="GO110">
        <v>25.1281</v>
      </c>
      <c r="GP110">
        <v>800</v>
      </c>
      <c r="GQ110">
        <v>12.5298</v>
      </c>
      <c r="GR110">
        <v>99.706699999999998</v>
      </c>
      <c r="GS110">
        <v>99.515000000000001</v>
      </c>
    </row>
    <row r="111" spans="1:201" x14ac:dyDescent="0.25">
      <c r="A111">
        <v>95</v>
      </c>
      <c r="B111">
        <v>1690216234.5999999</v>
      </c>
      <c r="C111">
        <v>1289.099999904633</v>
      </c>
      <c r="D111" t="s">
        <v>523</v>
      </c>
      <c r="E111" t="s">
        <v>524</v>
      </c>
      <c r="F111" t="s">
        <v>330</v>
      </c>
      <c r="H111">
        <v>1690216234.5999999</v>
      </c>
      <c r="I111">
        <f t="shared" si="30"/>
        <v>1.3155999629204096E-3</v>
      </c>
      <c r="J111">
        <f t="shared" si="31"/>
        <v>1.3155999629204096</v>
      </c>
      <c r="K111">
        <f t="shared" si="32"/>
        <v>18.09990839322991</v>
      </c>
      <c r="L111">
        <f t="shared" si="33"/>
        <v>588.73099999999999</v>
      </c>
      <c r="M111">
        <f t="shared" si="34"/>
        <v>138.25176971800278</v>
      </c>
      <c r="N111">
        <f t="shared" si="35"/>
        <v>13.71203310598076</v>
      </c>
      <c r="O111">
        <f t="shared" si="36"/>
        <v>58.391288436909988</v>
      </c>
      <c r="P111">
        <f t="shared" si="37"/>
        <v>6.7003647529233643E-2</v>
      </c>
      <c r="Q111">
        <f t="shared" si="38"/>
        <v>2.0626658389953199</v>
      </c>
      <c r="R111">
        <f t="shared" si="39"/>
        <v>6.5817550395090546E-2</v>
      </c>
      <c r="S111">
        <f t="shared" si="40"/>
        <v>4.1240786248996457E-2</v>
      </c>
      <c r="T111">
        <f t="shared" si="41"/>
        <v>276.11499668399995</v>
      </c>
      <c r="U111">
        <f t="shared" si="42"/>
        <v>28.593901262682621</v>
      </c>
      <c r="V111">
        <f t="shared" si="43"/>
        <v>28.593901262682621</v>
      </c>
      <c r="W111">
        <f t="shared" si="44"/>
        <v>3.9282274317150643</v>
      </c>
      <c r="X111">
        <f t="shared" si="45"/>
        <v>56.621552293232213</v>
      </c>
      <c r="Y111">
        <f t="shared" si="46"/>
        <v>2.0050256732769998</v>
      </c>
      <c r="Z111">
        <f t="shared" si="47"/>
        <v>3.541099796934839</v>
      </c>
      <c r="AA111">
        <f t="shared" si="48"/>
        <v>1.9232017584380645</v>
      </c>
      <c r="AB111">
        <f t="shared" si="49"/>
        <v>-58.017958364790061</v>
      </c>
      <c r="AC111">
        <f t="shared" si="50"/>
        <v>-197.47343462960907</v>
      </c>
      <c r="AD111">
        <f t="shared" si="51"/>
        <v>-20.807556464049796</v>
      </c>
      <c r="AE111">
        <f t="shared" si="52"/>
        <v>-0.18395277444898284</v>
      </c>
      <c r="AF111">
        <v>45</v>
      </c>
      <c r="AG111">
        <v>15</v>
      </c>
      <c r="AH111">
        <f t="shared" si="53"/>
        <v>1</v>
      </c>
      <c r="AI111">
        <f t="shared" si="54"/>
        <v>0</v>
      </c>
      <c r="AJ111">
        <f t="shared" si="55"/>
        <v>52354.18370848347</v>
      </c>
      <c r="AK111">
        <f t="shared" si="56"/>
        <v>1800</v>
      </c>
      <c r="AL111">
        <f t="shared" si="57"/>
        <v>1499.1097554</v>
      </c>
      <c r="AM111">
        <f t="shared" si="58"/>
        <v>0.83283875299999999</v>
      </c>
      <c r="AN111">
        <f t="shared" si="59"/>
        <v>0.15339722037999998</v>
      </c>
      <c r="AO111">
        <v>33.6</v>
      </c>
      <c r="AP111">
        <v>0.5</v>
      </c>
      <c r="AQ111" t="s">
        <v>331</v>
      </c>
      <c r="AR111">
        <v>2</v>
      </c>
      <c r="AS111">
        <v>1690216234.5999999</v>
      </c>
      <c r="AT111">
        <v>588.73099999999999</v>
      </c>
      <c r="AU111">
        <v>799.99800000000005</v>
      </c>
      <c r="AV111">
        <v>20.215699999999998</v>
      </c>
      <c r="AW111">
        <v>5.7875100000000002</v>
      </c>
      <c r="AX111">
        <v>588.97199999999998</v>
      </c>
      <c r="AY111">
        <v>20.008099999999999</v>
      </c>
      <c r="AZ111">
        <v>300.18</v>
      </c>
      <c r="BA111">
        <v>99.081599999999995</v>
      </c>
      <c r="BB111">
        <v>0.10001</v>
      </c>
      <c r="BC111">
        <v>26.818100000000001</v>
      </c>
      <c r="BD111">
        <v>26.9941</v>
      </c>
      <c r="BE111">
        <v>28.363399999999999</v>
      </c>
      <c r="BF111">
        <v>0</v>
      </c>
      <c r="BG111">
        <v>0</v>
      </c>
      <c r="BH111">
        <v>9986.25</v>
      </c>
      <c r="BI111">
        <v>1076.29</v>
      </c>
      <c r="BJ111">
        <v>1.8642000000000001</v>
      </c>
      <c r="BK111">
        <v>-211.267</v>
      </c>
      <c r="BL111">
        <v>600.87900000000002</v>
      </c>
      <c r="BM111">
        <v>804.65499999999997</v>
      </c>
      <c r="BN111">
        <v>14.4282</v>
      </c>
      <c r="BO111">
        <v>799.99800000000005</v>
      </c>
      <c r="BP111">
        <v>5.7875100000000002</v>
      </c>
      <c r="BQ111">
        <v>2.0030100000000002</v>
      </c>
      <c r="BR111">
        <v>0.57343599999999995</v>
      </c>
      <c r="BS111">
        <v>17.4681</v>
      </c>
      <c r="BT111">
        <v>-0.92958600000000002</v>
      </c>
      <c r="BU111">
        <v>1800</v>
      </c>
      <c r="BV111">
        <v>0.90999799999999997</v>
      </c>
      <c r="BW111">
        <v>3.4008799999999999E-2</v>
      </c>
      <c r="BX111">
        <v>2.1997900000000001E-2</v>
      </c>
      <c r="BY111">
        <v>3.3994799999999999E-2</v>
      </c>
      <c r="BZ111">
        <v>25.958300000000001</v>
      </c>
      <c r="CA111">
        <v>33528.400000000001</v>
      </c>
      <c r="CB111">
        <v>1690214843</v>
      </c>
      <c r="CC111" t="s">
        <v>332</v>
      </c>
      <c r="CD111">
        <v>1690214842</v>
      </c>
      <c r="CE111">
        <v>1690214843</v>
      </c>
      <c r="CF111">
        <v>8</v>
      </c>
      <c r="CG111">
        <v>-6.3E-2</v>
      </c>
      <c r="CH111">
        <v>1E-3</v>
      </c>
      <c r="CI111">
        <v>-0.38900000000000001</v>
      </c>
      <c r="CJ111">
        <v>-6.6000000000000003E-2</v>
      </c>
      <c r="CK111">
        <v>800</v>
      </c>
      <c r="CL111">
        <v>6</v>
      </c>
      <c r="CM111">
        <v>0.23</v>
      </c>
      <c r="CN111">
        <v>0.02</v>
      </c>
      <c r="CO111">
        <v>-207.94415000000001</v>
      </c>
      <c r="CP111">
        <v>-16.919797373358161</v>
      </c>
      <c r="CQ111">
        <v>1.6289186374708839</v>
      </c>
      <c r="CR111">
        <v>-1</v>
      </c>
      <c r="CS111">
        <v>14.276182500000001</v>
      </c>
      <c r="CT111">
        <v>0.79950506566600998</v>
      </c>
      <c r="CU111">
        <v>7.6917136866565566E-2</v>
      </c>
      <c r="CV111">
        <v>-1</v>
      </c>
      <c r="CW111">
        <v>0</v>
      </c>
      <c r="CX111">
        <v>0</v>
      </c>
      <c r="CY111" t="s">
        <v>333</v>
      </c>
      <c r="CZ111">
        <v>2.3644599999999998</v>
      </c>
      <c r="DA111">
        <v>2.7137899999999999</v>
      </c>
      <c r="DB111">
        <v>0.118842</v>
      </c>
      <c r="DC111">
        <v>0.146063</v>
      </c>
      <c r="DD111">
        <v>0.100687</v>
      </c>
      <c r="DE111">
        <v>3.8298199999999998E-2</v>
      </c>
      <c r="DF111">
        <v>32165.200000000001</v>
      </c>
      <c r="DG111">
        <v>27507.3</v>
      </c>
      <c r="DH111">
        <v>31163.200000000001</v>
      </c>
      <c r="DI111">
        <v>28069</v>
      </c>
      <c r="DJ111">
        <v>38050.6</v>
      </c>
      <c r="DK111">
        <v>38384.1</v>
      </c>
      <c r="DL111">
        <v>44347.1</v>
      </c>
      <c r="DM111">
        <v>42538.5</v>
      </c>
      <c r="DN111">
        <v>1.35825</v>
      </c>
      <c r="DO111">
        <v>2.0336500000000002</v>
      </c>
      <c r="DP111">
        <v>8.4526799999999999E-2</v>
      </c>
      <c r="DQ111">
        <v>0.182893</v>
      </c>
      <c r="DR111">
        <v>25.610199999999999</v>
      </c>
      <c r="DS111">
        <v>25.371700000000001</v>
      </c>
      <c r="DT111">
        <v>17.100000000000001</v>
      </c>
      <c r="DU111">
        <v>29.8</v>
      </c>
      <c r="DV111">
        <v>7.2694299999999998</v>
      </c>
      <c r="DW111">
        <v>61.958500000000001</v>
      </c>
      <c r="DX111">
        <v>36.073700000000002</v>
      </c>
      <c r="DY111">
        <v>1</v>
      </c>
      <c r="DZ111">
        <v>-8.7134100000000006E-2</v>
      </c>
      <c r="EA111">
        <v>-0.11242099999999999</v>
      </c>
      <c r="EB111">
        <v>20.189900000000002</v>
      </c>
      <c r="EC111">
        <v>5.2406499999999996</v>
      </c>
      <c r="ED111">
        <v>12.039899999999999</v>
      </c>
      <c r="EE111">
        <v>5.0162500000000003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1.8689199999999999</v>
      </c>
      <c r="EL111">
        <v>1.86467</v>
      </c>
      <c r="EM111">
        <v>1.8692</v>
      </c>
      <c r="EN111">
        <v>1.8672500000000001</v>
      </c>
      <c r="EO111">
        <v>1.8633999999999999</v>
      </c>
      <c r="EP111">
        <v>1.8646</v>
      </c>
      <c r="EQ111">
        <v>1.87015</v>
      </c>
      <c r="ER111">
        <v>1.8694599999999999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-0.24099999999999999</v>
      </c>
      <c r="FG111">
        <v>0.20760000000000001</v>
      </c>
      <c r="FH111">
        <v>0.16202357103534001</v>
      </c>
      <c r="FI111">
        <v>-6.1462078757559423E-4</v>
      </c>
      <c r="FJ111">
        <v>-1.8861989874597051E-7</v>
      </c>
      <c r="FK111">
        <v>1.1980462299894961E-10</v>
      </c>
      <c r="FL111">
        <v>-3.0039189969545878E-2</v>
      </c>
      <c r="FM111">
        <v>-1.6848085045870601E-2</v>
      </c>
      <c r="FN111">
        <v>1.9789084769509481E-3</v>
      </c>
      <c r="FO111">
        <v>-2.7142391389806329E-5</v>
      </c>
      <c r="FP111">
        <v>3</v>
      </c>
      <c r="FQ111">
        <v>2158</v>
      </c>
      <c r="FR111">
        <v>1</v>
      </c>
      <c r="FS111">
        <v>19</v>
      </c>
      <c r="FT111">
        <v>23.2</v>
      </c>
      <c r="FU111">
        <v>23.2</v>
      </c>
      <c r="FV111">
        <v>1.7785599999999999</v>
      </c>
      <c r="FW111">
        <v>2.5817899999999998</v>
      </c>
      <c r="FX111">
        <v>1.5490699999999999</v>
      </c>
      <c r="FY111">
        <v>2.3290999999999999</v>
      </c>
      <c r="FZ111">
        <v>1.50146</v>
      </c>
      <c r="GA111">
        <v>2.34375</v>
      </c>
      <c r="GB111">
        <v>33.850900000000003</v>
      </c>
      <c r="GC111">
        <v>23.982399999999998</v>
      </c>
      <c r="GD111">
        <v>19</v>
      </c>
      <c r="GE111">
        <v>236.03700000000001</v>
      </c>
      <c r="GF111">
        <v>581.76599999999996</v>
      </c>
      <c r="GG111">
        <v>25.1265</v>
      </c>
      <c r="GH111">
        <v>26.294</v>
      </c>
      <c r="GI111">
        <v>29.9999</v>
      </c>
      <c r="GJ111">
        <v>26.436900000000001</v>
      </c>
      <c r="GK111">
        <v>26.414000000000001</v>
      </c>
      <c r="GL111">
        <v>35.566200000000002</v>
      </c>
      <c r="GM111">
        <v>-30</v>
      </c>
      <c r="GN111">
        <v>-30</v>
      </c>
      <c r="GO111">
        <v>25.127800000000001</v>
      </c>
      <c r="GP111">
        <v>800</v>
      </c>
      <c r="GQ111">
        <v>12.5298</v>
      </c>
      <c r="GR111">
        <v>99.707599999999999</v>
      </c>
      <c r="GS111">
        <v>99.516400000000004</v>
      </c>
    </row>
    <row r="112" spans="1:201" x14ac:dyDescent="0.25">
      <c r="A112">
        <v>96</v>
      </c>
      <c r="B112">
        <v>1690216244.5999999</v>
      </c>
      <c r="C112">
        <v>1299.099999904633</v>
      </c>
      <c r="D112" t="s">
        <v>525</v>
      </c>
      <c r="E112" t="s">
        <v>526</v>
      </c>
      <c r="F112" t="s">
        <v>330</v>
      </c>
      <c r="H112">
        <v>1690216244.5999999</v>
      </c>
      <c r="I112">
        <f t="shared" si="30"/>
        <v>1.3272897164646837E-3</v>
      </c>
      <c r="J112">
        <f t="shared" si="31"/>
        <v>1.3272897164646837</v>
      </c>
      <c r="K112">
        <f t="shared" si="32"/>
        <v>18.334868890489641</v>
      </c>
      <c r="L112">
        <f t="shared" si="33"/>
        <v>585.98099999999999</v>
      </c>
      <c r="M112">
        <f t="shared" si="34"/>
        <v>136.91446180077506</v>
      </c>
      <c r="N112">
        <f t="shared" si="35"/>
        <v>13.579262235225649</v>
      </c>
      <c r="O112">
        <f t="shared" si="36"/>
        <v>58.117963283077501</v>
      </c>
      <c r="P112">
        <f t="shared" si="37"/>
        <v>6.8088411057198581E-2</v>
      </c>
      <c r="Q112">
        <f t="shared" si="38"/>
        <v>2.059487975002865</v>
      </c>
      <c r="R112">
        <f t="shared" si="39"/>
        <v>6.6862123713615385E-2</v>
      </c>
      <c r="S112">
        <f t="shared" si="40"/>
        <v>4.1897164776962877E-2</v>
      </c>
      <c r="T112">
        <f t="shared" si="41"/>
        <v>276.11507163600004</v>
      </c>
      <c r="U112">
        <f t="shared" si="42"/>
        <v>28.592378847662403</v>
      </c>
      <c r="V112">
        <f t="shared" si="43"/>
        <v>28.592378847662403</v>
      </c>
      <c r="W112">
        <f t="shared" si="44"/>
        <v>3.927880343282101</v>
      </c>
      <c r="X112">
        <f t="shared" si="45"/>
        <v>56.988631852891402</v>
      </c>
      <c r="Y112">
        <f t="shared" si="46"/>
        <v>2.0180480638680001</v>
      </c>
      <c r="Z112">
        <f t="shared" si="47"/>
        <v>3.5411414491881885</v>
      </c>
      <c r="AA112">
        <f t="shared" si="48"/>
        <v>1.9098322794141009</v>
      </c>
      <c r="AB112">
        <f t="shared" si="49"/>
        <v>-58.533476496092554</v>
      </c>
      <c r="AC112">
        <f t="shared" si="50"/>
        <v>-196.97795381054829</v>
      </c>
      <c r="AD112">
        <f t="shared" si="51"/>
        <v>-20.787236973730501</v>
      </c>
      <c r="AE112">
        <f t="shared" si="52"/>
        <v>-0.18359564437130871</v>
      </c>
      <c r="AF112">
        <v>45</v>
      </c>
      <c r="AG112">
        <v>15</v>
      </c>
      <c r="AH112">
        <f t="shared" si="53"/>
        <v>1</v>
      </c>
      <c r="AI112">
        <f t="shared" si="54"/>
        <v>0</v>
      </c>
      <c r="AJ112">
        <f t="shared" si="55"/>
        <v>52208.999012437904</v>
      </c>
      <c r="AK112">
        <f t="shared" si="56"/>
        <v>1800</v>
      </c>
      <c r="AL112">
        <f t="shared" si="57"/>
        <v>1499.1114186000002</v>
      </c>
      <c r="AM112">
        <f t="shared" si="58"/>
        <v>0.83283967700000006</v>
      </c>
      <c r="AN112">
        <f t="shared" si="59"/>
        <v>0.15339726202000001</v>
      </c>
      <c r="AO112">
        <v>33.6</v>
      </c>
      <c r="AP112">
        <v>0.5</v>
      </c>
      <c r="AQ112" t="s">
        <v>331</v>
      </c>
      <c r="AR112">
        <v>2</v>
      </c>
      <c r="AS112">
        <v>1690216244.5999999</v>
      </c>
      <c r="AT112">
        <v>585.98099999999999</v>
      </c>
      <c r="AU112">
        <v>799.99900000000002</v>
      </c>
      <c r="AV112">
        <v>20.347200000000001</v>
      </c>
      <c r="AW112">
        <v>5.7869900000000003</v>
      </c>
      <c r="AX112">
        <v>586.22</v>
      </c>
      <c r="AY112">
        <v>20.1357</v>
      </c>
      <c r="AZ112">
        <v>300.06099999999998</v>
      </c>
      <c r="BA112">
        <v>99.080699999999993</v>
      </c>
      <c r="BB112">
        <v>9.9927500000000002E-2</v>
      </c>
      <c r="BC112">
        <v>26.818300000000001</v>
      </c>
      <c r="BD112">
        <v>26.9878</v>
      </c>
      <c r="BE112">
        <v>28.3703</v>
      </c>
      <c r="BF112">
        <v>0</v>
      </c>
      <c r="BG112">
        <v>0</v>
      </c>
      <c r="BH112">
        <v>9957.5</v>
      </c>
      <c r="BI112">
        <v>1076.28</v>
      </c>
      <c r="BJ112">
        <v>1.8501799999999999</v>
      </c>
      <c r="BK112">
        <v>-214.018</v>
      </c>
      <c r="BL112">
        <v>598.15099999999995</v>
      </c>
      <c r="BM112">
        <v>804.65599999999995</v>
      </c>
      <c r="BN112">
        <v>14.5602</v>
      </c>
      <c r="BO112">
        <v>799.99900000000002</v>
      </c>
      <c r="BP112">
        <v>5.7869900000000003</v>
      </c>
      <c r="BQ112">
        <v>2.0160100000000001</v>
      </c>
      <c r="BR112">
        <v>0.57337899999999997</v>
      </c>
      <c r="BS112">
        <v>17.570699999999999</v>
      </c>
      <c r="BT112">
        <v>-0.93093899999999996</v>
      </c>
      <c r="BU112">
        <v>1800</v>
      </c>
      <c r="BV112">
        <v>0.91000199999999998</v>
      </c>
      <c r="BW112">
        <v>3.4007599999999999E-2</v>
      </c>
      <c r="BX112">
        <v>2.1997099999999999E-2</v>
      </c>
      <c r="BY112">
        <v>3.3993599999999999E-2</v>
      </c>
      <c r="BZ112">
        <v>26</v>
      </c>
      <c r="CA112">
        <v>33528.300000000003</v>
      </c>
      <c r="CB112">
        <v>1690214843</v>
      </c>
      <c r="CC112" t="s">
        <v>332</v>
      </c>
      <c r="CD112">
        <v>1690214842</v>
      </c>
      <c r="CE112">
        <v>1690214843</v>
      </c>
      <c r="CF112">
        <v>8</v>
      </c>
      <c r="CG112">
        <v>-6.3E-2</v>
      </c>
      <c r="CH112">
        <v>1E-3</v>
      </c>
      <c r="CI112">
        <v>-0.38900000000000001</v>
      </c>
      <c r="CJ112">
        <v>-6.6000000000000003E-2</v>
      </c>
      <c r="CK112">
        <v>800</v>
      </c>
      <c r="CL112">
        <v>6</v>
      </c>
      <c r="CM112">
        <v>0.23</v>
      </c>
      <c r="CN112">
        <v>0.02</v>
      </c>
      <c r="CO112">
        <v>-210.8964146341464</v>
      </c>
      <c r="CP112">
        <v>-17.167170731707952</v>
      </c>
      <c r="CQ112">
        <v>1.6936012139759959</v>
      </c>
      <c r="CR112">
        <v>-1</v>
      </c>
      <c r="CS112">
        <v>14.41389268292683</v>
      </c>
      <c r="CT112">
        <v>0.80749756097561809</v>
      </c>
      <c r="CU112">
        <v>7.9629640854131822E-2</v>
      </c>
      <c r="CV112">
        <v>-1</v>
      </c>
      <c r="CW112">
        <v>0</v>
      </c>
      <c r="CX112">
        <v>0</v>
      </c>
      <c r="CY112" t="s">
        <v>333</v>
      </c>
      <c r="CZ112">
        <v>2.3641000000000001</v>
      </c>
      <c r="DA112">
        <v>2.7136800000000001</v>
      </c>
      <c r="DB112">
        <v>0.11845</v>
      </c>
      <c r="DC112">
        <v>0.146063</v>
      </c>
      <c r="DD112">
        <v>0.101145</v>
      </c>
      <c r="DE112">
        <v>3.8295299999999997E-2</v>
      </c>
      <c r="DF112">
        <v>32179.9</v>
      </c>
      <c r="DG112">
        <v>27507.1</v>
      </c>
      <c r="DH112">
        <v>31163.599999999999</v>
      </c>
      <c r="DI112">
        <v>28068.7</v>
      </c>
      <c r="DJ112">
        <v>38031.199999999997</v>
      </c>
      <c r="DK112">
        <v>38383.9</v>
      </c>
      <c r="DL112">
        <v>44347.4</v>
      </c>
      <c r="DM112">
        <v>42538.1</v>
      </c>
      <c r="DN112">
        <v>1.3580000000000001</v>
      </c>
      <c r="DO112">
        <v>2.0337299999999998</v>
      </c>
      <c r="DP112">
        <v>8.4176699999999993E-2</v>
      </c>
      <c r="DQ112">
        <v>0.183452</v>
      </c>
      <c r="DR112">
        <v>25.6096</v>
      </c>
      <c r="DS112">
        <v>25.369499999999999</v>
      </c>
      <c r="DT112">
        <v>17.100000000000001</v>
      </c>
      <c r="DU112">
        <v>29.8</v>
      </c>
      <c r="DV112">
        <v>7.2691699999999999</v>
      </c>
      <c r="DW112">
        <v>61.948500000000003</v>
      </c>
      <c r="DX112">
        <v>36.161900000000003</v>
      </c>
      <c r="DY112">
        <v>1</v>
      </c>
      <c r="DZ112">
        <v>-8.7461899999999995E-2</v>
      </c>
      <c r="EA112">
        <v>-0.162328</v>
      </c>
      <c r="EB112">
        <v>20.190000000000001</v>
      </c>
      <c r="EC112">
        <v>5.2408000000000001</v>
      </c>
      <c r="ED112">
        <v>12.039899999999999</v>
      </c>
      <c r="EE112">
        <v>5.0172499999999998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1.8689199999999999</v>
      </c>
      <c r="EL112">
        <v>1.86466</v>
      </c>
      <c r="EM112">
        <v>1.8692</v>
      </c>
      <c r="EN112">
        <v>1.8672500000000001</v>
      </c>
      <c r="EO112">
        <v>1.8633999999999999</v>
      </c>
      <c r="EP112">
        <v>1.8645700000000001</v>
      </c>
      <c r="EQ112">
        <v>1.87016</v>
      </c>
      <c r="ER112">
        <v>1.86947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-0.23899999999999999</v>
      </c>
      <c r="FG112">
        <v>0.21149999999999999</v>
      </c>
      <c r="FH112">
        <v>0.16202357103534001</v>
      </c>
      <c r="FI112">
        <v>-6.1462078757559423E-4</v>
      </c>
      <c r="FJ112">
        <v>-1.8861989874597051E-7</v>
      </c>
      <c r="FK112">
        <v>1.1980462299894961E-10</v>
      </c>
      <c r="FL112">
        <v>-3.0039189969545878E-2</v>
      </c>
      <c r="FM112">
        <v>-1.6848085045870601E-2</v>
      </c>
      <c r="FN112">
        <v>1.9789084769509481E-3</v>
      </c>
      <c r="FO112">
        <v>-2.7142391389806329E-5</v>
      </c>
      <c r="FP112">
        <v>3</v>
      </c>
      <c r="FQ112">
        <v>2158</v>
      </c>
      <c r="FR112">
        <v>1</v>
      </c>
      <c r="FS112">
        <v>19</v>
      </c>
      <c r="FT112">
        <v>23.4</v>
      </c>
      <c r="FU112">
        <v>23.4</v>
      </c>
      <c r="FV112">
        <v>1.7785599999999999</v>
      </c>
      <c r="FW112">
        <v>2.5769000000000002</v>
      </c>
      <c r="FX112">
        <v>1.5490699999999999</v>
      </c>
      <c r="FY112">
        <v>2.3290999999999999</v>
      </c>
      <c r="FZ112">
        <v>1.50146</v>
      </c>
      <c r="GA112">
        <v>2.31934</v>
      </c>
      <c r="GB112">
        <v>33.850900000000003</v>
      </c>
      <c r="GC112">
        <v>23.982399999999998</v>
      </c>
      <c r="GD112">
        <v>19</v>
      </c>
      <c r="GE112">
        <v>235.93600000000001</v>
      </c>
      <c r="GF112">
        <v>581.80899999999997</v>
      </c>
      <c r="GG112">
        <v>25.134899999999998</v>
      </c>
      <c r="GH112">
        <v>26.293099999999999</v>
      </c>
      <c r="GI112">
        <v>30</v>
      </c>
      <c r="GJ112">
        <v>26.4346</v>
      </c>
      <c r="GK112">
        <v>26.412299999999998</v>
      </c>
      <c r="GL112">
        <v>35.566600000000001</v>
      </c>
      <c r="GM112">
        <v>-30</v>
      </c>
      <c r="GN112">
        <v>-30</v>
      </c>
      <c r="GO112">
        <v>25.1524</v>
      </c>
      <c r="GP112">
        <v>800</v>
      </c>
      <c r="GQ112">
        <v>12.5298</v>
      </c>
      <c r="GR112">
        <v>99.708500000000001</v>
      </c>
      <c r="GS112">
        <v>99.515600000000006</v>
      </c>
    </row>
    <row r="113" spans="1:201" x14ac:dyDescent="0.25">
      <c r="A113">
        <v>97</v>
      </c>
      <c r="B113">
        <v>1690216254.5999999</v>
      </c>
      <c r="C113">
        <v>1309.099999904633</v>
      </c>
      <c r="D113" t="s">
        <v>527</v>
      </c>
      <c r="E113" t="s">
        <v>528</v>
      </c>
      <c r="F113" t="s">
        <v>330</v>
      </c>
      <c r="H113">
        <v>1690216254.5999999</v>
      </c>
      <c r="I113">
        <f t="shared" si="30"/>
        <v>1.3404438810020705E-3</v>
      </c>
      <c r="J113">
        <f t="shared" si="31"/>
        <v>1.3404438810020705</v>
      </c>
      <c r="K113">
        <f t="shared" si="32"/>
        <v>18.606189895345143</v>
      </c>
      <c r="L113">
        <f t="shared" si="33"/>
        <v>583.00900000000001</v>
      </c>
      <c r="M113">
        <f t="shared" si="34"/>
        <v>135.23654443254995</v>
      </c>
      <c r="N113">
        <f t="shared" si="35"/>
        <v>13.41293763669351</v>
      </c>
      <c r="O113">
        <f t="shared" si="36"/>
        <v>57.823596361789996</v>
      </c>
      <c r="P113">
        <f t="shared" si="37"/>
        <v>6.9295146698932206E-2</v>
      </c>
      <c r="Q113">
        <f t="shared" si="38"/>
        <v>2.0588743421164857</v>
      </c>
      <c r="R113">
        <f t="shared" si="39"/>
        <v>6.8025072927521801E-2</v>
      </c>
      <c r="S113">
        <f t="shared" si="40"/>
        <v>4.2627842737003055E-2</v>
      </c>
      <c r="T113">
        <f t="shared" si="41"/>
        <v>276.11332495856152</v>
      </c>
      <c r="U113">
        <f t="shared" si="42"/>
        <v>28.590008900218606</v>
      </c>
      <c r="V113">
        <f t="shared" si="43"/>
        <v>28.590008900218606</v>
      </c>
      <c r="W113">
        <f t="shared" si="44"/>
        <v>3.927340083038628</v>
      </c>
      <c r="X113">
        <f t="shared" si="45"/>
        <v>57.366887055044934</v>
      </c>
      <c r="Y113">
        <f t="shared" si="46"/>
        <v>2.0316696265640002</v>
      </c>
      <c r="Z113">
        <f t="shared" si="47"/>
        <v>3.5415371669279585</v>
      </c>
      <c r="AA113">
        <f t="shared" si="48"/>
        <v>1.8956704564746278</v>
      </c>
      <c r="AB113">
        <f t="shared" si="49"/>
        <v>-59.113575152191309</v>
      </c>
      <c r="AC113">
        <f t="shared" si="50"/>
        <v>-196.44530765202256</v>
      </c>
      <c r="AD113">
        <f t="shared" si="51"/>
        <v>-20.737155664878625</v>
      </c>
      <c r="AE113">
        <f t="shared" si="52"/>
        <v>-0.18271351053098783</v>
      </c>
      <c r="AF113">
        <v>45</v>
      </c>
      <c r="AG113">
        <v>15</v>
      </c>
      <c r="AH113">
        <f t="shared" si="53"/>
        <v>1</v>
      </c>
      <c r="AI113">
        <f t="shared" si="54"/>
        <v>0</v>
      </c>
      <c r="AJ113">
        <f t="shared" si="55"/>
        <v>52180.689462187489</v>
      </c>
      <c r="AK113">
        <f t="shared" si="56"/>
        <v>1799.99</v>
      </c>
      <c r="AL113">
        <f t="shared" si="57"/>
        <v>1499.1021506084498</v>
      </c>
      <c r="AM113">
        <f t="shared" si="58"/>
        <v>0.83283915499999994</v>
      </c>
      <c r="AN113">
        <f t="shared" si="59"/>
        <v>0.15339714385</v>
      </c>
      <c r="AO113">
        <v>33.6</v>
      </c>
      <c r="AP113">
        <v>0.5</v>
      </c>
      <c r="AQ113" t="s">
        <v>331</v>
      </c>
      <c r="AR113">
        <v>2</v>
      </c>
      <c r="AS113">
        <v>1690216254.5999999</v>
      </c>
      <c r="AT113">
        <v>583.00900000000001</v>
      </c>
      <c r="AU113">
        <v>800.03599999999994</v>
      </c>
      <c r="AV113">
        <v>20.484400000000001</v>
      </c>
      <c r="AW113">
        <v>5.7867499999999996</v>
      </c>
      <c r="AX113">
        <v>583.24599999999998</v>
      </c>
      <c r="AY113">
        <v>20.268999999999998</v>
      </c>
      <c r="AZ113">
        <v>300.15899999999999</v>
      </c>
      <c r="BA113">
        <v>99.081299999999999</v>
      </c>
      <c r="BB113">
        <v>0.10001</v>
      </c>
      <c r="BC113">
        <v>26.8202</v>
      </c>
      <c r="BD113">
        <v>26.9968</v>
      </c>
      <c r="BE113">
        <v>28.354299999999999</v>
      </c>
      <c r="BF113">
        <v>0</v>
      </c>
      <c r="BG113">
        <v>0</v>
      </c>
      <c r="BH113">
        <v>9951.8799999999992</v>
      </c>
      <c r="BI113">
        <v>1076.2</v>
      </c>
      <c r="BJ113">
        <v>1.8501799999999999</v>
      </c>
      <c r="BK113">
        <v>-217.02699999999999</v>
      </c>
      <c r="BL113">
        <v>595.20100000000002</v>
      </c>
      <c r="BM113">
        <v>804.69200000000001</v>
      </c>
      <c r="BN113">
        <v>14.697699999999999</v>
      </c>
      <c r="BO113">
        <v>800.03599999999994</v>
      </c>
      <c r="BP113">
        <v>5.7867499999999996</v>
      </c>
      <c r="BQ113">
        <v>2.02962</v>
      </c>
      <c r="BR113">
        <v>0.57335800000000003</v>
      </c>
      <c r="BS113">
        <v>17.677299999999999</v>
      </c>
      <c r="BT113">
        <v>-0.93143799999999999</v>
      </c>
      <c r="BU113">
        <v>1799.99</v>
      </c>
      <c r="BV113">
        <v>0.91000199999999998</v>
      </c>
      <c r="BW113">
        <v>3.4007299999999997E-2</v>
      </c>
      <c r="BX113">
        <v>2.1996999999999999E-2</v>
      </c>
      <c r="BY113">
        <v>3.3993299999999997E-2</v>
      </c>
      <c r="BZ113">
        <v>26</v>
      </c>
      <c r="CA113">
        <v>33528.300000000003</v>
      </c>
      <c r="CB113">
        <v>1690214843</v>
      </c>
      <c r="CC113" t="s">
        <v>332</v>
      </c>
      <c r="CD113">
        <v>1690214842</v>
      </c>
      <c r="CE113">
        <v>1690214843</v>
      </c>
      <c r="CF113">
        <v>8</v>
      </c>
      <c r="CG113">
        <v>-6.3E-2</v>
      </c>
      <c r="CH113">
        <v>1E-3</v>
      </c>
      <c r="CI113">
        <v>-0.38900000000000001</v>
      </c>
      <c r="CJ113">
        <v>-6.6000000000000003E-2</v>
      </c>
      <c r="CK113">
        <v>800</v>
      </c>
      <c r="CL113">
        <v>6</v>
      </c>
      <c r="CM113">
        <v>0.23</v>
      </c>
      <c r="CN113">
        <v>0.02</v>
      </c>
      <c r="CO113">
        <v>-214.00432499999999</v>
      </c>
      <c r="CP113">
        <v>-17.352371482175851</v>
      </c>
      <c r="CQ113">
        <v>1.6700222511616429</v>
      </c>
      <c r="CR113">
        <v>-1</v>
      </c>
      <c r="CS113">
        <v>14.558120000000001</v>
      </c>
      <c r="CT113">
        <v>0.80268968105063632</v>
      </c>
      <c r="CU113">
        <v>7.723013401516271E-2</v>
      </c>
      <c r="CV113">
        <v>-1</v>
      </c>
      <c r="CW113">
        <v>0</v>
      </c>
      <c r="CX113">
        <v>0</v>
      </c>
      <c r="CY113" t="s">
        <v>333</v>
      </c>
      <c r="CZ113">
        <v>2.3644099999999999</v>
      </c>
      <c r="DA113">
        <v>2.7137600000000002</v>
      </c>
      <c r="DB113">
        <v>0.11802700000000001</v>
      </c>
      <c r="DC113">
        <v>0.146068</v>
      </c>
      <c r="DD113">
        <v>0.101623</v>
      </c>
      <c r="DE113">
        <v>3.8294099999999998E-2</v>
      </c>
      <c r="DF113">
        <v>32195.200000000001</v>
      </c>
      <c r="DG113">
        <v>27507.5</v>
      </c>
      <c r="DH113">
        <v>31163.5</v>
      </c>
      <c r="DI113">
        <v>28069.4</v>
      </c>
      <c r="DJ113">
        <v>38010.800000000003</v>
      </c>
      <c r="DK113">
        <v>38384.800000000003</v>
      </c>
      <c r="DL113">
        <v>44347.4</v>
      </c>
      <c r="DM113">
        <v>42539.1</v>
      </c>
      <c r="DN113">
        <v>1.3586499999999999</v>
      </c>
      <c r="DO113">
        <v>2.0336500000000002</v>
      </c>
      <c r="DP113">
        <v>8.4925399999999998E-2</v>
      </c>
      <c r="DQ113">
        <v>0.18246799999999999</v>
      </c>
      <c r="DR113">
        <v>25.606400000000001</v>
      </c>
      <c r="DS113">
        <v>25.369499999999999</v>
      </c>
      <c r="DT113">
        <v>17.100000000000001</v>
      </c>
      <c r="DU113">
        <v>29.8</v>
      </c>
      <c r="DV113">
        <v>7.2692500000000004</v>
      </c>
      <c r="DW113">
        <v>61.9985</v>
      </c>
      <c r="DX113">
        <v>36.117800000000003</v>
      </c>
      <c r="DY113">
        <v>1</v>
      </c>
      <c r="DZ113">
        <v>-8.7299299999999996E-2</v>
      </c>
      <c r="EA113">
        <v>-0.15650600000000001</v>
      </c>
      <c r="EB113">
        <v>20.190000000000001</v>
      </c>
      <c r="EC113">
        <v>5.2408000000000001</v>
      </c>
      <c r="ED113">
        <v>12.039899999999999</v>
      </c>
      <c r="EE113">
        <v>5.0174500000000002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1.8689199999999999</v>
      </c>
      <c r="EL113">
        <v>1.86466</v>
      </c>
      <c r="EM113">
        <v>1.8692</v>
      </c>
      <c r="EN113">
        <v>1.8672500000000001</v>
      </c>
      <c r="EO113">
        <v>1.8633999999999999</v>
      </c>
      <c r="EP113">
        <v>1.8645799999999999</v>
      </c>
      <c r="EQ113">
        <v>1.87015</v>
      </c>
      <c r="ER113">
        <v>1.8694900000000001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-0.23699999999999999</v>
      </c>
      <c r="FG113">
        <v>0.21540000000000001</v>
      </c>
      <c r="FH113">
        <v>0.16202357103534001</v>
      </c>
      <c r="FI113">
        <v>-6.1462078757559423E-4</v>
      </c>
      <c r="FJ113">
        <v>-1.8861989874597051E-7</v>
      </c>
      <c r="FK113">
        <v>1.1980462299894961E-10</v>
      </c>
      <c r="FL113">
        <v>-3.0039189969545878E-2</v>
      </c>
      <c r="FM113">
        <v>-1.6848085045870601E-2</v>
      </c>
      <c r="FN113">
        <v>1.9789084769509481E-3</v>
      </c>
      <c r="FO113">
        <v>-2.7142391389806329E-5</v>
      </c>
      <c r="FP113">
        <v>3</v>
      </c>
      <c r="FQ113">
        <v>2158</v>
      </c>
      <c r="FR113">
        <v>1</v>
      </c>
      <c r="FS113">
        <v>19</v>
      </c>
      <c r="FT113">
        <v>23.5</v>
      </c>
      <c r="FU113">
        <v>23.5</v>
      </c>
      <c r="FV113">
        <v>1.7785599999999999</v>
      </c>
      <c r="FW113">
        <v>2.5805699999999998</v>
      </c>
      <c r="FX113">
        <v>1.5490699999999999</v>
      </c>
      <c r="FY113">
        <v>2.3290999999999999</v>
      </c>
      <c r="FZ113">
        <v>1.50146</v>
      </c>
      <c r="GA113">
        <v>2.34497</v>
      </c>
      <c r="GB113">
        <v>33.850900000000003</v>
      </c>
      <c r="GC113">
        <v>23.982399999999998</v>
      </c>
      <c r="GD113">
        <v>19</v>
      </c>
      <c r="GE113">
        <v>236.173</v>
      </c>
      <c r="GF113">
        <v>581.73500000000001</v>
      </c>
      <c r="GG113">
        <v>25.158300000000001</v>
      </c>
      <c r="GH113">
        <v>26.290900000000001</v>
      </c>
      <c r="GI113">
        <v>30</v>
      </c>
      <c r="GJ113">
        <v>26.4328</v>
      </c>
      <c r="GK113">
        <v>26.411200000000001</v>
      </c>
      <c r="GL113">
        <v>35.566099999999999</v>
      </c>
      <c r="GM113">
        <v>-30</v>
      </c>
      <c r="GN113">
        <v>-30</v>
      </c>
      <c r="GO113">
        <v>25.160599999999999</v>
      </c>
      <c r="GP113">
        <v>800</v>
      </c>
      <c r="GQ113">
        <v>12.5298</v>
      </c>
      <c r="GR113">
        <v>99.708299999999994</v>
      </c>
      <c r="GS113">
        <v>99.517799999999994</v>
      </c>
    </row>
    <row r="114" spans="1:201" x14ac:dyDescent="0.25">
      <c r="A114">
        <v>98</v>
      </c>
      <c r="B114">
        <v>1690216264.5999999</v>
      </c>
      <c r="C114">
        <v>1319.099999904633</v>
      </c>
      <c r="D114" t="s">
        <v>529</v>
      </c>
      <c r="E114" t="s">
        <v>530</v>
      </c>
      <c r="F114" t="s">
        <v>330</v>
      </c>
      <c r="H114">
        <v>1690216264.5999999</v>
      </c>
      <c r="I114">
        <f t="shared" si="30"/>
        <v>1.352718103789128E-3</v>
      </c>
      <c r="J114">
        <f t="shared" si="31"/>
        <v>1.352718103789128</v>
      </c>
      <c r="K114">
        <f t="shared" si="32"/>
        <v>18.860482055135687</v>
      </c>
      <c r="L114">
        <f t="shared" si="33"/>
        <v>580.10599999999999</v>
      </c>
      <c r="M114">
        <f t="shared" si="34"/>
        <v>133.96025125836005</v>
      </c>
      <c r="N114">
        <f t="shared" si="35"/>
        <v>13.286874848951699</v>
      </c>
      <c r="O114">
        <f t="shared" si="36"/>
        <v>57.537931951623996</v>
      </c>
      <c r="P114">
        <f t="shared" si="37"/>
        <v>7.0496474036387091E-2</v>
      </c>
      <c r="Q114">
        <f t="shared" si="38"/>
        <v>2.0640803444045543</v>
      </c>
      <c r="R114">
        <f t="shared" si="39"/>
        <v>6.9185679460240332E-2</v>
      </c>
      <c r="S114">
        <f t="shared" si="40"/>
        <v>4.3356789305703684E-2</v>
      </c>
      <c r="T114">
        <f t="shared" si="41"/>
        <v>276.11470881000002</v>
      </c>
      <c r="U114">
        <f t="shared" si="42"/>
        <v>28.581972947607113</v>
      </c>
      <c r="V114">
        <f t="shared" si="43"/>
        <v>28.581972947607113</v>
      </c>
      <c r="W114">
        <f t="shared" si="44"/>
        <v>3.9255086658900646</v>
      </c>
      <c r="X114">
        <f t="shared" si="45"/>
        <v>57.730742362554253</v>
      </c>
      <c r="Y114">
        <f t="shared" si="46"/>
        <v>2.0446037952560001</v>
      </c>
      <c r="Z114">
        <f t="shared" si="47"/>
        <v>3.5416204808448577</v>
      </c>
      <c r="AA114">
        <f t="shared" si="48"/>
        <v>1.8809048706340645</v>
      </c>
      <c r="AB114">
        <f t="shared" si="49"/>
        <v>-59.654868377100549</v>
      </c>
      <c r="AC114">
        <f t="shared" si="50"/>
        <v>-196.00329099270658</v>
      </c>
      <c r="AD114">
        <f t="shared" si="51"/>
        <v>-20.63752235202271</v>
      </c>
      <c r="AE114">
        <f t="shared" si="52"/>
        <v>-0.18097291182979802</v>
      </c>
      <c r="AF114">
        <v>45</v>
      </c>
      <c r="AG114">
        <v>15</v>
      </c>
      <c r="AH114">
        <f t="shared" si="53"/>
        <v>1</v>
      </c>
      <c r="AI114">
        <f t="shared" si="54"/>
        <v>0</v>
      </c>
      <c r="AJ114">
        <f t="shared" si="55"/>
        <v>52418.515701834505</v>
      </c>
      <c r="AK114">
        <f t="shared" si="56"/>
        <v>1800</v>
      </c>
      <c r="AL114">
        <f t="shared" si="57"/>
        <v>1499.111181</v>
      </c>
      <c r="AM114">
        <f t="shared" si="58"/>
        <v>0.83283954500000001</v>
      </c>
      <c r="AN114">
        <f t="shared" si="59"/>
        <v>0.15339706045000001</v>
      </c>
      <c r="AO114">
        <v>33.6</v>
      </c>
      <c r="AP114">
        <v>0.5</v>
      </c>
      <c r="AQ114" t="s">
        <v>331</v>
      </c>
      <c r="AR114">
        <v>2</v>
      </c>
      <c r="AS114">
        <v>1690216264.5999999</v>
      </c>
      <c r="AT114">
        <v>580.10599999999999</v>
      </c>
      <c r="AU114">
        <v>799.99300000000005</v>
      </c>
      <c r="AV114">
        <v>20.614000000000001</v>
      </c>
      <c r="AW114">
        <v>5.7852600000000001</v>
      </c>
      <c r="AX114">
        <v>580.34100000000001</v>
      </c>
      <c r="AY114">
        <v>20.3948</v>
      </c>
      <c r="AZ114">
        <v>300.19</v>
      </c>
      <c r="BA114">
        <v>99.0852</v>
      </c>
      <c r="BB114">
        <v>0.100004</v>
      </c>
      <c r="BC114">
        <v>26.820599999999999</v>
      </c>
      <c r="BD114">
        <v>26.998999999999999</v>
      </c>
      <c r="BE114">
        <v>28.355799999999999</v>
      </c>
      <c r="BF114">
        <v>0</v>
      </c>
      <c r="BG114">
        <v>0</v>
      </c>
      <c r="BH114">
        <v>9998.75</v>
      </c>
      <c r="BI114">
        <v>1076.17</v>
      </c>
      <c r="BJ114">
        <v>1.8501799999999999</v>
      </c>
      <c r="BK114">
        <v>-219.887</v>
      </c>
      <c r="BL114">
        <v>592.31600000000003</v>
      </c>
      <c r="BM114">
        <v>804.64800000000002</v>
      </c>
      <c r="BN114">
        <v>14.828799999999999</v>
      </c>
      <c r="BO114">
        <v>799.99300000000005</v>
      </c>
      <c r="BP114">
        <v>5.7852600000000001</v>
      </c>
      <c r="BQ114">
        <v>2.0425399999999998</v>
      </c>
      <c r="BR114">
        <v>0.57323400000000002</v>
      </c>
      <c r="BS114">
        <v>17.777999999999999</v>
      </c>
      <c r="BT114">
        <v>-0.93440199999999995</v>
      </c>
      <c r="BU114">
        <v>1800</v>
      </c>
      <c r="BV114">
        <v>0.91000599999999998</v>
      </c>
      <c r="BW114">
        <v>3.4005800000000003E-2</v>
      </c>
      <c r="BX114">
        <v>2.1996000000000002E-2</v>
      </c>
      <c r="BY114">
        <v>3.3991899999999999E-2</v>
      </c>
      <c r="BZ114">
        <v>26</v>
      </c>
      <c r="CA114">
        <v>33528.400000000001</v>
      </c>
      <c r="CB114">
        <v>1690214843</v>
      </c>
      <c r="CC114" t="s">
        <v>332</v>
      </c>
      <c r="CD114">
        <v>1690214842</v>
      </c>
      <c r="CE114">
        <v>1690214843</v>
      </c>
      <c r="CF114">
        <v>8</v>
      </c>
      <c r="CG114">
        <v>-6.3E-2</v>
      </c>
      <c r="CH114">
        <v>1E-3</v>
      </c>
      <c r="CI114">
        <v>-0.38900000000000001</v>
      </c>
      <c r="CJ114">
        <v>-6.6000000000000003E-2</v>
      </c>
      <c r="CK114">
        <v>800</v>
      </c>
      <c r="CL114">
        <v>6</v>
      </c>
      <c r="CM114">
        <v>0.23</v>
      </c>
      <c r="CN114">
        <v>0.02</v>
      </c>
      <c r="CO114">
        <v>-216.613</v>
      </c>
      <c r="CP114">
        <v>-17.554874296434971</v>
      </c>
      <c r="CQ114">
        <v>1.6891355333424241</v>
      </c>
      <c r="CR114">
        <v>-1</v>
      </c>
      <c r="CS114">
        <v>14.6785025</v>
      </c>
      <c r="CT114">
        <v>0.81020825515941985</v>
      </c>
      <c r="CU114">
        <v>7.7951354983412435E-2</v>
      </c>
      <c r="CV114">
        <v>-1</v>
      </c>
      <c r="CW114">
        <v>0</v>
      </c>
      <c r="CX114">
        <v>0</v>
      </c>
      <c r="CY114" t="s">
        <v>333</v>
      </c>
      <c r="CZ114">
        <v>2.3645</v>
      </c>
      <c r="DA114">
        <v>2.7137899999999999</v>
      </c>
      <c r="DB114">
        <v>0.117617</v>
      </c>
      <c r="DC114">
        <v>0.14607000000000001</v>
      </c>
      <c r="DD114">
        <v>0.102077</v>
      </c>
      <c r="DE114">
        <v>3.8287799999999997E-2</v>
      </c>
      <c r="DF114">
        <v>32210.400000000001</v>
      </c>
      <c r="DG114">
        <v>27507.7</v>
      </c>
      <c r="DH114">
        <v>31163.7</v>
      </c>
      <c r="DI114">
        <v>28069.599999999999</v>
      </c>
      <c r="DJ114">
        <v>37991.5</v>
      </c>
      <c r="DK114">
        <v>38385.4</v>
      </c>
      <c r="DL114">
        <v>44347.5</v>
      </c>
      <c r="DM114">
        <v>42539.5</v>
      </c>
      <c r="DN114">
        <v>1.3588800000000001</v>
      </c>
      <c r="DO114">
        <v>2.0337299999999998</v>
      </c>
      <c r="DP114">
        <v>8.5093100000000005E-2</v>
      </c>
      <c r="DQ114">
        <v>0.18269199999999999</v>
      </c>
      <c r="DR114">
        <v>25.605899999999998</v>
      </c>
      <c r="DS114">
        <v>25.3673</v>
      </c>
      <c r="DT114">
        <v>17.100000000000001</v>
      </c>
      <c r="DU114">
        <v>29.8</v>
      </c>
      <c r="DV114">
        <v>7.2698900000000002</v>
      </c>
      <c r="DW114">
        <v>61.7485</v>
      </c>
      <c r="DX114">
        <v>36.129800000000003</v>
      </c>
      <c r="DY114">
        <v>1</v>
      </c>
      <c r="DZ114">
        <v>-8.7527900000000006E-2</v>
      </c>
      <c r="EA114">
        <v>-0.14186299999999999</v>
      </c>
      <c r="EB114">
        <v>20.189900000000002</v>
      </c>
      <c r="EC114">
        <v>5.2404999999999999</v>
      </c>
      <c r="ED114">
        <v>12.039899999999999</v>
      </c>
      <c r="EE114">
        <v>5.0175000000000001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</v>
      </c>
      <c r="EL114">
        <v>1.8646400000000001</v>
      </c>
      <c r="EM114">
        <v>1.8691899999999999</v>
      </c>
      <c r="EN114">
        <v>1.8672299999999999</v>
      </c>
      <c r="EO114">
        <v>1.8633999999999999</v>
      </c>
      <c r="EP114">
        <v>1.86456</v>
      </c>
      <c r="EQ114">
        <v>1.87015</v>
      </c>
      <c r="ER114">
        <v>1.8694299999999999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-0.23499999999999999</v>
      </c>
      <c r="FG114">
        <v>0.21920000000000001</v>
      </c>
      <c r="FH114">
        <v>0.16202357103534001</v>
      </c>
      <c r="FI114">
        <v>-6.1462078757559423E-4</v>
      </c>
      <c r="FJ114">
        <v>-1.8861989874597051E-7</v>
      </c>
      <c r="FK114">
        <v>1.1980462299894961E-10</v>
      </c>
      <c r="FL114">
        <v>-3.0039189969545878E-2</v>
      </c>
      <c r="FM114">
        <v>-1.6848085045870601E-2</v>
      </c>
      <c r="FN114">
        <v>1.9789084769509481E-3</v>
      </c>
      <c r="FO114">
        <v>-2.7142391389806329E-5</v>
      </c>
      <c r="FP114">
        <v>3</v>
      </c>
      <c r="FQ114">
        <v>2158</v>
      </c>
      <c r="FR114">
        <v>1</v>
      </c>
      <c r="FS114">
        <v>19</v>
      </c>
      <c r="FT114">
        <v>23.7</v>
      </c>
      <c r="FU114">
        <v>23.7</v>
      </c>
      <c r="FV114">
        <v>1.7785599999999999</v>
      </c>
      <c r="FW114">
        <v>2.5793499999999998</v>
      </c>
      <c r="FX114">
        <v>1.5490699999999999</v>
      </c>
      <c r="FY114">
        <v>2.3290999999999999</v>
      </c>
      <c r="FZ114">
        <v>1.50146</v>
      </c>
      <c r="GA114">
        <v>2.34375</v>
      </c>
      <c r="GB114">
        <v>33.850900000000003</v>
      </c>
      <c r="GC114">
        <v>23.982399999999998</v>
      </c>
      <c r="GD114">
        <v>19</v>
      </c>
      <c r="GE114">
        <v>236.255</v>
      </c>
      <c r="GF114">
        <v>581.779</v>
      </c>
      <c r="GG114">
        <v>25.163799999999998</v>
      </c>
      <c r="GH114">
        <v>26.288599999999999</v>
      </c>
      <c r="GI114">
        <v>30.0001</v>
      </c>
      <c r="GJ114">
        <v>26.432300000000001</v>
      </c>
      <c r="GK114">
        <v>26.409600000000001</v>
      </c>
      <c r="GL114">
        <v>35.565800000000003</v>
      </c>
      <c r="GM114">
        <v>-30</v>
      </c>
      <c r="GN114">
        <v>-30</v>
      </c>
      <c r="GO114">
        <v>25.1676</v>
      </c>
      <c r="GP114">
        <v>800</v>
      </c>
      <c r="GQ114">
        <v>12.5298</v>
      </c>
      <c r="GR114">
        <v>99.708699999999993</v>
      </c>
      <c r="GS114">
        <v>99.518799999999999</v>
      </c>
    </row>
    <row r="115" spans="1:201" x14ac:dyDescent="0.25">
      <c r="A115">
        <v>99</v>
      </c>
      <c r="B115">
        <v>1690216274.5999999</v>
      </c>
      <c r="C115">
        <v>1329.099999904633</v>
      </c>
      <c r="D115" t="s">
        <v>531</v>
      </c>
      <c r="E115" t="s">
        <v>532</v>
      </c>
      <c r="F115" t="s">
        <v>330</v>
      </c>
      <c r="H115">
        <v>1690216274.5999999</v>
      </c>
      <c r="I115">
        <f t="shared" si="30"/>
        <v>1.3651846216944602E-3</v>
      </c>
      <c r="J115">
        <f t="shared" si="31"/>
        <v>1.3651846216944603</v>
      </c>
      <c r="K115">
        <f t="shared" si="32"/>
        <v>19.118934544629642</v>
      </c>
      <c r="L115">
        <f t="shared" si="33"/>
        <v>577.16099999999994</v>
      </c>
      <c r="M115">
        <f t="shared" si="34"/>
        <v>132.61351954516624</v>
      </c>
      <c r="N115">
        <f t="shared" si="35"/>
        <v>13.153058720070588</v>
      </c>
      <c r="O115">
        <f t="shared" si="36"/>
        <v>57.244785825544199</v>
      </c>
      <c r="P115">
        <f t="shared" si="37"/>
        <v>7.1720467525649284E-2</v>
      </c>
      <c r="Q115">
        <f t="shared" si="38"/>
        <v>2.0644065127167521</v>
      </c>
      <c r="R115">
        <f t="shared" si="39"/>
        <v>7.0364442351770889E-2</v>
      </c>
      <c r="S115">
        <f t="shared" si="40"/>
        <v>4.4097474479102762E-2</v>
      </c>
      <c r="T115">
        <f t="shared" si="41"/>
        <v>276.11461989000009</v>
      </c>
      <c r="U115">
        <f t="shared" si="42"/>
        <v>28.575350419616349</v>
      </c>
      <c r="V115">
        <f t="shared" si="43"/>
        <v>28.575350419616349</v>
      </c>
      <c r="W115">
        <f t="shared" si="44"/>
        <v>3.9239999322685826</v>
      </c>
      <c r="X115">
        <f t="shared" si="45"/>
        <v>58.107247877579503</v>
      </c>
      <c r="Y115">
        <f t="shared" si="46"/>
        <v>2.0577082462773002</v>
      </c>
      <c r="Z115">
        <f t="shared" si="47"/>
        <v>3.5412247549780456</v>
      </c>
      <c r="AA115">
        <f t="shared" si="48"/>
        <v>1.8662916859912824</v>
      </c>
      <c r="AB115">
        <f t="shared" si="49"/>
        <v>-60.204641816725697</v>
      </c>
      <c r="AC115">
        <f t="shared" si="50"/>
        <v>-195.5086638385404</v>
      </c>
      <c r="AD115">
        <f t="shared" si="51"/>
        <v>-20.581313846509463</v>
      </c>
      <c r="AE115">
        <f t="shared" si="52"/>
        <v>-0.17999961177545742</v>
      </c>
      <c r="AF115">
        <v>45</v>
      </c>
      <c r="AG115">
        <v>15</v>
      </c>
      <c r="AH115">
        <f t="shared" si="53"/>
        <v>1</v>
      </c>
      <c r="AI115">
        <f t="shared" si="54"/>
        <v>0</v>
      </c>
      <c r="AJ115">
        <f t="shared" si="55"/>
        <v>52433.734146388168</v>
      </c>
      <c r="AK115">
        <f t="shared" si="56"/>
        <v>1800</v>
      </c>
      <c r="AL115">
        <f t="shared" si="57"/>
        <v>1499.1114599999999</v>
      </c>
      <c r="AM115">
        <f t="shared" si="58"/>
        <v>0.83283969999999996</v>
      </c>
      <c r="AN115">
        <f t="shared" si="59"/>
        <v>0.15339701105000003</v>
      </c>
      <c r="AO115">
        <v>33.6</v>
      </c>
      <c r="AP115">
        <v>0.5</v>
      </c>
      <c r="AQ115" t="s">
        <v>331</v>
      </c>
      <c r="AR115">
        <v>2</v>
      </c>
      <c r="AS115">
        <v>1690216274.5999999</v>
      </c>
      <c r="AT115">
        <v>577.16099999999994</v>
      </c>
      <c r="AU115">
        <v>799.95600000000002</v>
      </c>
      <c r="AV115">
        <v>20.746500000000001</v>
      </c>
      <c r="AW115">
        <v>5.7845199999999997</v>
      </c>
      <c r="AX115">
        <v>577.39300000000003</v>
      </c>
      <c r="AY115">
        <v>20.523399999999999</v>
      </c>
      <c r="AZ115">
        <v>300.21800000000002</v>
      </c>
      <c r="BA115">
        <v>99.083399999999997</v>
      </c>
      <c r="BB115">
        <v>9.9992200000000003E-2</v>
      </c>
      <c r="BC115">
        <v>26.8187</v>
      </c>
      <c r="BD115">
        <v>27.0078</v>
      </c>
      <c r="BE115">
        <v>28.365100000000002</v>
      </c>
      <c r="BF115">
        <v>0</v>
      </c>
      <c r="BG115">
        <v>0</v>
      </c>
      <c r="BH115">
        <v>10001.9</v>
      </c>
      <c r="BI115">
        <v>1076.27</v>
      </c>
      <c r="BJ115">
        <v>1.8501799999999999</v>
      </c>
      <c r="BK115">
        <v>-222.79499999999999</v>
      </c>
      <c r="BL115">
        <v>589.38800000000003</v>
      </c>
      <c r="BM115">
        <v>804.61</v>
      </c>
      <c r="BN115">
        <v>14.962</v>
      </c>
      <c r="BO115">
        <v>799.95600000000002</v>
      </c>
      <c r="BP115">
        <v>5.7845199999999997</v>
      </c>
      <c r="BQ115">
        <v>2.0556299999999998</v>
      </c>
      <c r="BR115">
        <v>0.57315000000000005</v>
      </c>
      <c r="BS115">
        <v>17.8795</v>
      </c>
      <c r="BT115">
        <v>-0.936392</v>
      </c>
      <c r="BU115">
        <v>1800</v>
      </c>
      <c r="BV115">
        <v>0.91000800000000004</v>
      </c>
      <c r="BW115">
        <v>3.4005100000000003E-2</v>
      </c>
      <c r="BX115">
        <v>2.1995500000000001E-2</v>
      </c>
      <c r="BY115">
        <v>3.3991100000000003E-2</v>
      </c>
      <c r="BZ115">
        <v>26</v>
      </c>
      <c r="CA115">
        <v>33528.400000000001</v>
      </c>
      <c r="CB115">
        <v>1690214843</v>
      </c>
      <c r="CC115" t="s">
        <v>332</v>
      </c>
      <c r="CD115">
        <v>1690214842</v>
      </c>
      <c r="CE115">
        <v>1690214843</v>
      </c>
      <c r="CF115">
        <v>8</v>
      </c>
      <c r="CG115">
        <v>-6.3E-2</v>
      </c>
      <c r="CH115">
        <v>1E-3</v>
      </c>
      <c r="CI115">
        <v>-0.38900000000000001</v>
      </c>
      <c r="CJ115">
        <v>-6.6000000000000003E-2</v>
      </c>
      <c r="CK115">
        <v>800</v>
      </c>
      <c r="CL115">
        <v>6</v>
      </c>
      <c r="CM115">
        <v>0.23</v>
      </c>
      <c r="CN115">
        <v>0.02</v>
      </c>
      <c r="CO115">
        <v>-219.6265365853659</v>
      </c>
      <c r="CP115">
        <v>-17.706439024389489</v>
      </c>
      <c r="CQ115">
        <v>1.746405145316613</v>
      </c>
      <c r="CR115">
        <v>-1</v>
      </c>
      <c r="CS115">
        <v>14.81563902439024</v>
      </c>
      <c r="CT115">
        <v>0.79381881533106047</v>
      </c>
      <c r="CU115">
        <v>7.8276582418663171E-2</v>
      </c>
      <c r="CV115">
        <v>-1</v>
      </c>
      <c r="CW115">
        <v>0</v>
      </c>
      <c r="CX115">
        <v>0</v>
      </c>
      <c r="CY115" t="s">
        <v>333</v>
      </c>
      <c r="CZ115">
        <v>2.3645800000000001</v>
      </c>
      <c r="DA115">
        <v>2.7137899999999999</v>
      </c>
      <c r="DB115">
        <v>0.11719300000000001</v>
      </c>
      <c r="DC115">
        <v>0.146063</v>
      </c>
      <c r="DD115">
        <v>0.102534</v>
      </c>
      <c r="DE115">
        <v>3.8283400000000002E-2</v>
      </c>
      <c r="DF115">
        <v>32225.7</v>
      </c>
      <c r="DG115">
        <v>27508.2</v>
      </c>
      <c r="DH115">
        <v>31163.599999999999</v>
      </c>
      <c r="DI115">
        <v>28069.9</v>
      </c>
      <c r="DJ115">
        <v>37972</v>
      </c>
      <c r="DK115">
        <v>38385.699999999997</v>
      </c>
      <c r="DL115">
        <v>44347.6</v>
      </c>
      <c r="DM115">
        <v>42539.6</v>
      </c>
      <c r="DN115">
        <v>1.3589500000000001</v>
      </c>
      <c r="DO115">
        <v>2.0337299999999998</v>
      </c>
      <c r="DP115">
        <v>8.5629499999999997E-2</v>
      </c>
      <c r="DQ115">
        <v>0.18326600000000001</v>
      </c>
      <c r="DR115">
        <v>25.605899999999998</v>
      </c>
      <c r="DS115">
        <v>25.3673</v>
      </c>
      <c r="DT115">
        <v>17.100000000000001</v>
      </c>
      <c r="DU115">
        <v>29.8</v>
      </c>
      <c r="DV115">
        <v>7.2694999999999999</v>
      </c>
      <c r="DW115">
        <v>61.288499999999999</v>
      </c>
      <c r="DX115">
        <v>36.181899999999999</v>
      </c>
      <c r="DY115">
        <v>1</v>
      </c>
      <c r="DZ115">
        <v>-8.7794700000000003E-2</v>
      </c>
      <c r="EA115">
        <v>-7.73475E-2</v>
      </c>
      <c r="EB115">
        <v>20.189800000000002</v>
      </c>
      <c r="EC115">
        <v>5.2408000000000001</v>
      </c>
      <c r="ED115">
        <v>12.039899999999999</v>
      </c>
      <c r="EE115">
        <v>5.0173500000000004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</v>
      </c>
      <c r="EL115">
        <v>1.8646400000000001</v>
      </c>
      <c r="EM115">
        <v>1.8691899999999999</v>
      </c>
      <c r="EN115">
        <v>1.8672299999999999</v>
      </c>
      <c r="EO115">
        <v>1.8633999999999999</v>
      </c>
      <c r="EP115">
        <v>1.8645700000000001</v>
      </c>
      <c r="EQ115">
        <v>1.8701300000000001</v>
      </c>
      <c r="ER115">
        <v>1.8694599999999999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-0.23200000000000001</v>
      </c>
      <c r="FG115">
        <v>0.22309999999999999</v>
      </c>
      <c r="FH115">
        <v>0.16202357103534001</v>
      </c>
      <c r="FI115">
        <v>-6.1462078757559423E-4</v>
      </c>
      <c r="FJ115">
        <v>-1.8861989874597051E-7</v>
      </c>
      <c r="FK115">
        <v>1.1980462299894961E-10</v>
      </c>
      <c r="FL115">
        <v>-3.0039189969545878E-2</v>
      </c>
      <c r="FM115">
        <v>-1.6848085045870601E-2</v>
      </c>
      <c r="FN115">
        <v>1.9789084769509481E-3</v>
      </c>
      <c r="FO115">
        <v>-2.7142391389806329E-5</v>
      </c>
      <c r="FP115">
        <v>3</v>
      </c>
      <c r="FQ115">
        <v>2158</v>
      </c>
      <c r="FR115">
        <v>1</v>
      </c>
      <c r="FS115">
        <v>19</v>
      </c>
      <c r="FT115">
        <v>23.9</v>
      </c>
      <c r="FU115">
        <v>23.9</v>
      </c>
      <c r="FV115">
        <v>1.7785599999999999</v>
      </c>
      <c r="FW115">
        <v>2.5793499999999998</v>
      </c>
      <c r="FX115">
        <v>1.5490699999999999</v>
      </c>
      <c r="FY115">
        <v>2.3290999999999999</v>
      </c>
      <c r="FZ115">
        <v>1.50146</v>
      </c>
      <c r="GA115">
        <v>2.34497</v>
      </c>
      <c r="GB115">
        <v>33.8735</v>
      </c>
      <c r="GC115">
        <v>23.982399999999998</v>
      </c>
      <c r="GD115">
        <v>19</v>
      </c>
      <c r="GE115">
        <v>236.27600000000001</v>
      </c>
      <c r="GF115">
        <v>581.75400000000002</v>
      </c>
      <c r="GG115">
        <v>25.153199999999998</v>
      </c>
      <c r="GH115">
        <v>26.2879</v>
      </c>
      <c r="GI115">
        <v>29.9999</v>
      </c>
      <c r="GJ115">
        <v>26.430199999999999</v>
      </c>
      <c r="GK115">
        <v>26.407399999999999</v>
      </c>
      <c r="GL115">
        <v>35.566400000000002</v>
      </c>
      <c r="GM115">
        <v>-30</v>
      </c>
      <c r="GN115">
        <v>-30</v>
      </c>
      <c r="GO115">
        <v>25.144200000000001</v>
      </c>
      <c r="GP115">
        <v>800</v>
      </c>
      <c r="GQ115">
        <v>12.5298</v>
      </c>
      <c r="GR115">
        <v>99.708699999999993</v>
      </c>
      <c r="GS115">
        <v>99.519300000000001</v>
      </c>
    </row>
    <row r="116" spans="1:201" x14ac:dyDescent="0.25">
      <c r="A116">
        <v>100</v>
      </c>
      <c r="B116">
        <v>1690216284.5999999</v>
      </c>
      <c r="C116">
        <v>1339.099999904633</v>
      </c>
      <c r="D116" t="s">
        <v>533</v>
      </c>
      <c r="E116" t="s">
        <v>534</v>
      </c>
      <c r="F116" t="s">
        <v>330</v>
      </c>
      <c r="H116">
        <v>1690216284.5999999</v>
      </c>
      <c r="I116">
        <f t="shared" si="30"/>
        <v>1.3773733551564261E-3</v>
      </c>
      <c r="J116">
        <f t="shared" si="31"/>
        <v>1.377373355156426</v>
      </c>
      <c r="K116">
        <f t="shared" si="32"/>
        <v>19.383673279887173</v>
      </c>
      <c r="L116">
        <f t="shared" si="33"/>
        <v>574.16099999999994</v>
      </c>
      <c r="M116">
        <f t="shared" si="34"/>
        <v>130.763584680245</v>
      </c>
      <c r="N116">
        <f t="shared" si="35"/>
        <v>12.969469306344418</v>
      </c>
      <c r="O116">
        <f t="shared" si="36"/>
        <v>56.94676759289699</v>
      </c>
      <c r="P116">
        <f t="shared" si="37"/>
        <v>7.2900963505918515E-2</v>
      </c>
      <c r="Q116">
        <f t="shared" si="38"/>
        <v>2.0638459790344013</v>
      </c>
      <c r="R116">
        <f t="shared" si="39"/>
        <v>7.1500028737937371E-2</v>
      </c>
      <c r="S116">
        <f t="shared" si="40"/>
        <v>4.4811144051719889E-2</v>
      </c>
      <c r="T116">
        <f t="shared" si="41"/>
        <v>276.11465736599996</v>
      </c>
      <c r="U116">
        <f t="shared" si="42"/>
        <v>28.574603047705878</v>
      </c>
      <c r="V116">
        <f t="shared" si="43"/>
        <v>28.574603047705878</v>
      </c>
      <c r="W116">
        <f t="shared" si="44"/>
        <v>3.9238296989703683</v>
      </c>
      <c r="X116">
        <f t="shared" si="45"/>
        <v>58.46939207872456</v>
      </c>
      <c r="Y116">
        <f t="shared" si="46"/>
        <v>2.0709222895022998</v>
      </c>
      <c r="Z116">
        <f t="shared" si="47"/>
        <v>3.541891262891808</v>
      </c>
      <c r="AA116">
        <f t="shared" si="48"/>
        <v>1.8529074094680684</v>
      </c>
      <c r="AB116">
        <f t="shared" si="49"/>
        <v>-60.742164962398391</v>
      </c>
      <c r="AC116">
        <f t="shared" si="50"/>
        <v>-195.01637021815688</v>
      </c>
      <c r="AD116">
        <f t="shared" si="51"/>
        <v>-20.53531599764365</v>
      </c>
      <c r="AE116">
        <f t="shared" si="52"/>
        <v>-0.17919381219894603</v>
      </c>
      <c r="AF116">
        <v>45</v>
      </c>
      <c r="AG116">
        <v>15</v>
      </c>
      <c r="AH116">
        <f t="shared" si="53"/>
        <v>1</v>
      </c>
      <c r="AI116">
        <f t="shared" si="54"/>
        <v>0</v>
      </c>
      <c r="AJ116">
        <f t="shared" si="55"/>
        <v>52407.509904917759</v>
      </c>
      <c r="AK116">
        <f t="shared" si="56"/>
        <v>1800</v>
      </c>
      <c r="AL116">
        <f t="shared" si="57"/>
        <v>1499.1122915999999</v>
      </c>
      <c r="AM116">
        <f t="shared" si="58"/>
        <v>0.83284016199999999</v>
      </c>
      <c r="AN116">
        <f t="shared" si="59"/>
        <v>0.15339703186999998</v>
      </c>
      <c r="AO116">
        <v>33.6</v>
      </c>
      <c r="AP116">
        <v>0.5</v>
      </c>
      <c r="AQ116" t="s">
        <v>331</v>
      </c>
      <c r="AR116">
        <v>2</v>
      </c>
      <c r="AS116">
        <v>1690216284.5999999</v>
      </c>
      <c r="AT116">
        <v>574.16099999999994</v>
      </c>
      <c r="AU116">
        <v>799.98299999999995</v>
      </c>
      <c r="AV116">
        <v>20.879899999999999</v>
      </c>
      <c r="AW116">
        <v>5.7842799999999999</v>
      </c>
      <c r="AX116">
        <v>574.39200000000005</v>
      </c>
      <c r="AY116">
        <v>20.652899999999999</v>
      </c>
      <c r="AZ116">
        <v>300.17599999999999</v>
      </c>
      <c r="BA116">
        <v>99.082599999999999</v>
      </c>
      <c r="BB116">
        <v>9.9976999999999996E-2</v>
      </c>
      <c r="BC116">
        <v>26.821899999999999</v>
      </c>
      <c r="BD116">
        <v>26.988099999999999</v>
      </c>
      <c r="BE116">
        <v>28.368500000000001</v>
      </c>
      <c r="BF116">
        <v>0</v>
      </c>
      <c r="BG116">
        <v>0</v>
      </c>
      <c r="BH116">
        <v>9996.8799999999992</v>
      </c>
      <c r="BI116">
        <v>1076.33</v>
      </c>
      <c r="BJ116">
        <v>1.3273699999999999</v>
      </c>
      <c r="BK116">
        <v>-225.822</v>
      </c>
      <c r="BL116">
        <v>586.40499999999997</v>
      </c>
      <c r="BM116">
        <v>804.63800000000003</v>
      </c>
      <c r="BN116">
        <v>15.095599999999999</v>
      </c>
      <c r="BO116">
        <v>799.98299999999995</v>
      </c>
      <c r="BP116">
        <v>5.7842799999999999</v>
      </c>
      <c r="BQ116">
        <v>2.0688300000000002</v>
      </c>
      <c r="BR116">
        <v>0.57312200000000002</v>
      </c>
      <c r="BS116">
        <v>17.981200000000001</v>
      </c>
      <c r="BT116">
        <v>-0.93706699999999998</v>
      </c>
      <c r="BU116">
        <v>1800</v>
      </c>
      <c r="BV116">
        <v>0.91000999999999999</v>
      </c>
      <c r="BW116">
        <v>3.40045E-2</v>
      </c>
      <c r="BX116">
        <v>2.19951E-2</v>
      </c>
      <c r="BY116">
        <v>3.39905E-2</v>
      </c>
      <c r="BZ116">
        <v>26</v>
      </c>
      <c r="CA116">
        <v>33528.400000000001</v>
      </c>
      <c r="CB116">
        <v>1690214843</v>
      </c>
      <c r="CC116" t="s">
        <v>332</v>
      </c>
      <c r="CD116">
        <v>1690214842</v>
      </c>
      <c r="CE116">
        <v>1690214843</v>
      </c>
      <c r="CF116">
        <v>8</v>
      </c>
      <c r="CG116">
        <v>-6.3E-2</v>
      </c>
      <c r="CH116">
        <v>1E-3</v>
      </c>
      <c r="CI116">
        <v>-0.38900000000000001</v>
      </c>
      <c r="CJ116">
        <v>-6.6000000000000003E-2</v>
      </c>
      <c r="CK116">
        <v>800</v>
      </c>
      <c r="CL116">
        <v>6</v>
      </c>
      <c r="CM116">
        <v>0.23</v>
      </c>
      <c r="CN116">
        <v>0.02</v>
      </c>
      <c r="CO116">
        <v>-222.5635853658537</v>
      </c>
      <c r="CP116">
        <v>-17.67422299651604</v>
      </c>
      <c r="CQ116">
        <v>1.7432656483627069</v>
      </c>
      <c r="CR116">
        <v>-1</v>
      </c>
      <c r="CS116">
        <v>14.94923902439024</v>
      </c>
      <c r="CT116">
        <v>0.80680766550525751</v>
      </c>
      <c r="CU116">
        <v>7.9564435853632015E-2</v>
      </c>
      <c r="CV116">
        <v>-1</v>
      </c>
      <c r="CW116">
        <v>0</v>
      </c>
      <c r="CX116">
        <v>0</v>
      </c>
      <c r="CY116" t="s">
        <v>333</v>
      </c>
      <c r="CZ116">
        <v>2.3644599999999998</v>
      </c>
      <c r="DA116">
        <v>2.7137699999999998</v>
      </c>
      <c r="DB116">
        <v>0.116762</v>
      </c>
      <c r="DC116">
        <v>0.146066</v>
      </c>
      <c r="DD116">
        <v>0.102994</v>
      </c>
      <c r="DE116">
        <v>3.8281999999999997E-2</v>
      </c>
      <c r="DF116">
        <v>32241.599999999999</v>
      </c>
      <c r="DG116">
        <v>27508.2</v>
      </c>
      <c r="DH116">
        <v>31163.7</v>
      </c>
      <c r="DI116">
        <v>28070</v>
      </c>
      <c r="DJ116">
        <v>37952</v>
      </c>
      <c r="DK116">
        <v>38386.199999999997</v>
      </c>
      <c r="DL116">
        <v>44347.3</v>
      </c>
      <c r="DM116">
        <v>42540.1</v>
      </c>
      <c r="DN116">
        <v>1.3588800000000001</v>
      </c>
      <c r="DO116">
        <v>2.03363</v>
      </c>
      <c r="DP116">
        <v>8.4292099999999995E-2</v>
      </c>
      <c r="DQ116">
        <v>0.18334</v>
      </c>
      <c r="DR116">
        <v>25.608000000000001</v>
      </c>
      <c r="DS116">
        <v>25.369499999999999</v>
      </c>
      <c r="DT116">
        <v>17.100000000000001</v>
      </c>
      <c r="DU116">
        <v>29.8</v>
      </c>
      <c r="DV116">
        <v>7.2694099999999997</v>
      </c>
      <c r="DW116">
        <v>61.578499999999998</v>
      </c>
      <c r="DX116">
        <v>36.306100000000001</v>
      </c>
      <c r="DY116">
        <v>1</v>
      </c>
      <c r="DZ116">
        <v>-8.7817599999999996E-2</v>
      </c>
      <c r="EA116">
        <v>-9.4896499999999995E-2</v>
      </c>
      <c r="EB116">
        <v>20.189800000000002</v>
      </c>
      <c r="EC116">
        <v>5.2408000000000001</v>
      </c>
      <c r="ED116">
        <v>12.039899999999999</v>
      </c>
      <c r="EE116">
        <v>5.0174500000000002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1.8689100000000001</v>
      </c>
      <c r="EL116">
        <v>1.8646400000000001</v>
      </c>
      <c r="EM116">
        <v>1.8691899999999999</v>
      </c>
      <c r="EN116">
        <v>1.86724</v>
      </c>
      <c r="EO116">
        <v>1.8633999999999999</v>
      </c>
      <c r="EP116">
        <v>1.8645799999999999</v>
      </c>
      <c r="EQ116">
        <v>1.87016</v>
      </c>
      <c r="ER116">
        <v>1.86948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-0.23100000000000001</v>
      </c>
      <c r="FG116">
        <v>0.22700000000000001</v>
      </c>
      <c r="FH116">
        <v>0.16202357103534001</v>
      </c>
      <c r="FI116">
        <v>-6.1462078757559423E-4</v>
      </c>
      <c r="FJ116">
        <v>-1.8861989874597051E-7</v>
      </c>
      <c r="FK116">
        <v>1.1980462299894961E-10</v>
      </c>
      <c r="FL116">
        <v>-3.0039189969545878E-2</v>
      </c>
      <c r="FM116">
        <v>-1.6848085045870601E-2</v>
      </c>
      <c r="FN116">
        <v>1.9789084769509481E-3</v>
      </c>
      <c r="FO116">
        <v>-2.7142391389806329E-5</v>
      </c>
      <c r="FP116">
        <v>3</v>
      </c>
      <c r="FQ116">
        <v>2158</v>
      </c>
      <c r="FR116">
        <v>1</v>
      </c>
      <c r="FS116">
        <v>19</v>
      </c>
      <c r="FT116">
        <v>24</v>
      </c>
      <c r="FU116">
        <v>24</v>
      </c>
      <c r="FV116">
        <v>1.7785599999999999</v>
      </c>
      <c r="FW116">
        <v>2.5793499999999998</v>
      </c>
      <c r="FX116">
        <v>1.5490699999999999</v>
      </c>
      <c r="FY116">
        <v>2.3290999999999999</v>
      </c>
      <c r="FZ116">
        <v>1.50146</v>
      </c>
      <c r="GA116">
        <v>2.34741</v>
      </c>
      <c r="GB116">
        <v>33.850900000000003</v>
      </c>
      <c r="GC116">
        <v>23.982399999999998</v>
      </c>
      <c r="GD116">
        <v>19</v>
      </c>
      <c r="GE116">
        <v>236.24</v>
      </c>
      <c r="GF116">
        <v>581.64599999999996</v>
      </c>
      <c r="GG116">
        <v>25.136099999999999</v>
      </c>
      <c r="GH116">
        <v>26.2864</v>
      </c>
      <c r="GI116">
        <v>29.9999</v>
      </c>
      <c r="GJ116">
        <v>26.428000000000001</v>
      </c>
      <c r="GK116">
        <v>26.405200000000001</v>
      </c>
      <c r="GL116">
        <v>35.566200000000002</v>
      </c>
      <c r="GM116">
        <v>-30</v>
      </c>
      <c r="GN116">
        <v>-30</v>
      </c>
      <c r="GO116">
        <v>25.142099999999999</v>
      </c>
      <c r="GP116">
        <v>800</v>
      </c>
      <c r="GQ116">
        <v>12.5298</v>
      </c>
      <c r="GR116">
        <v>99.708500000000001</v>
      </c>
      <c r="GS116">
        <v>99.520200000000003</v>
      </c>
    </row>
    <row r="117" spans="1:201" x14ac:dyDescent="0.25">
      <c r="A117">
        <v>101</v>
      </c>
      <c r="B117">
        <v>1690216294.5999999</v>
      </c>
      <c r="C117">
        <v>1349.099999904633</v>
      </c>
      <c r="D117" t="s">
        <v>535</v>
      </c>
      <c r="E117" t="s">
        <v>536</v>
      </c>
      <c r="F117" t="s">
        <v>330</v>
      </c>
      <c r="H117">
        <v>1690216294.5999999</v>
      </c>
      <c r="I117">
        <f t="shared" si="30"/>
        <v>1.3894524514313153E-3</v>
      </c>
      <c r="J117">
        <f t="shared" si="31"/>
        <v>1.3894524514313153</v>
      </c>
      <c r="K117">
        <f t="shared" si="32"/>
        <v>19.642233092003622</v>
      </c>
      <c r="L117">
        <f t="shared" si="33"/>
        <v>571.21</v>
      </c>
      <c r="M117">
        <f t="shared" si="34"/>
        <v>129.14434002953391</v>
      </c>
      <c r="N117">
        <f t="shared" si="35"/>
        <v>12.808732976680737</v>
      </c>
      <c r="O117">
        <f t="shared" si="36"/>
        <v>56.653480608880002</v>
      </c>
      <c r="P117">
        <f t="shared" si="37"/>
        <v>7.4096159366905168E-2</v>
      </c>
      <c r="Q117">
        <f t="shared" si="38"/>
        <v>2.0637645282310495</v>
      </c>
      <c r="R117">
        <f t="shared" si="39"/>
        <v>7.2649347347406176E-2</v>
      </c>
      <c r="S117">
        <f t="shared" si="40"/>
        <v>4.5533479394578392E-2</v>
      </c>
      <c r="T117">
        <f t="shared" si="41"/>
        <v>276.11286885909544</v>
      </c>
      <c r="U117">
        <f t="shared" si="42"/>
        <v>28.571813472493631</v>
      </c>
      <c r="V117">
        <f t="shared" si="43"/>
        <v>28.571813472493631</v>
      </c>
      <c r="W117">
        <f t="shared" si="44"/>
        <v>3.9231943578956385</v>
      </c>
      <c r="X117">
        <f t="shared" si="45"/>
        <v>58.826215414038742</v>
      </c>
      <c r="Y117">
        <f t="shared" si="46"/>
        <v>2.0837443943631997</v>
      </c>
      <c r="Z117">
        <f t="shared" si="47"/>
        <v>3.5422037261739585</v>
      </c>
      <c r="AA117">
        <f t="shared" si="48"/>
        <v>1.8394499635324388</v>
      </c>
      <c r="AB117">
        <f t="shared" si="49"/>
        <v>-61.274853108121007</v>
      </c>
      <c r="AC117">
        <f t="shared" si="50"/>
        <v>-194.53140847547721</v>
      </c>
      <c r="AD117">
        <f t="shared" si="51"/>
        <v>-20.484925122782609</v>
      </c>
      <c r="AE117">
        <f t="shared" si="52"/>
        <v>-0.17831784728539901</v>
      </c>
      <c r="AF117">
        <v>45</v>
      </c>
      <c r="AG117">
        <v>15</v>
      </c>
      <c r="AH117">
        <f t="shared" si="53"/>
        <v>1</v>
      </c>
      <c r="AI117">
        <f t="shared" si="54"/>
        <v>0</v>
      </c>
      <c r="AJ117">
        <f t="shared" si="55"/>
        <v>52403.497956345476</v>
      </c>
      <c r="AK117">
        <f t="shared" si="56"/>
        <v>1799.99</v>
      </c>
      <c r="AL117">
        <f t="shared" si="57"/>
        <v>1499.1038533989899</v>
      </c>
      <c r="AM117">
        <f t="shared" si="58"/>
        <v>0.83284010099999994</v>
      </c>
      <c r="AN117">
        <f t="shared" si="59"/>
        <v>0.15339689046000002</v>
      </c>
      <c r="AO117">
        <v>33.6</v>
      </c>
      <c r="AP117">
        <v>0.5</v>
      </c>
      <c r="AQ117" t="s">
        <v>331</v>
      </c>
      <c r="AR117">
        <v>2</v>
      </c>
      <c r="AS117">
        <v>1690216294.5999999</v>
      </c>
      <c r="AT117">
        <v>571.21</v>
      </c>
      <c r="AU117">
        <v>799.94799999999998</v>
      </c>
      <c r="AV117">
        <v>21.009399999999999</v>
      </c>
      <c r="AW117">
        <v>5.7840699999999998</v>
      </c>
      <c r="AX117">
        <v>571.43799999999999</v>
      </c>
      <c r="AY117">
        <v>20.778700000000001</v>
      </c>
      <c r="AZ117">
        <v>300.18900000000002</v>
      </c>
      <c r="BA117">
        <v>99.081500000000005</v>
      </c>
      <c r="BB117">
        <v>0.10002800000000001</v>
      </c>
      <c r="BC117">
        <v>26.823399999999999</v>
      </c>
      <c r="BD117">
        <v>26.990600000000001</v>
      </c>
      <c r="BE117">
        <v>28.354600000000001</v>
      </c>
      <c r="BF117">
        <v>0</v>
      </c>
      <c r="BG117">
        <v>0</v>
      </c>
      <c r="BH117">
        <v>9996.25</v>
      </c>
      <c r="BI117">
        <v>1076.26</v>
      </c>
      <c r="BJ117">
        <v>1.4016500000000001</v>
      </c>
      <c r="BK117">
        <v>-228.738</v>
      </c>
      <c r="BL117">
        <v>583.46799999999996</v>
      </c>
      <c r="BM117">
        <v>804.60199999999998</v>
      </c>
      <c r="BN117">
        <v>15.2254</v>
      </c>
      <c r="BO117">
        <v>799.94799999999998</v>
      </c>
      <c r="BP117">
        <v>5.7840699999999998</v>
      </c>
      <c r="BQ117">
        <v>2.0816499999999998</v>
      </c>
      <c r="BR117">
        <v>0.57309500000000002</v>
      </c>
      <c r="BS117">
        <v>18.0794</v>
      </c>
      <c r="BT117">
        <v>-0.93771199999999999</v>
      </c>
      <c r="BU117">
        <v>1799.99</v>
      </c>
      <c r="BV117">
        <v>0.91001299999999996</v>
      </c>
      <c r="BW117">
        <v>3.4003199999999997E-2</v>
      </c>
      <c r="BX117">
        <v>2.1994300000000001E-2</v>
      </c>
      <c r="BY117">
        <v>3.3989199999999997E-2</v>
      </c>
      <c r="BZ117">
        <v>26</v>
      </c>
      <c r="CA117">
        <v>33528.300000000003</v>
      </c>
      <c r="CB117">
        <v>1690214843</v>
      </c>
      <c r="CC117" t="s">
        <v>332</v>
      </c>
      <c r="CD117">
        <v>1690214842</v>
      </c>
      <c r="CE117">
        <v>1690214843</v>
      </c>
      <c r="CF117">
        <v>8</v>
      </c>
      <c r="CG117">
        <v>-6.3E-2</v>
      </c>
      <c r="CH117">
        <v>1E-3</v>
      </c>
      <c r="CI117">
        <v>-0.38900000000000001</v>
      </c>
      <c r="CJ117">
        <v>-6.6000000000000003E-2</v>
      </c>
      <c r="CK117">
        <v>800</v>
      </c>
      <c r="CL117">
        <v>6</v>
      </c>
      <c r="CM117">
        <v>0.23</v>
      </c>
      <c r="CN117">
        <v>0.02</v>
      </c>
      <c r="CO117">
        <v>-225.49965853658529</v>
      </c>
      <c r="CP117">
        <v>-17.7557142857146</v>
      </c>
      <c r="CQ117">
        <v>1.751002369512072</v>
      </c>
      <c r="CR117">
        <v>-1</v>
      </c>
      <c r="CS117">
        <v>15.08101463414634</v>
      </c>
      <c r="CT117">
        <v>0.77318675958191085</v>
      </c>
      <c r="CU117">
        <v>7.6252355616474435E-2</v>
      </c>
      <c r="CV117">
        <v>-1</v>
      </c>
      <c r="CW117">
        <v>0</v>
      </c>
      <c r="CX117">
        <v>0</v>
      </c>
      <c r="CY117" t="s">
        <v>333</v>
      </c>
      <c r="CZ117">
        <v>2.3645</v>
      </c>
      <c r="DA117">
        <v>2.7138200000000001</v>
      </c>
      <c r="DB117">
        <v>0.11633499999999999</v>
      </c>
      <c r="DC117">
        <v>0.14605899999999999</v>
      </c>
      <c r="DD117">
        <v>0.103439</v>
      </c>
      <c r="DE117">
        <v>3.82802E-2</v>
      </c>
      <c r="DF117">
        <v>32257.599999999999</v>
      </c>
      <c r="DG117">
        <v>27508.1</v>
      </c>
      <c r="DH117">
        <v>31164.1</v>
      </c>
      <c r="DI117">
        <v>28069.7</v>
      </c>
      <c r="DJ117">
        <v>37933.699999999997</v>
      </c>
      <c r="DK117">
        <v>38385.800000000003</v>
      </c>
      <c r="DL117">
        <v>44348.2</v>
      </c>
      <c r="DM117">
        <v>42539.6</v>
      </c>
      <c r="DN117">
        <v>1.35917</v>
      </c>
      <c r="DO117">
        <v>2.0337999999999998</v>
      </c>
      <c r="DP117">
        <v>8.4444900000000003E-2</v>
      </c>
      <c r="DQ117">
        <v>0.18248700000000001</v>
      </c>
      <c r="DR117">
        <v>25.608000000000001</v>
      </c>
      <c r="DS117">
        <v>25.369499999999999</v>
      </c>
      <c r="DT117">
        <v>17.100000000000001</v>
      </c>
      <c r="DU117">
        <v>29.8</v>
      </c>
      <c r="DV117">
        <v>7.2697000000000003</v>
      </c>
      <c r="DW117">
        <v>61.868499999999997</v>
      </c>
      <c r="DX117">
        <v>36.1218</v>
      </c>
      <c r="DY117">
        <v>1</v>
      </c>
      <c r="DZ117">
        <v>-8.7672799999999995E-2</v>
      </c>
      <c r="EA117">
        <v>-0.15834400000000001</v>
      </c>
      <c r="EB117">
        <v>20.190100000000001</v>
      </c>
      <c r="EC117">
        <v>5.2418500000000003</v>
      </c>
      <c r="ED117">
        <v>12.039899999999999</v>
      </c>
      <c r="EE117">
        <v>5.0172499999999998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1.8689100000000001</v>
      </c>
      <c r="EL117">
        <v>1.8646499999999999</v>
      </c>
      <c r="EM117">
        <v>1.8692</v>
      </c>
      <c r="EN117">
        <v>1.8672299999999999</v>
      </c>
      <c r="EO117">
        <v>1.8633999999999999</v>
      </c>
      <c r="EP117">
        <v>1.86459</v>
      </c>
      <c r="EQ117">
        <v>1.87016</v>
      </c>
      <c r="ER117">
        <v>1.86948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-0.22800000000000001</v>
      </c>
      <c r="FG117">
        <v>0.23069999999999999</v>
      </c>
      <c r="FH117">
        <v>0.16202357103534001</v>
      </c>
      <c r="FI117">
        <v>-6.1462078757559423E-4</v>
      </c>
      <c r="FJ117">
        <v>-1.8861989874597051E-7</v>
      </c>
      <c r="FK117">
        <v>1.1980462299894961E-10</v>
      </c>
      <c r="FL117">
        <v>-3.0039189969545878E-2</v>
      </c>
      <c r="FM117">
        <v>-1.6848085045870601E-2</v>
      </c>
      <c r="FN117">
        <v>1.9789084769509481E-3</v>
      </c>
      <c r="FO117">
        <v>-2.7142391389806329E-5</v>
      </c>
      <c r="FP117">
        <v>3</v>
      </c>
      <c r="FQ117">
        <v>2158</v>
      </c>
      <c r="FR117">
        <v>1</v>
      </c>
      <c r="FS117">
        <v>19</v>
      </c>
      <c r="FT117">
        <v>24.2</v>
      </c>
      <c r="FU117">
        <v>24.2</v>
      </c>
      <c r="FV117">
        <v>1.7785599999999999</v>
      </c>
      <c r="FW117">
        <v>2.5842299999999998</v>
      </c>
      <c r="FX117">
        <v>1.5490699999999999</v>
      </c>
      <c r="FY117">
        <v>2.3290999999999999</v>
      </c>
      <c r="FZ117">
        <v>1.50146</v>
      </c>
      <c r="GA117">
        <v>2.34131</v>
      </c>
      <c r="GB117">
        <v>33.850900000000003</v>
      </c>
      <c r="GC117">
        <v>23.982399999999998</v>
      </c>
      <c r="GD117">
        <v>19</v>
      </c>
      <c r="GE117">
        <v>236.35</v>
      </c>
      <c r="GF117">
        <v>581.79100000000005</v>
      </c>
      <c r="GG117">
        <v>25.1478</v>
      </c>
      <c r="GH117">
        <v>26.284199999999998</v>
      </c>
      <c r="GI117">
        <v>30.0001</v>
      </c>
      <c r="GJ117">
        <v>26.427299999999999</v>
      </c>
      <c r="GK117">
        <v>26.405100000000001</v>
      </c>
      <c r="GL117">
        <v>35.5672</v>
      </c>
      <c r="GM117">
        <v>-30</v>
      </c>
      <c r="GN117">
        <v>-30</v>
      </c>
      <c r="GO117">
        <v>25.158000000000001</v>
      </c>
      <c r="GP117">
        <v>800</v>
      </c>
      <c r="GQ117">
        <v>12.5298</v>
      </c>
      <c r="GR117">
        <v>99.710099999999997</v>
      </c>
      <c r="GS117">
        <v>99.518799999999999</v>
      </c>
    </row>
    <row r="118" spans="1:201" x14ac:dyDescent="0.25">
      <c r="A118">
        <v>102</v>
      </c>
      <c r="B118">
        <v>1690216304.5999999</v>
      </c>
      <c r="C118">
        <v>1359.099999904633</v>
      </c>
      <c r="D118" t="s">
        <v>537</v>
      </c>
      <c r="E118" t="s">
        <v>538</v>
      </c>
      <c r="F118" t="s">
        <v>330</v>
      </c>
      <c r="H118">
        <v>1690216304.5999999</v>
      </c>
      <c r="I118">
        <f t="shared" si="30"/>
        <v>1.401591749383277E-3</v>
      </c>
      <c r="J118">
        <f t="shared" si="31"/>
        <v>1.401591749383277</v>
      </c>
      <c r="K118">
        <f t="shared" si="32"/>
        <v>19.910048384172423</v>
      </c>
      <c r="L118">
        <f t="shared" si="33"/>
        <v>568.22199999999998</v>
      </c>
      <c r="M118">
        <f t="shared" si="34"/>
        <v>127.52982666636997</v>
      </c>
      <c r="N118">
        <f t="shared" si="35"/>
        <v>12.649345935586052</v>
      </c>
      <c r="O118">
        <f t="shared" si="36"/>
        <v>56.360436096366001</v>
      </c>
      <c r="P118">
        <f t="shared" si="37"/>
        <v>7.5339789262431206E-2</v>
      </c>
      <c r="Q118">
        <f t="shared" si="38"/>
        <v>2.0656795913871413</v>
      </c>
      <c r="R118">
        <f t="shared" si="39"/>
        <v>7.3845887825233214E-2</v>
      </c>
      <c r="S118">
        <f t="shared" si="40"/>
        <v>4.6285433752568994E-2</v>
      </c>
      <c r="T118">
        <f t="shared" si="41"/>
        <v>276.11437973400001</v>
      </c>
      <c r="U118">
        <f t="shared" si="42"/>
        <v>28.568400840710861</v>
      </c>
      <c r="V118">
        <f t="shared" si="43"/>
        <v>28.568400840710861</v>
      </c>
      <c r="W118">
        <f t="shared" si="44"/>
        <v>3.9224172342887096</v>
      </c>
      <c r="X118">
        <f t="shared" si="45"/>
        <v>59.191216389415459</v>
      </c>
      <c r="Y118">
        <f t="shared" si="46"/>
        <v>2.0969694234495</v>
      </c>
      <c r="Z118">
        <f t="shared" si="47"/>
        <v>3.5427037174800802</v>
      </c>
      <c r="AA118">
        <f t="shared" si="48"/>
        <v>1.8254478108392096</v>
      </c>
      <c r="AB118">
        <f t="shared" si="49"/>
        <v>-61.810196147802515</v>
      </c>
      <c r="AC118">
        <f t="shared" si="50"/>
        <v>-194.064599960539</v>
      </c>
      <c r="AD118">
        <f t="shared" si="51"/>
        <v>-20.416718345217497</v>
      </c>
      <c r="AE118">
        <f t="shared" si="52"/>
        <v>-0.17713471955900673</v>
      </c>
      <c r="AF118">
        <v>45</v>
      </c>
      <c r="AG118">
        <v>15</v>
      </c>
      <c r="AH118">
        <f t="shared" si="53"/>
        <v>1</v>
      </c>
      <c r="AI118">
        <f t="shared" si="54"/>
        <v>0</v>
      </c>
      <c r="AJ118">
        <f t="shared" si="55"/>
        <v>52490.860071008967</v>
      </c>
      <c r="AK118">
        <f t="shared" si="56"/>
        <v>1800</v>
      </c>
      <c r="AL118">
        <f t="shared" si="57"/>
        <v>1499.1134273999999</v>
      </c>
      <c r="AM118">
        <f t="shared" si="58"/>
        <v>0.83284079299999991</v>
      </c>
      <c r="AN118">
        <f t="shared" si="59"/>
        <v>0.15339687763000001</v>
      </c>
      <c r="AO118">
        <v>33.6</v>
      </c>
      <c r="AP118">
        <v>0.5</v>
      </c>
      <c r="AQ118" t="s">
        <v>331</v>
      </c>
      <c r="AR118">
        <v>2</v>
      </c>
      <c r="AS118">
        <v>1690216304.5999999</v>
      </c>
      <c r="AT118">
        <v>568.22199999999998</v>
      </c>
      <c r="AU118">
        <v>800.01</v>
      </c>
      <c r="AV118">
        <v>21.141500000000001</v>
      </c>
      <c r="AW118">
        <v>5.7837899999999998</v>
      </c>
      <c r="AX118">
        <v>568.44899999999996</v>
      </c>
      <c r="AY118">
        <v>20.9069</v>
      </c>
      <c r="AZ118">
        <v>300.161</v>
      </c>
      <c r="BA118">
        <v>99.087299999999999</v>
      </c>
      <c r="BB118">
        <v>0.100053</v>
      </c>
      <c r="BC118">
        <v>26.825800000000001</v>
      </c>
      <c r="BD118">
        <v>26.9864</v>
      </c>
      <c r="BE118">
        <v>28.366</v>
      </c>
      <c r="BF118">
        <v>0</v>
      </c>
      <c r="BG118">
        <v>0</v>
      </c>
      <c r="BH118">
        <v>10013.1</v>
      </c>
      <c r="BI118">
        <v>1076.1600000000001</v>
      </c>
      <c r="BJ118">
        <v>1.4380999999999999</v>
      </c>
      <c r="BK118">
        <v>-231.78800000000001</v>
      </c>
      <c r="BL118">
        <v>580.495</v>
      </c>
      <c r="BM118">
        <v>804.66399999999999</v>
      </c>
      <c r="BN118">
        <v>15.357699999999999</v>
      </c>
      <c r="BO118">
        <v>800.01</v>
      </c>
      <c r="BP118">
        <v>5.7837899999999998</v>
      </c>
      <c r="BQ118">
        <v>2.0948600000000002</v>
      </c>
      <c r="BR118">
        <v>0.57310000000000005</v>
      </c>
      <c r="BS118">
        <v>18.180099999999999</v>
      </c>
      <c r="BT118">
        <v>-0.93758399999999997</v>
      </c>
      <c r="BU118">
        <v>1800</v>
      </c>
      <c r="BV118">
        <v>0.91001699999999996</v>
      </c>
      <c r="BW118">
        <v>3.4001900000000002E-2</v>
      </c>
      <c r="BX118">
        <v>2.19934E-2</v>
      </c>
      <c r="BY118">
        <v>3.3987900000000001E-2</v>
      </c>
      <c r="BZ118">
        <v>26</v>
      </c>
      <c r="CA118">
        <v>33528.400000000001</v>
      </c>
      <c r="CB118">
        <v>1690214843</v>
      </c>
      <c r="CC118" t="s">
        <v>332</v>
      </c>
      <c r="CD118">
        <v>1690214842</v>
      </c>
      <c r="CE118">
        <v>1690214843</v>
      </c>
      <c r="CF118">
        <v>8</v>
      </c>
      <c r="CG118">
        <v>-6.3E-2</v>
      </c>
      <c r="CH118">
        <v>1E-3</v>
      </c>
      <c r="CI118">
        <v>-0.38900000000000001</v>
      </c>
      <c r="CJ118">
        <v>-6.6000000000000003E-2</v>
      </c>
      <c r="CK118">
        <v>800</v>
      </c>
      <c r="CL118">
        <v>6</v>
      </c>
      <c r="CM118">
        <v>0.23</v>
      </c>
      <c r="CN118">
        <v>0.02</v>
      </c>
      <c r="CO118">
        <v>-228.4706829268292</v>
      </c>
      <c r="CP118">
        <v>-17.888989547038388</v>
      </c>
      <c r="CQ118">
        <v>1.7642225046195441</v>
      </c>
      <c r="CR118">
        <v>-1</v>
      </c>
      <c r="CS118">
        <v>15.21195853658536</v>
      </c>
      <c r="CT118">
        <v>0.79167804878052017</v>
      </c>
      <c r="CU118">
        <v>7.8078212743219799E-2</v>
      </c>
      <c r="CV118">
        <v>-1</v>
      </c>
      <c r="CW118">
        <v>0</v>
      </c>
      <c r="CX118">
        <v>0</v>
      </c>
      <c r="CY118" t="s">
        <v>333</v>
      </c>
      <c r="CZ118">
        <v>2.36442</v>
      </c>
      <c r="DA118">
        <v>2.7138599999999999</v>
      </c>
      <c r="DB118">
        <v>0.115911</v>
      </c>
      <c r="DC118">
        <v>0.14607700000000001</v>
      </c>
      <c r="DD118">
        <v>0.10389900000000001</v>
      </c>
      <c r="DE118">
        <v>3.82814E-2</v>
      </c>
      <c r="DF118">
        <v>32272.799999999999</v>
      </c>
      <c r="DG118">
        <v>27507.7</v>
      </c>
      <c r="DH118">
        <v>31163.8</v>
      </c>
      <c r="DI118">
        <v>28069.8</v>
      </c>
      <c r="DJ118">
        <v>37913.5</v>
      </c>
      <c r="DK118">
        <v>38386</v>
      </c>
      <c r="DL118">
        <v>44347.6</v>
      </c>
      <c r="DM118">
        <v>42539.9</v>
      </c>
      <c r="DN118">
        <v>1.3584499999999999</v>
      </c>
      <c r="DO118">
        <v>2.0337000000000001</v>
      </c>
      <c r="DP118">
        <v>8.4057499999999993E-2</v>
      </c>
      <c r="DQ118">
        <v>0.18301999999999999</v>
      </c>
      <c r="DR118">
        <v>25.610199999999999</v>
      </c>
      <c r="DS118">
        <v>25.372299999999999</v>
      </c>
      <c r="DT118">
        <v>17.100000000000001</v>
      </c>
      <c r="DU118">
        <v>29.8</v>
      </c>
      <c r="DV118">
        <v>7.2685700000000004</v>
      </c>
      <c r="DW118">
        <v>61.588500000000003</v>
      </c>
      <c r="DX118">
        <v>36.286099999999998</v>
      </c>
      <c r="DY118">
        <v>1</v>
      </c>
      <c r="DZ118">
        <v>-8.7754100000000002E-2</v>
      </c>
      <c r="EA118">
        <v>-0.15252199999999999</v>
      </c>
      <c r="EB118">
        <v>20.190000000000001</v>
      </c>
      <c r="EC118">
        <v>5.242</v>
      </c>
      <c r="ED118">
        <v>12.039899999999999</v>
      </c>
      <c r="EE118">
        <v>5.01715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1.8689100000000001</v>
      </c>
      <c r="EL118">
        <v>1.8646400000000001</v>
      </c>
      <c r="EM118">
        <v>1.8692</v>
      </c>
      <c r="EN118">
        <v>1.8672299999999999</v>
      </c>
      <c r="EO118">
        <v>1.8633999999999999</v>
      </c>
      <c r="EP118">
        <v>1.8646</v>
      </c>
      <c r="EQ118">
        <v>1.8701399999999999</v>
      </c>
      <c r="ER118">
        <v>1.8694900000000001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-0.22700000000000001</v>
      </c>
      <c r="FG118">
        <v>0.2346</v>
      </c>
      <c r="FH118">
        <v>0.16202357103534001</v>
      </c>
      <c r="FI118">
        <v>-6.1462078757559423E-4</v>
      </c>
      <c r="FJ118">
        <v>-1.8861989874597051E-7</v>
      </c>
      <c r="FK118">
        <v>1.1980462299894961E-10</v>
      </c>
      <c r="FL118">
        <v>-3.0039189969545878E-2</v>
      </c>
      <c r="FM118">
        <v>-1.6848085045870601E-2</v>
      </c>
      <c r="FN118">
        <v>1.9789084769509481E-3</v>
      </c>
      <c r="FO118">
        <v>-2.7142391389806329E-5</v>
      </c>
      <c r="FP118">
        <v>3</v>
      </c>
      <c r="FQ118">
        <v>2158</v>
      </c>
      <c r="FR118">
        <v>1</v>
      </c>
      <c r="FS118">
        <v>19</v>
      </c>
      <c r="FT118">
        <v>24.4</v>
      </c>
      <c r="FU118">
        <v>24.4</v>
      </c>
      <c r="FV118">
        <v>1.7785599999999999</v>
      </c>
      <c r="FW118">
        <v>2.5817899999999998</v>
      </c>
      <c r="FX118">
        <v>1.5490699999999999</v>
      </c>
      <c r="FY118">
        <v>2.3290999999999999</v>
      </c>
      <c r="FZ118">
        <v>1.50146</v>
      </c>
      <c r="GA118">
        <v>2.33887</v>
      </c>
      <c r="GB118">
        <v>33.8735</v>
      </c>
      <c r="GC118">
        <v>23.982399999999998</v>
      </c>
      <c r="GD118">
        <v>19</v>
      </c>
      <c r="GE118">
        <v>236.07400000000001</v>
      </c>
      <c r="GF118">
        <v>581.68299999999999</v>
      </c>
      <c r="GG118">
        <v>25.161799999999999</v>
      </c>
      <c r="GH118">
        <v>26.282</v>
      </c>
      <c r="GI118">
        <v>30</v>
      </c>
      <c r="GJ118">
        <v>26.425799999999999</v>
      </c>
      <c r="GK118">
        <v>26.402999999999999</v>
      </c>
      <c r="GL118">
        <v>35.566499999999998</v>
      </c>
      <c r="GM118">
        <v>-30</v>
      </c>
      <c r="GN118">
        <v>-30</v>
      </c>
      <c r="GO118">
        <v>25.1709</v>
      </c>
      <c r="GP118">
        <v>800</v>
      </c>
      <c r="GQ118">
        <v>12.5298</v>
      </c>
      <c r="GR118">
        <v>99.709000000000003</v>
      </c>
      <c r="GS118">
        <v>99.519499999999994</v>
      </c>
    </row>
    <row r="119" spans="1:201" x14ac:dyDescent="0.25">
      <c r="A119">
        <v>103</v>
      </c>
      <c r="B119">
        <v>1690216314.5999999</v>
      </c>
      <c r="C119">
        <v>1369.099999904633</v>
      </c>
      <c r="D119" t="s">
        <v>539</v>
      </c>
      <c r="E119" t="s">
        <v>540</v>
      </c>
      <c r="F119" t="s">
        <v>330</v>
      </c>
      <c r="H119">
        <v>1690216314.5999999</v>
      </c>
      <c r="I119">
        <f t="shared" si="30"/>
        <v>1.4143611252650434E-3</v>
      </c>
      <c r="J119">
        <f t="shared" si="31"/>
        <v>1.4143611252650434</v>
      </c>
      <c r="K119">
        <f t="shared" si="32"/>
        <v>20.176591434071039</v>
      </c>
      <c r="L119">
        <f t="shared" si="33"/>
        <v>565.24199999999996</v>
      </c>
      <c r="M119">
        <f t="shared" si="34"/>
        <v>126.73884251599762</v>
      </c>
      <c r="N119">
        <f t="shared" si="35"/>
        <v>12.571025541790629</v>
      </c>
      <c r="O119">
        <f t="shared" si="36"/>
        <v>56.065460897639987</v>
      </c>
      <c r="P119">
        <f t="shared" si="37"/>
        <v>7.6734621008045609E-2</v>
      </c>
      <c r="Q119">
        <f t="shared" si="38"/>
        <v>2.0678845703426507</v>
      </c>
      <c r="R119">
        <f t="shared" si="39"/>
        <v>7.5187120492421447E-2</v>
      </c>
      <c r="S119">
        <f t="shared" si="40"/>
        <v>4.7128387750244125E-2</v>
      </c>
      <c r="T119">
        <f t="shared" si="41"/>
        <v>276.11262982042342</v>
      </c>
      <c r="U119">
        <f t="shared" si="42"/>
        <v>28.555939346979372</v>
      </c>
      <c r="V119">
        <f t="shared" si="43"/>
        <v>28.555939346979372</v>
      </c>
      <c r="W119">
        <f t="shared" si="44"/>
        <v>3.919580646357312</v>
      </c>
      <c r="X119">
        <f t="shared" si="45"/>
        <v>59.59323039612682</v>
      </c>
      <c r="Y119">
        <f t="shared" si="46"/>
        <v>2.1104419311819997</v>
      </c>
      <c r="Z119">
        <f t="shared" si="47"/>
        <v>3.541412199260749</v>
      </c>
      <c r="AA119">
        <f t="shared" si="48"/>
        <v>1.8091387151753122</v>
      </c>
      <c r="AB119">
        <f t="shared" si="49"/>
        <v>-62.373325624188411</v>
      </c>
      <c r="AC119">
        <f t="shared" si="50"/>
        <v>-193.57369626054788</v>
      </c>
      <c r="AD119">
        <f t="shared" si="51"/>
        <v>-20.341462280122389</v>
      </c>
      <c r="AE119">
        <f t="shared" si="52"/>
        <v>-0.17585434443526538</v>
      </c>
      <c r="AF119">
        <v>45</v>
      </c>
      <c r="AG119">
        <v>15</v>
      </c>
      <c r="AH119">
        <f t="shared" si="53"/>
        <v>1</v>
      </c>
      <c r="AI119">
        <f t="shared" si="54"/>
        <v>0</v>
      </c>
      <c r="AJ119">
        <f t="shared" si="55"/>
        <v>52593.028183767448</v>
      </c>
      <c r="AK119">
        <f t="shared" si="56"/>
        <v>1799.99</v>
      </c>
      <c r="AL119">
        <f t="shared" si="57"/>
        <v>1499.1048343935402</v>
      </c>
      <c r="AM119">
        <f t="shared" si="58"/>
        <v>0.83284064600000007</v>
      </c>
      <c r="AN119">
        <f t="shared" si="59"/>
        <v>0.15339675766000002</v>
      </c>
      <c r="AO119">
        <v>33.6</v>
      </c>
      <c r="AP119">
        <v>0.5</v>
      </c>
      <c r="AQ119" t="s">
        <v>331</v>
      </c>
      <c r="AR119">
        <v>2</v>
      </c>
      <c r="AS119">
        <v>1690216314.5999999</v>
      </c>
      <c r="AT119">
        <v>565.24199999999996</v>
      </c>
      <c r="AU119">
        <v>800.01800000000003</v>
      </c>
      <c r="AV119">
        <v>21.277100000000001</v>
      </c>
      <c r="AW119">
        <v>5.7835799999999997</v>
      </c>
      <c r="AX119">
        <v>565.46600000000001</v>
      </c>
      <c r="AY119">
        <v>21.038499999999999</v>
      </c>
      <c r="AZ119">
        <v>300.19900000000001</v>
      </c>
      <c r="BA119">
        <v>99.088399999999993</v>
      </c>
      <c r="BB119">
        <v>0.10002</v>
      </c>
      <c r="BC119">
        <v>26.819600000000001</v>
      </c>
      <c r="BD119">
        <v>26.984200000000001</v>
      </c>
      <c r="BE119">
        <v>28.3687</v>
      </c>
      <c r="BF119">
        <v>0</v>
      </c>
      <c r="BG119">
        <v>0</v>
      </c>
      <c r="BH119">
        <v>10033.1</v>
      </c>
      <c r="BI119">
        <v>1076.1600000000001</v>
      </c>
      <c r="BJ119">
        <v>1.8501799999999999</v>
      </c>
      <c r="BK119">
        <v>-234.77600000000001</v>
      </c>
      <c r="BL119">
        <v>577.53</v>
      </c>
      <c r="BM119">
        <v>804.67200000000003</v>
      </c>
      <c r="BN119">
        <v>15.493499999999999</v>
      </c>
      <c r="BO119">
        <v>800.01800000000003</v>
      </c>
      <c r="BP119">
        <v>5.7835799999999997</v>
      </c>
      <c r="BQ119">
        <v>2.10832</v>
      </c>
      <c r="BR119">
        <v>0.57308599999999998</v>
      </c>
      <c r="BS119">
        <v>18.2822</v>
      </c>
      <c r="BT119">
        <v>-0.93792200000000003</v>
      </c>
      <c r="BU119">
        <v>1799.99</v>
      </c>
      <c r="BV119">
        <v>0.91001900000000002</v>
      </c>
      <c r="BW119">
        <v>3.4001000000000003E-2</v>
      </c>
      <c r="BX119">
        <v>2.19928E-2</v>
      </c>
      <c r="BY119">
        <v>3.3987000000000003E-2</v>
      </c>
      <c r="BZ119">
        <v>26</v>
      </c>
      <c r="CA119">
        <v>33528.400000000001</v>
      </c>
      <c r="CB119">
        <v>1690214843</v>
      </c>
      <c r="CC119" t="s">
        <v>332</v>
      </c>
      <c r="CD119">
        <v>1690214842</v>
      </c>
      <c r="CE119">
        <v>1690214843</v>
      </c>
      <c r="CF119">
        <v>8</v>
      </c>
      <c r="CG119">
        <v>-6.3E-2</v>
      </c>
      <c r="CH119">
        <v>1E-3</v>
      </c>
      <c r="CI119">
        <v>-0.38900000000000001</v>
      </c>
      <c r="CJ119">
        <v>-6.6000000000000003E-2</v>
      </c>
      <c r="CK119">
        <v>800</v>
      </c>
      <c r="CL119">
        <v>6</v>
      </c>
      <c r="CM119">
        <v>0.23</v>
      </c>
      <c r="CN119">
        <v>0.02</v>
      </c>
      <c r="CO119">
        <v>-231.4725609756097</v>
      </c>
      <c r="CP119">
        <v>-18.177763066202761</v>
      </c>
      <c r="CQ119">
        <v>1.792625517580841</v>
      </c>
      <c r="CR119">
        <v>-1</v>
      </c>
      <c r="CS119">
        <v>15.3452487804878</v>
      </c>
      <c r="CT119">
        <v>0.80368222996515659</v>
      </c>
      <c r="CU119">
        <v>7.9264048141519161E-2</v>
      </c>
      <c r="CV119">
        <v>-1</v>
      </c>
      <c r="CW119">
        <v>0</v>
      </c>
      <c r="CX119">
        <v>0</v>
      </c>
      <c r="CY119" t="s">
        <v>333</v>
      </c>
      <c r="CZ119">
        <v>2.3645299999999998</v>
      </c>
      <c r="DA119">
        <v>2.7138399999999998</v>
      </c>
      <c r="DB119">
        <v>0.115481</v>
      </c>
      <c r="DC119">
        <v>0.14608099999999999</v>
      </c>
      <c r="DD119">
        <v>0.104366</v>
      </c>
      <c r="DE119">
        <v>3.8281000000000003E-2</v>
      </c>
      <c r="DF119">
        <v>32289.200000000001</v>
      </c>
      <c r="DG119">
        <v>27507.7</v>
      </c>
      <c r="DH119">
        <v>31164.400000000001</v>
      </c>
      <c r="DI119">
        <v>28070</v>
      </c>
      <c r="DJ119">
        <v>37894.5</v>
      </c>
      <c r="DK119">
        <v>38386.1</v>
      </c>
      <c r="DL119">
        <v>44348.800000000003</v>
      </c>
      <c r="DM119">
        <v>42540</v>
      </c>
      <c r="DN119">
        <v>1.3591200000000001</v>
      </c>
      <c r="DO119">
        <v>2.0339800000000001</v>
      </c>
      <c r="DP119">
        <v>8.3662600000000004E-2</v>
      </c>
      <c r="DQ119">
        <v>0.182834</v>
      </c>
      <c r="DR119">
        <v>25.6145</v>
      </c>
      <c r="DS119">
        <v>25.3781</v>
      </c>
      <c r="DT119">
        <v>17.100000000000001</v>
      </c>
      <c r="DU119">
        <v>29.8</v>
      </c>
      <c r="DV119">
        <v>7.2685899999999997</v>
      </c>
      <c r="DW119">
        <v>61.458500000000001</v>
      </c>
      <c r="DX119">
        <v>36.334099999999999</v>
      </c>
      <c r="DY119">
        <v>1</v>
      </c>
      <c r="DZ119">
        <v>-8.8234300000000002E-2</v>
      </c>
      <c r="EA119">
        <v>-0.19051699999999999</v>
      </c>
      <c r="EB119">
        <v>20.189800000000002</v>
      </c>
      <c r="EC119">
        <v>5.2416999999999998</v>
      </c>
      <c r="ED119">
        <v>12.039899999999999</v>
      </c>
      <c r="EE119">
        <v>5.0168499999999998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1.8689199999999999</v>
      </c>
      <c r="EL119">
        <v>1.8646799999999999</v>
      </c>
      <c r="EM119">
        <v>1.8692</v>
      </c>
      <c r="EN119">
        <v>1.8672200000000001</v>
      </c>
      <c r="EO119">
        <v>1.8633999999999999</v>
      </c>
      <c r="EP119">
        <v>1.8646</v>
      </c>
      <c r="EQ119">
        <v>1.87015</v>
      </c>
      <c r="ER119">
        <v>1.86948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-0.224</v>
      </c>
      <c r="FG119">
        <v>0.23860000000000001</v>
      </c>
      <c r="FH119">
        <v>0.16202357103534001</v>
      </c>
      <c r="FI119">
        <v>-6.1462078757559423E-4</v>
      </c>
      <c r="FJ119">
        <v>-1.8861989874597051E-7</v>
      </c>
      <c r="FK119">
        <v>1.1980462299894961E-10</v>
      </c>
      <c r="FL119">
        <v>-3.0039189969545878E-2</v>
      </c>
      <c r="FM119">
        <v>-1.6848085045870601E-2</v>
      </c>
      <c r="FN119">
        <v>1.9789084769509481E-3</v>
      </c>
      <c r="FO119">
        <v>-2.7142391389806329E-5</v>
      </c>
      <c r="FP119">
        <v>3</v>
      </c>
      <c r="FQ119">
        <v>2158</v>
      </c>
      <c r="FR119">
        <v>1</v>
      </c>
      <c r="FS119">
        <v>19</v>
      </c>
      <c r="FT119">
        <v>24.5</v>
      </c>
      <c r="FU119">
        <v>24.5</v>
      </c>
      <c r="FV119">
        <v>1.7785599999999999</v>
      </c>
      <c r="FW119">
        <v>2.5817899999999998</v>
      </c>
      <c r="FX119">
        <v>1.5490699999999999</v>
      </c>
      <c r="FY119">
        <v>2.3290999999999999</v>
      </c>
      <c r="FZ119">
        <v>1.50146</v>
      </c>
      <c r="GA119">
        <v>2.32666</v>
      </c>
      <c r="GB119">
        <v>33.850900000000003</v>
      </c>
      <c r="GC119">
        <v>23.982399999999998</v>
      </c>
      <c r="GD119">
        <v>19</v>
      </c>
      <c r="GE119">
        <v>236.31899999999999</v>
      </c>
      <c r="GF119">
        <v>581.88499999999999</v>
      </c>
      <c r="GG119">
        <v>25.180900000000001</v>
      </c>
      <c r="GH119">
        <v>26.282</v>
      </c>
      <c r="GI119">
        <v>30</v>
      </c>
      <c r="GJ119">
        <v>26.4236</v>
      </c>
      <c r="GK119">
        <v>26.4008</v>
      </c>
      <c r="GL119">
        <v>35.564799999999998</v>
      </c>
      <c r="GM119">
        <v>-30</v>
      </c>
      <c r="GN119">
        <v>-30</v>
      </c>
      <c r="GO119">
        <v>25.189399999999999</v>
      </c>
      <c r="GP119">
        <v>800</v>
      </c>
      <c r="GQ119">
        <v>12.5298</v>
      </c>
      <c r="GR119">
        <v>99.711299999999994</v>
      </c>
      <c r="GS119">
        <v>99.519900000000007</v>
      </c>
    </row>
    <row r="120" spans="1:201" x14ac:dyDescent="0.25">
      <c r="A120">
        <v>104</v>
      </c>
      <c r="B120">
        <v>1690216324.5999999</v>
      </c>
      <c r="C120">
        <v>1379.099999904633</v>
      </c>
      <c r="D120" t="s">
        <v>541</v>
      </c>
      <c r="E120" t="s">
        <v>542</v>
      </c>
      <c r="F120" t="s">
        <v>330</v>
      </c>
      <c r="H120">
        <v>1690216324.5999999</v>
      </c>
      <c r="I120">
        <f t="shared" si="30"/>
        <v>1.427653977396941E-3</v>
      </c>
      <c r="J120">
        <f t="shared" si="31"/>
        <v>1.427653977396941</v>
      </c>
      <c r="K120">
        <f t="shared" si="32"/>
        <v>20.440624914079962</v>
      </c>
      <c r="L120">
        <f t="shared" si="33"/>
        <v>562.25300000000004</v>
      </c>
      <c r="M120">
        <f t="shared" si="34"/>
        <v>125.50660427162526</v>
      </c>
      <c r="N120">
        <f t="shared" si="35"/>
        <v>12.448394119266426</v>
      </c>
      <c r="O120">
        <f t="shared" si="36"/>
        <v>55.767160456290704</v>
      </c>
      <c r="P120">
        <f t="shared" si="37"/>
        <v>7.8057767054773117E-2</v>
      </c>
      <c r="Q120">
        <f t="shared" si="38"/>
        <v>2.0664132941464142</v>
      </c>
      <c r="R120">
        <f t="shared" si="39"/>
        <v>7.6455924240798251E-2</v>
      </c>
      <c r="S120">
        <f t="shared" si="40"/>
        <v>4.7926133990041156E-2</v>
      </c>
      <c r="T120">
        <f t="shared" si="41"/>
        <v>276.11410534200002</v>
      </c>
      <c r="U120">
        <f t="shared" si="42"/>
        <v>28.557996300421099</v>
      </c>
      <c r="V120">
        <f t="shared" si="43"/>
        <v>28.557996300421099</v>
      </c>
      <c r="W120">
        <f t="shared" si="44"/>
        <v>3.9200487437305465</v>
      </c>
      <c r="X120">
        <f t="shared" si="45"/>
        <v>59.967475701003515</v>
      </c>
      <c r="Y120">
        <f t="shared" si="46"/>
        <v>2.1244075228573402</v>
      </c>
      <c r="Z120">
        <f t="shared" si="47"/>
        <v>3.5425995475440528</v>
      </c>
      <c r="AA120">
        <f t="shared" si="48"/>
        <v>1.7956412208732062</v>
      </c>
      <c r="AB120">
        <f t="shared" si="49"/>
        <v>-62.959540403205096</v>
      </c>
      <c r="AC120">
        <f t="shared" si="50"/>
        <v>-193.03011910810548</v>
      </c>
      <c r="AD120">
        <f t="shared" si="51"/>
        <v>-20.299568251061448</v>
      </c>
      <c r="AE120">
        <f t="shared" si="52"/>
        <v>-0.17512242037201986</v>
      </c>
      <c r="AF120">
        <v>44</v>
      </c>
      <c r="AG120">
        <v>15</v>
      </c>
      <c r="AH120">
        <f t="shared" si="53"/>
        <v>1</v>
      </c>
      <c r="AI120">
        <f t="shared" si="54"/>
        <v>0</v>
      </c>
      <c r="AJ120">
        <f t="shared" si="55"/>
        <v>52524.512463757201</v>
      </c>
      <c r="AK120">
        <f t="shared" si="56"/>
        <v>1800</v>
      </c>
      <c r="AL120">
        <f t="shared" si="57"/>
        <v>1499.1138882</v>
      </c>
      <c r="AM120">
        <f t="shared" si="58"/>
        <v>0.832841049</v>
      </c>
      <c r="AN120">
        <f t="shared" si="59"/>
        <v>0.15339672519</v>
      </c>
      <c r="AO120">
        <v>33.6</v>
      </c>
      <c r="AP120">
        <v>0.5</v>
      </c>
      <c r="AQ120" t="s">
        <v>331</v>
      </c>
      <c r="AR120">
        <v>2</v>
      </c>
      <c r="AS120">
        <v>1690216324.5999999</v>
      </c>
      <c r="AT120">
        <v>562.25300000000004</v>
      </c>
      <c r="AU120">
        <v>799.99599999999998</v>
      </c>
      <c r="AV120">
        <v>21.418600000000001</v>
      </c>
      <c r="AW120">
        <v>5.7833399999999999</v>
      </c>
      <c r="AX120">
        <v>562.47500000000002</v>
      </c>
      <c r="AY120">
        <v>21.175699999999999</v>
      </c>
      <c r="AZ120">
        <v>300.23</v>
      </c>
      <c r="BA120">
        <v>99.0852</v>
      </c>
      <c r="BB120">
        <v>9.9971900000000002E-2</v>
      </c>
      <c r="BC120">
        <v>26.825299999999999</v>
      </c>
      <c r="BD120">
        <v>27.0002</v>
      </c>
      <c r="BE120">
        <v>28.362400000000001</v>
      </c>
      <c r="BF120">
        <v>0</v>
      </c>
      <c r="BG120">
        <v>0</v>
      </c>
      <c r="BH120">
        <v>10020</v>
      </c>
      <c r="BI120">
        <v>1076.17</v>
      </c>
      <c r="BJ120">
        <v>1.80813</v>
      </c>
      <c r="BK120">
        <v>-237.744</v>
      </c>
      <c r="BL120">
        <v>574.55899999999997</v>
      </c>
      <c r="BM120">
        <v>804.65</v>
      </c>
      <c r="BN120">
        <v>15.635199999999999</v>
      </c>
      <c r="BO120">
        <v>799.99599999999998</v>
      </c>
      <c r="BP120">
        <v>5.7833399999999999</v>
      </c>
      <c r="BQ120">
        <v>2.1222599999999998</v>
      </c>
      <c r="BR120">
        <v>0.57304299999999997</v>
      </c>
      <c r="BS120">
        <v>18.3873</v>
      </c>
      <c r="BT120">
        <v>-0.938948</v>
      </c>
      <c r="BU120">
        <v>1800</v>
      </c>
      <c r="BV120">
        <v>0.910022</v>
      </c>
      <c r="BW120">
        <v>3.39999E-2</v>
      </c>
      <c r="BX120">
        <v>2.19922E-2</v>
      </c>
      <c r="BY120">
        <v>3.3985899999999999E-2</v>
      </c>
      <c r="BZ120">
        <v>26</v>
      </c>
      <c r="CA120">
        <v>33528.5</v>
      </c>
      <c r="CB120">
        <v>1690214843</v>
      </c>
      <c r="CC120" t="s">
        <v>332</v>
      </c>
      <c r="CD120">
        <v>1690214842</v>
      </c>
      <c r="CE120">
        <v>1690214843</v>
      </c>
      <c r="CF120">
        <v>8</v>
      </c>
      <c r="CG120">
        <v>-6.3E-2</v>
      </c>
      <c r="CH120">
        <v>1E-3</v>
      </c>
      <c r="CI120">
        <v>-0.38900000000000001</v>
      </c>
      <c r="CJ120">
        <v>-6.6000000000000003E-2</v>
      </c>
      <c r="CK120">
        <v>800</v>
      </c>
      <c r="CL120">
        <v>6</v>
      </c>
      <c r="CM120">
        <v>0.23</v>
      </c>
      <c r="CN120">
        <v>0.02</v>
      </c>
      <c r="CO120">
        <v>-234.41647499999999</v>
      </c>
      <c r="CP120">
        <v>-18.009512195121449</v>
      </c>
      <c r="CQ120">
        <v>1.7327396946382341</v>
      </c>
      <c r="CR120">
        <v>-1</v>
      </c>
      <c r="CS120">
        <v>15.4778375</v>
      </c>
      <c r="CT120">
        <v>0.83375347091931407</v>
      </c>
      <c r="CU120">
        <v>8.0211357323947671E-2</v>
      </c>
      <c r="CV120">
        <v>-1</v>
      </c>
      <c r="CW120">
        <v>0</v>
      </c>
      <c r="CX120">
        <v>0</v>
      </c>
      <c r="CY120" t="s">
        <v>333</v>
      </c>
      <c r="CZ120">
        <v>2.3646500000000001</v>
      </c>
      <c r="DA120">
        <v>2.7137799999999999</v>
      </c>
      <c r="DB120">
        <v>0.11504300000000001</v>
      </c>
      <c r="DC120">
        <v>0.14607300000000001</v>
      </c>
      <c r="DD120">
        <v>0.10484599999999999</v>
      </c>
      <c r="DE120">
        <v>3.8278399999999997E-2</v>
      </c>
      <c r="DF120">
        <v>32304.9</v>
      </c>
      <c r="DG120">
        <v>27507.599999999999</v>
      </c>
      <c r="DH120">
        <v>31164.2</v>
      </c>
      <c r="DI120">
        <v>28069.599999999999</v>
      </c>
      <c r="DJ120">
        <v>37873.599999999999</v>
      </c>
      <c r="DK120">
        <v>38385.699999999997</v>
      </c>
      <c r="DL120">
        <v>44348.3</v>
      </c>
      <c r="DM120">
        <v>42539.4</v>
      </c>
      <c r="DN120">
        <v>1.3596999999999999</v>
      </c>
      <c r="DO120">
        <v>2.0339</v>
      </c>
      <c r="DP120">
        <v>8.4508200000000006E-2</v>
      </c>
      <c r="DQ120">
        <v>0.18231600000000001</v>
      </c>
      <c r="DR120">
        <v>25.616599999999998</v>
      </c>
      <c r="DS120">
        <v>25.380199999999999</v>
      </c>
      <c r="DT120">
        <v>17.100000000000001</v>
      </c>
      <c r="DU120">
        <v>29.8</v>
      </c>
      <c r="DV120">
        <v>7.2681800000000001</v>
      </c>
      <c r="DW120">
        <v>61.778500000000001</v>
      </c>
      <c r="DX120">
        <v>36.286099999999998</v>
      </c>
      <c r="DY120">
        <v>1</v>
      </c>
      <c r="DZ120">
        <v>-8.8198700000000005E-2</v>
      </c>
      <c r="EA120">
        <v>-0.18973300000000001</v>
      </c>
      <c r="EB120">
        <v>20.189800000000002</v>
      </c>
      <c r="EC120">
        <v>5.2411000000000003</v>
      </c>
      <c r="ED120">
        <v>12.039899999999999</v>
      </c>
      <c r="EE120">
        <v>5.01715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1.86893</v>
      </c>
      <c r="EL120">
        <v>1.86466</v>
      </c>
      <c r="EM120">
        <v>1.8692</v>
      </c>
      <c r="EN120">
        <v>1.86724</v>
      </c>
      <c r="EO120">
        <v>1.8634200000000001</v>
      </c>
      <c r="EP120">
        <v>1.8646100000000001</v>
      </c>
      <c r="EQ120">
        <v>1.87016</v>
      </c>
      <c r="ER120">
        <v>1.8694999999999999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-0.222</v>
      </c>
      <c r="FG120">
        <v>0.2429</v>
      </c>
      <c r="FH120">
        <v>0.16202357103534001</v>
      </c>
      <c r="FI120">
        <v>-6.1462078757559423E-4</v>
      </c>
      <c r="FJ120">
        <v>-1.8861989874597051E-7</v>
      </c>
      <c r="FK120">
        <v>1.1980462299894961E-10</v>
      </c>
      <c r="FL120">
        <v>-3.0039189969545878E-2</v>
      </c>
      <c r="FM120">
        <v>-1.6848085045870601E-2</v>
      </c>
      <c r="FN120">
        <v>1.9789084769509481E-3</v>
      </c>
      <c r="FO120">
        <v>-2.7142391389806329E-5</v>
      </c>
      <c r="FP120">
        <v>3</v>
      </c>
      <c r="FQ120">
        <v>2158</v>
      </c>
      <c r="FR120">
        <v>1</v>
      </c>
      <c r="FS120">
        <v>19</v>
      </c>
      <c r="FT120">
        <v>24.7</v>
      </c>
      <c r="FU120">
        <v>24.7</v>
      </c>
      <c r="FV120">
        <v>1.7785599999999999</v>
      </c>
      <c r="FW120">
        <v>2.5817899999999998</v>
      </c>
      <c r="FX120">
        <v>1.5490699999999999</v>
      </c>
      <c r="FY120">
        <v>2.3290999999999999</v>
      </c>
      <c r="FZ120">
        <v>1.50024</v>
      </c>
      <c r="GA120">
        <v>2.32056</v>
      </c>
      <c r="GB120">
        <v>33.850900000000003</v>
      </c>
      <c r="GC120">
        <v>23.982399999999998</v>
      </c>
      <c r="GD120">
        <v>19</v>
      </c>
      <c r="GE120">
        <v>236.53299999999999</v>
      </c>
      <c r="GF120">
        <v>581.82299999999998</v>
      </c>
      <c r="GG120">
        <v>25.200900000000001</v>
      </c>
      <c r="GH120">
        <v>26.279800000000002</v>
      </c>
      <c r="GI120">
        <v>30.0002</v>
      </c>
      <c r="GJ120">
        <v>26.4236</v>
      </c>
      <c r="GK120">
        <v>26.400700000000001</v>
      </c>
      <c r="GL120">
        <v>35.564599999999999</v>
      </c>
      <c r="GM120">
        <v>-30</v>
      </c>
      <c r="GN120">
        <v>-30</v>
      </c>
      <c r="GO120">
        <v>25.2041</v>
      </c>
      <c r="GP120">
        <v>800</v>
      </c>
      <c r="GQ120">
        <v>12.5298</v>
      </c>
      <c r="GR120">
        <v>99.710400000000007</v>
      </c>
      <c r="GS120">
        <v>99.518600000000006</v>
      </c>
    </row>
    <row r="121" spans="1:201" x14ac:dyDescent="0.25">
      <c r="A121">
        <v>105</v>
      </c>
      <c r="B121">
        <v>1690216334.5999999</v>
      </c>
      <c r="C121">
        <v>1389.099999904633</v>
      </c>
      <c r="D121" t="s">
        <v>543</v>
      </c>
      <c r="E121" t="s">
        <v>544</v>
      </c>
      <c r="F121" t="s">
        <v>330</v>
      </c>
      <c r="H121">
        <v>1690216334.5999999</v>
      </c>
      <c r="I121">
        <f t="shared" si="30"/>
        <v>1.4400557585873552E-3</v>
      </c>
      <c r="J121">
        <f t="shared" si="31"/>
        <v>1.4400557585873552</v>
      </c>
      <c r="K121">
        <f t="shared" si="32"/>
        <v>20.699189806687489</v>
      </c>
      <c r="L121">
        <f t="shared" si="33"/>
        <v>559.27499999999998</v>
      </c>
      <c r="M121">
        <f t="shared" si="34"/>
        <v>124.19401711334235</v>
      </c>
      <c r="N121">
        <f t="shared" si="35"/>
        <v>12.31816309537404</v>
      </c>
      <c r="O121">
        <f t="shared" si="36"/>
        <v>55.471598594625</v>
      </c>
      <c r="P121">
        <f t="shared" si="37"/>
        <v>7.9353195321878248E-2</v>
      </c>
      <c r="Q121">
        <f t="shared" si="38"/>
        <v>2.0647625718935942</v>
      </c>
      <c r="R121">
        <f t="shared" si="39"/>
        <v>7.7697057796957389E-2</v>
      </c>
      <c r="S121">
        <f t="shared" si="40"/>
        <v>4.8706579664878305E-2</v>
      </c>
      <c r="T121">
        <f t="shared" si="41"/>
        <v>276.11410996800004</v>
      </c>
      <c r="U121">
        <f t="shared" si="42"/>
        <v>28.55759710117713</v>
      </c>
      <c r="V121">
        <f t="shared" si="43"/>
        <v>28.55759710117713</v>
      </c>
      <c r="W121">
        <f t="shared" si="44"/>
        <v>3.9199578948291673</v>
      </c>
      <c r="X121">
        <f t="shared" si="45"/>
        <v>60.335025913630759</v>
      </c>
      <c r="Y121">
        <f t="shared" si="46"/>
        <v>2.1377803411724998</v>
      </c>
      <c r="Z121">
        <f t="shared" si="47"/>
        <v>3.5431829336291663</v>
      </c>
      <c r="AA121">
        <f t="shared" si="48"/>
        <v>1.7821775536566675</v>
      </c>
      <c r="AB121">
        <f t="shared" si="49"/>
        <v>-63.506458953702364</v>
      </c>
      <c r="AC121">
        <f t="shared" si="50"/>
        <v>-192.51979958860809</v>
      </c>
      <c r="AD121">
        <f t="shared" si="51"/>
        <v>-20.262329773934066</v>
      </c>
      <c r="AE121">
        <f t="shared" si="52"/>
        <v>-0.1744783482444916</v>
      </c>
      <c r="AF121">
        <v>45</v>
      </c>
      <c r="AG121">
        <v>15</v>
      </c>
      <c r="AH121">
        <f t="shared" si="53"/>
        <v>1</v>
      </c>
      <c r="AI121">
        <f t="shared" si="54"/>
        <v>0</v>
      </c>
      <c r="AJ121">
        <f t="shared" si="55"/>
        <v>52448.416535766592</v>
      </c>
      <c r="AK121">
        <f t="shared" si="56"/>
        <v>1800</v>
      </c>
      <c r="AL121">
        <f t="shared" si="57"/>
        <v>1499.1109577999998</v>
      </c>
      <c r="AM121">
        <f t="shared" si="58"/>
        <v>0.83283942099999986</v>
      </c>
      <c r="AN121">
        <f t="shared" si="59"/>
        <v>0.15339672776000002</v>
      </c>
      <c r="AO121">
        <v>33.6</v>
      </c>
      <c r="AP121">
        <v>0.5</v>
      </c>
      <c r="AQ121" t="s">
        <v>331</v>
      </c>
      <c r="AR121">
        <v>2</v>
      </c>
      <c r="AS121">
        <v>1690216334.5999999</v>
      </c>
      <c r="AT121">
        <v>559.27499999999998</v>
      </c>
      <c r="AU121">
        <v>799.96500000000003</v>
      </c>
      <c r="AV121">
        <v>21.5535</v>
      </c>
      <c r="AW121">
        <v>5.7830700000000004</v>
      </c>
      <c r="AX121">
        <v>559.495</v>
      </c>
      <c r="AY121">
        <v>21.306699999999999</v>
      </c>
      <c r="AZ121">
        <v>300.20100000000002</v>
      </c>
      <c r="BA121">
        <v>99.084800000000001</v>
      </c>
      <c r="BB121">
        <v>0.100035</v>
      </c>
      <c r="BC121">
        <v>26.828099999999999</v>
      </c>
      <c r="BD121">
        <v>26.988199999999999</v>
      </c>
      <c r="BE121">
        <v>28.346499999999999</v>
      </c>
      <c r="BF121">
        <v>0</v>
      </c>
      <c r="BG121">
        <v>0</v>
      </c>
      <c r="BH121">
        <v>10005</v>
      </c>
      <c r="BI121">
        <v>1076.23</v>
      </c>
      <c r="BJ121">
        <v>1.8501799999999999</v>
      </c>
      <c r="BK121">
        <v>-240.69</v>
      </c>
      <c r="BL121">
        <v>571.59400000000005</v>
      </c>
      <c r="BM121">
        <v>804.61800000000005</v>
      </c>
      <c r="BN121">
        <v>15.7704</v>
      </c>
      <c r="BO121">
        <v>799.96500000000003</v>
      </c>
      <c r="BP121">
        <v>5.7830700000000004</v>
      </c>
      <c r="BQ121">
        <v>2.1356199999999999</v>
      </c>
      <c r="BR121">
        <v>0.57301400000000002</v>
      </c>
      <c r="BS121">
        <v>18.487400000000001</v>
      </c>
      <c r="BT121">
        <v>-0.93963300000000005</v>
      </c>
      <c r="BU121">
        <v>1800</v>
      </c>
      <c r="BV121">
        <v>0.91000599999999998</v>
      </c>
      <c r="BW121">
        <v>3.3998500000000001E-2</v>
      </c>
      <c r="BX121">
        <v>2.1991299999999998E-2</v>
      </c>
      <c r="BY121">
        <v>3.4004E-2</v>
      </c>
      <c r="BZ121">
        <v>26</v>
      </c>
      <c r="CA121">
        <v>33528.5</v>
      </c>
      <c r="CB121">
        <v>1690214843</v>
      </c>
      <c r="CC121" t="s">
        <v>332</v>
      </c>
      <c r="CD121">
        <v>1690214842</v>
      </c>
      <c r="CE121">
        <v>1690214843</v>
      </c>
      <c r="CF121">
        <v>8</v>
      </c>
      <c r="CG121">
        <v>-6.3E-2</v>
      </c>
      <c r="CH121">
        <v>1E-3</v>
      </c>
      <c r="CI121">
        <v>-0.38900000000000001</v>
      </c>
      <c r="CJ121">
        <v>-6.6000000000000003E-2</v>
      </c>
      <c r="CK121">
        <v>800</v>
      </c>
      <c r="CL121">
        <v>6</v>
      </c>
      <c r="CM121">
        <v>0.23</v>
      </c>
      <c r="CN121">
        <v>0.02</v>
      </c>
      <c r="CO121">
        <v>-237.45802439024391</v>
      </c>
      <c r="CP121">
        <v>-17.61643902439069</v>
      </c>
      <c r="CQ121">
        <v>1.7373001550317699</v>
      </c>
      <c r="CR121">
        <v>-1</v>
      </c>
      <c r="CS121">
        <v>15.619239024390239</v>
      </c>
      <c r="CT121">
        <v>0.82605574912893298</v>
      </c>
      <c r="CU121">
        <v>8.1460039217349303E-2</v>
      </c>
      <c r="CV121">
        <v>-1</v>
      </c>
      <c r="CW121">
        <v>0</v>
      </c>
      <c r="CX121">
        <v>0</v>
      </c>
      <c r="CY121" t="s">
        <v>333</v>
      </c>
      <c r="CZ121">
        <v>2.36456</v>
      </c>
      <c r="DA121">
        <v>2.7138300000000002</v>
      </c>
      <c r="DB121">
        <v>0.114609</v>
      </c>
      <c r="DC121">
        <v>0.146069</v>
      </c>
      <c r="DD121">
        <v>0.105305</v>
      </c>
      <c r="DE121">
        <v>3.8276999999999999E-2</v>
      </c>
      <c r="DF121">
        <v>32320.3</v>
      </c>
      <c r="DG121">
        <v>27507.8</v>
      </c>
      <c r="DH121">
        <v>31163.7</v>
      </c>
      <c r="DI121">
        <v>28069.599999999999</v>
      </c>
      <c r="DJ121">
        <v>37853.5</v>
      </c>
      <c r="DK121">
        <v>38385.9</v>
      </c>
      <c r="DL121">
        <v>44347.8</v>
      </c>
      <c r="DM121">
        <v>42539.5</v>
      </c>
      <c r="DN121">
        <v>1.3593999999999999</v>
      </c>
      <c r="DO121">
        <v>2.0337299999999998</v>
      </c>
      <c r="DP121">
        <v>8.3971799999999999E-2</v>
      </c>
      <c r="DQ121">
        <v>0.18146999999999999</v>
      </c>
      <c r="DR121">
        <v>25.613299999999999</v>
      </c>
      <c r="DS121">
        <v>25.3781</v>
      </c>
      <c r="DT121">
        <v>17.100000000000001</v>
      </c>
      <c r="DU121">
        <v>29.8</v>
      </c>
      <c r="DV121">
        <v>7.2685899999999997</v>
      </c>
      <c r="DW121">
        <v>61.648499999999999</v>
      </c>
      <c r="DX121">
        <v>36.394199999999998</v>
      </c>
      <c r="DY121">
        <v>1</v>
      </c>
      <c r="DZ121">
        <v>-8.8292700000000002E-2</v>
      </c>
      <c r="EA121">
        <v>-0.16869600000000001</v>
      </c>
      <c r="EB121">
        <v>20.189900000000002</v>
      </c>
      <c r="EC121">
        <v>5.2415500000000002</v>
      </c>
      <c r="ED121">
        <v>12.039899999999999</v>
      </c>
      <c r="EE121">
        <v>5.0172999999999996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1.86893</v>
      </c>
      <c r="EL121">
        <v>1.86466</v>
      </c>
      <c r="EM121">
        <v>1.8692</v>
      </c>
      <c r="EN121">
        <v>1.86724</v>
      </c>
      <c r="EO121">
        <v>1.8633999999999999</v>
      </c>
      <c r="EP121">
        <v>1.86459</v>
      </c>
      <c r="EQ121">
        <v>1.87015</v>
      </c>
      <c r="ER121">
        <v>1.8694900000000001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-0.22</v>
      </c>
      <c r="FG121">
        <v>0.24679999999999999</v>
      </c>
      <c r="FH121">
        <v>0.16202357103534001</v>
      </c>
      <c r="FI121">
        <v>-6.1462078757559423E-4</v>
      </c>
      <c r="FJ121">
        <v>-1.8861989874597051E-7</v>
      </c>
      <c r="FK121">
        <v>1.1980462299894961E-10</v>
      </c>
      <c r="FL121">
        <v>-3.0039189969545878E-2</v>
      </c>
      <c r="FM121">
        <v>-1.6848085045870601E-2</v>
      </c>
      <c r="FN121">
        <v>1.9789084769509481E-3</v>
      </c>
      <c r="FO121">
        <v>-2.7142391389806329E-5</v>
      </c>
      <c r="FP121">
        <v>3</v>
      </c>
      <c r="FQ121">
        <v>2158</v>
      </c>
      <c r="FR121">
        <v>1</v>
      </c>
      <c r="FS121">
        <v>19</v>
      </c>
      <c r="FT121">
        <v>24.9</v>
      </c>
      <c r="FU121">
        <v>24.9</v>
      </c>
      <c r="FV121">
        <v>1.7785599999999999</v>
      </c>
      <c r="FW121">
        <v>2.5866699999999998</v>
      </c>
      <c r="FX121">
        <v>1.5490699999999999</v>
      </c>
      <c r="FY121">
        <v>2.3290999999999999</v>
      </c>
      <c r="FZ121">
        <v>1.50146</v>
      </c>
      <c r="GA121">
        <v>2.2900399999999999</v>
      </c>
      <c r="GB121">
        <v>33.8735</v>
      </c>
      <c r="GC121">
        <v>23.982399999999998</v>
      </c>
      <c r="GD121">
        <v>19</v>
      </c>
      <c r="GE121">
        <v>236.41499999999999</v>
      </c>
      <c r="GF121">
        <v>581.654</v>
      </c>
      <c r="GG121">
        <v>25.208500000000001</v>
      </c>
      <c r="GH121">
        <v>26.279800000000002</v>
      </c>
      <c r="GI121">
        <v>30.0001</v>
      </c>
      <c r="GJ121">
        <v>26.421299999999999</v>
      </c>
      <c r="GK121">
        <v>26.398599999999998</v>
      </c>
      <c r="GL121">
        <v>35.564599999999999</v>
      </c>
      <c r="GM121">
        <v>-30</v>
      </c>
      <c r="GN121">
        <v>-30</v>
      </c>
      <c r="GO121">
        <v>25.212499999999999</v>
      </c>
      <c r="GP121">
        <v>800</v>
      </c>
      <c r="GQ121">
        <v>12.5298</v>
      </c>
      <c r="GR121">
        <v>99.709199999999996</v>
      </c>
      <c r="GS121">
        <v>99.518699999999995</v>
      </c>
    </row>
    <row r="122" spans="1:201" x14ac:dyDescent="0.25">
      <c r="A122">
        <v>106</v>
      </c>
      <c r="B122">
        <v>1690216344.5999999</v>
      </c>
      <c r="C122">
        <v>1399.099999904633</v>
      </c>
      <c r="D122" t="s">
        <v>545</v>
      </c>
      <c r="E122" t="s">
        <v>546</v>
      </c>
      <c r="F122" t="s">
        <v>330</v>
      </c>
      <c r="H122">
        <v>1690216344.5999999</v>
      </c>
      <c r="I122">
        <f t="shared" si="30"/>
        <v>1.4480640039380773E-3</v>
      </c>
      <c r="J122">
        <f t="shared" si="31"/>
        <v>1.4480640039380772</v>
      </c>
      <c r="K122">
        <f t="shared" si="32"/>
        <v>20.980224928210866</v>
      </c>
      <c r="L122">
        <f t="shared" si="33"/>
        <v>556.17899999999997</v>
      </c>
      <c r="M122">
        <f t="shared" si="34"/>
        <v>120.15187433006251</v>
      </c>
      <c r="N122">
        <f t="shared" si="35"/>
        <v>11.916875084265666</v>
      </c>
      <c r="O122">
        <f t="shared" si="36"/>
        <v>55.162815432113995</v>
      </c>
      <c r="P122">
        <f t="shared" si="37"/>
        <v>8.0236816874706185E-2</v>
      </c>
      <c r="Q122">
        <f t="shared" si="38"/>
        <v>2.0664402776553894</v>
      </c>
      <c r="R122">
        <f t="shared" si="39"/>
        <v>7.8545357886630904E-2</v>
      </c>
      <c r="S122">
        <f t="shared" si="40"/>
        <v>4.9239849681732326E-2</v>
      </c>
      <c r="T122">
        <f t="shared" si="41"/>
        <v>276.11408341800001</v>
      </c>
      <c r="U122">
        <f t="shared" si="42"/>
        <v>28.552955359527594</v>
      </c>
      <c r="V122">
        <f t="shared" si="43"/>
        <v>28.552955359527594</v>
      </c>
      <c r="W122">
        <f t="shared" si="44"/>
        <v>3.9189016721018368</v>
      </c>
      <c r="X122">
        <f t="shared" si="45"/>
        <v>60.577073410996043</v>
      </c>
      <c r="Y122">
        <f t="shared" si="46"/>
        <v>2.1462934162400003</v>
      </c>
      <c r="Z122">
        <f t="shared" si="47"/>
        <v>3.5430787513917794</v>
      </c>
      <c r="AA122">
        <f t="shared" si="48"/>
        <v>1.7726082558618366</v>
      </c>
      <c r="AB122">
        <f t="shared" si="49"/>
        <v>-63.859622573669206</v>
      </c>
      <c r="AC122">
        <f t="shared" si="50"/>
        <v>-192.21481538748517</v>
      </c>
      <c r="AD122">
        <f t="shared" si="51"/>
        <v>-20.213286960321145</v>
      </c>
      <c r="AE122">
        <f t="shared" si="52"/>
        <v>-0.17364150347552254</v>
      </c>
      <c r="AF122">
        <v>45</v>
      </c>
      <c r="AG122">
        <v>15</v>
      </c>
      <c r="AH122">
        <f t="shared" si="53"/>
        <v>1</v>
      </c>
      <c r="AI122">
        <f t="shared" si="54"/>
        <v>0</v>
      </c>
      <c r="AJ122">
        <f t="shared" si="55"/>
        <v>52525.269187557846</v>
      </c>
      <c r="AK122">
        <f t="shared" si="56"/>
        <v>1800</v>
      </c>
      <c r="AL122">
        <f t="shared" si="57"/>
        <v>1499.1098058</v>
      </c>
      <c r="AM122">
        <f t="shared" si="58"/>
        <v>0.83283878099999997</v>
      </c>
      <c r="AN122">
        <f t="shared" si="59"/>
        <v>0.15339671300999999</v>
      </c>
      <c r="AO122">
        <v>33.6</v>
      </c>
      <c r="AP122">
        <v>0.5</v>
      </c>
      <c r="AQ122" t="s">
        <v>331</v>
      </c>
      <c r="AR122">
        <v>2</v>
      </c>
      <c r="AS122">
        <v>1690216344.5999999</v>
      </c>
      <c r="AT122">
        <v>556.17899999999997</v>
      </c>
      <c r="AU122">
        <v>800.01199999999994</v>
      </c>
      <c r="AV122">
        <v>21.64</v>
      </c>
      <c r="AW122">
        <v>5.7834300000000001</v>
      </c>
      <c r="AX122">
        <v>556.39700000000005</v>
      </c>
      <c r="AY122">
        <v>21.447399999999998</v>
      </c>
      <c r="AZ122">
        <v>300.20400000000001</v>
      </c>
      <c r="BA122">
        <v>99.081699999999998</v>
      </c>
      <c r="BB122">
        <v>0.100066</v>
      </c>
      <c r="BC122">
        <v>26.8276</v>
      </c>
      <c r="BD122">
        <v>26.991199999999999</v>
      </c>
      <c r="BE122">
        <v>28.3611</v>
      </c>
      <c r="BF122">
        <v>0</v>
      </c>
      <c r="BG122">
        <v>0</v>
      </c>
      <c r="BH122">
        <v>10020.6</v>
      </c>
      <c r="BI122">
        <v>1076.3499999999999</v>
      </c>
      <c r="BJ122">
        <v>1.8501799999999999</v>
      </c>
      <c r="BK122">
        <v>-243.833</v>
      </c>
      <c r="BL122">
        <v>568.48099999999999</v>
      </c>
      <c r="BM122">
        <v>804.66600000000005</v>
      </c>
      <c r="BN122">
        <v>15.8565</v>
      </c>
      <c r="BO122">
        <v>800.01199999999994</v>
      </c>
      <c r="BP122">
        <v>5.7834300000000001</v>
      </c>
      <c r="BQ122">
        <v>2.14412</v>
      </c>
      <c r="BR122">
        <v>0.57303199999999999</v>
      </c>
      <c r="BS122">
        <v>18.550799999999999</v>
      </c>
      <c r="BT122">
        <v>-0.93921100000000002</v>
      </c>
      <c r="BU122">
        <v>1800</v>
      </c>
      <c r="BV122">
        <v>0.91</v>
      </c>
      <c r="BW122">
        <v>3.3997800000000002E-2</v>
      </c>
      <c r="BX122">
        <v>2.1990800000000001E-2</v>
      </c>
      <c r="BY122">
        <v>3.4011100000000002E-2</v>
      </c>
      <c r="BZ122">
        <v>26</v>
      </c>
      <c r="CA122">
        <v>33528.5</v>
      </c>
      <c r="CB122">
        <v>1690214843</v>
      </c>
      <c r="CC122" t="s">
        <v>332</v>
      </c>
      <c r="CD122">
        <v>1690214842</v>
      </c>
      <c r="CE122">
        <v>1690214843</v>
      </c>
      <c r="CF122">
        <v>8</v>
      </c>
      <c r="CG122">
        <v>-6.3E-2</v>
      </c>
      <c r="CH122">
        <v>1E-3</v>
      </c>
      <c r="CI122">
        <v>-0.38900000000000001</v>
      </c>
      <c r="CJ122">
        <v>-6.6000000000000003E-2</v>
      </c>
      <c r="CK122">
        <v>800</v>
      </c>
      <c r="CL122">
        <v>6</v>
      </c>
      <c r="CM122">
        <v>0.23</v>
      </c>
      <c r="CN122">
        <v>0.02</v>
      </c>
      <c r="CO122">
        <v>-240.44156097560969</v>
      </c>
      <c r="CP122">
        <v>-18.24917770034838</v>
      </c>
      <c r="CQ122">
        <v>1.7998124299124449</v>
      </c>
      <c r="CR122">
        <v>-1</v>
      </c>
      <c r="CS122">
        <v>15.7485756097561</v>
      </c>
      <c r="CT122">
        <v>0.69959163763069576</v>
      </c>
      <c r="CU122">
        <v>7.071846545518036E-2</v>
      </c>
      <c r="CV122">
        <v>-1</v>
      </c>
      <c r="CW122">
        <v>0</v>
      </c>
      <c r="CX122">
        <v>0</v>
      </c>
      <c r="CY122" t="s">
        <v>333</v>
      </c>
      <c r="CZ122">
        <v>2.3645499999999999</v>
      </c>
      <c r="DA122">
        <v>2.7138800000000001</v>
      </c>
      <c r="DB122">
        <v>0.114153</v>
      </c>
      <c r="DC122">
        <v>0.14607000000000001</v>
      </c>
      <c r="DD122">
        <v>0.105794</v>
      </c>
      <c r="DE122">
        <v>3.8277699999999998E-2</v>
      </c>
      <c r="DF122">
        <v>32337</v>
      </c>
      <c r="DG122">
        <v>27508.2</v>
      </c>
      <c r="DH122">
        <v>31163.8</v>
      </c>
      <c r="DI122">
        <v>28070.1</v>
      </c>
      <c r="DJ122">
        <v>37832.5</v>
      </c>
      <c r="DK122">
        <v>38386.5</v>
      </c>
      <c r="DL122">
        <v>44347.8</v>
      </c>
      <c r="DM122">
        <v>42540.3</v>
      </c>
      <c r="DN122">
        <v>1.35927</v>
      </c>
      <c r="DO122">
        <v>2.0337700000000001</v>
      </c>
      <c r="DP122">
        <v>8.4221400000000002E-2</v>
      </c>
      <c r="DQ122">
        <v>0.18223400000000001</v>
      </c>
      <c r="DR122">
        <v>25.612300000000001</v>
      </c>
      <c r="DS122">
        <v>25.380199999999999</v>
      </c>
      <c r="DT122">
        <v>17.100000000000001</v>
      </c>
      <c r="DU122">
        <v>29.8</v>
      </c>
      <c r="DV122">
        <v>7.2683799999999996</v>
      </c>
      <c r="DW122">
        <v>61.4285</v>
      </c>
      <c r="DX122">
        <v>36.634599999999999</v>
      </c>
      <c r="DY122">
        <v>1</v>
      </c>
      <c r="DZ122">
        <v>-8.8343500000000005E-2</v>
      </c>
      <c r="EA122">
        <v>-0.17653099999999999</v>
      </c>
      <c r="EB122">
        <v>20.189699999999998</v>
      </c>
      <c r="EC122">
        <v>5.2416999999999998</v>
      </c>
      <c r="ED122">
        <v>12.039899999999999</v>
      </c>
      <c r="EE122">
        <v>5.01715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1.8689100000000001</v>
      </c>
      <c r="EL122">
        <v>1.86466</v>
      </c>
      <c r="EM122">
        <v>1.8692</v>
      </c>
      <c r="EN122">
        <v>1.8672299999999999</v>
      </c>
      <c r="EO122">
        <v>1.86341</v>
      </c>
      <c r="EP122">
        <v>1.8645799999999999</v>
      </c>
      <c r="EQ122">
        <v>1.87015</v>
      </c>
      <c r="ER122">
        <v>1.8694900000000001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-0.218</v>
      </c>
      <c r="FG122">
        <v>0.19259999999999999</v>
      </c>
      <c r="FH122">
        <v>0.16202357103534001</v>
      </c>
      <c r="FI122">
        <v>-6.1462078757559423E-4</v>
      </c>
      <c r="FJ122">
        <v>-1.8861989874597051E-7</v>
      </c>
      <c r="FK122">
        <v>1.1980462299894961E-10</v>
      </c>
      <c r="FL122">
        <v>0.19260234566371101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25</v>
      </c>
      <c r="FU122">
        <v>25</v>
      </c>
      <c r="FV122">
        <v>1.7785599999999999</v>
      </c>
      <c r="FW122">
        <v>2.5866699999999998</v>
      </c>
      <c r="FX122">
        <v>1.5490699999999999</v>
      </c>
      <c r="FY122">
        <v>2.3290999999999999</v>
      </c>
      <c r="FZ122">
        <v>1.50146</v>
      </c>
      <c r="GA122">
        <v>2.2656200000000002</v>
      </c>
      <c r="GB122">
        <v>33.8735</v>
      </c>
      <c r="GC122">
        <v>23.973700000000001</v>
      </c>
      <c r="GD122">
        <v>19</v>
      </c>
      <c r="GE122">
        <v>236.36699999999999</v>
      </c>
      <c r="GF122">
        <v>581.68299999999999</v>
      </c>
      <c r="GG122">
        <v>25.2164</v>
      </c>
      <c r="GH122">
        <v>26.2775</v>
      </c>
      <c r="GI122">
        <v>30</v>
      </c>
      <c r="GJ122">
        <v>26.421299999999999</v>
      </c>
      <c r="GK122">
        <v>26.397400000000001</v>
      </c>
      <c r="GL122">
        <v>35.561900000000001</v>
      </c>
      <c r="GM122">
        <v>-30</v>
      </c>
      <c r="GN122">
        <v>-30</v>
      </c>
      <c r="GO122">
        <v>25.220800000000001</v>
      </c>
      <c r="GP122">
        <v>800</v>
      </c>
      <c r="GQ122">
        <v>12.5298</v>
      </c>
      <c r="GR122">
        <v>99.709299999999999</v>
      </c>
      <c r="GS122">
        <v>99.520399999999995</v>
      </c>
    </row>
    <row r="123" spans="1:201" x14ac:dyDescent="0.25">
      <c r="A123">
        <v>107</v>
      </c>
      <c r="B123">
        <v>1690216354.5999999</v>
      </c>
      <c r="C123">
        <v>1409.099999904633</v>
      </c>
      <c r="D123" t="s">
        <v>547</v>
      </c>
      <c r="E123" t="s">
        <v>548</v>
      </c>
      <c r="F123" t="s">
        <v>330</v>
      </c>
      <c r="H123">
        <v>1690216354.5999999</v>
      </c>
      <c r="I123">
        <f t="shared" si="30"/>
        <v>1.4606302011918046E-3</v>
      </c>
      <c r="J123">
        <f t="shared" si="31"/>
        <v>1.4606302011918046</v>
      </c>
      <c r="K123">
        <f t="shared" si="32"/>
        <v>21.248955008094253</v>
      </c>
      <c r="L123">
        <f t="shared" si="33"/>
        <v>553.09</v>
      </c>
      <c r="M123">
        <f t="shared" si="34"/>
        <v>118.948828192885</v>
      </c>
      <c r="N123">
        <f t="shared" si="35"/>
        <v>11.797939119885283</v>
      </c>
      <c r="O123">
        <f t="shared" si="36"/>
        <v>54.858229769494002</v>
      </c>
      <c r="P123">
        <f t="shared" si="37"/>
        <v>8.1623332968787349E-2</v>
      </c>
      <c r="Q123">
        <f t="shared" si="38"/>
        <v>2.0669604117711975</v>
      </c>
      <c r="R123">
        <f t="shared" si="39"/>
        <v>7.9874028034926631E-2</v>
      </c>
      <c r="S123">
        <f t="shared" si="40"/>
        <v>5.0075313110752528E-2</v>
      </c>
      <c r="T123">
        <f t="shared" si="41"/>
        <v>276.11400126600006</v>
      </c>
      <c r="U123">
        <f t="shared" si="42"/>
        <v>28.549355733845196</v>
      </c>
      <c r="V123">
        <f t="shared" si="43"/>
        <v>28.549355733845196</v>
      </c>
      <c r="W123">
        <f t="shared" si="44"/>
        <v>3.9180827525023405</v>
      </c>
      <c r="X123">
        <f t="shared" si="45"/>
        <v>60.956224618732854</v>
      </c>
      <c r="Y123">
        <f t="shared" si="46"/>
        <v>2.1598921599602394</v>
      </c>
      <c r="Z123">
        <f t="shared" si="47"/>
        <v>3.5433496307717007</v>
      </c>
      <c r="AA123">
        <f t="shared" si="48"/>
        <v>1.7581905925421011</v>
      </c>
      <c r="AB123">
        <f t="shared" si="49"/>
        <v>-64.413791872558591</v>
      </c>
      <c r="AC123">
        <f t="shared" si="50"/>
        <v>-191.71721214888879</v>
      </c>
      <c r="AD123">
        <f t="shared" si="51"/>
        <v>-20.155653556974872</v>
      </c>
      <c r="AE123">
        <f t="shared" si="52"/>
        <v>-0.17265631242219115</v>
      </c>
      <c r="AF123">
        <v>45</v>
      </c>
      <c r="AG123">
        <v>15</v>
      </c>
      <c r="AH123">
        <f t="shared" si="53"/>
        <v>1</v>
      </c>
      <c r="AI123">
        <f t="shared" si="54"/>
        <v>0</v>
      </c>
      <c r="AJ123">
        <f t="shared" si="55"/>
        <v>52548.952604195169</v>
      </c>
      <c r="AK123">
        <f t="shared" si="56"/>
        <v>1800</v>
      </c>
      <c r="AL123">
        <f t="shared" si="57"/>
        <v>1499.1095915999997</v>
      </c>
      <c r="AM123">
        <f t="shared" si="58"/>
        <v>0.8328386619999999</v>
      </c>
      <c r="AN123">
        <f t="shared" si="59"/>
        <v>0.15339666737000002</v>
      </c>
      <c r="AO123">
        <v>33.6</v>
      </c>
      <c r="AP123">
        <v>0.5</v>
      </c>
      <c r="AQ123" t="s">
        <v>331</v>
      </c>
      <c r="AR123">
        <v>2</v>
      </c>
      <c r="AS123">
        <v>1690216354.5999999</v>
      </c>
      <c r="AT123">
        <v>553.09</v>
      </c>
      <c r="AU123">
        <v>799.99300000000005</v>
      </c>
      <c r="AV123">
        <v>21.776399999999999</v>
      </c>
      <c r="AW123">
        <v>5.7822199999999997</v>
      </c>
      <c r="AX123">
        <v>553.30499999999995</v>
      </c>
      <c r="AY123">
        <v>21.5838</v>
      </c>
      <c r="AZ123">
        <v>300.16199999999998</v>
      </c>
      <c r="BA123">
        <v>99.085099999999997</v>
      </c>
      <c r="BB123">
        <v>9.9896600000000002E-2</v>
      </c>
      <c r="BC123">
        <v>26.828900000000001</v>
      </c>
      <c r="BD123">
        <v>27.0014</v>
      </c>
      <c r="BE123">
        <v>28.3599</v>
      </c>
      <c r="BF123">
        <v>0</v>
      </c>
      <c r="BG123">
        <v>0</v>
      </c>
      <c r="BH123">
        <v>10025</v>
      </c>
      <c r="BI123">
        <v>1076.51</v>
      </c>
      <c r="BJ123">
        <v>1.8501799999999999</v>
      </c>
      <c r="BK123">
        <v>-246.90299999999999</v>
      </c>
      <c r="BL123">
        <v>565.40200000000004</v>
      </c>
      <c r="BM123">
        <v>804.64599999999996</v>
      </c>
      <c r="BN123">
        <v>15.994199999999999</v>
      </c>
      <c r="BO123">
        <v>799.99300000000005</v>
      </c>
      <c r="BP123">
        <v>5.7822199999999997</v>
      </c>
      <c r="BQ123">
        <v>2.1577199999999999</v>
      </c>
      <c r="BR123">
        <v>0.57293099999999997</v>
      </c>
      <c r="BS123">
        <v>18.651800000000001</v>
      </c>
      <c r="BT123">
        <v>-0.94161099999999998</v>
      </c>
      <c r="BU123">
        <v>1800</v>
      </c>
      <c r="BV123">
        <v>0.909999</v>
      </c>
      <c r="BW123">
        <v>3.3996699999999998E-2</v>
      </c>
      <c r="BX123">
        <v>2.1990099999999999E-2</v>
      </c>
      <c r="BY123">
        <v>3.40139E-2</v>
      </c>
      <c r="BZ123">
        <v>26</v>
      </c>
      <c r="CA123">
        <v>33528.6</v>
      </c>
      <c r="CB123">
        <v>1690214843</v>
      </c>
      <c r="CC123" t="s">
        <v>332</v>
      </c>
      <c r="CD123">
        <v>1690214842</v>
      </c>
      <c r="CE123">
        <v>1690214843</v>
      </c>
      <c r="CF123">
        <v>8</v>
      </c>
      <c r="CG123">
        <v>-6.3E-2</v>
      </c>
      <c r="CH123">
        <v>1E-3</v>
      </c>
      <c r="CI123">
        <v>-0.38900000000000001</v>
      </c>
      <c r="CJ123">
        <v>-6.6000000000000003E-2</v>
      </c>
      <c r="CK123">
        <v>800</v>
      </c>
      <c r="CL123">
        <v>6</v>
      </c>
      <c r="CM123">
        <v>0.23</v>
      </c>
      <c r="CN123">
        <v>0.02</v>
      </c>
      <c r="CO123">
        <v>-243.48473170731711</v>
      </c>
      <c r="CP123">
        <v>-18.3865923344955</v>
      </c>
      <c r="CQ123">
        <v>1.81327474980019</v>
      </c>
      <c r="CR123">
        <v>-1</v>
      </c>
      <c r="CS123">
        <v>15.860982926829269</v>
      </c>
      <c r="CT123">
        <v>0.61630871080141925</v>
      </c>
      <c r="CU123">
        <v>6.2571956246443447E-2</v>
      </c>
      <c r="CV123">
        <v>-1</v>
      </c>
      <c r="CW123">
        <v>0</v>
      </c>
      <c r="CX123">
        <v>0</v>
      </c>
      <c r="CY123" t="s">
        <v>333</v>
      </c>
      <c r="CZ123">
        <v>2.3644400000000001</v>
      </c>
      <c r="DA123">
        <v>2.7137099999999998</v>
      </c>
      <c r="DB123">
        <v>0.113706</v>
      </c>
      <c r="DC123">
        <v>0.14607400000000001</v>
      </c>
      <c r="DD123">
        <v>0.106276</v>
      </c>
      <c r="DE123">
        <v>3.8272800000000003E-2</v>
      </c>
      <c r="DF123">
        <v>32353.3</v>
      </c>
      <c r="DG123">
        <v>27508</v>
      </c>
      <c r="DH123">
        <v>31163.7</v>
      </c>
      <c r="DI123">
        <v>28070</v>
      </c>
      <c r="DJ123">
        <v>37811.9</v>
      </c>
      <c r="DK123">
        <v>38386.6</v>
      </c>
      <c r="DL123">
        <v>44347.8</v>
      </c>
      <c r="DM123">
        <v>42540.1</v>
      </c>
      <c r="DN123">
        <v>1.3586499999999999</v>
      </c>
      <c r="DO123">
        <v>2.0337700000000001</v>
      </c>
      <c r="DP123">
        <v>8.4806199999999998E-2</v>
      </c>
      <c r="DQ123">
        <v>0.182033</v>
      </c>
      <c r="DR123">
        <v>25.6129</v>
      </c>
      <c r="DS123">
        <v>25.382300000000001</v>
      </c>
      <c r="DT123">
        <v>17.100000000000001</v>
      </c>
      <c r="DU123">
        <v>29.8</v>
      </c>
      <c r="DV123">
        <v>7.2675799999999997</v>
      </c>
      <c r="DW123">
        <v>61.628500000000003</v>
      </c>
      <c r="DX123">
        <v>36.766800000000003</v>
      </c>
      <c r="DY123">
        <v>1</v>
      </c>
      <c r="DZ123">
        <v>-8.8279999999999997E-2</v>
      </c>
      <c r="EA123">
        <v>-0.188301</v>
      </c>
      <c r="EB123">
        <v>20.189900000000002</v>
      </c>
      <c r="EC123">
        <v>5.2421499999999996</v>
      </c>
      <c r="ED123">
        <v>12.039899999999999</v>
      </c>
      <c r="EE123">
        <v>5.0170000000000003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1.86894</v>
      </c>
      <c r="EL123">
        <v>1.86466</v>
      </c>
      <c r="EM123">
        <v>1.8692</v>
      </c>
      <c r="EN123">
        <v>1.86724</v>
      </c>
      <c r="EO123">
        <v>1.86341</v>
      </c>
      <c r="EP123">
        <v>1.8645799999999999</v>
      </c>
      <c r="EQ123">
        <v>1.87015</v>
      </c>
      <c r="ER123">
        <v>1.8694900000000001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-0.215</v>
      </c>
      <c r="FG123">
        <v>0.19259999999999999</v>
      </c>
      <c r="FH123">
        <v>0.16202357103534001</v>
      </c>
      <c r="FI123">
        <v>-6.1462078757559423E-4</v>
      </c>
      <c r="FJ123">
        <v>-1.8861989874597051E-7</v>
      </c>
      <c r="FK123">
        <v>1.1980462299894961E-10</v>
      </c>
      <c r="FL123">
        <v>0.19260234566371101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25.2</v>
      </c>
      <c r="FU123">
        <v>25.2</v>
      </c>
      <c r="FV123">
        <v>1.7785599999999999</v>
      </c>
      <c r="FW123">
        <v>2.5903299999999998</v>
      </c>
      <c r="FX123">
        <v>1.5490699999999999</v>
      </c>
      <c r="FY123">
        <v>2.3290999999999999</v>
      </c>
      <c r="FZ123">
        <v>1.50146</v>
      </c>
      <c r="GA123">
        <v>2.2900399999999999</v>
      </c>
      <c r="GB123">
        <v>33.8735</v>
      </c>
      <c r="GC123">
        <v>23.982399999999998</v>
      </c>
      <c r="GD123">
        <v>19</v>
      </c>
      <c r="GE123">
        <v>236.125</v>
      </c>
      <c r="GF123">
        <v>581.67100000000005</v>
      </c>
      <c r="GG123">
        <v>25.2257</v>
      </c>
      <c r="GH123">
        <v>26.276800000000001</v>
      </c>
      <c r="GI123">
        <v>30.0002</v>
      </c>
      <c r="GJ123">
        <v>26.4191</v>
      </c>
      <c r="GK123">
        <v>26.3964</v>
      </c>
      <c r="GL123">
        <v>35.564</v>
      </c>
      <c r="GM123">
        <v>-30</v>
      </c>
      <c r="GN123">
        <v>-30</v>
      </c>
      <c r="GO123">
        <v>25.228400000000001</v>
      </c>
      <c r="GP123">
        <v>800</v>
      </c>
      <c r="GQ123">
        <v>12.5298</v>
      </c>
      <c r="GR123">
        <v>99.709199999999996</v>
      </c>
      <c r="GS123">
        <v>99.520200000000003</v>
      </c>
    </row>
    <row r="124" spans="1:201" x14ac:dyDescent="0.25">
      <c r="A124">
        <v>108</v>
      </c>
      <c r="B124">
        <v>1690216364.5999999</v>
      </c>
      <c r="C124">
        <v>1419.099999904633</v>
      </c>
      <c r="D124" t="s">
        <v>549</v>
      </c>
      <c r="E124" t="s">
        <v>550</v>
      </c>
      <c r="F124" t="s">
        <v>330</v>
      </c>
      <c r="H124">
        <v>1690216364.5999999</v>
      </c>
      <c r="I124">
        <f t="shared" si="30"/>
        <v>1.4729894310548184E-3</v>
      </c>
      <c r="J124">
        <f t="shared" si="31"/>
        <v>1.4729894310548184</v>
      </c>
      <c r="K124">
        <f t="shared" si="32"/>
        <v>21.504014867553558</v>
      </c>
      <c r="L124">
        <f t="shared" si="33"/>
        <v>550.19399999999996</v>
      </c>
      <c r="M124">
        <f t="shared" si="34"/>
        <v>117.73357247615361</v>
      </c>
      <c r="N124">
        <f t="shared" si="35"/>
        <v>11.677174605433894</v>
      </c>
      <c r="O124">
        <f t="shared" si="36"/>
        <v>54.569918076370193</v>
      </c>
      <c r="P124">
        <f t="shared" si="37"/>
        <v>8.2935058272084999E-2</v>
      </c>
      <c r="Q124">
        <f t="shared" si="38"/>
        <v>2.0611001884691893</v>
      </c>
      <c r="R124">
        <f t="shared" si="39"/>
        <v>8.1124735000857637E-2</v>
      </c>
      <c r="S124">
        <f t="shared" si="40"/>
        <v>5.0862318480745655E-2</v>
      </c>
      <c r="T124">
        <f t="shared" si="41"/>
        <v>276.11491028400002</v>
      </c>
      <c r="U124">
        <f t="shared" si="42"/>
        <v>28.553144829756949</v>
      </c>
      <c r="V124">
        <f t="shared" si="43"/>
        <v>28.553144829756949</v>
      </c>
      <c r="W124">
        <f t="shared" si="44"/>
        <v>3.9189447809647948</v>
      </c>
      <c r="X124">
        <f t="shared" si="45"/>
        <v>61.32312377749686</v>
      </c>
      <c r="Y124">
        <f t="shared" si="46"/>
        <v>2.1733783007882397</v>
      </c>
      <c r="Z124">
        <f t="shared" si="47"/>
        <v>3.5441415357020394</v>
      </c>
      <c r="AA124">
        <f t="shared" si="48"/>
        <v>1.7455664801765551</v>
      </c>
      <c r="AB124">
        <f t="shared" si="49"/>
        <v>-64.958833909517494</v>
      </c>
      <c r="AC124">
        <f t="shared" si="50"/>
        <v>-191.17244598826423</v>
      </c>
      <c r="AD124">
        <f t="shared" si="51"/>
        <v>-20.156288873971221</v>
      </c>
      <c r="AE124">
        <f t="shared" si="52"/>
        <v>-0.17265848775292625</v>
      </c>
      <c r="AF124">
        <v>45</v>
      </c>
      <c r="AG124">
        <v>15</v>
      </c>
      <c r="AH124">
        <f t="shared" si="53"/>
        <v>1</v>
      </c>
      <c r="AI124">
        <f t="shared" si="54"/>
        <v>0</v>
      </c>
      <c r="AJ124">
        <f t="shared" si="55"/>
        <v>52280.131893086422</v>
      </c>
      <c r="AK124">
        <f t="shared" si="56"/>
        <v>1800</v>
      </c>
      <c r="AL124">
        <f t="shared" si="57"/>
        <v>1499.1099984</v>
      </c>
      <c r="AM124">
        <f t="shared" si="58"/>
        <v>0.83283888800000005</v>
      </c>
      <c r="AN124">
        <f t="shared" si="59"/>
        <v>0.15339717238</v>
      </c>
      <c r="AO124">
        <v>33.6</v>
      </c>
      <c r="AP124">
        <v>0.5</v>
      </c>
      <c r="AQ124" t="s">
        <v>331</v>
      </c>
      <c r="AR124">
        <v>2</v>
      </c>
      <c r="AS124">
        <v>1690216364.5999999</v>
      </c>
      <c r="AT124">
        <v>550.19399999999996</v>
      </c>
      <c r="AU124">
        <v>800.03499999999997</v>
      </c>
      <c r="AV124">
        <v>21.912800000000001</v>
      </c>
      <c r="AW124">
        <v>5.7820400000000003</v>
      </c>
      <c r="AX124">
        <v>550.40700000000004</v>
      </c>
      <c r="AY124">
        <v>21.720199999999998</v>
      </c>
      <c r="AZ124">
        <v>300.09699999999998</v>
      </c>
      <c r="BA124">
        <v>99.083100000000002</v>
      </c>
      <c r="BB124">
        <v>9.9948300000000004E-2</v>
      </c>
      <c r="BC124">
        <v>26.832699999999999</v>
      </c>
      <c r="BD124">
        <v>26.997900000000001</v>
      </c>
      <c r="BE124">
        <v>28.353200000000001</v>
      </c>
      <c r="BF124">
        <v>0</v>
      </c>
      <c r="BG124">
        <v>0</v>
      </c>
      <c r="BH124">
        <v>9971.8799999999992</v>
      </c>
      <c r="BI124">
        <v>1076.54</v>
      </c>
      <c r="BJ124">
        <v>1.8501799999999999</v>
      </c>
      <c r="BK124">
        <v>-249.84200000000001</v>
      </c>
      <c r="BL124">
        <v>562.52</v>
      </c>
      <c r="BM124">
        <v>804.68799999999999</v>
      </c>
      <c r="BN124">
        <v>16.130800000000001</v>
      </c>
      <c r="BO124">
        <v>800.03499999999997</v>
      </c>
      <c r="BP124">
        <v>5.7820400000000003</v>
      </c>
      <c r="BQ124">
        <v>2.1711900000000002</v>
      </c>
      <c r="BR124">
        <v>0.57290200000000002</v>
      </c>
      <c r="BS124">
        <v>18.751300000000001</v>
      </c>
      <c r="BT124">
        <v>-0.94230100000000006</v>
      </c>
      <c r="BU124">
        <v>1800</v>
      </c>
      <c r="BV124">
        <v>0.90999300000000005</v>
      </c>
      <c r="BW124">
        <v>3.3995900000000003E-2</v>
      </c>
      <c r="BX124">
        <v>2.19974E-2</v>
      </c>
      <c r="BY124">
        <v>3.40132E-2</v>
      </c>
      <c r="BZ124">
        <v>26</v>
      </c>
      <c r="CA124">
        <v>33528.400000000001</v>
      </c>
      <c r="CB124">
        <v>1690214843</v>
      </c>
      <c r="CC124" t="s">
        <v>332</v>
      </c>
      <c r="CD124">
        <v>1690214842</v>
      </c>
      <c r="CE124">
        <v>1690214843</v>
      </c>
      <c r="CF124">
        <v>8</v>
      </c>
      <c r="CG124">
        <v>-6.3E-2</v>
      </c>
      <c r="CH124">
        <v>1E-3</v>
      </c>
      <c r="CI124">
        <v>-0.38900000000000001</v>
      </c>
      <c r="CJ124">
        <v>-6.6000000000000003E-2</v>
      </c>
      <c r="CK124">
        <v>800</v>
      </c>
      <c r="CL124">
        <v>6</v>
      </c>
      <c r="CM124">
        <v>0.23</v>
      </c>
      <c r="CN124">
        <v>0.02</v>
      </c>
      <c r="CO124">
        <v>-246.5271219512195</v>
      </c>
      <c r="CP124">
        <v>-18.008717770034909</v>
      </c>
      <c r="CQ124">
        <v>1.7762282757480621</v>
      </c>
      <c r="CR124">
        <v>-1</v>
      </c>
      <c r="CS124">
        <v>15.98041463414634</v>
      </c>
      <c r="CT124">
        <v>0.82475121951217067</v>
      </c>
      <c r="CU124">
        <v>8.1323391051918326E-2</v>
      </c>
      <c r="CV124">
        <v>-1</v>
      </c>
      <c r="CW124">
        <v>0</v>
      </c>
      <c r="CX124">
        <v>0</v>
      </c>
      <c r="CY124" t="s">
        <v>333</v>
      </c>
      <c r="CZ124">
        <v>2.3642099999999999</v>
      </c>
      <c r="DA124">
        <v>2.7137099999999998</v>
      </c>
      <c r="DB124">
        <v>0.113278</v>
      </c>
      <c r="DC124">
        <v>0.14607600000000001</v>
      </c>
      <c r="DD124">
        <v>0.106748</v>
      </c>
      <c r="DE124">
        <v>3.8271100000000002E-2</v>
      </c>
      <c r="DF124">
        <v>32368.7</v>
      </c>
      <c r="DG124">
        <v>27507.8</v>
      </c>
      <c r="DH124">
        <v>31163.5</v>
      </c>
      <c r="DI124">
        <v>28069.9</v>
      </c>
      <c r="DJ124">
        <v>37791.4</v>
      </c>
      <c r="DK124">
        <v>38386.5</v>
      </c>
      <c r="DL124">
        <v>44347.5</v>
      </c>
      <c r="DM124">
        <v>42540</v>
      </c>
      <c r="DN124">
        <v>1.359</v>
      </c>
      <c r="DO124">
        <v>2.0339299999999998</v>
      </c>
      <c r="DP124">
        <v>8.43666E-2</v>
      </c>
      <c r="DQ124">
        <v>0.181619</v>
      </c>
      <c r="DR124">
        <v>25.616700000000002</v>
      </c>
      <c r="DS124">
        <v>25.382300000000001</v>
      </c>
      <c r="DT124">
        <v>17.100000000000001</v>
      </c>
      <c r="DU124">
        <v>29.8</v>
      </c>
      <c r="DV124">
        <v>7.2684800000000003</v>
      </c>
      <c r="DW124">
        <v>61.828499999999998</v>
      </c>
      <c r="DX124">
        <v>36.947099999999999</v>
      </c>
      <c r="DY124">
        <v>1</v>
      </c>
      <c r="DZ124">
        <v>-8.8922799999999996E-2</v>
      </c>
      <c r="EA124">
        <v>-3.0463E-2</v>
      </c>
      <c r="EB124">
        <v>20.189800000000002</v>
      </c>
      <c r="EC124">
        <v>5.24125</v>
      </c>
      <c r="ED124">
        <v>12.039899999999999</v>
      </c>
      <c r="EE124">
        <v>5.0171000000000001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1.86893</v>
      </c>
      <c r="EL124">
        <v>1.86466</v>
      </c>
      <c r="EM124">
        <v>1.8692</v>
      </c>
      <c r="EN124">
        <v>1.86727</v>
      </c>
      <c r="EO124">
        <v>1.86341</v>
      </c>
      <c r="EP124">
        <v>1.8645799999999999</v>
      </c>
      <c r="EQ124">
        <v>1.87015</v>
      </c>
      <c r="ER124">
        <v>1.8694900000000001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-0.21299999999999999</v>
      </c>
      <c r="FG124">
        <v>0.19259999999999999</v>
      </c>
      <c r="FH124">
        <v>0.16202357103534001</v>
      </c>
      <c r="FI124">
        <v>-6.1462078757559423E-4</v>
      </c>
      <c r="FJ124">
        <v>-1.8861989874597051E-7</v>
      </c>
      <c r="FK124">
        <v>1.1980462299894961E-10</v>
      </c>
      <c r="FL124">
        <v>0.19260234566371101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25.4</v>
      </c>
      <c r="FU124">
        <v>25.4</v>
      </c>
      <c r="FV124">
        <v>1.7785599999999999</v>
      </c>
      <c r="FW124">
        <v>2.5878899999999998</v>
      </c>
      <c r="FX124">
        <v>1.5490699999999999</v>
      </c>
      <c r="FY124">
        <v>2.3290999999999999</v>
      </c>
      <c r="FZ124">
        <v>1.50146</v>
      </c>
      <c r="GA124">
        <v>2.2729499999999998</v>
      </c>
      <c r="GB124">
        <v>33.8735</v>
      </c>
      <c r="GC124">
        <v>23.982399999999998</v>
      </c>
      <c r="GD124">
        <v>19</v>
      </c>
      <c r="GE124">
        <v>236.25700000000001</v>
      </c>
      <c r="GF124">
        <v>581.76900000000001</v>
      </c>
      <c r="GG124">
        <v>25.1982</v>
      </c>
      <c r="GH124">
        <v>26.275400000000001</v>
      </c>
      <c r="GI124">
        <v>29.9999</v>
      </c>
      <c r="GJ124">
        <v>26.4191</v>
      </c>
      <c r="GK124">
        <v>26.394100000000002</v>
      </c>
      <c r="GL124">
        <v>35.566099999999999</v>
      </c>
      <c r="GM124">
        <v>-30</v>
      </c>
      <c r="GN124">
        <v>-30</v>
      </c>
      <c r="GO124">
        <v>25.1798</v>
      </c>
      <c r="GP124">
        <v>800</v>
      </c>
      <c r="GQ124">
        <v>12.5298</v>
      </c>
      <c r="GR124">
        <v>99.708500000000001</v>
      </c>
      <c r="GS124">
        <v>99.5197</v>
      </c>
    </row>
    <row r="125" spans="1:201" x14ac:dyDescent="0.25">
      <c r="A125">
        <v>109</v>
      </c>
      <c r="B125">
        <v>1690216374.5999999</v>
      </c>
      <c r="C125">
        <v>1429.099999904633</v>
      </c>
      <c r="D125" t="s">
        <v>551</v>
      </c>
      <c r="E125" t="s">
        <v>552</v>
      </c>
      <c r="F125" t="s">
        <v>330</v>
      </c>
      <c r="H125">
        <v>1690216374.5999999</v>
      </c>
      <c r="I125">
        <f t="shared" si="30"/>
        <v>1.4851824146492883E-3</v>
      </c>
      <c r="J125">
        <f t="shared" si="31"/>
        <v>1.4851824146492882</v>
      </c>
      <c r="K125">
        <f t="shared" si="32"/>
        <v>21.780222403191814</v>
      </c>
      <c r="L125">
        <f t="shared" si="33"/>
        <v>547.13499999999999</v>
      </c>
      <c r="M125">
        <f t="shared" si="34"/>
        <v>116.89663603735755</v>
      </c>
      <c r="N125">
        <f t="shared" si="35"/>
        <v>11.594092993804209</v>
      </c>
      <c r="O125">
        <f t="shared" si="36"/>
        <v>54.266181519011496</v>
      </c>
      <c r="P125">
        <f t="shared" si="37"/>
        <v>8.4440803498211411E-2</v>
      </c>
      <c r="Q125">
        <f t="shared" si="38"/>
        <v>2.0643965313783346</v>
      </c>
      <c r="R125">
        <f t="shared" si="39"/>
        <v>8.2567872771659362E-2</v>
      </c>
      <c r="S125">
        <f t="shared" si="40"/>
        <v>5.1769735856081273E-2</v>
      </c>
      <c r="T125">
        <f t="shared" si="41"/>
        <v>276.11599028399996</v>
      </c>
      <c r="U125">
        <f t="shared" si="42"/>
        <v>28.536906530960398</v>
      </c>
      <c r="V125">
        <f t="shared" si="43"/>
        <v>28.536906530960398</v>
      </c>
      <c r="W125">
        <f t="shared" si="44"/>
        <v>3.9152516929986079</v>
      </c>
      <c r="X125">
        <f t="shared" si="45"/>
        <v>61.715897540022105</v>
      </c>
      <c r="Y125">
        <f t="shared" si="46"/>
        <v>2.1860899658743898</v>
      </c>
      <c r="Z125">
        <f t="shared" si="47"/>
        <v>3.5421828945398288</v>
      </c>
      <c r="AA125">
        <f t="shared" si="48"/>
        <v>1.7291617271242181</v>
      </c>
      <c r="AB125">
        <f t="shared" si="49"/>
        <v>-65.496544486033613</v>
      </c>
      <c r="AC125">
        <f t="shared" si="50"/>
        <v>-190.71711687042068</v>
      </c>
      <c r="AD125">
        <f t="shared" si="51"/>
        <v>-20.073604281082847</v>
      </c>
      <c r="AE125">
        <f t="shared" si="52"/>
        <v>-0.17127535353716894</v>
      </c>
      <c r="AF125">
        <v>45</v>
      </c>
      <c r="AG125">
        <v>15</v>
      </c>
      <c r="AH125">
        <f t="shared" si="53"/>
        <v>1</v>
      </c>
      <c r="AI125">
        <f t="shared" si="54"/>
        <v>0</v>
      </c>
      <c r="AJ125">
        <f t="shared" si="55"/>
        <v>52432.453426856271</v>
      </c>
      <c r="AK125">
        <f t="shared" si="56"/>
        <v>1800</v>
      </c>
      <c r="AL125">
        <f t="shared" si="57"/>
        <v>1499.1109703999998</v>
      </c>
      <c r="AM125">
        <f t="shared" si="58"/>
        <v>0.83283942799999988</v>
      </c>
      <c r="AN125">
        <f t="shared" si="59"/>
        <v>0.15339777237999999</v>
      </c>
      <c r="AO125">
        <v>33.6</v>
      </c>
      <c r="AP125">
        <v>0.5</v>
      </c>
      <c r="AQ125" t="s">
        <v>331</v>
      </c>
      <c r="AR125">
        <v>2</v>
      </c>
      <c r="AS125">
        <v>1690216374.5999999</v>
      </c>
      <c r="AT125">
        <v>547.13499999999999</v>
      </c>
      <c r="AU125">
        <v>800.05399999999997</v>
      </c>
      <c r="AV125">
        <v>22.0411</v>
      </c>
      <c r="AW125">
        <v>5.7814399999999999</v>
      </c>
      <c r="AX125">
        <v>547.346</v>
      </c>
      <c r="AY125">
        <v>21.848500000000001</v>
      </c>
      <c r="AZ125">
        <v>300.14299999999997</v>
      </c>
      <c r="BA125">
        <v>99.082499999999996</v>
      </c>
      <c r="BB125">
        <v>9.9934899999999993E-2</v>
      </c>
      <c r="BC125">
        <v>26.8233</v>
      </c>
      <c r="BD125">
        <v>26.9831</v>
      </c>
      <c r="BE125">
        <v>28.361499999999999</v>
      </c>
      <c r="BF125">
        <v>0</v>
      </c>
      <c r="BG125">
        <v>0</v>
      </c>
      <c r="BH125">
        <v>10001.9</v>
      </c>
      <c r="BI125">
        <v>1076.52</v>
      </c>
      <c r="BJ125">
        <v>1.8655999999999999</v>
      </c>
      <c r="BK125">
        <v>-252.91800000000001</v>
      </c>
      <c r="BL125">
        <v>559.46699999999998</v>
      </c>
      <c r="BM125">
        <v>804.70600000000002</v>
      </c>
      <c r="BN125">
        <v>16.259699999999999</v>
      </c>
      <c r="BO125">
        <v>800.05399999999997</v>
      </c>
      <c r="BP125">
        <v>5.7814399999999999</v>
      </c>
      <c r="BQ125">
        <v>2.1838899999999999</v>
      </c>
      <c r="BR125">
        <v>0.57284000000000002</v>
      </c>
      <c r="BS125">
        <v>18.8446</v>
      </c>
      <c r="BT125">
        <v>-0.94379400000000002</v>
      </c>
      <c r="BU125">
        <v>1800</v>
      </c>
      <c r="BV125">
        <v>0.90998699999999999</v>
      </c>
      <c r="BW125">
        <v>3.3994999999999997E-2</v>
      </c>
      <c r="BX125">
        <v>2.2005400000000001E-2</v>
      </c>
      <c r="BY125">
        <v>3.4012199999999999E-2</v>
      </c>
      <c r="BZ125">
        <v>26</v>
      </c>
      <c r="CA125">
        <v>33528.300000000003</v>
      </c>
      <c r="CB125">
        <v>1690214843</v>
      </c>
      <c r="CC125" t="s">
        <v>332</v>
      </c>
      <c r="CD125">
        <v>1690214842</v>
      </c>
      <c r="CE125">
        <v>1690214843</v>
      </c>
      <c r="CF125">
        <v>8</v>
      </c>
      <c r="CG125">
        <v>-6.3E-2</v>
      </c>
      <c r="CH125">
        <v>1E-3</v>
      </c>
      <c r="CI125">
        <v>-0.38900000000000001</v>
      </c>
      <c r="CJ125">
        <v>-6.6000000000000003E-2</v>
      </c>
      <c r="CK125">
        <v>800</v>
      </c>
      <c r="CL125">
        <v>6</v>
      </c>
      <c r="CM125">
        <v>0.23</v>
      </c>
      <c r="CN125">
        <v>0.02</v>
      </c>
      <c r="CO125">
        <v>-249.5563902439024</v>
      </c>
      <c r="CP125">
        <v>-18.06618815330993</v>
      </c>
      <c r="CQ125">
        <v>1.781895234910712</v>
      </c>
      <c r="CR125">
        <v>-1</v>
      </c>
      <c r="CS125">
        <v>16.115968292682929</v>
      </c>
      <c r="CT125">
        <v>0.79951149825784451</v>
      </c>
      <c r="CU125">
        <v>7.8841596174411749E-2</v>
      </c>
      <c r="CV125">
        <v>-1</v>
      </c>
      <c r="CW125">
        <v>0</v>
      </c>
      <c r="CX125">
        <v>0</v>
      </c>
      <c r="CY125" t="s">
        <v>333</v>
      </c>
      <c r="CZ125">
        <v>2.3643700000000001</v>
      </c>
      <c r="DA125">
        <v>2.71373</v>
      </c>
      <c r="DB125">
        <v>0.112828</v>
      </c>
      <c r="DC125">
        <v>0.14607800000000001</v>
      </c>
      <c r="DD125">
        <v>0.107194</v>
      </c>
      <c r="DE125">
        <v>3.8267799999999998E-2</v>
      </c>
      <c r="DF125">
        <v>32385.3</v>
      </c>
      <c r="DG125">
        <v>27508.400000000001</v>
      </c>
      <c r="DH125">
        <v>31163.599999999999</v>
      </c>
      <c r="DI125">
        <v>28070.6</v>
      </c>
      <c r="DJ125">
        <v>37772.400000000001</v>
      </c>
      <c r="DK125">
        <v>38387.5</v>
      </c>
      <c r="DL125">
        <v>44347.7</v>
      </c>
      <c r="DM125">
        <v>42540.9</v>
      </c>
      <c r="DN125">
        <v>1.3589800000000001</v>
      </c>
      <c r="DO125">
        <v>2.0338699999999998</v>
      </c>
      <c r="DP125">
        <v>8.3327300000000007E-2</v>
      </c>
      <c r="DQ125">
        <v>0.18199899999999999</v>
      </c>
      <c r="DR125">
        <v>25.6188</v>
      </c>
      <c r="DS125">
        <v>25.384499999999999</v>
      </c>
      <c r="DT125">
        <v>17.100000000000001</v>
      </c>
      <c r="DU125">
        <v>29.8</v>
      </c>
      <c r="DV125">
        <v>7.2690299999999999</v>
      </c>
      <c r="DW125">
        <v>61.578499999999998</v>
      </c>
      <c r="DX125">
        <v>37.011200000000002</v>
      </c>
      <c r="DY125">
        <v>1</v>
      </c>
      <c r="DZ125">
        <v>-8.88872E-2</v>
      </c>
      <c r="EA125">
        <v>-0.11632099999999999</v>
      </c>
      <c r="EB125">
        <v>20.189900000000002</v>
      </c>
      <c r="EC125">
        <v>5.2421499999999996</v>
      </c>
      <c r="ED125">
        <v>12.039899999999999</v>
      </c>
      <c r="EE125">
        <v>5.0171999999999999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1.8689499999999999</v>
      </c>
      <c r="EL125">
        <v>1.8646400000000001</v>
      </c>
      <c r="EM125">
        <v>1.8692</v>
      </c>
      <c r="EN125">
        <v>1.86727</v>
      </c>
      <c r="EO125">
        <v>1.86341</v>
      </c>
      <c r="EP125">
        <v>1.8645799999999999</v>
      </c>
      <c r="EQ125">
        <v>1.8701700000000001</v>
      </c>
      <c r="ER125">
        <v>1.8694900000000001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-0.21099999999999999</v>
      </c>
      <c r="FG125">
        <v>0.19259999999999999</v>
      </c>
      <c r="FH125">
        <v>0.16202357103534001</v>
      </c>
      <c r="FI125">
        <v>-6.1462078757559423E-4</v>
      </c>
      <c r="FJ125">
        <v>-1.8861989874597051E-7</v>
      </c>
      <c r="FK125">
        <v>1.1980462299894961E-10</v>
      </c>
      <c r="FL125">
        <v>0.19260234566371101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25.5</v>
      </c>
      <c r="FU125">
        <v>25.5</v>
      </c>
      <c r="FV125">
        <v>1.7785599999999999</v>
      </c>
      <c r="FW125">
        <v>2.5915499999999998</v>
      </c>
      <c r="FX125">
        <v>1.5490699999999999</v>
      </c>
      <c r="FY125">
        <v>2.3290999999999999</v>
      </c>
      <c r="FZ125">
        <v>1.50146</v>
      </c>
      <c r="GA125">
        <v>2.3022499999999999</v>
      </c>
      <c r="GB125">
        <v>33.8735</v>
      </c>
      <c r="GC125">
        <v>23.982399999999998</v>
      </c>
      <c r="GD125">
        <v>19</v>
      </c>
      <c r="GE125">
        <v>236.239</v>
      </c>
      <c r="GF125">
        <v>581.70299999999997</v>
      </c>
      <c r="GG125">
        <v>25.172799999999999</v>
      </c>
      <c r="GH125">
        <v>26.273099999999999</v>
      </c>
      <c r="GI125">
        <v>30.0001</v>
      </c>
      <c r="GJ125">
        <v>26.416899999999998</v>
      </c>
      <c r="GK125">
        <v>26.3919</v>
      </c>
      <c r="GL125">
        <v>35.560600000000001</v>
      </c>
      <c r="GM125">
        <v>-30</v>
      </c>
      <c r="GN125">
        <v>-30</v>
      </c>
      <c r="GO125">
        <v>25.179300000000001</v>
      </c>
      <c r="GP125">
        <v>800</v>
      </c>
      <c r="GQ125">
        <v>12.5298</v>
      </c>
      <c r="GR125">
        <v>99.708799999999997</v>
      </c>
      <c r="GS125">
        <v>99.522000000000006</v>
      </c>
    </row>
    <row r="126" spans="1:201" x14ac:dyDescent="0.25">
      <c r="A126">
        <v>110</v>
      </c>
      <c r="B126">
        <v>1690216384.5999999</v>
      </c>
      <c r="C126">
        <v>1439.099999904633</v>
      </c>
      <c r="D126" t="s">
        <v>553</v>
      </c>
      <c r="E126" t="s">
        <v>554</v>
      </c>
      <c r="F126" t="s">
        <v>330</v>
      </c>
      <c r="H126">
        <v>1690216384.5999999</v>
      </c>
      <c r="I126">
        <f t="shared" si="30"/>
        <v>1.497157707617472E-3</v>
      </c>
      <c r="J126">
        <f t="shared" si="31"/>
        <v>1.497157707617472</v>
      </c>
      <c r="K126">
        <f t="shared" si="32"/>
        <v>22.034471586063916</v>
      </c>
      <c r="L126">
        <f t="shared" si="33"/>
        <v>544.15899999999999</v>
      </c>
      <c r="M126">
        <f t="shared" si="34"/>
        <v>115.75046304879118</v>
      </c>
      <c r="N126">
        <f t="shared" si="35"/>
        <v>11.480757366685131</v>
      </c>
      <c r="O126">
        <f t="shared" si="36"/>
        <v>53.97263460850801</v>
      </c>
      <c r="P126">
        <f t="shared" si="37"/>
        <v>8.5799091258682791E-2</v>
      </c>
      <c r="Q126">
        <f t="shared" si="38"/>
        <v>2.0644286931524052</v>
      </c>
      <c r="R126">
        <f t="shared" si="39"/>
        <v>8.3866193604261285E-2</v>
      </c>
      <c r="S126">
        <f t="shared" si="40"/>
        <v>5.2586407394809395E-2</v>
      </c>
      <c r="T126">
        <f t="shared" si="41"/>
        <v>276.11519664216326</v>
      </c>
      <c r="U126">
        <f t="shared" si="42"/>
        <v>28.535674227700436</v>
      </c>
      <c r="V126">
        <f t="shared" si="43"/>
        <v>28.535674227700436</v>
      </c>
      <c r="W126">
        <f t="shared" si="44"/>
        <v>3.9149715533429115</v>
      </c>
      <c r="X126">
        <f t="shared" si="45"/>
        <v>62.066529294551231</v>
      </c>
      <c r="Y126">
        <f t="shared" si="46"/>
        <v>2.1989108284164005</v>
      </c>
      <c r="Z126">
        <f t="shared" si="47"/>
        <v>3.5428287249331358</v>
      </c>
      <c r="AA126">
        <f t="shared" si="48"/>
        <v>1.716060724926511</v>
      </c>
      <c r="AB126">
        <f t="shared" si="49"/>
        <v>-66.024654905930518</v>
      </c>
      <c r="AC126">
        <f t="shared" si="50"/>
        <v>-190.2379136681663</v>
      </c>
      <c r="AD126">
        <f t="shared" si="51"/>
        <v>-20.023040364187562</v>
      </c>
      <c r="AE126">
        <f t="shared" si="52"/>
        <v>-0.17041229612112829</v>
      </c>
      <c r="AF126">
        <v>45</v>
      </c>
      <c r="AG126">
        <v>15</v>
      </c>
      <c r="AH126">
        <f t="shared" si="53"/>
        <v>1</v>
      </c>
      <c r="AI126">
        <f t="shared" si="54"/>
        <v>0</v>
      </c>
      <c r="AJ126">
        <f t="shared" si="55"/>
        <v>52433.445916566117</v>
      </c>
      <c r="AK126">
        <f t="shared" si="56"/>
        <v>1799.99</v>
      </c>
      <c r="AL126">
        <f t="shared" si="57"/>
        <v>1499.1043159964202</v>
      </c>
      <c r="AM126">
        <f t="shared" si="58"/>
        <v>0.83284035800000011</v>
      </c>
      <c r="AN126">
        <f t="shared" si="59"/>
        <v>0.15339818368000002</v>
      </c>
      <c r="AO126">
        <v>33.6</v>
      </c>
      <c r="AP126">
        <v>0.5</v>
      </c>
      <c r="AQ126" t="s">
        <v>331</v>
      </c>
      <c r="AR126">
        <v>2</v>
      </c>
      <c r="AS126">
        <v>1690216384.5999999</v>
      </c>
      <c r="AT126">
        <v>544.15899999999999</v>
      </c>
      <c r="AU126">
        <v>799.94600000000003</v>
      </c>
      <c r="AV126">
        <v>22.169699999999999</v>
      </c>
      <c r="AW126">
        <v>5.7812000000000001</v>
      </c>
      <c r="AX126">
        <v>544.36800000000005</v>
      </c>
      <c r="AY126">
        <v>21.9771</v>
      </c>
      <c r="AZ126">
        <v>300.14499999999998</v>
      </c>
      <c r="BA126">
        <v>99.085400000000007</v>
      </c>
      <c r="BB126">
        <v>0.100012</v>
      </c>
      <c r="BC126">
        <v>26.8264</v>
      </c>
      <c r="BD126">
        <v>27.008199999999999</v>
      </c>
      <c r="BE126">
        <v>28.347200000000001</v>
      </c>
      <c r="BF126">
        <v>0</v>
      </c>
      <c r="BG126">
        <v>0</v>
      </c>
      <c r="BH126">
        <v>10001.9</v>
      </c>
      <c r="BI126">
        <v>1076.46</v>
      </c>
      <c r="BJ126">
        <v>1.9048499999999999</v>
      </c>
      <c r="BK126">
        <v>-255.78700000000001</v>
      </c>
      <c r="BL126">
        <v>556.49599999999998</v>
      </c>
      <c r="BM126">
        <v>804.59799999999996</v>
      </c>
      <c r="BN126">
        <v>16.388500000000001</v>
      </c>
      <c r="BO126">
        <v>799.94600000000003</v>
      </c>
      <c r="BP126">
        <v>5.7812000000000001</v>
      </c>
      <c r="BQ126">
        <v>2.1966999999999999</v>
      </c>
      <c r="BR126">
        <v>0.57283300000000004</v>
      </c>
      <c r="BS126">
        <v>18.938199999999998</v>
      </c>
      <c r="BT126">
        <v>-0.94395899999999999</v>
      </c>
      <c r="BU126">
        <v>1799.99</v>
      </c>
      <c r="BV126">
        <v>0.90998500000000004</v>
      </c>
      <c r="BW126">
        <v>3.3994400000000001E-2</v>
      </c>
      <c r="BX126">
        <v>2.2009399999999998E-2</v>
      </c>
      <c r="BY126">
        <v>3.4011600000000003E-2</v>
      </c>
      <c r="BZ126">
        <v>26</v>
      </c>
      <c r="CA126">
        <v>33528.1</v>
      </c>
      <c r="CB126">
        <v>1690214843</v>
      </c>
      <c r="CC126" t="s">
        <v>332</v>
      </c>
      <c r="CD126">
        <v>1690214842</v>
      </c>
      <c r="CE126">
        <v>1690214843</v>
      </c>
      <c r="CF126">
        <v>8</v>
      </c>
      <c r="CG126">
        <v>-6.3E-2</v>
      </c>
      <c r="CH126">
        <v>1E-3</v>
      </c>
      <c r="CI126">
        <v>-0.38900000000000001</v>
      </c>
      <c r="CJ126">
        <v>-6.6000000000000003E-2</v>
      </c>
      <c r="CK126">
        <v>800</v>
      </c>
      <c r="CL126">
        <v>6</v>
      </c>
      <c r="CM126">
        <v>0.23</v>
      </c>
      <c r="CN126">
        <v>0.02</v>
      </c>
      <c r="CO126">
        <v>-252.81905</v>
      </c>
      <c r="CP126">
        <v>-18.110003752344898</v>
      </c>
      <c r="CQ126">
        <v>1.7426212145787709</v>
      </c>
      <c r="CR126">
        <v>-1</v>
      </c>
      <c r="CS126">
        <v>16.257282499999999</v>
      </c>
      <c r="CT126">
        <v>0.77832157598501595</v>
      </c>
      <c r="CU126">
        <v>7.4875876914731118E-2</v>
      </c>
      <c r="CV126">
        <v>-1</v>
      </c>
      <c r="CW126">
        <v>0</v>
      </c>
      <c r="CX126">
        <v>0</v>
      </c>
      <c r="CY126" t="s">
        <v>333</v>
      </c>
      <c r="CZ126">
        <v>2.3643800000000001</v>
      </c>
      <c r="DA126">
        <v>2.7138100000000001</v>
      </c>
      <c r="DB126">
        <v>0.11239200000000001</v>
      </c>
      <c r="DC126">
        <v>0.146069</v>
      </c>
      <c r="DD126">
        <v>0.107643</v>
      </c>
      <c r="DE126">
        <v>3.8267500000000003E-2</v>
      </c>
      <c r="DF126">
        <v>32401.200000000001</v>
      </c>
      <c r="DG126">
        <v>27508.5</v>
      </c>
      <c r="DH126">
        <v>31163.7</v>
      </c>
      <c r="DI126">
        <v>28070.3</v>
      </c>
      <c r="DJ126">
        <v>37753.199999999997</v>
      </c>
      <c r="DK126">
        <v>38387.4</v>
      </c>
      <c r="DL126">
        <v>44347.7</v>
      </c>
      <c r="DM126">
        <v>42540.800000000003</v>
      </c>
      <c r="DN126">
        <v>1.3593299999999999</v>
      </c>
      <c r="DO126">
        <v>2.0338500000000002</v>
      </c>
      <c r="DP126">
        <v>8.4862099999999996E-2</v>
      </c>
      <c r="DQ126">
        <v>0.18112</v>
      </c>
      <c r="DR126">
        <v>25.6188</v>
      </c>
      <c r="DS126">
        <v>25.384499999999999</v>
      </c>
      <c r="DT126">
        <v>17.100000000000001</v>
      </c>
      <c r="DU126">
        <v>29.8</v>
      </c>
      <c r="DV126">
        <v>7.2687499999999998</v>
      </c>
      <c r="DW126">
        <v>61.658499999999997</v>
      </c>
      <c r="DX126">
        <v>37.095399999999998</v>
      </c>
      <c r="DY126">
        <v>1</v>
      </c>
      <c r="DZ126">
        <v>-8.8846499999999995E-2</v>
      </c>
      <c r="EA126">
        <v>-0.20517199999999999</v>
      </c>
      <c r="EB126">
        <v>20.189800000000002</v>
      </c>
      <c r="EC126">
        <v>5.2418500000000003</v>
      </c>
      <c r="ED126">
        <v>12.039899999999999</v>
      </c>
      <c r="EE126">
        <v>5.0171999999999999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1.86894</v>
      </c>
      <c r="EL126">
        <v>1.86466</v>
      </c>
      <c r="EM126">
        <v>1.8691899999999999</v>
      </c>
      <c r="EN126">
        <v>1.86724</v>
      </c>
      <c r="EO126">
        <v>1.86341</v>
      </c>
      <c r="EP126">
        <v>1.8645700000000001</v>
      </c>
      <c r="EQ126">
        <v>1.87018</v>
      </c>
      <c r="ER126">
        <v>1.8694999999999999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-0.20899999999999999</v>
      </c>
      <c r="FG126">
        <v>0.19259999999999999</v>
      </c>
      <c r="FH126">
        <v>0.16202357103534001</v>
      </c>
      <c r="FI126">
        <v>-6.1462078757559423E-4</v>
      </c>
      <c r="FJ126">
        <v>-1.8861989874597051E-7</v>
      </c>
      <c r="FK126">
        <v>1.1980462299894961E-10</v>
      </c>
      <c r="FL126">
        <v>0.19260234566371101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25.7</v>
      </c>
      <c r="FU126">
        <v>25.7</v>
      </c>
      <c r="FV126">
        <v>1.7785599999999999</v>
      </c>
      <c r="FW126">
        <v>2.5866699999999998</v>
      </c>
      <c r="FX126">
        <v>1.5490699999999999</v>
      </c>
      <c r="FY126">
        <v>2.3290999999999999</v>
      </c>
      <c r="FZ126">
        <v>1.50146</v>
      </c>
      <c r="GA126">
        <v>2.3120099999999999</v>
      </c>
      <c r="GB126">
        <v>33.8735</v>
      </c>
      <c r="GC126">
        <v>23.973700000000001</v>
      </c>
      <c r="GD126">
        <v>19</v>
      </c>
      <c r="GE126">
        <v>236.364</v>
      </c>
      <c r="GF126">
        <v>581.68299999999999</v>
      </c>
      <c r="GG126">
        <v>25.1922</v>
      </c>
      <c r="GH126">
        <v>26.2729</v>
      </c>
      <c r="GI126">
        <v>30.0001</v>
      </c>
      <c r="GJ126">
        <v>26.415099999999999</v>
      </c>
      <c r="GK126">
        <v>26.3919</v>
      </c>
      <c r="GL126">
        <v>35.563800000000001</v>
      </c>
      <c r="GM126">
        <v>-30</v>
      </c>
      <c r="GN126">
        <v>-30</v>
      </c>
      <c r="GO126">
        <v>25.202100000000002</v>
      </c>
      <c r="GP126">
        <v>800</v>
      </c>
      <c r="GQ126">
        <v>12.5298</v>
      </c>
      <c r="GR126">
        <v>99.709000000000003</v>
      </c>
      <c r="GS126">
        <v>99.521500000000003</v>
      </c>
    </row>
    <row r="127" spans="1:201" x14ac:dyDescent="0.25">
      <c r="A127">
        <v>111</v>
      </c>
      <c r="B127">
        <v>1690216394.5999999</v>
      </c>
      <c r="C127">
        <v>1449.099999904633</v>
      </c>
      <c r="D127" t="s">
        <v>555</v>
      </c>
      <c r="E127" t="s">
        <v>556</v>
      </c>
      <c r="F127" t="s">
        <v>330</v>
      </c>
      <c r="H127">
        <v>1690216394.5999999</v>
      </c>
      <c r="I127">
        <f t="shared" si="30"/>
        <v>1.5103640496520907E-3</v>
      </c>
      <c r="J127">
        <f t="shared" si="31"/>
        <v>1.5103640496520907</v>
      </c>
      <c r="K127">
        <f t="shared" si="32"/>
        <v>22.320121837901034</v>
      </c>
      <c r="L127">
        <f t="shared" si="33"/>
        <v>541.024</v>
      </c>
      <c r="M127">
        <f t="shared" si="34"/>
        <v>115.00183581812732</v>
      </c>
      <c r="N127">
        <f t="shared" si="35"/>
        <v>11.406582437621999</v>
      </c>
      <c r="O127">
        <f t="shared" si="36"/>
        <v>53.662055156159994</v>
      </c>
      <c r="P127">
        <f t="shared" si="37"/>
        <v>8.7410567879073461E-2</v>
      </c>
      <c r="Q127">
        <f t="shared" si="38"/>
        <v>2.06477588012697</v>
      </c>
      <c r="R127">
        <f t="shared" si="39"/>
        <v>8.5405624073516956E-2</v>
      </c>
      <c r="S127">
        <f t="shared" si="40"/>
        <v>5.3554821028495139E-2</v>
      </c>
      <c r="T127">
        <f t="shared" si="41"/>
        <v>276.11497045541978</v>
      </c>
      <c r="U127">
        <f t="shared" si="42"/>
        <v>28.524883856700114</v>
      </c>
      <c r="V127">
        <f t="shared" si="43"/>
        <v>28.524883856700114</v>
      </c>
      <c r="W127">
        <f t="shared" si="44"/>
        <v>3.9125193235964977</v>
      </c>
      <c r="X127">
        <f t="shared" si="45"/>
        <v>62.474608780361997</v>
      </c>
      <c r="Y127">
        <f t="shared" si="46"/>
        <v>2.2126135398930002</v>
      </c>
      <c r="Z127">
        <f t="shared" si="47"/>
        <v>3.5416204808448577</v>
      </c>
      <c r="AA127">
        <f t="shared" si="48"/>
        <v>1.6999057837034974</v>
      </c>
      <c r="AB127">
        <f t="shared" si="49"/>
        <v>-66.607054589657196</v>
      </c>
      <c r="AC127">
        <f t="shared" si="50"/>
        <v>-189.71439796140712</v>
      </c>
      <c r="AD127">
        <f t="shared" si="51"/>
        <v>-19.962928166577452</v>
      </c>
      <c r="AE127">
        <f t="shared" si="52"/>
        <v>-0.1694102622219873</v>
      </c>
      <c r="AF127">
        <v>44</v>
      </c>
      <c r="AG127">
        <v>15</v>
      </c>
      <c r="AH127">
        <f t="shared" si="53"/>
        <v>1</v>
      </c>
      <c r="AI127">
        <f t="shared" si="54"/>
        <v>0</v>
      </c>
      <c r="AJ127">
        <f t="shared" si="55"/>
        <v>52450.363740938992</v>
      </c>
      <c r="AK127">
        <f t="shared" si="56"/>
        <v>1799.99</v>
      </c>
      <c r="AL127">
        <f t="shared" si="57"/>
        <v>1499.1043411962798</v>
      </c>
      <c r="AM127">
        <f t="shared" si="58"/>
        <v>0.83284037199999994</v>
      </c>
      <c r="AN127">
        <f t="shared" si="59"/>
        <v>0.15339805801999998</v>
      </c>
      <c r="AO127">
        <v>33.6</v>
      </c>
      <c r="AP127">
        <v>0.5</v>
      </c>
      <c r="AQ127" t="s">
        <v>331</v>
      </c>
      <c r="AR127">
        <v>2</v>
      </c>
      <c r="AS127">
        <v>1690216394.5999999</v>
      </c>
      <c r="AT127">
        <v>541.024</v>
      </c>
      <c r="AU127">
        <v>799.98699999999997</v>
      </c>
      <c r="AV127">
        <v>22.307700000000001</v>
      </c>
      <c r="AW127">
        <v>5.7801099999999996</v>
      </c>
      <c r="AX127">
        <v>541.23099999999999</v>
      </c>
      <c r="AY127">
        <v>22.115100000000002</v>
      </c>
      <c r="AZ127">
        <v>300.202</v>
      </c>
      <c r="BA127">
        <v>99.085999999999999</v>
      </c>
      <c r="BB127">
        <v>0.10009</v>
      </c>
      <c r="BC127">
        <v>26.820599999999999</v>
      </c>
      <c r="BD127">
        <v>26.985800000000001</v>
      </c>
      <c r="BE127">
        <v>28.3429</v>
      </c>
      <c r="BF127">
        <v>0</v>
      </c>
      <c r="BG127">
        <v>0</v>
      </c>
      <c r="BH127">
        <v>10005</v>
      </c>
      <c r="BI127">
        <v>1076.51</v>
      </c>
      <c r="BJ127">
        <v>1.6665700000000001</v>
      </c>
      <c r="BK127">
        <v>-258.96300000000002</v>
      </c>
      <c r="BL127">
        <v>553.36800000000005</v>
      </c>
      <c r="BM127">
        <v>804.63800000000003</v>
      </c>
      <c r="BN127">
        <v>16.5276</v>
      </c>
      <c r="BO127">
        <v>799.98699999999997</v>
      </c>
      <c r="BP127">
        <v>5.7801099999999996</v>
      </c>
      <c r="BQ127">
        <v>2.2103799999999998</v>
      </c>
      <c r="BR127">
        <v>0.57272800000000001</v>
      </c>
      <c r="BS127">
        <v>19.037800000000001</v>
      </c>
      <c r="BT127">
        <v>-0.94646200000000003</v>
      </c>
      <c r="BU127">
        <v>1799.99</v>
      </c>
      <c r="BV127">
        <v>0.90998800000000002</v>
      </c>
      <c r="BW127">
        <v>3.3993099999999998E-2</v>
      </c>
      <c r="BX127">
        <v>2.20086E-2</v>
      </c>
      <c r="BY127">
        <v>3.4010400000000003E-2</v>
      </c>
      <c r="BZ127">
        <v>26</v>
      </c>
      <c r="CA127">
        <v>33528.199999999997</v>
      </c>
      <c r="CB127">
        <v>1690214843</v>
      </c>
      <c r="CC127" t="s">
        <v>332</v>
      </c>
      <c r="CD127">
        <v>1690214842</v>
      </c>
      <c r="CE127">
        <v>1690214843</v>
      </c>
      <c r="CF127">
        <v>8</v>
      </c>
      <c r="CG127">
        <v>-6.3E-2</v>
      </c>
      <c r="CH127">
        <v>1E-3</v>
      </c>
      <c r="CI127">
        <v>-0.38900000000000001</v>
      </c>
      <c r="CJ127">
        <v>-6.6000000000000003E-2</v>
      </c>
      <c r="CK127">
        <v>800</v>
      </c>
      <c r="CL127">
        <v>6</v>
      </c>
      <c r="CM127">
        <v>0.23</v>
      </c>
      <c r="CN127">
        <v>0.02</v>
      </c>
      <c r="CO127">
        <v>-255.61799999999991</v>
      </c>
      <c r="CP127">
        <v>-18.07057839721271</v>
      </c>
      <c r="CQ127">
        <v>1.7826707423441259</v>
      </c>
      <c r="CR127">
        <v>-1</v>
      </c>
      <c r="CS127">
        <v>16.379014634146341</v>
      </c>
      <c r="CT127">
        <v>0.80472543554011167</v>
      </c>
      <c r="CU127">
        <v>7.9371056839949786E-2</v>
      </c>
      <c r="CV127">
        <v>-1</v>
      </c>
      <c r="CW127">
        <v>0</v>
      </c>
      <c r="CX127">
        <v>0</v>
      </c>
      <c r="CY127" t="s">
        <v>333</v>
      </c>
      <c r="CZ127">
        <v>2.3645499999999999</v>
      </c>
      <c r="DA127">
        <v>2.7138900000000001</v>
      </c>
      <c r="DB127">
        <v>0.111929</v>
      </c>
      <c r="DC127">
        <v>0.14607600000000001</v>
      </c>
      <c r="DD127">
        <v>0.108122</v>
      </c>
      <c r="DE127">
        <v>3.8262200000000003E-2</v>
      </c>
      <c r="DF127">
        <v>32417.9</v>
      </c>
      <c r="DG127">
        <v>27508.6</v>
      </c>
      <c r="DH127">
        <v>31163.4</v>
      </c>
      <c r="DI127">
        <v>28070.6</v>
      </c>
      <c r="DJ127">
        <v>37732.300000000003</v>
      </c>
      <c r="DK127">
        <v>38388</v>
      </c>
      <c r="DL127">
        <v>44347.199999999997</v>
      </c>
      <c r="DM127">
        <v>42541.3</v>
      </c>
      <c r="DN127">
        <v>1.3598699999999999</v>
      </c>
      <c r="DO127">
        <v>2.0338500000000002</v>
      </c>
      <c r="DP127">
        <v>8.3520999999999998E-2</v>
      </c>
      <c r="DQ127">
        <v>0.18085899999999999</v>
      </c>
      <c r="DR127">
        <v>25.618300000000001</v>
      </c>
      <c r="DS127">
        <v>25.384499999999999</v>
      </c>
      <c r="DT127">
        <v>17.100000000000001</v>
      </c>
      <c r="DU127">
        <v>29.8</v>
      </c>
      <c r="DV127">
        <v>7.2682200000000003</v>
      </c>
      <c r="DW127">
        <v>61.888500000000001</v>
      </c>
      <c r="DX127">
        <v>37.247599999999998</v>
      </c>
      <c r="DY127">
        <v>1</v>
      </c>
      <c r="DZ127">
        <v>-8.8943099999999997E-2</v>
      </c>
      <c r="EA127">
        <v>-0.16549800000000001</v>
      </c>
      <c r="EB127">
        <v>20.189800000000002</v>
      </c>
      <c r="EC127">
        <v>5.2418500000000003</v>
      </c>
      <c r="ED127">
        <v>12.039899999999999</v>
      </c>
      <c r="EE127">
        <v>5.0175000000000001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1.8689199999999999</v>
      </c>
      <c r="EL127">
        <v>1.8646400000000001</v>
      </c>
      <c r="EM127">
        <v>1.86917</v>
      </c>
      <c r="EN127">
        <v>1.8672299999999999</v>
      </c>
      <c r="EO127">
        <v>1.8633999999999999</v>
      </c>
      <c r="EP127">
        <v>1.8645499999999999</v>
      </c>
      <c r="EQ127">
        <v>1.87015</v>
      </c>
      <c r="ER127">
        <v>1.86947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-0.20699999999999999</v>
      </c>
      <c r="FG127">
        <v>0.19259999999999999</v>
      </c>
      <c r="FH127">
        <v>0.16202357103534001</v>
      </c>
      <c r="FI127">
        <v>-6.1462078757559423E-4</v>
      </c>
      <c r="FJ127">
        <v>-1.8861989874597051E-7</v>
      </c>
      <c r="FK127">
        <v>1.1980462299894961E-10</v>
      </c>
      <c r="FL127">
        <v>0.19260234566371101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25.9</v>
      </c>
      <c r="FU127">
        <v>25.9</v>
      </c>
      <c r="FV127">
        <v>1.7785599999999999</v>
      </c>
      <c r="FW127">
        <v>2.5854499999999998</v>
      </c>
      <c r="FX127">
        <v>1.5490699999999999</v>
      </c>
      <c r="FY127">
        <v>2.3290999999999999</v>
      </c>
      <c r="FZ127">
        <v>1.50146</v>
      </c>
      <c r="GA127">
        <v>2.3144499999999999</v>
      </c>
      <c r="GB127">
        <v>33.850900000000003</v>
      </c>
      <c r="GC127">
        <v>23.982399999999998</v>
      </c>
      <c r="GD127">
        <v>19</v>
      </c>
      <c r="GE127">
        <v>236.56899999999999</v>
      </c>
      <c r="GF127">
        <v>581.65800000000002</v>
      </c>
      <c r="GG127">
        <v>25.204999999999998</v>
      </c>
      <c r="GH127">
        <v>26.270900000000001</v>
      </c>
      <c r="GI127">
        <v>30</v>
      </c>
      <c r="GJ127">
        <v>26.4147</v>
      </c>
      <c r="GK127">
        <v>26.389800000000001</v>
      </c>
      <c r="GL127">
        <v>35.564300000000003</v>
      </c>
      <c r="GM127">
        <v>-30</v>
      </c>
      <c r="GN127">
        <v>-30</v>
      </c>
      <c r="GO127">
        <v>25.210100000000001</v>
      </c>
      <c r="GP127">
        <v>800</v>
      </c>
      <c r="GQ127">
        <v>12.5298</v>
      </c>
      <c r="GR127">
        <v>99.707999999999998</v>
      </c>
      <c r="GS127">
        <v>99.522599999999997</v>
      </c>
    </row>
    <row r="128" spans="1:201" x14ac:dyDescent="0.25">
      <c r="A128">
        <v>112</v>
      </c>
      <c r="B128">
        <v>1690216404.5999999</v>
      </c>
      <c r="C128">
        <v>1459.099999904633</v>
      </c>
      <c r="D128" t="s">
        <v>557</v>
      </c>
      <c r="E128" t="s">
        <v>558</v>
      </c>
      <c r="F128" t="s">
        <v>330</v>
      </c>
      <c r="H128">
        <v>1690216404.5999999</v>
      </c>
      <c r="I128">
        <f t="shared" si="30"/>
        <v>1.5220715198261535E-3</v>
      </c>
      <c r="J128">
        <f t="shared" si="31"/>
        <v>1.5220715198261536</v>
      </c>
      <c r="K128">
        <f t="shared" si="32"/>
        <v>22.583260799734909</v>
      </c>
      <c r="L128">
        <f t="shared" si="33"/>
        <v>538.03700000000003</v>
      </c>
      <c r="M128">
        <f t="shared" si="34"/>
        <v>113.73317449704956</v>
      </c>
      <c r="N128">
        <f t="shared" si="35"/>
        <v>11.280445816859979</v>
      </c>
      <c r="O128">
        <f t="shared" si="36"/>
        <v>53.364352598136101</v>
      </c>
      <c r="P128">
        <f t="shared" si="37"/>
        <v>8.8805949079950833E-2</v>
      </c>
      <c r="Q128">
        <f t="shared" si="38"/>
        <v>2.0659776088105017</v>
      </c>
      <c r="R128">
        <f t="shared" si="39"/>
        <v>8.6738471519831023E-2</v>
      </c>
      <c r="S128">
        <f t="shared" si="40"/>
        <v>5.4393290426771004E-2</v>
      </c>
      <c r="T128">
        <f t="shared" si="41"/>
        <v>276.11654191199995</v>
      </c>
      <c r="U128">
        <f t="shared" si="42"/>
        <v>28.522996036051062</v>
      </c>
      <c r="V128">
        <f t="shared" si="43"/>
        <v>28.522996036051062</v>
      </c>
      <c r="W128">
        <f t="shared" si="44"/>
        <v>3.9120904334462017</v>
      </c>
      <c r="X128">
        <f t="shared" si="45"/>
        <v>62.826292207151425</v>
      </c>
      <c r="Y128">
        <f t="shared" si="46"/>
        <v>2.2254876152239298</v>
      </c>
      <c r="Z128">
        <f t="shared" si="47"/>
        <v>3.5422870537800186</v>
      </c>
      <c r="AA128">
        <f t="shared" si="48"/>
        <v>1.6866028182222719</v>
      </c>
      <c r="AB128">
        <f t="shared" si="49"/>
        <v>-67.123354024333366</v>
      </c>
      <c r="AC128">
        <f t="shared" si="50"/>
        <v>-189.25812794211259</v>
      </c>
      <c r="AD128">
        <f t="shared" si="51"/>
        <v>-19.903461916862035</v>
      </c>
      <c r="AE128">
        <f t="shared" si="52"/>
        <v>-0.16840197130807155</v>
      </c>
      <c r="AF128">
        <v>44</v>
      </c>
      <c r="AG128">
        <v>15</v>
      </c>
      <c r="AH128">
        <f t="shared" si="53"/>
        <v>1</v>
      </c>
      <c r="AI128">
        <f t="shared" si="54"/>
        <v>0</v>
      </c>
      <c r="AJ128">
        <f t="shared" si="55"/>
        <v>52504.777516929702</v>
      </c>
      <c r="AK128">
        <f t="shared" si="56"/>
        <v>1800</v>
      </c>
      <c r="AL128">
        <f t="shared" si="57"/>
        <v>1499.1135012</v>
      </c>
      <c r="AM128">
        <f t="shared" si="58"/>
        <v>0.83284083399999997</v>
      </c>
      <c r="AN128">
        <f t="shared" si="59"/>
        <v>0.15339807883999998</v>
      </c>
      <c r="AO128">
        <v>33.6</v>
      </c>
      <c r="AP128">
        <v>0.5</v>
      </c>
      <c r="AQ128" t="s">
        <v>331</v>
      </c>
      <c r="AR128">
        <v>2</v>
      </c>
      <c r="AS128">
        <v>1690216404.5999999</v>
      </c>
      <c r="AT128">
        <v>538.03700000000003</v>
      </c>
      <c r="AU128">
        <v>800.03499999999997</v>
      </c>
      <c r="AV128">
        <v>22.438099999999999</v>
      </c>
      <c r="AW128">
        <v>5.7801799999999997</v>
      </c>
      <c r="AX128">
        <v>538.24199999999996</v>
      </c>
      <c r="AY128">
        <v>22.2455</v>
      </c>
      <c r="AZ128">
        <v>300.12200000000001</v>
      </c>
      <c r="BA128">
        <v>99.083500000000001</v>
      </c>
      <c r="BB128">
        <v>9.9925299999999995E-2</v>
      </c>
      <c r="BC128">
        <v>26.823799999999999</v>
      </c>
      <c r="BD128">
        <v>26.989000000000001</v>
      </c>
      <c r="BE128">
        <v>28.3474</v>
      </c>
      <c r="BF128">
        <v>0</v>
      </c>
      <c r="BG128">
        <v>0</v>
      </c>
      <c r="BH128">
        <v>10016.200000000001</v>
      </c>
      <c r="BI128">
        <v>1076.47</v>
      </c>
      <c r="BJ128">
        <v>1.5137799999999999</v>
      </c>
      <c r="BK128">
        <v>-261.99799999999999</v>
      </c>
      <c r="BL128">
        <v>550.38699999999994</v>
      </c>
      <c r="BM128">
        <v>804.68600000000004</v>
      </c>
      <c r="BN128">
        <v>16.658000000000001</v>
      </c>
      <c r="BO128">
        <v>800.03499999999997</v>
      </c>
      <c r="BP128">
        <v>5.7801799999999997</v>
      </c>
      <c r="BQ128">
        <v>2.2232500000000002</v>
      </c>
      <c r="BR128">
        <v>0.57272100000000004</v>
      </c>
      <c r="BS128">
        <v>19.130800000000001</v>
      </c>
      <c r="BT128">
        <v>-0.94662900000000005</v>
      </c>
      <c r="BU128">
        <v>1800</v>
      </c>
      <c r="BV128">
        <v>0.90998999999999997</v>
      </c>
      <c r="BW128">
        <v>3.3992500000000002E-2</v>
      </c>
      <c r="BX128">
        <v>2.2008199999999999E-2</v>
      </c>
      <c r="BY128">
        <v>3.40098E-2</v>
      </c>
      <c r="BZ128">
        <v>26</v>
      </c>
      <c r="CA128">
        <v>33528.300000000003</v>
      </c>
      <c r="CB128">
        <v>1690214843</v>
      </c>
      <c r="CC128" t="s">
        <v>332</v>
      </c>
      <c r="CD128">
        <v>1690214842</v>
      </c>
      <c r="CE128">
        <v>1690214843</v>
      </c>
      <c r="CF128">
        <v>8</v>
      </c>
      <c r="CG128">
        <v>-6.3E-2</v>
      </c>
      <c r="CH128">
        <v>1E-3</v>
      </c>
      <c r="CI128">
        <v>-0.38900000000000001</v>
      </c>
      <c r="CJ128">
        <v>-6.6000000000000003E-2</v>
      </c>
      <c r="CK128">
        <v>800</v>
      </c>
      <c r="CL128">
        <v>6</v>
      </c>
      <c r="CM128">
        <v>0.23</v>
      </c>
      <c r="CN128">
        <v>0.02</v>
      </c>
      <c r="CO128">
        <v>-258.64580487804881</v>
      </c>
      <c r="CP128">
        <v>-18.348041811846191</v>
      </c>
      <c r="CQ128">
        <v>1.810226993171157</v>
      </c>
      <c r="CR128">
        <v>-1</v>
      </c>
      <c r="CS128">
        <v>16.513168292682931</v>
      </c>
      <c r="CT128">
        <v>0.81124808362369905</v>
      </c>
      <c r="CU128">
        <v>8.0021221084874194E-2</v>
      </c>
      <c r="CV128">
        <v>-1</v>
      </c>
      <c r="CW128">
        <v>0</v>
      </c>
      <c r="CX128">
        <v>0</v>
      </c>
      <c r="CY128" t="s">
        <v>333</v>
      </c>
      <c r="CZ128">
        <v>2.3643100000000001</v>
      </c>
      <c r="DA128">
        <v>2.71373</v>
      </c>
      <c r="DB128">
        <v>0.111484</v>
      </c>
      <c r="DC128">
        <v>0.14607899999999999</v>
      </c>
      <c r="DD128">
        <v>0.10857</v>
      </c>
      <c r="DE128">
        <v>3.8261799999999999E-2</v>
      </c>
      <c r="DF128">
        <v>32434.1</v>
      </c>
      <c r="DG128">
        <v>27508.5</v>
      </c>
      <c r="DH128">
        <v>31163.4</v>
      </c>
      <c r="DI128">
        <v>28070.7</v>
      </c>
      <c r="DJ128">
        <v>37713.1</v>
      </c>
      <c r="DK128">
        <v>38388.1</v>
      </c>
      <c r="DL128">
        <v>44347.199999999997</v>
      </c>
      <c r="DM128">
        <v>42541.3</v>
      </c>
      <c r="DN128">
        <v>1.3598699999999999</v>
      </c>
      <c r="DO128">
        <v>2.0340799999999999</v>
      </c>
      <c r="DP128">
        <v>8.3688600000000002E-2</v>
      </c>
      <c r="DQ128">
        <v>0.18113499999999999</v>
      </c>
      <c r="DR128">
        <v>25.6188</v>
      </c>
      <c r="DS128">
        <v>25.384499999999999</v>
      </c>
      <c r="DT128">
        <v>17.100000000000001</v>
      </c>
      <c r="DU128">
        <v>29.8</v>
      </c>
      <c r="DV128">
        <v>7.26884</v>
      </c>
      <c r="DW128">
        <v>61.788499999999999</v>
      </c>
      <c r="DX128">
        <v>37.287700000000001</v>
      </c>
      <c r="DY128">
        <v>1</v>
      </c>
      <c r="DZ128">
        <v>-8.8955800000000002E-2</v>
      </c>
      <c r="EA128">
        <v>-0.176452</v>
      </c>
      <c r="EB128">
        <v>20.189699999999998</v>
      </c>
      <c r="EC128">
        <v>5.2413999999999996</v>
      </c>
      <c r="ED128">
        <v>12.039899999999999</v>
      </c>
      <c r="EE128">
        <v>5.0171999999999999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1.86893</v>
      </c>
      <c r="EL128">
        <v>1.86466</v>
      </c>
      <c r="EM128">
        <v>1.8692</v>
      </c>
      <c r="EN128">
        <v>1.86724</v>
      </c>
      <c r="EO128">
        <v>1.86341</v>
      </c>
      <c r="EP128">
        <v>1.86456</v>
      </c>
      <c r="EQ128">
        <v>1.87015</v>
      </c>
      <c r="ER128">
        <v>1.86947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-0.20499999999999999</v>
      </c>
      <c r="FG128">
        <v>0.19259999999999999</v>
      </c>
      <c r="FH128">
        <v>0.16202357103534001</v>
      </c>
      <c r="FI128">
        <v>-6.1462078757559423E-4</v>
      </c>
      <c r="FJ128">
        <v>-1.8861989874597051E-7</v>
      </c>
      <c r="FK128">
        <v>1.1980462299894961E-10</v>
      </c>
      <c r="FL128">
        <v>0.19260234566371101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26</v>
      </c>
      <c r="FU128">
        <v>26</v>
      </c>
      <c r="FV128">
        <v>1.7785599999999999</v>
      </c>
      <c r="FW128">
        <v>2.5866699999999998</v>
      </c>
      <c r="FX128">
        <v>1.5490699999999999</v>
      </c>
      <c r="FY128">
        <v>2.3290999999999999</v>
      </c>
      <c r="FZ128">
        <v>1.50146</v>
      </c>
      <c r="GA128">
        <v>2.3083499999999999</v>
      </c>
      <c r="GB128">
        <v>33.8735</v>
      </c>
      <c r="GC128">
        <v>23.982399999999998</v>
      </c>
      <c r="GD128">
        <v>19</v>
      </c>
      <c r="GE128">
        <v>236.56100000000001</v>
      </c>
      <c r="GF128">
        <v>581.83100000000002</v>
      </c>
      <c r="GG128">
        <v>25.215599999999998</v>
      </c>
      <c r="GH128">
        <v>26.270700000000001</v>
      </c>
      <c r="GI128">
        <v>30.0001</v>
      </c>
      <c r="GJ128">
        <v>26.412500000000001</v>
      </c>
      <c r="GK128">
        <v>26.3886</v>
      </c>
      <c r="GL128">
        <v>35.564599999999999</v>
      </c>
      <c r="GM128">
        <v>-30</v>
      </c>
      <c r="GN128">
        <v>-30</v>
      </c>
      <c r="GO128">
        <v>25.216200000000001</v>
      </c>
      <c r="GP128">
        <v>800</v>
      </c>
      <c r="GQ128">
        <v>12.5298</v>
      </c>
      <c r="GR128">
        <v>99.707899999999995</v>
      </c>
      <c r="GS128">
        <v>99.522800000000004</v>
      </c>
    </row>
    <row r="129" spans="1:201" x14ac:dyDescent="0.25">
      <c r="A129">
        <v>113</v>
      </c>
      <c r="B129">
        <v>1690216414.5999999</v>
      </c>
      <c r="C129">
        <v>1469.099999904633</v>
      </c>
      <c r="D129" t="s">
        <v>559</v>
      </c>
      <c r="E129" t="s">
        <v>560</v>
      </c>
      <c r="F129" t="s">
        <v>330</v>
      </c>
      <c r="H129">
        <v>1690216414.5999999</v>
      </c>
      <c r="I129">
        <f t="shared" si="30"/>
        <v>1.5347252868646336E-3</v>
      </c>
      <c r="J129">
        <f t="shared" si="31"/>
        <v>1.5347252868646337</v>
      </c>
      <c r="K129">
        <f t="shared" si="32"/>
        <v>22.858628423959335</v>
      </c>
      <c r="L129">
        <f t="shared" si="33"/>
        <v>534.95100000000002</v>
      </c>
      <c r="M129">
        <f t="shared" si="34"/>
        <v>112.63459397046421</v>
      </c>
      <c r="N129">
        <f t="shared" si="35"/>
        <v>11.171704226927504</v>
      </c>
      <c r="O129">
        <f t="shared" si="36"/>
        <v>53.059314525218106</v>
      </c>
      <c r="P129">
        <f t="shared" si="37"/>
        <v>9.0324547128916258E-2</v>
      </c>
      <c r="Q129">
        <f t="shared" si="38"/>
        <v>2.0640133235132718</v>
      </c>
      <c r="R129">
        <f t="shared" si="39"/>
        <v>8.8184690749228703E-2</v>
      </c>
      <c r="S129">
        <f t="shared" si="40"/>
        <v>5.5303466982913663E-2</v>
      </c>
      <c r="T129">
        <f t="shared" si="41"/>
        <v>276.11645299199995</v>
      </c>
      <c r="U129">
        <f t="shared" si="42"/>
        <v>28.519020098354037</v>
      </c>
      <c r="V129">
        <f t="shared" si="43"/>
        <v>28.519020098354037</v>
      </c>
      <c r="W129">
        <f t="shared" si="44"/>
        <v>3.9111872823373361</v>
      </c>
      <c r="X129">
        <f t="shared" si="45"/>
        <v>63.197675852380442</v>
      </c>
      <c r="Y129">
        <f t="shared" si="46"/>
        <v>2.2385246040312099</v>
      </c>
      <c r="Z129">
        <f t="shared" si="47"/>
        <v>3.5420995690728274</v>
      </c>
      <c r="AA129">
        <f t="shared" si="48"/>
        <v>1.6726626783061262</v>
      </c>
      <c r="AB129">
        <f t="shared" si="49"/>
        <v>-67.68138515073035</v>
      </c>
      <c r="AC129">
        <f t="shared" si="50"/>
        <v>-188.73591031484139</v>
      </c>
      <c r="AD129">
        <f t="shared" si="51"/>
        <v>-19.866948204608622</v>
      </c>
      <c r="AE129">
        <f t="shared" si="52"/>
        <v>-0.16779067818040971</v>
      </c>
      <c r="AF129">
        <v>44</v>
      </c>
      <c r="AG129">
        <v>15</v>
      </c>
      <c r="AH129">
        <f t="shared" si="53"/>
        <v>1</v>
      </c>
      <c r="AI129">
        <f t="shared" si="54"/>
        <v>0</v>
      </c>
      <c r="AJ129">
        <f t="shared" si="55"/>
        <v>52415.051496888671</v>
      </c>
      <c r="AK129">
        <f t="shared" si="56"/>
        <v>1800</v>
      </c>
      <c r="AL129">
        <f t="shared" si="57"/>
        <v>1499.1137801999998</v>
      </c>
      <c r="AM129">
        <f t="shared" si="58"/>
        <v>0.83284098899999992</v>
      </c>
      <c r="AN129">
        <f t="shared" si="59"/>
        <v>0.15339802943999997</v>
      </c>
      <c r="AO129">
        <v>33.6</v>
      </c>
      <c r="AP129">
        <v>0.5</v>
      </c>
      <c r="AQ129" t="s">
        <v>331</v>
      </c>
      <c r="AR129">
        <v>2</v>
      </c>
      <c r="AS129">
        <v>1690216414.5999999</v>
      </c>
      <c r="AT129">
        <v>534.95100000000002</v>
      </c>
      <c r="AU129">
        <v>799.98</v>
      </c>
      <c r="AV129">
        <v>22.569099999999999</v>
      </c>
      <c r="AW129">
        <v>5.7797000000000001</v>
      </c>
      <c r="AX129">
        <v>535.15300000000002</v>
      </c>
      <c r="AY129">
        <v>22.3765</v>
      </c>
      <c r="AZ129">
        <v>300.20699999999999</v>
      </c>
      <c r="BA129">
        <v>99.085400000000007</v>
      </c>
      <c r="BB129">
        <v>9.9973099999999995E-2</v>
      </c>
      <c r="BC129">
        <v>26.822900000000001</v>
      </c>
      <c r="BD129">
        <v>26.990400000000001</v>
      </c>
      <c r="BE129">
        <v>28.335899999999999</v>
      </c>
      <c r="BF129">
        <v>0</v>
      </c>
      <c r="BG129">
        <v>0</v>
      </c>
      <c r="BH129">
        <v>9998.1200000000008</v>
      </c>
      <c r="BI129">
        <v>1076.44</v>
      </c>
      <c r="BJ129">
        <v>1.4843500000000001</v>
      </c>
      <c r="BK129">
        <v>-265.029</v>
      </c>
      <c r="BL129">
        <v>547.303</v>
      </c>
      <c r="BM129">
        <v>804.63</v>
      </c>
      <c r="BN129">
        <v>16.789400000000001</v>
      </c>
      <c r="BO129">
        <v>799.98</v>
      </c>
      <c r="BP129">
        <v>5.7797000000000001</v>
      </c>
      <c r="BQ129">
        <v>2.2362700000000002</v>
      </c>
      <c r="BR129">
        <v>0.57268399999999997</v>
      </c>
      <c r="BS129">
        <v>19.224499999999999</v>
      </c>
      <c r="BT129">
        <v>-0.94751700000000005</v>
      </c>
      <c r="BU129">
        <v>1800</v>
      </c>
      <c r="BV129">
        <v>0.90999200000000002</v>
      </c>
      <c r="BW129">
        <v>3.3991800000000003E-2</v>
      </c>
      <c r="BX129">
        <v>2.2007700000000002E-2</v>
      </c>
      <c r="BY129">
        <v>3.4008999999999998E-2</v>
      </c>
      <c r="BZ129">
        <v>26</v>
      </c>
      <c r="CA129">
        <v>33528.300000000003</v>
      </c>
      <c r="CB129">
        <v>1690214843</v>
      </c>
      <c r="CC129" t="s">
        <v>332</v>
      </c>
      <c r="CD129">
        <v>1690214842</v>
      </c>
      <c r="CE129">
        <v>1690214843</v>
      </c>
      <c r="CF129">
        <v>8</v>
      </c>
      <c r="CG129">
        <v>-6.3E-2</v>
      </c>
      <c r="CH129">
        <v>1E-3</v>
      </c>
      <c r="CI129">
        <v>-0.38900000000000001</v>
      </c>
      <c r="CJ129">
        <v>-6.6000000000000003E-2</v>
      </c>
      <c r="CK129">
        <v>800</v>
      </c>
      <c r="CL129">
        <v>6</v>
      </c>
      <c r="CM129">
        <v>0.23</v>
      </c>
      <c r="CN129">
        <v>0.02</v>
      </c>
      <c r="CO129">
        <v>-261.58319999999998</v>
      </c>
      <c r="CP129">
        <v>-17.752187617260368</v>
      </c>
      <c r="CQ129">
        <v>1.7089215341846431</v>
      </c>
      <c r="CR129">
        <v>-1</v>
      </c>
      <c r="CS129">
        <v>16.641467500000001</v>
      </c>
      <c r="CT129">
        <v>0.76637110694183441</v>
      </c>
      <c r="CU129">
        <v>7.3732602651405382E-2</v>
      </c>
      <c r="CV129">
        <v>-1</v>
      </c>
      <c r="CW129">
        <v>0</v>
      </c>
      <c r="CX129">
        <v>0</v>
      </c>
      <c r="CY129" t="s">
        <v>333</v>
      </c>
      <c r="CZ129">
        <v>2.3645800000000001</v>
      </c>
      <c r="DA129">
        <v>2.7137600000000002</v>
      </c>
      <c r="DB129">
        <v>0.111026</v>
      </c>
      <c r="DC129">
        <v>0.14607500000000001</v>
      </c>
      <c r="DD129">
        <v>0.10902299999999999</v>
      </c>
      <c r="DE129">
        <v>3.8260000000000002E-2</v>
      </c>
      <c r="DF129">
        <v>32451.3</v>
      </c>
      <c r="DG129">
        <v>27508.400000000001</v>
      </c>
      <c r="DH129">
        <v>31163.9</v>
      </c>
      <c r="DI129">
        <v>28070.400000000001</v>
      </c>
      <c r="DJ129">
        <v>37694.300000000003</v>
      </c>
      <c r="DK129">
        <v>38387.4</v>
      </c>
      <c r="DL129">
        <v>44347.9</v>
      </c>
      <c r="DM129">
        <v>42540.5</v>
      </c>
      <c r="DN129">
        <v>1.3602799999999999</v>
      </c>
      <c r="DO129">
        <v>2.0337000000000001</v>
      </c>
      <c r="DP129">
        <v>8.3908399999999994E-2</v>
      </c>
      <c r="DQ129">
        <v>0.18043100000000001</v>
      </c>
      <c r="DR129">
        <v>25.616700000000002</v>
      </c>
      <c r="DS129">
        <v>25.384499999999999</v>
      </c>
      <c r="DT129">
        <v>17.100000000000001</v>
      </c>
      <c r="DU129">
        <v>29.8</v>
      </c>
      <c r="DV129">
        <v>7.2682399999999996</v>
      </c>
      <c r="DW129">
        <v>61.388500000000001</v>
      </c>
      <c r="DX129">
        <v>37.167499999999997</v>
      </c>
      <c r="DY129">
        <v>1</v>
      </c>
      <c r="DZ129">
        <v>-8.9062500000000003E-2</v>
      </c>
      <c r="EA129">
        <v>-0.20258699999999999</v>
      </c>
      <c r="EB129">
        <v>20.189900000000002</v>
      </c>
      <c r="EC129">
        <v>5.24125</v>
      </c>
      <c r="ED129">
        <v>12.039899999999999</v>
      </c>
      <c r="EE129">
        <v>5.0174000000000003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1.8689199999999999</v>
      </c>
      <c r="EL129">
        <v>1.86467</v>
      </c>
      <c r="EM129">
        <v>1.8692</v>
      </c>
      <c r="EN129">
        <v>1.86724</v>
      </c>
      <c r="EO129">
        <v>1.8633999999999999</v>
      </c>
      <c r="EP129">
        <v>1.86459</v>
      </c>
      <c r="EQ129">
        <v>1.8701700000000001</v>
      </c>
      <c r="ER129">
        <v>1.86948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-0.20200000000000001</v>
      </c>
      <c r="FG129">
        <v>0.19259999999999999</v>
      </c>
      <c r="FH129">
        <v>0.16202357103534001</v>
      </c>
      <c r="FI129">
        <v>-6.1462078757559423E-4</v>
      </c>
      <c r="FJ129">
        <v>-1.8861989874597051E-7</v>
      </c>
      <c r="FK129">
        <v>1.1980462299894961E-10</v>
      </c>
      <c r="FL129">
        <v>0.19260234566371101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26.2</v>
      </c>
      <c r="FU129">
        <v>26.2</v>
      </c>
      <c r="FV129">
        <v>1.7785599999999999</v>
      </c>
      <c r="FW129">
        <v>2.5891099999999998</v>
      </c>
      <c r="FX129">
        <v>1.5490699999999999</v>
      </c>
      <c r="FY129">
        <v>2.3290999999999999</v>
      </c>
      <c r="FZ129">
        <v>1.50146</v>
      </c>
      <c r="GA129">
        <v>2.34009</v>
      </c>
      <c r="GB129">
        <v>33.8735</v>
      </c>
      <c r="GC129">
        <v>23.982399999999998</v>
      </c>
      <c r="GD129">
        <v>19</v>
      </c>
      <c r="GE129">
        <v>236.71199999999999</v>
      </c>
      <c r="GF129">
        <v>581.50900000000001</v>
      </c>
      <c r="GG129">
        <v>25.224799999999998</v>
      </c>
      <c r="GH129">
        <v>26.268599999999999</v>
      </c>
      <c r="GI129">
        <v>30</v>
      </c>
      <c r="GJ129">
        <v>26.412500000000001</v>
      </c>
      <c r="GK129">
        <v>26.387499999999999</v>
      </c>
      <c r="GL129">
        <v>35.563699999999997</v>
      </c>
      <c r="GM129">
        <v>-30</v>
      </c>
      <c r="GN129">
        <v>-30</v>
      </c>
      <c r="GO129">
        <v>25.235299999999999</v>
      </c>
      <c r="GP129">
        <v>800</v>
      </c>
      <c r="GQ129">
        <v>12.5298</v>
      </c>
      <c r="GR129">
        <v>99.709599999999995</v>
      </c>
      <c r="GS129">
        <v>99.521199999999993</v>
      </c>
    </row>
    <row r="130" spans="1:201" x14ac:dyDescent="0.25">
      <c r="A130">
        <v>114</v>
      </c>
      <c r="B130">
        <v>1690216424.5999999</v>
      </c>
      <c r="C130">
        <v>1479.099999904633</v>
      </c>
      <c r="D130" t="s">
        <v>561</v>
      </c>
      <c r="E130" t="s">
        <v>562</v>
      </c>
      <c r="F130" t="s">
        <v>330</v>
      </c>
      <c r="H130">
        <v>1690216424.5999999</v>
      </c>
      <c r="I130">
        <f t="shared" si="30"/>
        <v>1.5462071516369905E-3</v>
      </c>
      <c r="J130">
        <f t="shared" si="31"/>
        <v>1.5462071516369904</v>
      </c>
      <c r="K130">
        <f t="shared" si="32"/>
        <v>23.115595730293009</v>
      </c>
      <c r="L130">
        <f t="shared" si="33"/>
        <v>532.04499999999996</v>
      </c>
      <c r="M130">
        <f t="shared" si="34"/>
        <v>111.68918409769293</v>
      </c>
      <c r="N130">
        <f t="shared" si="35"/>
        <v>11.077826386556977</v>
      </c>
      <c r="O130">
        <f t="shared" si="36"/>
        <v>52.770572078674995</v>
      </c>
      <c r="P130">
        <f t="shared" si="37"/>
        <v>9.1776680084448128E-2</v>
      </c>
      <c r="Q130">
        <f t="shared" si="38"/>
        <v>2.0644835205919216</v>
      </c>
      <c r="R130">
        <f t="shared" si="39"/>
        <v>8.9568862363035587E-2</v>
      </c>
      <c r="S130">
        <f t="shared" si="40"/>
        <v>5.6174478945197677E-2</v>
      </c>
      <c r="T130">
        <f t="shared" si="41"/>
        <v>276.1147126788519</v>
      </c>
      <c r="U130">
        <f t="shared" si="42"/>
        <v>28.513538214253607</v>
      </c>
      <c r="V130">
        <f t="shared" si="43"/>
        <v>28.513538214253607</v>
      </c>
      <c r="W130">
        <f t="shared" si="44"/>
        <v>3.9099423473421813</v>
      </c>
      <c r="X130">
        <f t="shared" si="45"/>
        <v>63.551382644556838</v>
      </c>
      <c r="Y130">
        <f t="shared" si="46"/>
        <v>2.2509208693344998</v>
      </c>
      <c r="Z130">
        <f t="shared" si="47"/>
        <v>3.541891262891808</v>
      </c>
      <c r="AA130">
        <f t="shared" si="48"/>
        <v>1.6590214780076815</v>
      </c>
      <c r="AB130">
        <f t="shared" si="49"/>
        <v>-68.187735387191282</v>
      </c>
      <c r="AC130">
        <f t="shared" si="50"/>
        <v>-188.28007006000703</v>
      </c>
      <c r="AD130">
        <f t="shared" si="51"/>
        <v>-19.813809557109817</v>
      </c>
      <c r="AE130">
        <f t="shared" si="52"/>
        <v>-0.16690232545624895</v>
      </c>
      <c r="AF130">
        <v>44</v>
      </c>
      <c r="AG130">
        <v>15</v>
      </c>
      <c r="AH130">
        <f t="shared" si="53"/>
        <v>1</v>
      </c>
      <c r="AI130">
        <f t="shared" si="54"/>
        <v>0</v>
      </c>
      <c r="AJ130">
        <f t="shared" si="55"/>
        <v>52436.720395462195</v>
      </c>
      <c r="AK130">
        <f t="shared" si="56"/>
        <v>1799.99</v>
      </c>
      <c r="AL130">
        <f t="shared" si="57"/>
        <v>1499.1049063931398</v>
      </c>
      <c r="AM130">
        <f t="shared" si="58"/>
        <v>0.83284068599999994</v>
      </c>
      <c r="AN130">
        <f t="shared" si="59"/>
        <v>0.15339791481000001</v>
      </c>
      <c r="AO130">
        <v>33.6</v>
      </c>
      <c r="AP130">
        <v>0.5</v>
      </c>
      <c r="AQ130" t="s">
        <v>331</v>
      </c>
      <c r="AR130">
        <v>2</v>
      </c>
      <c r="AS130">
        <v>1690216424.5999999</v>
      </c>
      <c r="AT130">
        <v>532.04499999999996</v>
      </c>
      <c r="AU130">
        <v>799.98099999999999</v>
      </c>
      <c r="AV130">
        <v>22.694299999999998</v>
      </c>
      <c r="AW130">
        <v>5.7806699999999998</v>
      </c>
      <c r="AX130">
        <v>532.245</v>
      </c>
      <c r="AY130">
        <v>22.5017</v>
      </c>
      <c r="AZ130">
        <v>300.19299999999998</v>
      </c>
      <c r="BA130">
        <v>99.084400000000002</v>
      </c>
      <c r="BB130">
        <v>0.10001500000000001</v>
      </c>
      <c r="BC130">
        <v>26.821899999999999</v>
      </c>
      <c r="BD130">
        <v>26.990100000000002</v>
      </c>
      <c r="BE130">
        <v>28.3462</v>
      </c>
      <c r="BF130">
        <v>0</v>
      </c>
      <c r="BG130">
        <v>0</v>
      </c>
      <c r="BH130">
        <v>10002.5</v>
      </c>
      <c r="BI130">
        <v>1076.46</v>
      </c>
      <c r="BJ130">
        <v>1.4577199999999999</v>
      </c>
      <c r="BK130">
        <v>-267.93599999999998</v>
      </c>
      <c r="BL130">
        <v>544.4</v>
      </c>
      <c r="BM130">
        <v>804.63199999999995</v>
      </c>
      <c r="BN130">
        <v>16.913599999999999</v>
      </c>
      <c r="BO130">
        <v>799.98099999999999</v>
      </c>
      <c r="BP130">
        <v>5.7806699999999998</v>
      </c>
      <c r="BQ130">
        <v>2.24865</v>
      </c>
      <c r="BR130">
        <v>0.57277400000000001</v>
      </c>
      <c r="BS130">
        <v>19.313199999999998</v>
      </c>
      <c r="BT130">
        <v>-0.94537499999999997</v>
      </c>
      <c r="BU130">
        <v>1799.99</v>
      </c>
      <c r="BV130">
        <v>0.90999300000000005</v>
      </c>
      <c r="BW130">
        <v>3.3991199999999999E-2</v>
      </c>
      <c r="BX130">
        <v>2.20073E-2</v>
      </c>
      <c r="BY130">
        <v>3.4008499999999997E-2</v>
      </c>
      <c r="BZ130">
        <v>26</v>
      </c>
      <c r="CA130">
        <v>33528.199999999997</v>
      </c>
      <c r="CB130">
        <v>1690214843</v>
      </c>
      <c r="CC130" t="s">
        <v>332</v>
      </c>
      <c r="CD130">
        <v>1690214842</v>
      </c>
      <c r="CE130">
        <v>1690214843</v>
      </c>
      <c r="CF130">
        <v>8</v>
      </c>
      <c r="CG130">
        <v>-6.3E-2</v>
      </c>
      <c r="CH130">
        <v>1E-3</v>
      </c>
      <c r="CI130">
        <v>-0.38900000000000001</v>
      </c>
      <c r="CJ130">
        <v>-6.6000000000000003E-2</v>
      </c>
      <c r="CK130">
        <v>800</v>
      </c>
      <c r="CL130">
        <v>6</v>
      </c>
      <c r="CM130">
        <v>0.23</v>
      </c>
      <c r="CN130">
        <v>0.02</v>
      </c>
      <c r="CO130">
        <v>-264.55374999999998</v>
      </c>
      <c r="CP130">
        <v>-17.76328705440784</v>
      </c>
      <c r="CQ130">
        <v>1.710210158869375</v>
      </c>
      <c r="CR130">
        <v>-1</v>
      </c>
      <c r="CS130">
        <v>16.7692975</v>
      </c>
      <c r="CT130">
        <v>0.76220150093800754</v>
      </c>
      <c r="CU130">
        <v>7.3341180408757839E-2</v>
      </c>
      <c r="CV130">
        <v>-1</v>
      </c>
      <c r="CW130">
        <v>0</v>
      </c>
      <c r="CX130">
        <v>0</v>
      </c>
      <c r="CY130" t="s">
        <v>333</v>
      </c>
      <c r="CZ130">
        <v>2.3645499999999999</v>
      </c>
      <c r="DA130">
        <v>2.7138100000000001</v>
      </c>
      <c r="DB130">
        <v>0.110593</v>
      </c>
      <c r="DC130">
        <v>0.14607600000000001</v>
      </c>
      <c r="DD130">
        <v>0.10945299999999999</v>
      </c>
      <c r="DE130">
        <v>3.8265399999999998E-2</v>
      </c>
      <c r="DF130">
        <v>32466.9</v>
      </c>
      <c r="DG130">
        <v>27508.2</v>
      </c>
      <c r="DH130">
        <v>31163.7</v>
      </c>
      <c r="DI130">
        <v>28070.2</v>
      </c>
      <c r="DJ130">
        <v>37675.5</v>
      </c>
      <c r="DK130">
        <v>38387.199999999997</v>
      </c>
      <c r="DL130">
        <v>44347.6</v>
      </c>
      <c r="DM130">
        <v>42540.5</v>
      </c>
      <c r="DN130">
        <v>1.36022</v>
      </c>
      <c r="DO130">
        <v>2.0338699999999998</v>
      </c>
      <c r="DP130">
        <v>8.3755700000000002E-2</v>
      </c>
      <c r="DQ130">
        <v>0.18103</v>
      </c>
      <c r="DR130">
        <v>25.6188</v>
      </c>
      <c r="DS130">
        <v>25.385000000000002</v>
      </c>
      <c r="DT130">
        <v>17.100000000000001</v>
      </c>
      <c r="DU130">
        <v>29.8</v>
      </c>
      <c r="DV130">
        <v>7.2681100000000001</v>
      </c>
      <c r="DW130">
        <v>61.828499999999998</v>
      </c>
      <c r="DX130">
        <v>37.355800000000002</v>
      </c>
      <c r="DY130">
        <v>1</v>
      </c>
      <c r="DZ130">
        <v>-8.9255600000000004E-2</v>
      </c>
      <c r="EA130">
        <v>-0.211699</v>
      </c>
      <c r="EB130">
        <v>20.189800000000002</v>
      </c>
      <c r="EC130">
        <v>5.2409499999999998</v>
      </c>
      <c r="ED130">
        <v>12.039899999999999</v>
      </c>
      <c r="EE130">
        <v>5.0169499999999996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1.8689199999999999</v>
      </c>
      <c r="EL130">
        <v>1.86466</v>
      </c>
      <c r="EM130">
        <v>1.8692</v>
      </c>
      <c r="EN130">
        <v>1.8672299999999999</v>
      </c>
      <c r="EO130">
        <v>1.8633999999999999</v>
      </c>
      <c r="EP130">
        <v>1.86456</v>
      </c>
      <c r="EQ130">
        <v>1.8701700000000001</v>
      </c>
      <c r="ER130">
        <v>1.86948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-0.2</v>
      </c>
      <c r="FG130">
        <v>0.19259999999999999</v>
      </c>
      <c r="FH130">
        <v>0.16202357103534001</v>
      </c>
      <c r="FI130">
        <v>-6.1462078757559423E-4</v>
      </c>
      <c r="FJ130">
        <v>-1.8861989874597051E-7</v>
      </c>
      <c r="FK130">
        <v>1.1980462299894961E-10</v>
      </c>
      <c r="FL130">
        <v>0.19260234566371101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26.4</v>
      </c>
      <c r="FU130">
        <v>26.4</v>
      </c>
      <c r="FV130">
        <v>1.7785599999999999</v>
      </c>
      <c r="FW130">
        <v>2.5866699999999998</v>
      </c>
      <c r="FX130">
        <v>1.5490699999999999</v>
      </c>
      <c r="FY130">
        <v>2.3290999999999999</v>
      </c>
      <c r="FZ130">
        <v>1.50146</v>
      </c>
      <c r="GA130">
        <v>2.3290999999999999</v>
      </c>
      <c r="GB130">
        <v>33.850900000000003</v>
      </c>
      <c r="GC130">
        <v>23.982399999999998</v>
      </c>
      <c r="GD130">
        <v>19</v>
      </c>
      <c r="GE130">
        <v>236.685</v>
      </c>
      <c r="GF130">
        <v>581.64099999999996</v>
      </c>
      <c r="GG130">
        <v>25.244299999999999</v>
      </c>
      <c r="GH130">
        <v>26.2685</v>
      </c>
      <c r="GI130">
        <v>30.0001</v>
      </c>
      <c r="GJ130">
        <v>26.4102</v>
      </c>
      <c r="GK130">
        <v>26.386399999999998</v>
      </c>
      <c r="GL130">
        <v>35.564300000000003</v>
      </c>
      <c r="GM130">
        <v>-30</v>
      </c>
      <c r="GN130">
        <v>-30</v>
      </c>
      <c r="GO130">
        <v>25.253499999999999</v>
      </c>
      <c r="GP130">
        <v>800</v>
      </c>
      <c r="GQ130">
        <v>12.5298</v>
      </c>
      <c r="GR130">
        <v>99.708799999999997</v>
      </c>
      <c r="GS130">
        <v>99.520899999999997</v>
      </c>
    </row>
    <row r="131" spans="1:201" x14ac:dyDescent="0.25">
      <c r="A131">
        <v>115</v>
      </c>
      <c r="B131">
        <v>1690216434.5999999</v>
      </c>
      <c r="C131">
        <v>1489.099999904633</v>
      </c>
      <c r="D131" t="s">
        <v>563</v>
      </c>
      <c r="E131" t="s">
        <v>564</v>
      </c>
      <c r="F131" t="s">
        <v>330</v>
      </c>
      <c r="H131">
        <v>1690216434.5999999</v>
      </c>
      <c r="I131">
        <f t="shared" si="30"/>
        <v>1.5579777994539229E-3</v>
      </c>
      <c r="J131">
        <f t="shared" si="31"/>
        <v>1.5579777994539228</v>
      </c>
      <c r="K131">
        <f t="shared" si="32"/>
        <v>23.375425422887119</v>
      </c>
      <c r="L131">
        <f t="shared" si="33"/>
        <v>529.08100000000002</v>
      </c>
      <c r="M131">
        <f t="shared" si="34"/>
        <v>110.49681622620245</v>
      </c>
      <c r="N131">
        <f t="shared" si="35"/>
        <v>10.959840970722553</v>
      </c>
      <c r="O131">
        <f t="shared" si="36"/>
        <v>52.477924873058996</v>
      </c>
      <c r="P131">
        <f t="shared" si="37"/>
        <v>9.321351616053708E-2</v>
      </c>
      <c r="Q131">
        <f t="shared" si="38"/>
        <v>2.0623801573877261</v>
      </c>
      <c r="R131">
        <f t="shared" si="39"/>
        <v>9.0934689992451342E-2</v>
      </c>
      <c r="S131">
        <f t="shared" si="40"/>
        <v>5.7034284542246905E-2</v>
      </c>
      <c r="T131">
        <f t="shared" si="41"/>
        <v>276.11470911487174</v>
      </c>
      <c r="U131">
        <f t="shared" si="42"/>
        <v>28.515565717242151</v>
      </c>
      <c r="V131">
        <f t="shared" si="43"/>
        <v>28.515565717242151</v>
      </c>
      <c r="W131">
        <f t="shared" si="44"/>
        <v>3.9104027526620242</v>
      </c>
      <c r="X131">
        <f t="shared" si="45"/>
        <v>63.901066412549767</v>
      </c>
      <c r="Y131">
        <f t="shared" si="46"/>
        <v>2.2639319639810997</v>
      </c>
      <c r="Z131">
        <f t="shared" si="47"/>
        <v>3.5428703949398845</v>
      </c>
      <c r="AA131">
        <f t="shared" si="48"/>
        <v>1.6464707886809244</v>
      </c>
      <c r="AB131">
        <f t="shared" si="49"/>
        <v>-68.706820955918005</v>
      </c>
      <c r="AC131">
        <f t="shared" si="50"/>
        <v>-187.79109714881665</v>
      </c>
      <c r="AD131">
        <f t="shared" si="51"/>
        <v>-19.783170616983099</v>
      </c>
      <c r="AE131">
        <f t="shared" si="52"/>
        <v>-0.16637960684602149</v>
      </c>
      <c r="AF131">
        <v>44</v>
      </c>
      <c r="AG131">
        <v>15</v>
      </c>
      <c r="AH131">
        <f t="shared" si="53"/>
        <v>1</v>
      </c>
      <c r="AI131">
        <f t="shared" si="54"/>
        <v>0</v>
      </c>
      <c r="AJ131">
        <f t="shared" si="55"/>
        <v>52339.754616870392</v>
      </c>
      <c r="AK131">
        <f t="shared" si="56"/>
        <v>1799.99</v>
      </c>
      <c r="AL131">
        <f t="shared" si="57"/>
        <v>1499.1042529967699</v>
      </c>
      <c r="AM131">
        <f t="shared" si="58"/>
        <v>0.83284032299999999</v>
      </c>
      <c r="AN131">
        <f t="shared" si="59"/>
        <v>0.15339791283000004</v>
      </c>
      <c r="AO131">
        <v>33.6</v>
      </c>
      <c r="AP131">
        <v>0.5</v>
      </c>
      <c r="AQ131" t="s">
        <v>331</v>
      </c>
      <c r="AR131">
        <v>2</v>
      </c>
      <c r="AS131">
        <v>1690216434.5999999</v>
      </c>
      <c r="AT131">
        <v>529.08100000000002</v>
      </c>
      <c r="AU131">
        <v>800.005</v>
      </c>
      <c r="AV131">
        <v>22.8249</v>
      </c>
      <c r="AW131">
        <v>5.7809299999999997</v>
      </c>
      <c r="AX131">
        <v>529.28</v>
      </c>
      <c r="AY131">
        <v>22.632300000000001</v>
      </c>
      <c r="AZ131">
        <v>300.125</v>
      </c>
      <c r="BA131">
        <v>99.0869</v>
      </c>
      <c r="BB131">
        <v>0.100039</v>
      </c>
      <c r="BC131">
        <v>26.826599999999999</v>
      </c>
      <c r="BD131">
        <v>26.996600000000001</v>
      </c>
      <c r="BE131">
        <v>28.343800000000002</v>
      </c>
      <c r="BF131">
        <v>0</v>
      </c>
      <c r="BG131">
        <v>0</v>
      </c>
      <c r="BH131">
        <v>9983.1200000000008</v>
      </c>
      <c r="BI131">
        <v>1076.52</v>
      </c>
      <c r="BJ131">
        <v>1.4577199999999999</v>
      </c>
      <c r="BK131">
        <v>-270.92399999999998</v>
      </c>
      <c r="BL131">
        <v>541.44000000000005</v>
      </c>
      <c r="BM131">
        <v>804.65700000000004</v>
      </c>
      <c r="BN131">
        <v>17.044</v>
      </c>
      <c r="BO131">
        <v>800.005</v>
      </c>
      <c r="BP131">
        <v>5.7809299999999997</v>
      </c>
      <c r="BQ131">
        <v>2.2616499999999999</v>
      </c>
      <c r="BR131">
        <v>0.57281400000000005</v>
      </c>
      <c r="BS131">
        <v>19.405799999999999</v>
      </c>
      <c r="BT131">
        <v>-0.94440500000000005</v>
      </c>
      <c r="BU131">
        <v>1799.99</v>
      </c>
      <c r="BV131">
        <v>0.90999099999999999</v>
      </c>
      <c r="BW131">
        <v>3.3995699999999997E-2</v>
      </c>
      <c r="BX131">
        <v>2.2006399999999999E-2</v>
      </c>
      <c r="BY131">
        <v>3.4007099999999998E-2</v>
      </c>
      <c r="BZ131">
        <v>26</v>
      </c>
      <c r="CA131">
        <v>33528.199999999997</v>
      </c>
      <c r="CB131">
        <v>1690214843</v>
      </c>
      <c r="CC131" t="s">
        <v>332</v>
      </c>
      <c r="CD131">
        <v>1690214842</v>
      </c>
      <c r="CE131">
        <v>1690214843</v>
      </c>
      <c r="CF131">
        <v>8</v>
      </c>
      <c r="CG131">
        <v>-6.3E-2</v>
      </c>
      <c r="CH131">
        <v>1E-3</v>
      </c>
      <c r="CI131">
        <v>-0.38900000000000001</v>
      </c>
      <c r="CJ131">
        <v>-6.6000000000000003E-2</v>
      </c>
      <c r="CK131">
        <v>800</v>
      </c>
      <c r="CL131">
        <v>6</v>
      </c>
      <c r="CM131">
        <v>0.23</v>
      </c>
      <c r="CN131">
        <v>0.02</v>
      </c>
      <c r="CO131">
        <v>-267.83837499999998</v>
      </c>
      <c r="CP131">
        <v>-17.96441651031817</v>
      </c>
      <c r="CQ131">
        <v>1.728564877109048</v>
      </c>
      <c r="CR131">
        <v>-1</v>
      </c>
      <c r="CS131">
        <v>16.9104025</v>
      </c>
      <c r="CT131">
        <v>0.77249493433390914</v>
      </c>
      <c r="CU131">
        <v>7.4327876626135173E-2</v>
      </c>
      <c r="CV131">
        <v>-1</v>
      </c>
      <c r="CW131">
        <v>0</v>
      </c>
      <c r="CX131">
        <v>0</v>
      </c>
      <c r="CY131" t="s">
        <v>333</v>
      </c>
      <c r="CZ131">
        <v>2.3643100000000001</v>
      </c>
      <c r="DA131">
        <v>2.7138100000000001</v>
      </c>
      <c r="DB131">
        <v>0.110151</v>
      </c>
      <c r="DC131">
        <v>0.14608099999999999</v>
      </c>
      <c r="DD131">
        <v>0.109902</v>
      </c>
      <c r="DE131">
        <v>3.8267299999999997E-2</v>
      </c>
      <c r="DF131">
        <v>32483</v>
      </c>
      <c r="DG131">
        <v>27508.3</v>
      </c>
      <c r="DH131">
        <v>31163.599999999999</v>
      </c>
      <c r="DI131">
        <v>28070.5</v>
      </c>
      <c r="DJ131">
        <v>37656.300000000003</v>
      </c>
      <c r="DK131">
        <v>38387.599999999999</v>
      </c>
      <c r="DL131">
        <v>44347.5</v>
      </c>
      <c r="DM131">
        <v>42541</v>
      </c>
      <c r="DN131">
        <v>1.36032</v>
      </c>
      <c r="DO131">
        <v>2.0341499999999999</v>
      </c>
      <c r="DP131">
        <v>8.4150600000000006E-2</v>
      </c>
      <c r="DQ131">
        <v>0.18091099999999999</v>
      </c>
      <c r="DR131">
        <v>25.6188</v>
      </c>
      <c r="DS131">
        <v>25.384499999999999</v>
      </c>
      <c r="DT131">
        <v>17.100000000000001</v>
      </c>
      <c r="DU131">
        <v>29.8</v>
      </c>
      <c r="DV131">
        <v>7.2688600000000001</v>
      </c>
      <c r="DW131">
        <v>61.608499999999999</v>
      </c>
      <c r="DX131">
        <v>37.387799999999999</v>
      </c>
      <c r="DY131">
        <v>1</v>
      </c>
      <c r="DZ131">
        <v>-8.9380100000000004E-2</v>
      </c>
      <c r="EA131">
        <v>-0.22070799999999999</v>
      </c>
      <c r="EB131">
        <v>20.189900000000002</v>
      </c>
      <c r="EC131">
        <v>5.2408000000000001</v>
      </c>
      <c r="ED131">
        <v>12.039899999999999</v>
      </c>
      <c r="EE131">
        <v>5.0174500000000002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1.8689199999999999</v>
      </c>
      <c r="EL131">
        <v>1.8646400000000001</v>
      </c>
      <c r="EM131">
        <v>1.8691899999999999</v>
      </c>
      <c r="EN131">
        <v>1.8672299999999999</v>
      </c>
      <c r="EO131">
        <v>1.86341</v>
      </c>
      <c r="EP131">
        <v>1.8645799999999999</v>
      </c>
      <c r="EQ131">
        <v>1.87015</v>
      </c>
      <c r="ER131">
        <v>1.8694900000000001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-0.19900000000000001</v>
      </c>
      <c r="FG131">
        <v>0.19259999999999999</v>
      </c>
      <c r="FH131">
        <v>0.16202357103534001</v>
      </c>
      <c r="FI131">
        <v>-6.1462078757559423E-4</v>
      </c>
      <c r="FJ131">
        <v>-1.8861989874597051E-7</v>
      </c>
      <c r="FK131">
        <v>1.1980462299894961E-10</v>
      </c>
      <c r="FL131">
        <v>0.19260234566371101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26.5</v>
      </c>
      <c r="FU131">
        <v>26.5</v>
      </c>
      <c r="FV131">
        <v>1.7785599999999999</v>
      </c>
      <c r="FW131">
        <v>2.5842299999999998</v>
      </c>
      <c r="FX131">
        <v>1.5490699999999999</v>
      </c>
      <c r="FY131">
        <v>2.3290999999999999</v>
      </c>
      <c r="FZ131">
        <v>1.50146</v>
      </c>
      <c r="GA131">
        <v>2.33765</v>
      </c>
      <c r="GB131">
        <v>33.8735</v>
      </c>
      <c r="GC131">
        <v>23.982399999999998</v>
      </c>
      <c r="GD131">
        <v>19</v>
      </c>
      <c r="GE131">
        <v>236.72300000000001</v>
      </c>
      <c r="GF131">
        <v>581.85599999999999</v>
      </c>
      <c r="GG131">
        <v>25.261500000000002</v>
      </c>
      <c r="GH131">
        <v>26.266400000000001</v>
      </c>
      <c r="GI131">
        <v>30.0001</v>
      </c>
      <c r="GJ131">
        <v>26.4102</v>
      </c>
      <c r="GK131">
        <v>26.385300000000001</v>
      </c>
      <c r="GL131">
        <v>35.564599999999999</v>
      </c>
      <c r="GM131">
        <v>-30</v>
      </c>
      <c r="GN131">
        <v>-30</v>
      </c>
      <c r="GO131">
        <v>25.2623</v>
      </c>
      <c r="GP131">
        <v>800</v>
      </c>
      <c r="GQ131">
        <v>12.5298</v>
      </c>
      <c r="GR131">
        <v>99.708500000000001</v>
      </c>
      <c r="GS131">
        <v>99.522099999999995</v>
      </c>
    </row>
    <row r="132" spans="1:201" x14ac:dyDescent="0.25">
      <c r="A132">
        <v>116</v>
      </c>
      <c r="B132">
        <v>1690216444.5999999</v>
      </c>
      <c r="C132">
        <v>1499.099999904633</v>
      </c>
      <c r="D132" t="s">
        <v>565</v>
      </c>
      <c r="E132" t="s">
        <v>566</v>
      </c>
      <c r="F132" t="s">
        <v>330</v>
      </c>
      <c r="H132">
        <v>1690216444.5999999</v>
      </c>
      <c r="I132">
        <f t="shared" si="30"/>
        <v>1.5702959632844511E-3</v>
      </c>
      <c r="J132">
        <f t="shared" si="31"/>
        <v>1.5702959632844511</v>
      </c>
      <c r="K132">
        <f t="shared" si="32"/>
        <v>23.642019763582265</v>
      </c>
      <c r="L132">
        <f t="shared" si="33"/>
        <v>526.16300000000001</v>
      </c>
      <c r="M132">
        <f t="shared" si="34"/>
        <v>109.62085861958862</v>
      </c>
      <c r="N132">
        <f t="shared" si="35"/>
        <v>10.872721282737208</v>
      </c>
      <c r="O132">
        <f t="shared" si="36"/>
        <v>52.187363977338698</v>
      </c>
      <c r="P132">
        <f t="shared" si="37"/>
        <v>9.4750563692892073E-2</v>
      </c>
      <c r="Q132">
        <f t="shared" si="38"/>
        <v>2.0648943634279644</v>
      </c>
      <c r="R132">
        <f t="shared" si="39"/>
        <v>9.2399775453051405E-2</v>
      </c>
      <c r="S132">
        <f t="shared" si="40"/>
        <v>5.7956210857645109E-2</v>
      </c>
      <c r="T132">
        <f t="shared" si="41"/>
        <v>276.11630404200002</v>
      </c>
      <c r="U132">
        <f t="shared" si="42"/>
        <v>28.512792168722758</v>
      </c>
      <c r="V132">
        <f t="shared" si="43"/>
        <v>28.512792168722758</v>
      </c>
      <c r="W132">
        <f t="shared" si="44"/>
        <v>3.9097729472444969</v>
      </c>
      <c r="X132">
        <f t="shared" si="45"/>
        <v>64.24927600730247</v>
      </c>
      <c r="Y132">
        <f t="shared" si="46"/>
        <v>2.2767371449870497</v>
      </c>
      <c r="Z132">
        <f t="shared" si="47"/>
        <v>3.543599689323004</v>
      </c>
      <c r="AA132">
        <f t="shared" si="48"/>
        <v>1.6330358022574472</v>
      </c>
      <c r="AB132">
        <f t="shared" si="49"/>
        <v>-69.25005198084429</v>
      </c>
      <c r="AC132">
        <f t="shared" si="50"/>
        <v>-187.32164184875677</v>
      </c>
      <c r="AD132">
        <f t="shared" si="51"/>
        <v>-19.709757650179053</v>
      </c>
      <c r="AE132">
        <f t="shared" si="52"/>
        <v>-0.16514743778006391</v>
      </c>
      <c r="AF132">
        <v>44</v>
      </c>
      <c r="AG132">
        <v>15</v>
      </c>
      <c r="AH132">
        <f t="shared" si="53"/>
        <v>1</v>
      </c>
      <c r="AI132">
        <f t="shared" si="54"/>
        <v>0</v>
      </c>
      <c r="AJ132">
        <f t="shared" si="55"/>
        <v>52454.099326615273</v>
      </c>
      <c r="AK132">
        <f t="shared" si="56"/>
        <v>1800</v>
      </c>
      <c r="AL132">
        <f t="shared" si="57"/>
        <v>1499.1118541999999</v>
      </c>
      <c r="AM132">
        <f t="shared" si="58"/>
        <v>0.83283991899999998</v>
      </c>
      <c r="AN132">
        <f t="shared" si="59"/>
        <v>0.15339794669000001</v>
      </c>
      <c r="AO132">
        <v>33.6</v>
      </c>
      <c r="AP132">
        <v>0.5</v>
      </c>
      <c r="AQ132" t="s">
        <v>331</v>
      </c>
      <c r="AR132">
        <v>2</v>
      </c>
      <c r="AS132">
        <v>1690216444.5999999</v>
      </c>
      <c r="AT132">
        <v>526.16300000000001</v>
      </c>
      <c r="AU132">
        <v>800.04399999999998</v>
      </c>
      <c r="AV132">
        <v>22.954499999999999</v>
      </c>
      <c r="AW132">
        <v>5.7811399999999997</v>
      </c>
      <c r="AX132">
        <v>526.35900000000004</v>
      </c>
      <c r="AY132">
        <v>22.761900000000001</v>
      </c>
      <c r="AZ132">
        <v>300.17899999999997</v>
      </c>
      <c r="BA132">
        <v>99.084800000000001</v>
      </c>
      <c r="BB132">
        <v>9.9984900000000002E-2</v>
      </c>
      <c r="BC132">
        <v>26.830100000000002</v>
      </c>
      <c r="BD132">
        <v>27.0047</v>
      </c>
      <c r="BE132">
        <v>28.343800000000002</v>
      </c>
      <c r="BF132">
        <v>0</v>
      </c>
      <c r="BG132">
        <v>0</v>
      </c>
      <c r="BH132">
        <v>10006.200000000001</v>
      </c>
      <c r="BI132">
        <v>1076.54</v>
      </c>
      <c r="BJ132">
        <v>1.4577199999999999</v>
      </c>
      <c r="BK132">
        <v>-273.88</v>
      </c>
      <c r="BL132">
        <v>538.52499999999998</v>
      </c>
      <c r="BM132">
        <v>804.69600000000003</v>
      </c>
      <c r="BN132">
        <v>17.173300000000001</v>
      </c>
      <c r="BO132">
        <v>800.04399999999998</v>
      </c>
      <c r="BP132">
        <v>5.7811399999999997</v>
      </c>
      <c r="BQ132">
        <v>2.2744399999999998</v>
      </c>
      <c r="BR132">
        <v>0.57282299999999997</v>
      </c>
      <c r="BS132">
        <v>19.496500000000001</v>
      </c>
      <c r="BT132">
        <v>-0.94419299999999995</v>
      </c>
      <c r="BU132">
        <v>1800</v>
      </c>
      <c r="BV132">
        <v>0.90998800000000002</v>
      </c>
      <c r="BW132">
        <v>3.3999399999999999E-2</v>
      </c>
      <c r="BX132">
        <v>2.20062E-2</v>
      </c>
      <c r="BY132">
        <v>3.4006700000000001E-2</v>
      </c>
      <c r="BZ132">
        <v>26</v>
      </c>
      <c r="CA132">
        <v>33528.199999999997</v>
      </c>
      <c r="CB132">
        <v>1690214843</v>
      </c>
      <c r="CC132" t="s">
        <v>332</v>
      </c>
      <c r="CD132">
        <v>1690214842</v>
      </c>
      <c r="CE132">
        <v>1690214843</v>
      </c>
      <c r="CF132">
        <v>8</v>
      </c>
      <c r="CG132">
        <v>-6.3E-2</v>
      </c>
      <c r="CH132">
        <v>1E-3</v>
      </c>
      <c r="CI132">
        <v>-0.38900000000000001</v>
      </c>
      <c r="CJ132">
        <v>-6.6000000000000003E-2</v>
      </c>
      <c r="CK132">
        <v>800</v>
      </c>
      <c r="CL132">
        <v>6</v>
      </c>
      <c r="CM132">
        <v>0.23</v>
      </c>
      <c r="CN132">
        <v>0.02</v>
      </c>
      <c r="CO132">
        <v>-270.58897560975612</v>
      </c>
      <c r="CP132">
        <v>-17.595909407665509</v>
      </c>
      <c r="CQ132">
        <v>1.73520209672484</v>
      </c>
      <c r="CR132">
        <v>-1</v>
      </c>
      <c r="CS132">
        <v>17.03020731707317</v>
      </c>
      <c r="CT132">
        <v>0.78020696864111672</v>
      </c>
      <c r="CU132">
        <v>7.6933368034892147E-2</v>
      </c>
      <c r="CV132">
        <v>-1</v>
      </c>
      <c r="CW132">
        <v>0</v>
      </c>
      <c r="CX132">
        <v>0</v>
      </c>
      <c r="CY132" t="s">
        <v>333</v>
      </c>
      <c r="CZ132">
        <v>2.36449</v>
      </c>
      <c r="DA132">
        <v>2.7137799999999999</v>
      </c>
      <c r="DB132">
        <v>0.109712</v>
      </c>
      <c r="DC132">
        <v>0.14608499999999999</v>
      </c>
      <c r="DD132">
        <v>0.110344</v>
      </c>
      <c r="DE132">
        <v>3.8268299999999998E-2</v>
      </c>
      <c r="DF132">
        <v>32498.799999999999</v>
      </c>
      <c r="DG132">
        <v>27508.1</v>
      </c>
      <c r="DH132">
        <v>31163.4</v>
      </c>
      <c r="DI132">
        <v>28070.400000000001</v>
      </c>
      <c r="DJ132">
        <v>37637.300000000003</v>
      </c>
      <c r="DK132">
        <v>38387.4</v>
      </c>
      <c r="DL132">
        <v>44347.4</v>
      </c>
      <c r="DM132">
        <v>42540.800000000003</v>
      </c>
      <c r="DN132">
        <v>1.3598300000000001</v>
      </c>
      <c r="DO132">
        <v>2.0340500000000001</v>
      </c>
      <c r="DP132">
        <v>8.4549200000000005E-2</v>
      </c>
      <c r="DQ132">
        <v>0.18104200000000001</v>
      </c>
      <c r="DR132">
        <v>25.6204</v>
      </c>
      <c r="DS132">
        <v>25.382300000000001</v>
      </c>
      <c r="DT132">
        <v>17.100000000000001</v>
      </c>
      <c r="DU132">
        <v>29.8</v>
      </c>
      <c r="DV132">
        <v>7.2694099999999997</v>
      </c>
      <c r="DW132">
        <v>61.418500000000002</v>
      </c>
      <c r="DX132">
        <v>37.279600000000002</v>
      </c>
      <c r="DY132">
        <v>1</v>
      </c>
      <c r="DZ132">
        <v>-8.9143799999999995E-2</v>
      </c>
      <c r="EA132">
        <v>-0.183396</v>
      </c>
      <c r="EB132">
        <v>20.189900000000002</v>
      </c>
      <c r="EC132">
        <v>5.2411000000000003</v>
      </c>
      <c r="ED132">
        <v>12.039899999999999</v>
      </c>
      <c r="EE132">
        <v>5.0174000000000003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1.86894</v>
      </c>
      <c r="EL132">
        <v>1.8646499999999999</v>
      </c>
      <c r="EM132">
        <v>1.8691800000000001</v>
      </c>
      <c r="EN132">
        <v>1.8672299999999999</v>
      </c>
      <c r="EO132">
        <v>1.8633999999999999</v>
      </c>
      <c r="EP132">
        <v>1.86456</v>
      </c>
      <c r="EQ132">
        <v>1.8701700000000001</v>
      </c>
      <c r="ER132">
        <v>1.86948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-0.19600000000000001</v>
      </c>
      <c r="FG132">
        <v>0.19259999999999999</v>
      </c>
      <c r="FH132">
        <v>0.16202357103534001</v>
      </c>
      <c r="FI132">
        <v>-6.1462078757559423E-4</v>
      </c>
      <c r="FJ132">
        <v>-1.8861989874597051E-7</v>
      </c>
      <c r="FK132">
        <v>1.1980462299894961E-10</v>
      </c>
      <c r="FL132">
        <v>0.19260234566371101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26.7</v>
      </c>
      <c r="FU132">
        <v>26.7</v>
      </c>
      <c r="FV132">
        <v>1.7785599999999999</v>
      </c>
      <c r="FW132">
        <v>2.5830099999999998</v>
      </c>
      <c r="FX132">
        <v>1.5490699999999999</v>
      </c>
      <c r="FY132">
        <v>2.3290999999999999</v>
      </c>
      <c r="FZ132">
        <v>1.50146</v>
      </c>
      <c r="GA132">
        <v>2.34985</v>
      </c>
      <c r="GB132">
        <v>33.8735</v>
      </c>
      <c r="GC132">
        <v>23.982399999999998</v>
      </c>
      <c r="GD132">
        <v>19</v>
      </c>
      <c r="GE132">
        <v>236.53</v>
      </c>
      <c r="GF132">
        <v>581.74800000000005</v>
      </c>
      <c r="GG132">
        <v>25.269500000000001</v>
      </c>
      <c r="GH132">
        <v>26.2652</v>
      </c>
      <c r="GI132">
        <v>30.0001</v>
      </c>
      <c r="GJ132">
        <v>26.408999999999999</v>
      </c>
      <c r="GK132">
        <v>26.383099999999999</v>
      </c>
      <c r="GL132">
        <v>35.563899999999997</v>
      </c>
      <c r="GM132">
        <v>-30</v>
      </c>
      <c r="GN132">
        <v>-30</v>
      </c>
      <c r="GO132">
        <v>25.2241</v>
      </c>
      <c r="GP132">
        <v>800</v>
      </c>
      <c r="GQ132">
        <v>12.5298</v>
      </c>
      <c r="GR132">
        <v>99.708200000000005</v>
      </c>
      <c r="GS132">
        <v>99.521699999999996</v>
      </c>
    </row>
    <row r="133" spans="1:201" x14ac:dyDescent="0.25">
      <c r="A133">
        <v>117</v>
      </c>
      <c r="B133">
        <v>1690216454.5999999</v>
      </c>
      <c r="C133">
        <v>1509.099999904633</v>
      </c>
      <c r="D133" t="s">
        <v>567</v>
      </c>
      <c r="E133" t="s">
        <v>568</v>
      </c>
      <c r="F133" t="s">
        <v>330</v>
      </c>
      <c r="H133">
        <v>1690216454.5999999</v>
      </c>
      <c r="I133">
        <f t="shared" si="30"/>
        <v>1.5815632284235494E-3</v>
      </c>
      <c r="J133">
        <f t="shared" si="31"/>
        <v>1.5815632284235495</v>
      </c>
      <c r="K133">
        <f t="shared" si="32"/>
        <v>23.901280329489666</v>
      </c>
      <c r="L133">
        <f t="shared" si="33"/>
        <v>523.13099999999997</v>
      </c>
      <c r="M133">
        <f t="shared" si="34"/>
        <v>108.75428810766287</v>
      </c>
      <c r="N133">
        <f t="shared" si="35"/>
        <v>10.787028855591137</v>
      </c>
      <c r="O133">
        <f t="shared" si="36"/>
        <v>51.887877622515894</v>
      </c>
      <c r="P133">
        <f t="shared" si="37"/>
        <v>9.630568183434253E-2</v>
      </c>
      <c r="Q133">
        <f t="shared" si="38"/>
        <v>2.0634154420717774</v>
      </c>
      <c r="R133">
        <f t="shared" si="39"/>
        <v>9.3876466615092705E-2</v>
      </c>
      <c r="S133">
        <f t="shared" si="40"/>
        <v>5.8885943387561673E-2</v>
      </c>
      <c r="T133">
        <f t="shared" si="41"/>
        <v>276.11621134199999</v>
      </c>
      <c r="U133">
        <f t="shared" si="42"/>
        <v>28.50524634872799</v>
      </c>
      <c r="V133">
        <f t="shared" si="43"/>
        <v>28.50524634872799</v>
      </c>
      <c r="W133">
        <f t="shared" si="44"/>
        <v>3.9080599227966628</v>
      </c>
      <c r="X133">
        <f t="shared" si="45"/>
        <v>64.619293053881492</v>
      </c>
      <c r="Y133">
        <f t="shared" si="46"/>
        <v>2.28922970869611</v>
      </c>
      <c r="Z133">
        <f t="shared" si="47"/>
        <v>3.5426412151975759</v>
      </c>
      <c r="AA133">
        <f t="shared" si="48"/>
        <v>1.6188302141005528</v>
      </c>
      <c r="AB133">
        <f t="shared" si="49"/>
        <v>-69.746938373478528</v>
      </c>
      <c r="AC133">
        <f t="shared" si="50"/>
        <v>-186.85977667455072</v>
      </c>
      <c r="AD133">
        <f t="shared" si="51"/>
        <v>-19.67405988715176</v>
      </c>
      <c r="AE133">
        <f t="shared" si="52"/>
        <v>-0.16456359318104319</v>
      </c>
      <c r="AF133">
        <v>44</v>
      </c>
      <c r="AG133">
        <v>15</v>
      </c>
      <c r="AH133">
        <f t="shared" si="53"/>
        <v>1</v>
      </c>
      <c r="AI133">
        <f t="shared" si="54"/>
        <v>0</v>
      </c>
      <c r="AJ133">
        <f t="shared" si="55"/>
        <v>52387.286646235225</v>
      </c>
      <c r="AK133">
        <f t="shared" si="56"/>
        <v>1800</v>
      </c>
      <c r="AL133">
        <f t="shared" si="57"/>
        <v>1499.1094871999999</v>
      </c>
      <c r="AM133">
        <f t="shared" si="58"/>
        <v>0.83283860399999998</v>
      </c>
      <c r="AN133">
        <f t="shared" si="59"/>
        <v>0.15339789518999999</v>
      </c>
      <c r="AO133">
        <v>33.6</v>
      </c>
      <c r="AP133">
        <v>0.5</v>
      </c>
      <c r="AQ133" t="s">
        <v>331</v>
      </c>
      <c r="AR133">
        <v>2</v>
      </c>
      <c r="AS133">
        <v>1690216454.5999999</v>
      </c>
      <c r="AT133">
        <v>523.13099999999997</v>
      </c>
      <c r="AU133">
        <v>799.99400000000003</v>
      </c>
      <c r="AV133">
        <v>23.079899999999999</v>
      </c>
      <c r="AW133">
        <v>5.7813299999999996</v>
      </c>
      <c r="AX133">
        <v>523.32500000000005</v>
      </c>
      <c r="AY133">
        <v>22.8873</v>
      </c>
      <c r="AZ133">
        <v>300.10599999999999</v>
      </c>
      <c r="BA133">
        <v>99.087199999999996</v>
      </c>
      <c r="BB133">
        <v>9.9958900000000003E-2</v>
      </c>
      <c r="BC133">
        <v>26.825500000000002</v>
      </c>
      <c r="BD133">
        <v>26.994800000000001</v>
      </c>
      <c r="BE133">
        <v>28.3506</v>
      </c>
      <c r="BF133">
        <v>0</v>
      </c>
      <c r="BG133">
        <v>0</v>
      </c>
      <c r="BH133">
        <v>9992.5</v>
      </c>
      <c r="BI133">
        <v>1076.55</v>
      </c>
      <c r="BJ133">
        <v>1.4577199999999999</v>
      </c>
      <c r="BK133">
        <v>-276.863</v>
      </c>
      <c r="BL133">
        <v>535.49</v>
      </c>
      <c r="BM133">
        <v>804.64599999999996</v>
      </c>
      <c r="BN133">
        <v>17.298500000000001</v>
      </c>
      <c r="BO133">
        <v>799.99400000000003</v>
      </c>
      <c r="BP133">
        <v>5.7813299999999996</v>
      </c>
      <c r="BQ133">
        <v>2.2869199999999998</v>
      </c>
      <c r="BR133">
        <v>0.57285600000000003</v>
      </c>
      <c r="BS133">
        <v>19.584599999999998</v>
      </c>
      <c r="BT133">
        <v>-0.94340800000000002</v>
      </c>
      <c r="BU133">
        <v>1800</v>
      </c>
      <c r="BV133">
        <v>0.90998199999999996</v>
      </c>
      <c r="BW133">
        <v>3.40062E-2</v>
      </c>
      <c r="BX133">
        <v>2.20057E-2</v>
      </c>
      <c r="BY133">
        <v>3.4005899999999999E-2</v>
      </c>
      <c r="BZ133">
        <v>26</v>
      </c>
      <c r="CA133">
        <v>33528.199999999997</v>
      </c>
      <c r="CB133">
        <v>1690214843</v>
      </c>
      <c r="CC133" t="s">
        <v>332</v>
      </c>
      <c r="CD133">
        <v>1690214842</v>
      </c>
      <c r="CE133">
        <v>1690214843</v>
      </c>
      <c r="CF133">
        <v>8</v>
      </c>
      <c r="CG133">
        <v>-6.3E-2</v>
      </c>
      <c r="CH133">
        <v>1E-3</v>
      </c>
      <c r="CI133">
        <v>-0.38900000000000001</v>
      </c>
      <c r="CJ133">
        <v>-6.6000000000000003E-2</v>
      </c>
      <c r="CK133">
        <v>800</v>
      </c>
      <c r="CL133">
        <v>6</v>
      </c>
      <c r="CM133">
        <v>0.23</v>
      </c>
      <c r="CN133">
        <v>0.02</v>
      </c>
      <c r="CO133">
        <v>-273.56029268292679</v>
      </c>
      <c r="CP133">
        <v>-17.869923344948329</v>
      </c>
      <c r="CQ133">
        <v>1.762455648899202</v>
      </c>
      <c r="CR133">
        <v>-1</v>
      </c>
      <c r="CS133">
        <v>17.159951219512191</v>
      </c>
      <c r="CT133">
        <v>0.77517700348433816</v>
      </c>
      <c r="CU133">
        <v>7.6442955367660242E-2</v>
      </c>
      <c r="CV133">
        <v>-1</v>
      </c>
      <c r="CW133">
        <v>0</v>
      </c>
      <c r="CX133">
        <v>0</v>
      </c>
      <c r="CY133" t="s">
        <v>333</v>
      </c>
      <c r="CZ133">
        <v>2.3642699999999999</v>
      </c>
      <c r="DA133">
        <v>2.71374</v>
      </c>
      <c r="DB133">
        <v>0.10925600000000001</v>
      </c>
      <c r="DC133">
        <v>0.14607999999999999</v>
      </c>
      <c r="DD133">
        <v>0.110772</v>
      </c>
      <c r="DE133">
        <v>3.8269600000000001E-2</v>
      </c>
      <c r="DF133">
        <v>32516.1</v>
      </c>
      <c r="DG133">
        <v>27508.5</v>
      </c>
      <c r="DH133">
        <v>31164.1</v>
      </c>
      <c r="DI133">
        <v>28070.6</v>
      </c>
      <c r="DJ133">
        <v>37619.5</v>
      </c>
      <c r="DK133">
        <v>38387.699999999997</v>
      </c>
      <c r="DL133">
        <v>44348.1</v>
      </c>
      <c r="DM133">
        <v>42541.2</v>
      </c>
      <c r="DN133">
        <v>1.3599699999999999</v>
      </c>
      <c r="DO133">
        <v>2.0342199999999999</v>
      </c>
      <c r="DP133">
        <v>8.4042500000000006E-2</v>
      </c>
      <c r="DQ133">
        <v>0.18145900000000001</v>
      </c>
      <c r="DR133">
        <v>25.6188</v>
      </c>
      <c r="DS133">
        <v>25.382300000000001</v>
      </c>
      <c r="DT133">
        <v>17.100000000000001</v>
      </c>
      <c r="DU133">
        <v>29.8</v>
      </c>
      <c r="DV133">
        <v>7.2678200000000004</v>
      </c>
      <c r="DW133">
        <v>61.588500000000003</v>
      </c>
      <c r="DX133">
        <v>37.439900000000002</v>
      </c>
      <c r="DY133">
        <v>1</v>
      </c>
      <c r="DZ133">
        <v>-8.9331800000000003E-2</v>
      </c>
      <c r="EA133">
        <v>-0.11196399999999999</v>
      </c>
      <c r="EB133">
        <v>20.189900000000002</v>
      </c>
      <c r="EC133">
        <v>5.2408000000000001</v>
      </c>
      <c r="ED133">
        <v>12.039899999999999</v>
      </c>
      <c r="EE133">
        <v>5.0174500000000002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1.8689499999999999</v>
      </c>
      <c r="EL133">
        <v>1.86466</v>
      </c>
      <c r="EM133">
        <v>1.8691899999999999</v>
      </c>
      <c r="EN133">
        <v>1.8672500000000001</v>
      </c>
      <c r="EO133">
        <v>1.86341</v>
      </c>
      <c r="EP133">
        <v>1.86459</v>
      </c>
      <c r="EQ133">
        <v>1.87019</v>
      </c>
      <c r="ER133">
        <v>1.86947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-0.19400000000000001</v>
      </c>
      <c r="FG133">
        <v>0.19259999999999999</v>
      </c>
      <c r="FH133">
        <v>0.16202357103534001</v>
      </c>
      <c r="FI133">
        <v>-6.1462078757559423E-4</v>
      </c>
      <c r="FJ133">
        <v>-1.8861989874597051E-7</v>
      </c>
      <c r="FK133">
        <v>1.1980462299894961E-10</v>
      </c>
      <c r="FL133">
        <v>0.19260234566371101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26.9</v>
      </c>
      <c r="FU133">
        <v>26.9</v>
      </c>
      <c r="FV133">
        <v>1.7785599999999999</v>
      </c>
      <c r="FW133">
        <v>2.5854499999999998</v>
      </c>
      <c r="FX133">
        <v>1.5490699999999999</v>
      </c>
      <c r="FY133">
        <v>2.3290999999999999</v>
      </c>
      <c r="FZ133">
        <v>1.50146</v>
      </c>
      <c r="GA133">
        <v>2.3535200000000001</v>
      </c>
      <c r="GB133">
        <v>33.8735</v>
      </c>
      <c r="GC133">
        <v>23.982399999999998</v>
      </c>
      <c r="GD133">
        <v>19</v>
      </c>
      <c r="GE133">
        <v>236.583</v>
      </c>
      <c r="GF133">
        <v>581.89300000000003</v>
      </c>
      <c r="GG133">
        <v>25.218800000000002</v>
      </c>
      <c r="GH133">
        <v>26.264199999999999</v>
      </c>
      <c r="GI133">
        <v>30.0001</v>
      </c>
      <c r="GJ133">
        <v>26.408100000000001</v>
      </c>
      <c r="GK133">
        <v>26.383099999999999</v>
      </c>
      <c r="GL133">
        <v>35.563200000000002</v>
      </c>
      <c r="GM133">
        <v>-30</v>
      </c>
      <c r="GN133">
        <v>-30</v>
      </c>
      <c r="GO133">
        <v>25.221800000000002</v>
      </c>
      <c r="GP133">
        <v>800</v>
      </c>
      <c r="GQ133">
        <v>12.5298</v>
      </c>
      <c r="GR133">
        <v>99.71</v>
      </c>
      <c r="GS133">
        <v>99.522499999999994</v>
      </c>
    </row>
    <row r="134" spans="1:201" x14ac:dyDescent="0.25">
      <c r="A134">
        <v>118</v>
      </c>
      <c r="B134">
        <v>1690216464.5999999</v>
      </c>
      <c r="C134">
        <v>1519.099999904633</v>
      </c>
      <c r="D134" t="s">
        <v>569</v>
      </c>
      <c r="E134" t="s">
        <v>570</v>
      </c>
      <c r="F134" t="s">
        <v>330</v>
      </c>
      <c r="H134">
        <v>1690216464.5999999</v>
      </c>
      <c r="I134">
        <f t="shared" si="30"/>
        <v>1.5934874189373113E-3</v>
      </c>
      <c r="J134">
        <f t="shared" si="31"/>
        <v>1.5934874189373112</v>
      </c>
      <c r="K134">
        <f t="shared" si="32"/>
        <v>24.164471648555185</v>
      </c>
      <c r="L134">
        <f t="shared" si="33"/>
        <v>520.20799999999997</v>
      </c>
      <c r="M134">
        <f t="shared" si="34"/>
        <v>107.93200594430556</v>
      </c>
      <c r="N134">
        <f t="shared" si="35"/>
        <v>10.705639243560155</v>
      </c>
      <c r="O134">
        <f t="shared" si="36"/>
        <v>51.598773977088001</v>
      </c>
      <c r="P134">
        <f t="shared" si="37"/>
        <v>9.7879004592309429E-2</v>
      </c>
      <c r="Q134">
        <f t="shared" si="38"/>
        <v>2.0626070253188926</v>
      </c>
      <c r="R134">
        <f t="shared" si="39"/>
        <v>9.5369927340525851E-2</v>
      </c>
      <c r="S134">
        <f t="shared" si="40"/>
        <v>5.9826278033605143E-2</v>
      </c>
      <c r="T134">
        <f t="shared" si="41"/>
        <v>276.1145622896874</v>
      </c>
      <c r="U134">
        <f t="shared" si="42"/>
        <v>28.499550451100976</v>
      </c>
      <c r="V134">
        <f t="shared" si="43"/>
        <v>28.499550451100976</v>
      </c>
      <c r="W134">
        <f t="shared" si="44"/>
        <v>3.9067672945631049</v>
      </c>
      <c r="X134">
        <f t="shared" si="45"/>
        <v>64.96870369314388</v>
      </c>
      <c r="Y134">
        <f t="shared" si="46"/>
        <v>2.3013373771776</v>
      </c>
      <c r="Z134">
        <f t="shared" si="47"/>
        <v>3.5422245579150426</v>
      </c>
      <c r="AA134">
        <f t="shared" si="48"/>
        <v>1.6054299173855049</v>
      </c>
      <c r="AB134">
        <f t="shared" si="49"/>
        <v>-70.272795175135428</v>
      </c>
      <c r="AC134">
        <f t="shared" si="50"/>
        <v>-186.37558656010762</v>
      </c>
      <c r="AD134">
        <f t="shared" si="51"/>
        <v>-19.630017248347144</v>
      </c>
      <c r="AE134">
        <f t="shared" si="52"/>
        <v>-0.16383669390279465</v>
      </c>
      <c r="AF134">
        <v>44</v>
      </c>
      <c r="AG134">
        <v>15</v>
      </c>
      <c r="AH134">
        <f t="shared" si="53"/>
        <v>1</v>
      </c>
      <c r="AI134">
        <f t="shared" si="54"/>
        <v>0</v>
      </c>
      <c r="AJ134">
        <f t="shared" si="55"/>
        <v>52350.704255926663</v>
      </c>
      <c r="AK134">
        <f t="shared" si="56"/>
        <v>1799.99</v>
      </c>
      <c r="AL134">
        <f t="shared" si="57"/>
        <v>1499.1010184147397</v>
      </c>
      <c r="AM134">
        <f t="shared" si="58"/>
        <v>0.83283852599999986</v>
      </c>
      <c r="AN134">
        <f t="shared" si="59"/>
        <v>0.15339783126000001</v>
      </c>
      <c r="AO134">
        <v>33.6</v>
      </c>
      <c r="AP134">
        <v>0.5</v>
      </c>
      <c r="AQ134" t="s">
        <v>331</v>
      </c>
      <c r="AR134">
        <v>2</v>
      </c>
      <c r="AS134">
        <v>1690216464.5999999</v>
      </c>
      <c r="AT134">
        <v>520.20799999999997</v>
      </c>
      <c r="AU134">
        <v>799.93100000000004</v>
      </c>
      <c r="AV134">
        <v>23.201599999999999</v>
      </c>
      <c r="AW134">
        <v>5.7812799999999998</v>
      </c>
      <c r="AX134">
        <v>520.4</v>
      </c>
      <c r="AY134">
        <v>23.009</v>
      </c>
      <c r="AZ134">
        <v>300.21800000000002</v>
      </c>
      <c r="BA134">
        <v>99.088700000000003</v>
      </c>
      <c r="BB134">
        <v>0.100036</v>
      </c>
      <c r="BC134">
        <v>26.823499999999999</v>
      </c>
      <c r="BD134">
        <v>26.982500000000002</v>
      </c>
      <c r="BE134">
        <v>28.335999999999999</v>
      </c>
      <c r="BF134">
        <v>0</v>
      </c>
      <c r="BG134">
        <v>0</v>
      </c>
      <c r="BH134">
        <v>9985</v>
      </c>
      <c r="BI134">
        <v>1076.52</v>
      </c>
      <c r="BJ134">
        <v>1.4577199999999999</v>
      </c>
      <c r="BK134">
        <v>-279.72300000000001</v>
      </c>
      <c r="BL134">
        <v>532.56500000000005</v>
      </c>
      <c r="BM134">
        <v>804.58199999999999</v>
      </c>
      <c r="BN134">
        <v>17.420300000000001</v>
      </c>
      <c r="BO134">
        <v>799.93100000000004</v>
      </c>
      <c r="BP134">
        <v>5.7812799999999998</v>
      </c>
      <c r="BQ134">
        <v>2.29901</v>
      </c>
      <c r="BR134">
        <v>0.57285900000000001</v>
      </c>
      <c r="BS134">
        <v>19.669499999999999</v>
      </c>
      <c r="BT134">
        <v>-0.94333999999999996</v>
      </c>
      <c r="BU134">
        <v>1799.99</v>
      </c>
      <c r="BV134">
        <v>0.90998299999999999</v>
      </c>
      <c r="BW134">
        <v>3.40074E-2</v>
      </c>
      <c r="BX134">
        <v>2.2004800000000001E-2</v>
      </c>
      <c r="BY134">
        <v>3.4004600000000003E-2</v>
      </c>
      <c r="BZ134">
        <v>26</v>
      </c>
      <c r="CA134">
        <v>33528.1</v>
      </c>
      <c r="CB134">
        <v>1690214843</v>
      </c>
      <c r="CC134" t="s">
        <v>332</v>
      </c>
      <c r="CD134">
        <v>1690214842</v>
      </c>
      <c r="CE134">
        <v>1690214843</v>
      </c>
      <c r="CF134">
        <v>8</v>
      </c>
      <c r="CG134">
        <v>-6.3E-2</v>
      </c>
      <c r="CH134">
        <v>1E-3</v>
      </c>
      <c r="CI134">
        <v>-0.38900000000000001</v>
      </c>
      <c r="CJ134">
        <v>-6.6000000000000003E-2</v>
      </c>
      <c r="CK134">
        <v>800</v>
      </c>
      <c r="CL134">
        <v>6</v>
      </c>
      <c r="CM134">
        <v>0.23</v>
      </c>
      <c r="CN134">
        <v>0.02</v>
      </c>
      <c r="CO134">
        <v>-276.56202439024389</v>
      </c>
      <c r="CP134">
        <v>-17.8260418118467</v>
      </c>
      <c r="CQ134">
        <v>1.75808639716395</v>
      </c>
      <c r="CR134">
        <v>-1</v>
      </c>
      <c r="CS134">
        <v>17.28592926829268</v>
      </c>
      <c r="CT134">
        <v>0.73679999999998091</v>
      </c>
      <c r="CU134">
        <v>7.2658490326580269E-2</v>
      </c>
      <c r="CV134">
        <v>-1</v>
      </c>
      <c r="CW134">
        <v>0</v>
      </c>
      <c r="CX134">
        <v>0</v>
      </c>
      <c r="CY134" t="s">
        <v>333</v>
      </c>
      <c r="CZ134">
        <v>2.3646199999999999</v>
      </c>
      <c r="DA134">
        <v>2.7138100000000001</v>
      </c>
      <c r="DB134">
        <v>0.108819</v>
      </c>
      <c r="DC134">
        <v>0.14607700000000001</v>
      </c>
      <c r="DD134">
        <v>0.11119</v>
      </c>
      <c r="DE134">
        <v>3.8270600000000002E-2</v>
      </c>
      <c r="DF134">
        <v>32531.8</v>
      </c>
      <c r="DG134">
        <v>27508.3</v>
      </c>
      <c r="DH134">
        <v>31163.7</v>
      </c>
      <c r="DI134">
        <v>28070.3</v>
      </c>
      <c r="DJ134">
        <v>37601.5</v>
      </c>
      <c r="DK134">
        <v>38387.300000000003</v>
      </c>
      <c r="DL134">
        <v>44348</v>
      </c>
      <c r="DM134">
        <v>42540.9</v>
      </c>
      <c r="DN134">
        <v>1.361</v>
      </c>
      <c r="DO134">
        <v>2.03417</v>
      </c>
      <c r="DP134">
        <v>8.3290000000000003E-2</v>
      </c>
      <c r="DQ134">
        <v>0.18043799999999999</v>
      </c>
      <c r="DR134">
        <v>25.6188</v>
      </c>
      <c r="DS134">
        <v>25.384499999999999</v>
      </c>
      <c r="DT134">
        <v>17.100000000000001</v>
      </c>
      <c r="DU134">
        <v>29.8</v>
      </c>
      <c r="DV134">
        <v>7.2683099999999996</v>
      </c>
      <c r="DW134">
        <v>61.938499999999998</v>
      </c>
      <c r="DX134">
        <v>37.163499999999999</v>
      </c>
      <c r="DY134">
        <v>1</v>
      </c>
      <c r="DZ134">
        <v>-8.9364799999999994E-2</v>
      </c>
      <c r="EA134">
        <v>-0.179924</v>
      </c>
      <c r="EB134">
        <v>20.189699999999998</v>
      </c>
      <c r="EC134">
        <v>5.2406499999999996</v>
      </c>
      <c r="ED134">
        <v>12.039899999999999</v>
      </c>
      <c r="EE134">
        <v>5.01675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1.86893</v>
      </c>
      <c r="EL134">
        <v>1.8646799999999999</v>
      </c>
      <c r="EM134">
        <v>1.8692</v>
      </c>
      <c r="EN134">
        <v>1.8672500000000001</v>
      </c>
      <c r="EO134">
        <v>1.8633999999999999</v>
      </c>
      <c r="EP134">
        <v>1.8645700000000001</v>
      </c>
      <c r="EQ134">
        <v>1.8701700000000001</v>
      </c>
      <c r="ER134">
        <v>1.86947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-0.192</v>
      </c>
      <c r="FG134">
        <v>0.19259999999999999</v>
      </c>
      <c r="FH134">
        <v>0.16202357103534001</v>
      </c>
      <c r="FI134">
        <v>-6.1462078757559423E-4</v>
      </c>
      <c r="FJ134">
        <v>-1.8861989874597051E-7</v>
      </c>
      <c r="FK134">
        <v>1.1980462299894961E-10</v>
      </c>
      <c r="FL134">
        <v>0.19260234566371101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27</v>
      </c>
      <c r="FU134">
        <v>27</v>
      </c>
      <c r="FV134">
        <v>1.7785599999999999</v>
      </c>
      <c r="FW134">
        <v>2.5854499999999998</v>
      </c>
      <c r="FX134">
        <v>1.5490699999999999</v>
      </c>
      <c r="FY134">
        <v>2.3290999999999999</v>
      </c>
      <c r="FZ134">
        <v>1.50146</v>
      </c>
      <c r="GA134">
        <v>2.36816</v>
      </c>
      <c r="GB134">
        <v>33.8735</v>
      </c>
      <c r="GC134">
        <v>23.982399999999998</v>
      </c>
      <c r="GD134">
        <v>19</v>
      </c>
      <c r="GE134">
        <v>236.964</v>
      </c>
      <c r="GF134">
        <v>581.827</v>
      </c>
      <c r="GG134">
        <v>25.2193</v>
      </c>
      <c r="GH134">
        <v>26.2636</v>
      </c>
      <c r="GI134">
        <v>30.0001</v>
      </c>
      <c r="GJ134">
        <v>26.4068</v>
      </c>
      <c r="GK134">
        <v>26.3809</v>
      </c>
      <c r="GL134">
        <v>35.564100000000003</v>
      </c>
      <c r="GM134">
        <v>-30</v>
      </c>
      <c r="GN134">
        <v>-30</v>
      </c>
      <c r="GO134">
        <v>25.234400000000001</v>
      </c>
      <c r="GP134">
        <v>800</v>
      </c>
      <c r="GQ134">
        <v>12.5298</v>
      </c>
      <c r="GR134">
        <v>99.709400000000002</v>
      </c>
      <c r="GS134">
        <v>99.521600000000007</v>
      </c>
    </row>
    <row r="135" spans="1:201" x14ac:dyDescent="0.25">
      <c r="A135">
        <v>119</v>
      </c>
      <c r="B135">
        <v>1690216474.5999999</v>
      </c>
      <c r="C135">
        <v>1529.099999904633</v>
      </c>
      <c r="D135" t="s">
        <v>571</v>
      </c>
      <c r="E135" t="s">
        <v>572</v>
      </c>
      <c r="F135" t="s">
        <v>330</v>
      </c>
      <c r="H135">
        <v>1690216474.5999999</v>
      </c>
      <c r="I135">
        <f t="shared" si="30"/>
        <v>1.6047253407733685E-3</v>
      </c>
      <c r="J135">
        <f t="shared" si="31"/>
        <v>1.6047253407733686</v>
      </c>
      <c r="K135">
        <f t="shared" si="32"/>
        <v>24.423027517669418</v>
      </c>
      <c r="L135">
        <f t="shared" si="33"/>
        <v>517.36900000000003</v>
      </c>
      <c r="M135">
        <f t="shared" si="34"/>
        <v>107.35951758015243</v>
      </c>
      <c r="N135">
        <f t="shared" si="35"/>
        <v>10.648868158925278</v>
      </c>
      <c r="O135">
        <f t="shared" si="36"/>
        <v>51.317241309340005</v>
      </c>
      <c r="P135">
        <f t="shared" si="37"/>
        <v>9.9491735782911733E-2</v>
      </c>
      <c r="Q135">
        <f t="shared" si="38"/>
        <v>2.0619201315440723</v>
      </c>
      <c r="R135">
        <f t="shared" si="39"/>
        <v>9.6899634078301794E-2</v>
      </c>
      <c r="S135">
        <f t="shared" si="40"/>
        <v>6.0789536408280928E-2</v>
      </c>
      <c r="T135">
        <f t="shared" si="41"/>
        <v>276.11613374400002</v>
      </c>
      <c r="U135">
        <f t="shared" si="42"/>
        <v>28.490341264629379</v>
      </c>
      <c r="V135">
        <f t="shared" si="43"/>
        <v>28.490341264629379</v>
      </c>
      <c r="W135">
        <f t="shared" si="44"/>
        <v>3.9046781486743978</v>
      </c>
      <c r="X135">
        <f t="shared" si="45"/>
        <v>65.334825826976882</v>
      </c>
      <c r="Y135">
        <f t="shared" si="46"/>
        <v>2.3135305650700002</v>
      </c>
      <c r="Z135">
        <f t="shared" si="47"/>
        <v>3.541037319356775</v>
      </c>
      <c r="AA135">
        <f t="shared" si="48"/>
        <v>1.5911475836043976</v>
      </c>
      <c r="AB135">
        <f t="shared" si="49"/>
        <v>-70.768387528105549</v>
      </c>
      <c r="AC135">
        <f t="shared" si="50"/>
        <v>-185.92343034399985</v>
      </c>
      <c r="AD135">
        <f t="shared" si="51"/>
        <v>-19.587459762870935</v>
      </c>
      <c r="AE135">
        <f t="shared" si="52"/>
        <v>-0.16314389097632898</v>
      </c>
      <c r="AF135">
        <v>44</v>
      </c>
      <c r="AG135">
        <v>15</v>
      </c>
      <c r="AH135">
        <f t="shared" si="53"/>
        <v>1</v>
      </c>
      <c r="AI135">
        <f t="shared" si="54"/>
        <v>0</v>
      </c>
      <c r="AJ135">
        <f t="shared" si="55"/>
        <v>52320.308001273464</v>
      </c>
      <c r="AK135">
        <f t="shared" si="56"/>
        <v>1800</v>
      </c>
      <c r="AL135">
        <f t="shared" si="57"/>
        <v>1499.1101784</v>
      </c>
      <c r="AM135">
        <f t="shared" si="58"/>
        <v>0.832838988</v>
      </c>
      <c r="AN135">
        <f t="shared" si="59"/>
        <v>0.15339785208000001</v>
      </c>
      <c r="AO135">
        <v>33.6</v>
      </c>
      <c r="AP135">
        <v>0.5</v>
      </c>
      <c r="AQ135" t="s">
        <v>331</v>
      </c>
      <c r="AR135">
        <v>2</v>
      </c>
      <c r="AS135">
        <v>1690216474.5999999</v>
      </c>
      <c r="AT135">
        <v>517.36900000000003</v>
      </c>
      <c r="AU135">
        <v>800.03499999999997</v>
      </c>
      <c r="AV135">
        <v>23.3245</v>
      </c>
      <c r="AW135">
        <v>5.7813699999999999</v>
      </c>
      <c r="AX135">
        <v>517.55899999999997</v>
      </c>
      <c r="AY135">
        <v>23.131900000000002</v>
      </c>
      <c r="AZ135">
        <v>300.18099999999998</v>
      </c>
      <c r="BA135">
        <v>99.088800000000006</v>
      </c>
      <c r="BB135">
        <v>0.10006</v>
      </c>
      <c r="BC135">
        <v>26.817799999999998</v>
      </c>
      <c r="BD135">
        <v>26.989100000000001</v>
      </c>
      <c r="BE135">
        <v>28.331199999999999</v>
      </c>
      <c r="BF135">
        <v>0</v>
      </c>
      <c r="BG135">
        <v>0</v>
      </c>
      <c r="BH135">
        <v>9978.75</v>
      </c>
      <c r="BI135">
        <v>1076.48</v>
      </c>
      <c r="BJ135">
        <v>1.4577199999999999</v>
      </c>
      <c r="BK135">
        <v>-282.666</v>
      </c>
      <c r="BL135">
        <v>529.72500000000002</v>
      </c>
      <c r="BM135">
        <v>804.68700000000001</v>
      </c>
      <c r="BN135">
        <v>17.543099999999999</v>
      </c>
      <c r="BO135">
        <v>800.03499999999997</v>
      </c>
      <c r="BP135">
        <v>5.7813699999999999</v>
      </c>
      <c r="BQ135">
        <v>2.3111999999999999</v>
      </c>
      <c r="BR135">
        <v>0.57286899999999996</v>
      </c>
      <c r="BS135">
        <v>19.7546</v>
      </c>
      <c r="BT135">
        <v>-0.94308700000000001</v>
      </c>
      <c r="BU135">
        <v>1800</v>
      </c>
      <c r="BV135">
        <v>0.90998500000000004</v>
      </c>
      <c r="BW135">
        <v>3.4006799999999997E-2</v>
      </c>
      <c r="BX135">
        <v>2.20044E-2</v>
      </c>
      <c r="BY135">
        <v>3.4004E-2</v>
      </c>
      <c r="BZ135">
        <v>26</v>
      </c>
      <c r="CA135">
        <v>33528.199999999997</v>
      </c>
      <c r="CB135">
        <v>1690214843</v>
      </c>
      <c r="CC135" t="s">
        <v>332</v>
      </c>
      <c r="CD135">
        <v>1690214842</v>
      </c>
      <c r="CE135">
        <v>1690214843</v>
      </c>
      <c r="CF135">
        <v>8</v>
      </c>
      <c r="CG135">
        <v>-6.3E-2</v>
      </c>
      <c r="CH135">
        <v>1E-3</v>
      </c>
      <c r="CI135">
        <v>-0.38900000000000001</v>
      </c>
      <c r="CJ135">
        <v>-6.6000000000000003E-2</v>
      </c>
      <c r="CK135">
        <v>800</v>
      </c>
      <c r="CL135">
        <v>6</v>
      </c>
      <c r="CM135">
        <v>0.23</v>
      </c>
      <c r="CN135">
        <v>0.02</v>
      </c>
      <c r="CO135">
        <v>-279.48687804878051</v>
      </c>
      <c r="CP135">
        <v>-17.277554006968501</v>
      </c>
      <c r="CQ135">
        <v>1.7040012051284239</v>
      </c>
      <c r="CR135">
        <v>-1</v>
      </c>
      <c r="CS135">
        <v>17.407178048780491</v>
      </c>
      <c r="CT135">
        <v>0.72343902439025409</v>
      </c>
      <c r="CU135">
        <v>7.1341027474173438E-2</v>
      </c>
      <c r="CV135">
        <v>-1</v>
      </c>
      <c r="CW135">
        <v>0</v>
      </c>
      <c r="CX135">
        <v>0</v>
      </c>
      <c r="CY135" t="s">
        <v>333</v>
      </c>
      <c r="CZ135">
        <v>2.3645</v>
      </c>
      <c r="DA135">
        <v>2.7138300000000002</v>
      </c>
      <c r="DB135">
        <v>0.108388</v>
      </c>
      <c r="DC135">
        <v>0.146088</v>
      </c>
      <c r="DD135">
        <v>0.111607</v>
      </c>
      <c r="DE135">
        <v>3.8270899999999997E-2</v>
      </c>
      <c r="DF135">
        <v>32548.1</v>
      </c>
      <c r="DG135">
        <v>27508.1</v>
      </c>
      <c r="DH135">
        <v>31164.3</v>
      </c>
      <c r="DI135">
        <v>28070.5</v>
      </c>
      <c r="DJ135">
        <v>37584.1</v>
      </c>
      <c r="DK135">
        <v>38387.5</v>
      </c>
      <c r="DL135">
        <v>44348.5</v>
      </c>
      <c r="DM135">
        <v>42541.1</v>
      </c>
      <c r="DN135">
        <v>1.3608</v>
      </c>
      <c r="DO135">
        <v>2.0342199999999999</v>
      </c>
      <c r="DP135">
        <v>8.36924E-2</v>
      </c>
      <c r="DQ135">
        <v>0.18027399999999999</v>
      </c>
      <c r="DR135">
        <v>25.6188</v>
      </c>
      <c r="DS135">
        <v>25.382300000000001</v>
      </c>
      <c r="DT135">
        <v>17.100000000000001</v>
      </c>
      <c r="DU135">
        <v>29.8</v>
      </c>
      <c r="DV135">
        <v>7.2690599999999996</v>
      </c>
      <c r="DW135">
        <v>61.898499999999999</v>
      </c>
      <c r="DX135">
        <v>37.039299999999997</v>
      </c>
      <c r="DY135">
        <v>1</v>
      </c>
      <c r="DZ135">
        <v>-8.9443599999999998E-2</v>
      </c>
      <c r="EA135">
        <v>-0.23277200000000001</v>
      </c>
      <c r="EB135">
        <v>20.189699999999998</v>
      </c>
      <c r="EC135">
        <v>5.2406499999999996</v>
      </c>
      <c r="ED135">
        <v>12.039899999999999</v>
      </c>
      <c r="EE135">
        <v>5.0171000000000001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1.86893</v>
      </c>
      <c r="EL135">
        <v>1.8646499999999999</v>
      </c>
      <c r="EM135">
        <v>1.8691899999999999</v>
      </c>
      <c r="EN135">
        <v>1.8672500000000001</v>
      </c>
      <c r="EO135">
        <v>1.8633999999999999</v>
      </c>
      <c r="EP135">
        <v>1.8646</v>
      </c>
      <c r="EQ135">
        <v>1.8702099999999999</v>
      </c>
      <c r="ER135">
        <v>1.8694900000000001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-0.19</v>
      </c>
      <c r="FG135">
        <v>0.19259999999999999</v>
      </c>
      <c r="FH135">
        <v>0.16202357103534001</v>
      </c>
      <c r="FI135">
        <v>-6.1462078757559423E-4</v>
      </c>
      <c r="FJ135">
        <v>-1.8861989874597051E-7</v>
      </c>
      <c r="FK135">
        <v>1.1980462299894961E-10</v>
      </c>
      <c r="FL135">
        <v>0.19260234566371101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27.2</v>
      </c>
      <c r="FU135">
        <v>27.2</v>
      </c>
      <c r="FV135">
        <v>1.7785599999999999</v>
      </c>
      <c r="FW135">
        <v>2.5842299999999998</v>
      </c>
      <c r="FX135">
        <v>1.5490699999999999</v>
      </c>
      <c r="FY135">
        <v>2.3290999999999999</v>
      </c>
      <c r="FZ135">
        <v>1.50146</v>
      </c>
      <c r="GA135">
        <v>2.3730500000000001</v>
      </c>
      <c r="GB135">
        <v>33.8735</v>
      </c>
      <c r="GC135">
        <v>23.991199999999999</v>
      </c>
      <c r="GD135">
        <v>19</v>
      </c>
      <c r="GE135">
        <v>236.88399999999999</v>
      </c>
      <c r="GF135">
        <v>581.86800000000005</v>
      </c>
      <c r="GG135">
        <v>25.245699999999999</v>
      </c>
      <c r="GH135">
        <v>26.262</v>
      </c>
      <c r="GI135">
        <v>30</v>
      </c>
      <c r="GJ135">
        <v>26.405799999999999</v>
      </c>
      <c r="GK135">
        <v>26.3809</v>
      </c>
      <c r="GL135">
        <v>35.563299999999998</v>
      </c>
      <c r="GM135">
        <v>-30</v>
      </c>
      <c r="GN135">
        <v>-30</v>
      </c>
      <c r="GO135">
        <v>25.263300000000001</v>
      </c>
      <c r="GP135">
        <v>800</v>
      </c>
      <c r="GQ135">
        <v>12.5298</v>
      </c>
      <c r="GR135">
        <v>99.710800000000006</v>
      </c>
      <c r="GS135">
        <v>99.522099999999995</v>
      </c>
    </row>
    <row r="136" spans="1:201" x14ac:dyDescent="0.25">
      <c r="A136">
        <v>120</v>
      </c>
      <c r="B136">
        <v>1690216484.5999999</v>
      </c>
      <c r="C136">
        <v>1539.099999904633</v>
      </c>
      <c r="D136" t="s">
        <v>573</v>
      </c>
      <c r="E136" t="s">
        <v>574</v>
      </c>
      <c r="F136" t="s">
        <v>330</v>
      </c>
      <c r="H136">
        <v>1690216484.5999999</v>
      </c>
      <c r="I136">
        <f t="shared" si="30"/>
        <v>1.6161297745275586E-3</v>
      </c>
      <c r="J136">
        <f t="shared" si="31"/>
        <v>1.6161297745275587</v>
      </c>
      <c r="K136">
        <f t="shared" si="32"/>
        <v>24.674588864898798</v>
      </c>
      <c r="L136">
        <f t="shared" si="33"/>
        <v>514.47</v>
      </c>
      <c r="M136">
        <f t="shared" si="34"/>
        <v>106.58153741829568</v>
      </c>
      <c r="N136">
        <f t="shared" si="35"/>
        <v>10.571659680059266</v>
      </c>
      <c r="O136">
        <f t="shared" si="36"/>
        <v>51.029492418135</v>
      </c>
      <c r="P136">
        <f t="shared" si="37"/>
        <v>0.10105481763002855</v>
      </c>
      <c r="Q136">
        <f t="shared" si="38"/>
        <v>2.0632923918318027</v>
      </c>
      <c r="R136">
        <f t="shared" si="39"/>
        <v>9.8383534311616783E-2</v>
      </c>
      <c r="S136">
        <f t="shared" si="40"/>
        <v>6.1723831672303324E-2</v>
      </c>
      <c r="T136">
        <f t="shared" si="41"/>
        <v>276.11592103800007</v>
      </c>
      <c r="U136">
        <f t="shared" si="42"/>
        <v>28.488233678465118</v>
      </c>
      <c r="V136">
        <f t="shared" si="43"/>
        <v>28.488233678465118</v>
      </c>
      <c r="W136">
        <f t="shared" si="44"/>
        <v>3.9042001701972131</v>
      </c>
      <c r="X136">
        <f t="shared" si="45"/>
        <v>65.675920981032547</v>
      </c>
      <c r="Y136">
        <f t="shared" si="46"/>
        <v>2.3260192274602498</v>
      </c>
      <c r="Z136">
        <f t="shared" si="47"/>
        <v>3.5416621384449449</v>
      </c>
      <c r="AA136">
        <f t="shared" si="48"/>
        <v>1.5781809427369633</v>
      </c>
      <c r="AB136">
        <f t="shared" si="49"/>
        <v>-71.271323056665338</v>
      </c>
      <c r="AC136">
        <f t="shared" si="50"/>
        <v>-185.4790185401105</v>
      </c>
      <c r="AD136">
        <f t="shared" si="51"/>
        <v>-19.527729839062182</v>
      </c>
      <c r="AE136">
        <f t="shared" si="52"/>
        <v>-0.16215039783796215</v>
      </c>
      <c r="AF136">
        <v>44</v>
      </c>
      <c r="AG136">
        <v>15</v>
      </c>
      <c r="AH136">
        <f t="shared" si="53"/>
        <v>1</v>
      </c>
      <c r="AI136">
        <f t="shared" si="54"/>
        <v>0</v>
      </c>
      <c r="AJ136">
        <f t="shared" si="55"/>
        <v>52382.508236894515</v>
      </c>
      <c r="AK136">
        <f t="shared" si="56"/>
        <v>1800</v>
      </c>
      <c r="AL136">
        <f t="shared" si="57"/>
        <v>1499.1092388000002</v>
      </c>
      <c r="AM136">
        <f t="shared" si="58"/>
        <v>0.83283846600000011</v>
      </c>
      <c r="AN136">
        <f t="shared" si="59"/>
        <v>0.15339773391000003</v>
      </c>
      <c r="AO136">
        <v>33.6</v>
      </c>
      <c r="AP136">
        <v>0.5</v>
      </c>
      <c r="AQ136" t="s">
        <v>331</v>
      </c>
      <c r="AR136">
        <v>2</v>
      </c>
      <c r="AS136">
        <v>1690216484.5999999</v>
      </c>
      <c r="AT136">
        <v>514.47</v>
      </c>
      <c r="AU136">
        <v>800.01199999999994</v>
      </c>
      <c r="AV136">
        <v>23.450500000000002</v>
      </c>
      <c r="AW136">
        <v>5.7820900000000002</v>
      </c>
      <c r="AX136">
        <v>514.65800000000002</v>
      </c>
      <c r="AY136">
        <v>23.257899999999999</v>
      </c>
      <c r="AZ136">
        <v>300.13200000000001</v>
      </c>
      <c r="BA136">
        <v>99.088499999999996</v>
      </c>
      <c r="BB136">
        <v>9.9970500000000004E-2</v>
      </c>
      <c r="BC136">
        <v>26.820799999999998</v>
      </c>
      <c r="BD136">
        <v>26.994499999999999</v>
      </c>
      <c r="BE136">
        <v>28.325700000000001</v>
      </c>
      <c r="BF136">
        <v>0</v>
      </c>
      <c r="BG136">
        <v>0</v>
      </c>
      <c r="BH136">
        <v>9991.25</v>
      </c>
      <c r="BI136">
        <v>1076.6099999999999</v>
      </c>
      <c r="BJ136">
        <v>1.4577199999999999</v>
      </c>
      <c r="BK136">
        <v>-285.54199999999997</v>
      </c>
      <c r="BL136">
        <v>526.82500000000005</v>
      </c>
      <c r="BM136">
        <v>804.66499999999996</v>
      </c>
      <c r="BN136">
        <v>17.668399999999998</v>
      </c>
      <c r="BO136">
        <v>800.01199999999994</v>
      </c>
      <c r="BP136">
        <v>5.7820900000000002</v>
      </c>
      <c r="BQ136">
        <v>2.32368</v>
      </c>
      <c r="BR136">
        <v>0.57293899999999998</v>
      </c>
      <c r="BS136">
        <v>19.8415</v>
      </c>
      <c r="BT136">
        <v>-0.94143699999999997</v>
      </c>
      <c r="BU136">
        <v>1800</v>
      </c>
      <c r="BV136">
        <v>0.90998500000000004</v>
      </c>
      <c r="BW136">
        <v>3.4006500000000002E-2</v>
      </c>
      <c r="BX136">
        <v>2.2004300000000001E-2</v>
      </c>
      <c r="BY136">
        <v>3.4003699999999998E-2</v>
      </c>
      <c r="BZ136">
        <v>26</v>
      </c>
      <c r="CA136">
        <v>33528.199999999997</v>
      </c>
      <c r="CB136">
        <v>1690214843</v>
      </c>
      <c r="CC136" t="s">
        <v>332</v>
      </c>
      <c r="CD136">
        <v>1690214842</v>
      </c>
      <c r="CE136">
        <v>1690214843</v>
      </c>
      <c r="CF136">
        <v>8</v>
      </c>
      <c r="CG136">
        <v>-6.3E-2</v>
      </c>
      <c r="CH136">
        <v>1E-3</v>
      </c>
      <c r="CI136">
        <v>-0.38900000000000001</v>
      </c>
      <c r="CJ136">
        <v>-6.6000000000000003E-2</v>
      </c>
      <c r="CK136">
        <v>800</v>
      </c>
      <c r="CL136">
        <v>6</v>
      </c>
      <c r="CM136">
        <v>0.23</v>
      </c>
      <c r="CN136">
        <v>0.02</v>
      </c>
      <c r="CO136">
        <v>-282.56472500000001</v>
      </c>
      <c r="CP136">
        <v>-17.407238273920711</v>
      </c>
      <c r="CQ136">
        <v>1.6757941249971631</v>
      </c>
      <c r="CR136">
        <v>-1</v>
      </c>
      <c r="CS136">
        <v>17.538720000000001</v>
      </c>
      <c r="CT136">
        <v>0.74847804878045077</v>
      </c>
      <c r="CU136">
        <v>7.201491234459724E-2</v>
      </c>
      <c r="CV136">
        <v>-1</v>
      </c>
      <c r="CW136">
        <v>0</v>
      </c>
      <c r="CX136">
        <v>0</v>
      </c>
      <c r="CY136" t="s">
        <v>333</v>
      </c>
      <c r="CZ136">
        <v>2.36436</v>
      </c>
      <c r="DA136">
        <v>2.7137500000000001</v>
      </c>
      <c r="DB136">
        <v>0.107947</v>
      </c>
      <c r="DC136">
        <v>0.14608499999999999</v>
      </c>
      <c r="DD136">
        <v>0.11203299999999999</v>
      </c>
      <c r="DE136">
        <v>3.8274500000000003E-2</v>
      </c>
      <c r="DF136">
        <v>32564.400000000001</v>
      </c>
      <c r="DG136">
        <v>27508.7</v>
      </c>
      <c r="DH136">
        <v>31164.5</v>
      </c>
      <c r="DI136">
        <v>28071</v>
      </c>
      <c r="DJ136">
        <v>37566.1</v>
      </c>
      <c r="DK136">
        <v>38388.1</v>
      </c>
      <c r="DL136">
        <v>44348.800000000003</v>
      </c>
      <c r="DM136">
        <v>42541.9</v>
      </c>
      <c r="DN136">
        <v>1.36073</v>
      </c>
      <c r="DO136">
        <v>2.0342500000000001</v>
      </c>
      <c r="DP136">
        <v>8.4023899999999999E-2</v>
      </c>
      <c r="DQ136">
        <v>0.17993899999999999</v>
      </c>
      <c r="DR136">
        <v>25.6188</v>
      </c>
      <c r="DS136">
        <v>25.382300000000001</v>
      </c>
      <c r="DT136">
        <v>17.100000000000001</v>
      </c>
      <c r="DU136">
        <v>29.8</v>
      </c>
      <c r="DV136">
        <v>7.2690400000000004</v>
      </c>
      <c r="DW136">
        <v>61.648499999999999</v>
      </c>
      <c r="DX136">
        <v>37.043300000000002</v>
      </c>
      <c r="DY136">
        <v>1</v>
      </c>
      <c r="DZ136">
        <v>-8.9608699999999999E-2</v>
      </c>
      <c r="EA136">
        <v>-0.22603999999999999</v>
      </c>
      <c r="EB136">
        <v>20.189699999999998</v>
      </c>
      <c r="EC136">
        <v>5.2404999999999999</v>
      </c>
      <c r="ED136">
        <v>12.039899999999999</v>
      </c>
      <c r="EE136">
        <v>5.0171000000000001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1.8689100000000001</v>
      </c>
      <c r="EL136">
        <v>1.86466</v>
      </c>
      <c r="EM136">
        <v>1.8691800000000001</v>
      </c>
      <c r="EN136">
        <v>1.8672299999999999</v>
      </c>
      <c r="EO136">
        <v>1.86341</v>
      </c>
      <c r="EP136">
        <v>1.86459</v>
      </c>
      <c r="EQ136">
        <v>1.87016</v>
      </c>
      <c r="ER136">
        <v>1.8694599999999999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-0.188</v>
      </c>
      <c r="FG136">
        <v>0.19259999999999999</v>
      </c>
      <c r="FH136">
        <v>0.16202357103534001</v>
      </c>
      <c r="FI136">
        <v>-6.1462078757559423E-4</v>
      </c>
      <c r="FJ136">
        <v>-1.8861989874597051E-7</v>
      </c>
      <c r="FK136">
        <v>1.1980462299894961E-10</v>
      </c>
      <c r="FL136">
        <v>0.19260234566371101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27.4</v>
      </c>
      <c r="FU136">
        <v>27.4</v>
      </c>
      <c r="FV136">
        <v>1.7785599999999999</v>
      </c>
      <c r="FW136">
        <v>2.5842299999999998</v>
      </c>
      <c r="FX136">
        <v>1.5490699999999999</v>
      </c>
      <c r="FY136">
        <v>2.3290999999999999</v>
      </c>
      <c r="FZ136">
        <v>1.50146</v>
      </c>
      <c r="GA136">
        <v>2.3815900000000001</v>
      </c>
      <c r="GB136">
        <v>33.8735</v>
      </c>
      <c r="GC136">
        <v>23.982399999999998</v>
      </c>
      <c r="GD136">
        <v>19</v>
      </c>
      <c r="GE136">
        <v>236.85400000000001</v>
      </c>
      <c r="GF136">
        <v>581.86300000000006</v>
      </c>
      <c r="GG136">
        <v>25.272200000000002</v>
      </c>
      <c r="GH136">
        <v>26.261900000000001</v>
      </c>
      <c r="GI136">
        <v>30</v>
      </c>
      <c r="GJ136">
        <v>26.405100000000001</v>
      </c>
      <c r="GK136">
        <v>26.378699999999998</v>
      </c>
      <c r="GL136">
        <v>35.561999999999998</v>
      </c>
      <c r="GM136">
        <v>-30</v>
      </c>
      <c r="GN136">
        <v>-30</v>
      </c>
      <c r="GO136">
        <v>25.276</v>
      </c>
      <c r="GP136">
        <v>800</v>
      </c>
      <c r="GQ136">
        <v>12.5298</v>
      </c>
      <c r="GR136">
        <v>99.711500000000001</v>
      </c>
      <c r="GS136">
        <v>99.524000000000001</v>
      </c>
    </row>
    <row r="137" spans="1:201" x14ac:dyDescent="0.25">
      <c r="A137">
        <v>121</v>
      </c>
      <c r="B137">
        <v>1690216494.5999999</v>
      </c>
      <c r="C137">
        <v>1549.099999904633</v>
      </c>
      <c r="D137" t="s">
        <v>575</v>
      </c>
      <c r="E137" t="s">
        <v>576</v>
      </c>
      <c r="F137" t="s">
        <v>330</v>
      </c>
      <c r="H137">
        <v>1690216494.5999999</v>
      </c>
      <c r="I137">
        <f t="shared" si="30"/>
        <v>1.6273576936800748E-3</v>
      </c>
      <c r="J137">
        <f t="shared" si="31"/>
        <v>1.6273576936800749</v>
      </c>
      <c r="K137">
        <f t="shared" si="32"/>
        <v>24.929933685889036</v>
      </c>
      <c r="L137">
        <f t="shared" si="33"/>
        <v>511.64400000000001</v>
      </c>
      <c r="M137">
        <f t="shared" si="34"/>
        <v>105.71997659428511</v>
      </c>
      <c r="N137">
        <f t="shared" si="35"/>
        <v>10.486023785190568</v>
      </c>
      <c r="O137">
        <f t="shared" si="36"/>
        <v>50.748319536045599</v>
      </c>
      <c r="P137">
        <f t="shared" si="37"/>
        <v>0.1026078018231607</v>
      </c>
      <c r="Q137">
        <f t="shared" si="38"/>
        <v>2.0664968403295161</v>
      </c>
      <c r="R137">
        <f t="shared" si="39"/>
        <v>9.9859134318841858E-2</v>
      </c>
      <c r="S137">
        <f t="shared" si="40"/>
        <v>6.2652782855932843E-2</v>
      </c>
      <c r="T137">
        <f t="shared" si="41"/>
        <v>276.11587920599999</v>
      </c>
      <c r="U137">
        <f t="shared" si="42"/>
        <v>28.484263167615264</v>
      </c>
      <c r="V137">
        <f t="shared" si="43"/>
        <v>28.484263167615264</v>
      </c>
      <c r="W137">
        <f t="shared" si="44"/>
        <v>3.9032998385372424</v>
      </c>
      <c r="X137">
        <f t="shared" si="45"/>
        <v>65.997911792544954</v>
      </c>
      <c r="Y137">
        <f t="shared" si="46"/>
        <v>2.3377529938960797</v>
      </c>
      <c r="Z137">
        <f t="shared" si="47"/>
        <v>3.5421620630126505</v>
      </c>
      <c r="AA137">
        <f t="shared" si="48"/>
        <v>1.5655468446411627</v>
      </c>
      <c r="AB137">
        <f t="shared" si="49"/>
        <v>-71.766474291291303</v>
      </c>
      <c r="AC137">
        <f t="shared" si="50"/>
        <v>-185.05734932579588</v>
      </c>
      <c r="AD137">
        <f t="shared" si="51"/>
        <v>-19.45296964089172</v>
      </c>
      <c r="AE137">
        <f t="shared" si="52"/>
        <v>-0.1609140519788923</v>
      </c>
      <c r="AF137">
        <v>44</v>
      </c>
      <c r="AG137">
        <v>15</v>
      </c>
      <c r="AH137">
        <f t="shared" si="53"/>
        <v>1</v>
      </c>
      <c r="AI137">
        <f t="shared" si="54"/>
        <v>0</v>
      </c>
      <c r="AJ137">
        <f t="shared" si="55"/>
        <v>52528.743668156436</v>
      </c>
      <c r="AK137">
        <f t="shared" si="56"/>
        <v>1800</v>
      </c>
      <c r="AL137">
        <f t="shared" si="57"/>
        <v>1499.1100685999997</v>
      </c>
      <c r="AM137">
        <f t="shared" si="58"/>
        <v>0.83283892699999984</v>
      </c>
      <c r="AN137">
        <f t="shared" si="59"/>
        <v>0.15339771066999999</v>
      </c>
      <c r="AO137">
        <v>33.6</v>
      </c>
      <c r="AP137">
        <v>0.5</v>
      </c>
      <c r="AQ137" t="s">
        <v>331</v>
      </c>
      <c r="AR137">
        <v>2</v>
      </c>
      <c r="AS137">
        <v>1690216494.5999999</v>
      </c>
      <c r="AT137">
        <v>511.64400000000001</v>
      </c>
      <c r="AU137">
        <v>800.02800000000002</v>
      </c>
      <c r="AV137">
        <v>23.569199999999999</v>
      </c>
      <c r="AW137">
        <v>5.7820400000000003</v>
      </c>
      <c r="AX137">
        <v>511.83</v>
      </c>
      <c r="AY137">
        <v>23.3766</v>
      </c>
      <c r="AZ137">
        <v>300.16300000000001</v>
      </c>
      <c r="BA137">
        <v>99.086799999999997</v>
      </c>
      <c r="BB137">
        <v>9.9977399999999994E-2</v>
      </c>
      <c r="BC137">
        <v>26.8232</v>
      </c>
      <c r="BD137">
        <v>26.995899999999999</v>
      </c>
      <c r="BE137">
        <v>28.337700000000002</v>
      </c>
      <c r="BF137">
        <v>0</v>
      </c>
      <c r="BG137">
        <v>0</v>
      </c>
      <c r="BH137">
        <v>10020.6</v>
      </c>
      <c r="BI137">
        <v>1076.5999999999999</v>
      </c>
      <c r="BJ137">
        <v>1.4577199999999999</v>
      </c>
      <c r="BK137">
        <v>-288.38499999999999</v>
      </c>
      <c r="BL137">
        <v>523.99400000000003</v>
      </c>
      <c r="BM137">
        <v>804.68100000000004</v>
      </c>
      <c r="BN137">
        <v>17.787099999999999</v>
      </c>
      <c r="BO137">
        <v>800.02800000000002</v>
      </c>
      <c r="BP137">
        <v>5.7820400000000003</v>
      </c>
      <c r="BQ137">
        <v>2.3353999999999999</v>
      </c>
      <c r="BR137">
        <v>0.57292399999999999</v>
      </c>
      <c r="BS137">
        <v>19.922599999999999</v>
      </c>
      <c r="BT137">
        <v>-0.941778</v>
      </c>
      <c r="BU137">
        <v>1800</v>
      </c>
      <c r="BV137">
        <v>0.90998800000000002</v>
      </c>
      <c r="BW137">
        <v>3.4005500000000001E-2</v>
      </c>
      <c r="BX137">
        <v>2.2003600000000002E-2</v>
      </c>
      <c r="BY137">
        <v>3.4002699999999997E-2</v>
      </c>
      <c r="BZ137">
        <v>26</v>
      </c>
      <c r="CA137">
        <v>33528.300000000003</v>
      </c>
      <c r="CB137">
        <v>1690214843</v>
      </c>
      <c r="CC137" t="s">
        <v>332</v>
      </c>
      <c r="CD137">
        <v>1690214842</v>
      </c>
      <c r="CE137">
        <v>1690214843</v>
      </c>
      <c r="CF137">
        <v>8</v>
      </c>
      <c r="CG137">
        <v>-6.3E-2</v>
      </c>
      <c r="CH137">
        <v>1E-3</v>
      </c>
      <c r="CI137">
        <v>-0.38900000000000001</v>
      </c>
      <c r="CJ137">
        <v>-6.6000000000000003E-2</v>
      </c>
      <c r="CK137">
        <v>800</v>
      </c>
      <c r="CL137">
        <v>6</v>
      </c>
      <c r="CM137">
        <v>0.23</v>
      </c>
      <c r="CN137">
        <v>0.02</v>
      </c>
      <c r="CO137">
        <v>-285.2382926829269</v>
      </c>
      <c r="CP137">
        <v>-17.524222996516059</v>
      </c>
      <c r="CQ137">
        <v>1.729117951426812</v>
      </c>
      <c r="CR137">
        <v>-1</v>
      </c>
      <c r="CS137">
        <v>17.65380731707317</v>
      </c>
      <c r="CT137">
        <v>0.74383484320558113</v>
      </c>
      <c r="CU137">
        <v>7.3355753229220513E-2</v>
      </c>
      <c r="CV137">
        <v>-1</v>
      </c>
      <c r="CW137">
        <v>0</v>
      </c>
      <c r="CX137">
        <v>0</v>
      </c>
      <c r="CY137" t="s">
        <v>333</v>
      </c>
      <c r="CZ137">
        <v>2.36443</v>
      </c>
      <c r="DA137">
        <v>2.7137899999999999</v>
      </c>
      <c r="DB137">
        <v>0.107516</v>
      </c>
      <c r="DC137">
        <v>0.14608499999999999</v>
      </c>
      <c r="DD137">
        <v>0.11243300000000001</v>
      </c>
      <c r="DE137">
        <v>3.82739E-2</v>
      </c>
      <c r="DF137">
        <v>32579.9</v>
      </c>
      <c r="DG137">
        <v>27508.7</v>
      </c>
      <c r="DH137">
        <v>31164.3</v>
      </c>
      <c r="DI137">
        <v>28071</v>
      </c>
      <c r="DJ137">
        <v>37548.699999999997</v>
      </c>
      <c r="DK137">
        <v>38388.1</v>
      </c>
      <c r="DL137">
        <v>44348.7</v>
      </c>
      <c r="DM137">
        <v>42541.8</v>
      </c>
      <c r="DN137">
        <v>1.3609</v>
      </c>
      <c r="DO137">
        <v>2.0341499999999999</v>
      </c>
      <c r="DP137">
        <v>8.4243700000000005E-2</v>
      </c>
      <c r="DQ137">
        <v>0.18080299999999999</v>
      </c>
      <c r="DR137">
        <v>25.616700000000002</v>
      </c>
      <c r="DS137">
        <v>25.380199999999999</v>
      </c>
      <c r="DT137">
        <v>17.100000000000001</v>
      </c>
      <c r="DU137">
        <v>29.8</v>
      </c>
      <c r="DV137">
        <v>7.26816</v>
      </c>
      <c r="DW137">
        <v>61.368499999999997</v>
      </c>
      <c r="DX137">
        <v>37.119399999999999</v>
      </c>
      <c r="DY137">
        <v>1</v>
      </c>
      <c r="DZ137">
        <v>-8.9606199999999997E-2</v>
      </c>
      <c r="EA137">
        <v>-0.115463</v>
      </c>
      <c r="EB137">
        <v>20.189800000000002</v>
      </c>
      <c r="EC137">
        <v>5.2408000000000001</v>
      </c>
      <c r="ED137">
        <v>12.039899999999999</v>
      </c>
      <c r="EE137">
        <v>5.0169499999999996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1.8689199999999999</v>
      </c>
      <c r="EL137">
        <v>1.8646400000000001</v>
      </c>
      <c r="EM137">
        <v>1.8692</v>
      </c>
      <c r="EN137">
        <v>1.8672200000000001</v>
      </c>
      <c r="EO137">
        <v>1.8633999999999999</v>
      </c>
      <c r="EP137">
        <v>1.8645799999999999</v>
      </c>
      <c r="EQ137">
        <v>1.8701700000000001</v>
      </c>
      <c r="ER137">
        <v>1.86944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-0.186</v>
      </c>
      <c r="FG137">
        <v>0.19259999999999999</v>
      </c>
      <c r="FH137">
        <v>0.16202357103534001</v>
      </c>
      <c r="FI137">
        <v>-6.1462078757559423E-4</v>
      </c>
      <c r="FJ137">
        <v>-1.8861989874597051E-7</v>
      </c>
      <c r="FK137">
        <v>1.1980462299894961E-10</v>
      </c>
      <c r="FL137">
        <v>0.19260234566371101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27.5</v>
      </c>
      <c r="FU137">
        <v>27.5</v>
      </c>
      <c r="FV137">
        <v>1.7785599999999999</v>
      </c>
      <c r="FW137">
        <v>2.5830099999999998</v>
      </c>
      <c r="FX137">
        <v>1.5490699999999999</v>
      </c>
      <c r="FY137">
        <v>2.3290999999999999</v>
      </c>
      <c r="FZ137">
        <v>1.50146</v>
      </c>
      <c r="GA137">
        <v>2.3791500000000001</v>
      </c>
      <c r="GB137">
        <v>33.850900000000003</v>
      </c>
      <c r="GC137">
        <v>23.991199999999999</v>
      </c>
      <c r="GD137">
        <v>19</v>
      </c>
      <c r="GE137">
        <v>236.91499999999999</v>
      </c>
      <c r="GF137">
        <v>581.78099999999995</v>
      </c>
      <c r="GG137">
        <v>25.260200000000001</v>
      </c>
      <c r="GH137">
        <v>26.259799999999998</v>
      </c>
      <c r="GI137">
        <v>30</v>
      </c>
      <c r="GJ137">
        <v>26.403600000000001</v>
      </c>
      <c r="GK137">
        <v>26.378699999999998</v>
      </c>
      <c r="GL137">
        <v>35.563000000000002</v>
      </c>
      <c r="GM137">
        <v>-30</v>
      </c>
      <c r="GN137">
        <v>-30</v>
      </c>
      <c r="GO137">
        <v>25.256399999999999</v>
      </c>
      <c r="GP137">
        <v>800</v>
      </c>
      <c r="GQ137">
        <v>12.5298</v>
      </c>
      <c r="GR137">
        <v>99.711100000000002</v>
      </c>
      <c r="GS137">
        <v>99.524000000000001</v>
      </c>
    </row>
    <row r="138" spans="1:201" x14ac:dyDescent="0.25">
      <c r="A138">
        <v>122</v>
      </c>
      <c r="B138">
        <v>1690216504.5999999</v>
      </c>
      <c r="C138">
        <v>1559.099999904633</v>
      </c>
      <c r="D138" t="s">
        <v>577</v>
      </c>
      <c r="E138" t="s">
        <v>578</v>
      </c>
      <c r="F138" t="s">
        <v>330</v>
      </c>
      <c r="H138">
        <v>1690216504.5999999</v>
      </c>
      <c r="I138">
        <f t="shared" si="30"/>
        <v>1.6379672051510723E-3</v>
      </c>
      <c r="J138">
        <f t="shared" si="31"/>
        <v>1.6379672051510723</v>
      </c>
      <c r="K138">
        <f t="shared" si="32"/>
        <v>25.178489100502492</v>
      </c>
      <c r="L138">
        <f t="shared" si="33"/>
        <v>508.76900000000001</v>
      </c>
      <c r="M138">
        <f t="shared" si="34"/>
        <v>104.47980133133221</v>
      </c>
      <c r="N138">
        <f t="shared" si="35"/>
        <v>10.363148782344298</v>
      </c>
      <c r="O138">
        <f t="shared" si="36"/>
        <v>50.463809996386196</v>
      </c>
      <c r="P138">
        <f t="shared" si="37"/>
        <v>0.10406623368149731</v>
      </c>
      <c r="Q138">
        <f t="shared" si="38"/>
        <v>2.0639069738744009</v>
      </c>
      <c r="R138">
        <f t="shared" si="39"/>
        <v>0.10123658990893313</v>
      </c>
      <c r="S138">
        <f t="shared" si="40"/>
        <v>6.3520692359971778E-2</v>
      </c>
      <c r="T138">
        <f t="shared" si="41"/>
        <v>276.11577091800001</v>
      </c>
      <c r="U138">
        <f t="shared" si="42"/>
        <v>28.484838224319095</v>
      </c>
      <c r="V138">
        <f t="shared" si="43"/>
        <v>28.484838224319095</v>
      </c>
      <c r="W138">
        <f t="shared" si="44"/>
        <v>3.9034302240831718</v>
      </c>
      <c r="X138">
        <f t="shared" si="45"/>
        <v>66.311039495040973</v>
      </c>
      <c r="Y138">
        <f t="shared" si="46"/>
        <v>2.3491898459151597</v>
      </c>
      <c r="Z138">
        <f t="shared" si="47"/>
        <v>3.5426828832789479</v>
      </c>
      <c r="AA138">
        <f t="shared" si="48"/>
        <v>1.5542403781680121</v>
      </c>
      <c r="AB138">
        <f t="shared" si="49"/>
        <v>-72.234353747162288</v>
      </c>
      <c r="AC138">
        <f t="shared" si="50"/>
        <v>-184.61123638510563</v>
      </c>
      <c r="AD138">
        <f t="shared" si="51"/>
        <v>-19.430724085216347</v>
      </c>
      <c r="AE138">
        <f t="shared" si="52"/>
        <v>-0.16054329948426016</v>
      </c>
      <c r="AF138">
        <v>44</v>
      </c>
      <c r="AG138">
        <v>15</v>
      </c>
      <c r="AH138">
        <f t="shared" si="53"/>
        <v>1</v>
      </c>
      <c r="AI138">
        <f t="shared" si="54"/>
        <v>0</v>
      </c>
      <c r="AJ138">
        <f t="shared" si="55"/>
        <v>52409.754754819005</v>
      </c>
      <c r="AK138">
        <f t="shared" si="56"/>
        <v>1800</v>
      </c>
      <c r="AL138">
        <f t="shared" si="57"/>
        <v>1499.1099408000002</v>
      </c>
      <c r="AM138">
        <f t="shared" si="58"/>
        <v>0.83283885600000007</v>
      </c>
      <c r="AN138">
        <f t="shared" si="59"/>
        <v>0.15339765051000001</v>
      </c>
      <c r="AO138">
        <v>33.6</v>
      </c>
      <c r="AP138">
        <v>0.5</v>
      </c>
      <c r="AQ138" t="s">
        <v>331</v>
      </c>
      <c r="AR138">
        <v>2</v>
      </c>
      <c r="AS138">
        <v>1690216504.5999999</v>
      </c>
      <c r="AT138">
        <v>508.76900000000001</v>
      </c>
      <c r="AU138">
        <v>799.95500000000004</v>
      </c>
      <c r="AV138">
        <v>23.684200000000001</v>
      </c>
      <c r="AW138">
        <v>5.78247</v>
      </c>
      <c r="AX138">
        <v>508.95299999999997</v>
      </c>
      <c r="AY138">
        <v>23.491599999999998</v>
      </c>
      <c r="AZ138">
        <v>300.15100000000001</v>
      </c>
      <c r="BA138">
        <v>99.088099999999997</v>
      </c>
      <c r="BB138">
        <v>9.9959800000000001E-2</v>
      </c>
      <c r="BC138">
        <v>26.825700000000001</v>
      </c>
      <c r="BD138">
        <v>26.989699999999999</v>
      </c>
      <c r="BE138">
        <v>28.320900000000002</v>
      </c>
      <c r="BF138">
        <v>0</v>
      </c>
      <c r="BG138">
        <v>0</v>
      </c>
      <c r="BH138">
        <v>9996.8799999999992</v>
      </c>
      <c r="BI138">
        <v>1076.6099999999999</v>
      </c>
      <c r="BJ138">
        <v>1.4577199999999999</v>
      </c>
      <c r="BK138">
        <v>-291.18599999999998</v>
      </c>
      <c r="BL138">
        <v>521.11099999999999</v>
      </c>
      <c r="BM138">
        <v>804.60699999999997</v>
      </c>
      <c r="BN138">
        <v>17.901700000000002</v>
      </c>
      <c r="BO138">
        <v>799.95500000000004</v>
      </c>
      <c r="BP138">
        <v>5.78247</v>
      </c>
      <c r="BQ138">
        <v>2.3468200000000001</v>
      </c>
      <c r="BR138">
        <v>0.57297399999999998</v>
      </c>
      <c r="BS138">
        <v>20.0014</v>
      </c>
      <c r="BT138">
        <v>-0.94058600000000003</v>
      </c>
      <c r="BU138">
        <v>1800</v>
      </c>
      <c r="BV138">
        <v>0.90998900000000005</v>
      </c>
      <c r="BW138">
        <v>3.4005000000000001E-2</v>
      </c>
      <c r="BX138">
        <v>2.20033E-2</v>
      </c>
      <c r="BY138">
        <v>3.4002299999999999E-2</v>
      </c>
      <c r="BZ138">
        <v>26</v>
      </c>
      <c r="CA138">
        <v>33528.199999999997</v>
      </c>
      <c r="CB138">
        <v>1690214843</v>
      </c>
      <c r="CC138" t="s">
        <v>332</v>
      </c>
      <c r="CD138">
        <v>1690214842</v>
      </c>
      <c r="CE138">
        <v>1690214843</v>
      </c>
      <c r="CF138">
        <v>8</v>
      </c>
      <c r="CG138">
        <v>-6.3E-2</v>
      </c>
      <c r="CH138">
        <v>1E-3</v>
      </c>
      <c r="CI138">
        <v>-0.38900000000000001</v>
      </c>
      <c r="CJ138">
        <v>-6.6000000000000003E-2</v>
      </c>
      <c r="CK138">
        <v>800</v>
      </c>
      <c r="CL138">
        <v>6</v>
      </c>
      <c r="CM138">
        <v>0.23</v>
      </c>
      <c r="CN138">
        <v>0.02</v>
      </c>
      <c r="CO138">
        <v>-288.09204878048791</v>
      </c>
      <c r="CP138">
        <v>-16.756432055749759</v>
      </c>
      <c r="CQ138">
        <v>1.6525418256205631</v>
      </c>
      <c r="CR138">
        <v>-1</v>
      </c>
      <c r="CS138">
        <v>17.774390243902442</v>
      </c>
      <c r="CT138">
        <v>0.70050731707319747</v>
      </c>
      <c r="CU138">
        <v>6.9092923660390132E-2</v>
      </c>
      <c r="CV138">
        <v>-1</v>
      </c>
      <c r="CW138">
        <v>0</v>
      </c>
      <c r="CX138">
        <v>0</v>
      </c>
      <c r="CY138" t="s">
        <v>333</v>
      </c>
      <c r="CZ138">
        <v>2.3643999999999998</v>
      </c>
      <c r="DA138">
        <v>2.7137500000000001</v>
      </c>
      <c r="DB138">
        <v>0.10707999999999999</v>
      </c>
      <c r="DC138">
        <v>0.14607999999999999</v>
      </c>
      <c r="DD138">
        <v>0.11282300000000001</v>
      </c>
      <c r="DE138">
        <v>3.8277199999999997E-2</v>
      </c>
      <c r="DF138">
        <v>32596</v>
      </c>
      <c r="DG138">
        <v>27508.799999999999</v>
      </c>
      <c r="DH138">
        <v>31164.400000000001</v>
      </c>
      <c r="DI138">
        <v>28070.9</v>
      </c>
      <c r="DJ138">
        <v>37532.199999999997</v>
      </c>
      <c r="DK138">
        <v>38388</v>
      </c>
      <c r="DL138">
        <v>44348.9</v>
      </c>
      <c r="DM138">
        <v>42541.8</v>
      </c>
      <c r="DN138">
        <v>1.3610500000000001</v>
      </c>
      <c r="DO138">
        <v>2.0342199999999999</v>
      </c>
      <c r="DP138">
        <v>8.3863699999999999E-2</v>
      </c>
      <c r="DQ138">
        <v>0.17990200000000001</v>
      </c>
      <c r="DR138">
        <v>25.616700000000002</v>
      </c>
      <c r="DS138">
        <v>25.3781</v>
      </c>
      <c r="DT138">
        <v>17.100000000000001</v>
      </c>
      <c r="DU138">
        <v>29.8</v>
      </c>
      <c r="DV138">
        <v>7.26816</v>
      </c>
      <c r="DW138">
        <v>61.778500000000001</v>
      </c>
      <c r="DX138">
        <v>36.939100000000003</v>
      </c>
      <c r="DY138">
        <v>1</v>
      </c>
      <c r="DZ138">
        <v>-8.9687500000000003E-2</v>
      </c>
      <c r="EA138">
        <v>-0.19114900000000001</v>
      </c>
      <c r="EB138">
        <v>20.189599999999999</v>
      </c>
      <c r="EC138">
        <v>5.2403500000000003</v>
      </c>
      <c r="ED138">
        <v>12.039899999999999</v>
      </c>
      <c r="EE138">
        <v>5.0164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1.86893</v>
      </c>
      <c r="EL138">
        <v>1.86463</v>
      </c>
      <c r="EM138">
        <v>1.8692</v>
      </c>
      <c r="EN138">
        <v>1.8672500000000001</v>
      </c>
      <c r="EO138">
        <v>1.8633999999999999</v>
      </c>
      <c r="EP138">
        <v>1.8646</v>
      </c>
      <c r="EQ138">
        <v>1.8701700000000001</v>
      </c>
      <c r="ER138">
        <v>1.8694500000000001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-0.184</v>
      </c>
      <c r="FG138">
        <v>0.19259999999999999</v>
      </c>
      <c r="FH138">
        <v>0.16202357103534001</v>
      </c>
      <c r="FI138">
        <v>-6.1462078757559423E-4</v>
      </c>
      <c r="FJ138">
        <v>-1.8861989874597051E-7</v>
      </c>
      <c r="FK138">
        <v>1.1980462299894961E-10</v>
      </c>
      <c r="FL138">
        <v>0.19260234566371101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27.7</v>
      </c>
      <c r="FU138">
        <v>27.7</v>
      </c>
      <c r="FV138">
        <v>1.7785599999999999</v>
      </c>
      <c r="FW138">
        <v>2.5793499999999998</v>
      </c>
      <c r="FX138">
        <v>1.5490699999999999</v>
      </c>
      <c r="FY138">
        <v>2.3290999999999999</v>
      </c>
      <c r="FZ138">
        <v>1.50146</v>
      </c>
      <c r="GA138">
        <v>2.3791500000000001</v>
      </c>
      <c r="GB138">
        <v>33.8735</v>
      </c>
      <c r="GC138">
        <v>23.991199999999999</v>
      </c>
      <c r="GD138">
        <v>19</v>
      </c>
      <c r="GE138">
        <v>236.971</v>
      </c>
      <c r="GF138">
        <v>581.81799999999998</v>
      </c>
      <c r="GG138">
        <v>25.2576</v>
      </c>
      <c r="GH138">
        <v>26.259799999999998</v>
      </c>
      <c r="GI138">
        <v>30.0001</v>
      </c>
      <c r="GJ138">
        <v>26.403600000000001</v>
      </c>
      <c r="GK138">
        <v>26.3765</v>
      </c>
      <c r="GL138">
        <v>35.563899999999997</v>
      </c>
      <c r="GM138">
        <v>-30</v>
      </c>
      <c r="GN138">
        <v>-30</v>
      </c>
      <c r="GO138">
        <v>25.265699999999999</v>
      </c>
      <c r="GP138">
        <v>800</v>
      </c>
      <c r="GQ138">
        <v>12.5298</v>
      </c>
      <c r="GR138">
        <v>99.711500000000001</v>
      </c>
      <c r="GS138">
        <v>99.523899999999998</v>
      </c>
    </row>
    <row r="139" spans="1:201" x14ac:dyDescent="0.25">
      <c r="A139">
        <v>123</v>
      </c>
      <c r="B139">
        <v>1690216514.5999999</v>
      </c>
      <c r="C139">
        <v>1569.099999904633</v>
      </c>
      <c r="D139" t="s">
        <v>579</v>
      </c>
      <c r="E139" t="s">
        <v>580</v>
      </c>
      <c r="F139" t="s">
        <v>330</v>
      </c>
      <c r="H139">
        <v>1690216514.5999999</v>
      </c>
      <c r="I139">
        <f t="shared" si="30"/>
        <v>1.6489882602490865E-3</v>
      </c>
      <c r="J139">
        <f t="shared" si="31"/>
        <v>1.6489882602490864</v>
      </c>
      <c r="K139">
        <f t="shared" si="32"/>
        <v>25.423697300964271</v>
      </c>
      <c r="L139">
        <f t="shared" si="33"/>
        <v>506.02699999999999</v>
      </c>
      <c r="M139">
        <f t="shared" si="34"/>
        <v>104.14502935766998</v>
      </c>
      <c r="N139">
        <f t="shared" si="35"/>
        <v>10.3298691652244</v>
      </c>
      <c r="O139">
        <f t="shared" si="36"/>
        <v>50.191475640368999</v>
      </c>
      <c r="P139">
        <f t="shared" si="37"/>
        <v>0.10573058702674135</v>
      </c>
      <c r="Q139">
        <f t="shared" si="38"/>
        <v>2.065130727343099</v>
      </c>
      <c r="R139">
        <f t="shared" si="39"/>
        <v>0.10281275508699501</v>
      </c>
      <c r="S139">
        <f t="shared" si="40"/>
        <v>6.4513420485365264E-2</v>
      </c>
      <c r="T139">
        <f t="shared" si="41"/>
        <v>276.11578004400002</v>
      </c>
      <c r="U139">
        <f t="shared" si="42"/>
        <v>28.476400571376686</v>
      </c>
      <c r="V139">
        <f t="shared" si="43"/>
        <v>28.476400571376686</v>
      </c>
      <c r="W139">
        <f t="shared" si="44"/>
        <v>3.9015174929071326</v>
      </c>
      <c r="X139">
        <f t="shared" si="45"/>
        <v>66.655607527754739</v>
      </c>
      <c r="Y139">
        <f t="shared" si="46"/>
        <v>2.3608969082328</v>
      </c>
      <c r="Z139">
        <f t="shared" si="47"/>
        <v>3.5419329232724284</v>
      </c>
      <c r="AA139">
        <f t="shared" si="48"/>
        <v>1.5406205846743326</v>
      </c>
      <c r="AB139">
        <f t="shared" si="49"/>
        <v>-72.720382276984708</v>
      </c>
      <c r="AC139">
        <f t="shared" si="50"/>
        <v>-184.18209634849254</v>
      </c>
      <c r="AD139">
        <f t="shared" si="51"/>
        <v>-19.372904329670821</v>
      </c>
      <c r="AE139">
        <f t="shared" si="52"/>
        <v>-0.15960291114802772</v>
      </c>
      <c r="AF139">
        <v>44</v>
      </c>
      <c r="AG139">
        <v>15</v>
      </c>
      <c r="AH139">
        <f t="shared" si="53"/>
        <v>1</v>
      </c>
      <c r="AI139">
        <f t="shared" si="54"/>
        <v>0</v>
      </c>
      <c r="AJ139">
        <f t="shared" si="55"/>
        <v>52466.374184490567</v>
      </c>
      <c r="AK139">
        <f t="shared" si="56"/>
        <v>1800</v>
      </c>
      <c r="AL139">
        <f t="shared" si="57"/>
        <v>1499.1106373999999</v>
      </c>
      <c r="AM139">
        <f t="shared" si="58"/>
        <v>0.8328392429999999</v>
      </c>
      <c r="AN139">
        <f t="shared" si="59"/>
        <v>0.15339765558000001</v>
      </c>
      <c r="AO139">
        <v>33.6</v>
      </c>
      <c r="AP139">
        <v>0.5</v>
      </c>
      <c r="AQ139" t="s">
        <v>331</v>
      </c>
      <c r="AR139">
        <v>2</v>
      </c>
      <c r="AS139">
        <v>1690216514.5999999</v>
      </c>
      <c r="AT139">
        <v>506.02699999999999</v>
      </c>
      <c r="AU139">
        <v>799.97500000000002</v>
      </c>
      <c r="AV139">
        <v>23.802399999999999</v>
      </c>
      <c r="AW139">
        <v>5.7820999999999998</v>
      </c>
      <c r="AX139">
        <v>506.209</v>
      </c>
      <c r="AY139">
        <v>23.6098</v>
      </c>
      <c r="AZ139">
        <v>300.14600000000002</v>
      </c>
      <c r="BA139">
        <v>99.087299999999999</v>
      </c>
      <c r="BB139">
        <v>0.100047</v>
      </c>
      <c r="BC139">
        <v>26.822099999999999</v>
      </c>
      <c r="BD139">
        <v>27.004899999999999</v>
      </c>
      <c r="BE139">
        <v>28.332799999999999</v>
      </c>
      <c r="BF139">
        <v>0</v>
      </c>
      <c r="BG139">
        <v>0</v>
      </c>
      <c r="BH139">
        <v>10008.1</v>
      </c>
      <c r="BI139">
        <v>1076.67</v>
      </c>
      <c r="BJ139">
        <v>1.4577199999999999</v>
      </c>
      <c r="BK139">
        <v>-293.947</v>
      </c>
      <c r="BL139">
        <v>518.36500000000001</v>
      </c>
      <c r="BM139">
        <v>804.62699999999995</v>
      </c>
      <c r="BN139">
        <v>18.020299999999999</v>
      </c>
      <c r="BO139">
        <v>799.97500000000002</v>
      </c>
      <c r="BP139">
        <v>5.7820999999999998</v>
      </c>
      <c r="BQ139">
        <v>2.3585199999999999</v>
      </c>
      <c r="BR139">
        <v>0.57293300000000003</v>
      </c>
      <c r="BS139">
        <v>20.081700000000001</v>
      </c>
      <c r="BT139">
        <v>-0.94156799999999996</v>
      </c>
      <c r="BU139">
        <v>1800</v>
      </c>
      <c r="BV139">
        <v>0.90999099999999999</v>
      </c>
      <c r="BW139">
        <v>3.4004399999999997E-2</v>
      </c>
      <c r="BX139">
        <v>2.2002899999999999E-2</v>
      </c>
      <c r="BY139">
        <v>3.40016E-2</v>
      </c>
      <c r="BZ139">
        <v>26</v>
      </c>
      <c r="CA139">
        <v>33528.300000000003</v>
      </c>
      <c r="CB139">
        <v>1690214843</v>
      </c>
      <c r="CC139" t="s">
        <v>332</v>
      </c>
      <c r="CD139">
        <v>1690214842</v>
      </c>
      <c r="CE139">
        <v>1690214843</v>
      </c>
      <c r="CF139">
        <v>8</v>
      </c>
      <c r="CG139">
        <v>-6.3E-2</v>
      </c>
      <c r="CH139">
        <v>1E-3</v>
      </c>
      <c r="CI139">
        <v>-0.38900000000000001</v>
      </c>
      <c r="CJ139">
        <v>-6.6000000000000003E-2</v>
      </c>
      <c r="CK139">
        <v>800</v>
      </c>
      <c r="CL139">
        <v>6</v>
      </c>
      <c r="CM139">
        <v>0.23</v>
      </c>
      <c r="CN139">
        <v>0.02</v>
      </c>
      <c r="CO139">
        <v>-290.91485365853657</v>
      </c>
      <c r="CP139">
        <v>-16.976383275261909</v>
      </c>
      <c r="CQ139">
        <v>1.674379339846896</v>
      </c>
      <c r="CR139">
        <v>-1</v>
      </c>
      <c r="CS139">
        <v>17.891929268292682</v>
      </c>
      <c r="CT139">
        <v>0.70509616724742163</v>
      </c>
      <c r="CU139">
        <v>6.954221123437937E-2</v>
      </c>
      <c r="CV139">
        <v>-1</v>
      </c>
      <c r="CW139">
        <v>0</v>
      </c>
      <c r="CX139">
        <v>0</v>
      </c>
      <c r="CY139" t="s">
        <v>333</v>
      </c>
      <c r="CZ139">
        <v>2.3643900000000002</v>
      </c>
      <c r="DA139">
        <v>2.7138499999999999</v>
      </c>
      <c r="DB139">
        <v>0.10666100000000001</v>
      </c>
      <c r="DC139">
        <v>0.14608199999999999</v>
      </c>
      <c r="DD139">
        <v>0.113222</v>
      </c>
      <c r="DE139">
        <v>3.8275200000000002E-2</v>
      </c>
      <c r="DF139">
        <v>32611.5</v>
      </c>
      <c r="DG139">
        <v>27508.799999999999</v>
      </c>
      <c r="DH139">
        <v>31164.6</v>
      </c>
      <c r="DI139">
        <v>28071.1</v>
      </c>
      <c r="DJ139">
        <v>37515.199999999997</v>
      </c>
      <c r="DK139">
        <v>38388.1</v>
      </c>
      <c r="DL139">
        <v>44349</v>
      </c>
      <c r="DM139">
        <v>42541.9</v>
      </c>
      <c r="DN139">
        <v>1.36117</v>
      </c>
      <c r="DO139">
        <v>2.0343499999999999</v>
      </c>
      <c r="DP139">
        <v>8.4795099999999998E-2</v>
      </c>
      <c r="DQ139">
        <v>0.18063199999999999</v>
      </c>
      <c r="DR139">
        <v>25.616700000000002</v>
      </c>
      <c r="DS139">
        <v>25.3781</v>
      </c>
      <c r="DT139">
        <v>17.100000000000001</v>
      </c>
      <c r="DU139">
        <v>29.8</v>
      </c>
      <c r="DV139">
        <v>7.2679200000000002</v>
      </c>
      <c r="DW139">
        <v>61.618499999999997</v>
      </c>
      <c r="DX139">
        <v>36.730800000000002</v>
      </c>
      <c r="DY139">
        <v>1</v>
      </c>
      <c r="DZ139">
        <v>-8.9837399999999998E-2</v>
      </c>
      <c r="EA139">
        <v>-0.208532</v>
      </c>
      <c r="EB139">
        <v>20.189699999999998</v>
      </c>
      <c r="EC139">
        <v>5.2409499999999998</v>
      </c>
      <c r="ED139">
        <v>12.039899999999999</v>
      </c>
      <c r="EE139">
        <v>5.0164999999999997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1.8689199999999999</v>
      </c>
      <c r="EL139">
        <v>1.8646400000000001</v>
      </c>
      <c r="EM139">
        <v>1.8692</v>
      </c>
      <c r="EN139">
        <v>1.8672299999999999</v>
      </c>
      <c r="EO139">
        <v>1.8633999999999999</v>
      </c>
      <c r="EP139">
        <v>1.86459</v>
      </c>
      <c r="EQ139">
        <v>1.8701700000000001</v>
      </c>
      <c r="ER139">
        <v>1.8694599999999999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-0.182</v>
      </c>
      <c r="FG139">
        <v>0.19259999999999999</v>
      </c>
      <c r="FH139">
        <v>0.16202357103534001</v>
      </c>
      <c r="FI139">
        <v>-6.1462078757559423E-4</v>
      </c>
      <c r="FJ139">
        <v>-1.8861989874597051E-7</v>
      </c>
      <c r="FK139">
        <v>1.1980462299894961E-10</v>
      </c>
      <c r="FL139">
        <v>0.19260234566371101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27.9</v>
      </c>
      <c r="FU139">
        <v>27.9</v>
      </c>
      <c r="FV139">
        <v>1.7785599999999999</v>
      </c>
      <c r="FW139">
        <v>2.5830099999999998</v>
      </c>
      <c r="FX139">
        <v>1.5490699999999999</v>
      </c>
      <c r="FY139">
        <v>2.3290999999999999</v>
      </c>
      <c r="FZ139">
        <v>1.50146</v>
      </c>
      <c r="GA139">
        <v>2.3840300000000001</v>
      </c>
      <c r="GB139">
        <v>33.8735</v>
      </c>
      <c r="GC139">
        <v>23.991199999999999</v>
      </c>
      <c r="GD139">
        <v>19</v>
      </c>
      <c r="GE139">
        <v>237.01</v>
      </c>
      <c r="GF139">
        <v>581.92100000000005</v>
      </c>
      <c r="GG139">
        <v>25.2713</v>
      </c>
      <c r="GH139">
        <v>26.2576</v>
      </c>
      <c r="GI139">
        <v>30</v>
      </c>
      <c r="GJ139">
        <v>26.401399999999999</v>
      </c>
      <c r="GK139">
        <v>26.3765</v>
      </c>
      <c r="GL139">
        <v>35.565600000000003</v>
      </c>
      <c r="GM139">
        <v>-30</v>
      </c>
      <c r="GN139">
        <v>-30</v>
      </c>
      <c r="GO139">
        <v>25.263400000000001</v>
      </c>
      <c r="GP139">
        <v>800</v>
      </c>
      <c r="GQ139">
        <v>12.5298</v>
      </c>
      <c r="GR139">
        <v>99.7119</v>
      </c>
      <c r="GS139">
        <v>99.524100000000004</v>
      </c>
    </row>
    <row r="140" spans="1:201" x14ac:dyDescent="0.25">
      <c r="A140">
        <v>124</v>
      </c>
      <c r="B140">
        <v>1690216524.5999999</v>
      </c>
      <c r="C140">
        <v>1579.099999904633</v>
      </c>
      <c r="D140" t="s">
        <v>581</v>
      </c>
      <c r="E140" t="s">
        <v>582</v>
      </c>
      <c r="F140" t="s">
        <v>330</v>
      </c>
      <c r="H140">
        <v>1690216524.5999999</v>
      </c>
      <c r="I140">
        <f t="shared" si="30"/>
        <v>1.6596541381550547E-3</v>
      </c>
      <c r="J140">
        <f t="shared" si="31"/>
        <v>1.6596541381550547</v>
      </c>
      <c r="K140">
        <f t="shared" si="32"/>
        <v>25.676312916181921</v>
      </c>
      <c r="L140">
        <f t="shared" si="33"/>
        <v>503.31700000000001</v>
      </c>
      <c r="M140">
        <f t="shared" si="34"/>
        <v>103.21729107087995</v>
      </c>
      <c r="N140">
        <f t="shared" si="35"/>
        <v>10.237533080319634</v>
      </c>
      <c r="O140">
        <f t="shared" si="36"/>
        <v>49.921136119032894</v>
      </c>
      <c r="P140">
        <f t="shared" si="37"/>
        <v>0.10727662312360912</v>
      </c>
      <c r="Q140">
        <f t="shared" si="38"/>
        <v>2.063383281657881</v>
      </c>
      <c r="R140">
        <f t="shared" si="39"/>
        <v>0.10427167442159753</v>
      </c>
      <c r="S140">
        <f t="shared" si="40"/>
        <v>6.5432768144987968E-2</v>
      </c>
      <c r="T140">
        <f t="shared" si="41"/>
        <v>276.11568088199999</v>
      </c>
      <c r="U140">
        <f t="shared" si="42"/>
        <v>28.473839708191125</v>
      </c>
      <c r="V140">
        <f t="shared" si="43"/>
        <v>28.473839708191125</v>
      </c>
      <c r="W140">
        <f t="shared" si="44"/>
        <v>3.9009371326771682</v>
      </c>
      <c r="X140">
        <f t="shared" si="45"/>
        <v>66.974181787520919</v>
      </c>
      <c r="Y140">
        <f t="shared" si="46"/>
        <v>2.3721805948245298</v>
      </c>
      <c r="Z140">
        <f t="shared" si="47"/>
        <v>3.5419329232724284</v>
      </c>
      <c r="AA140">
        <f t="shared" si="48"/>
        <v>1.5287565378526384</v>
      </c>
      <c r="AB140">
        <f t="shared" si="49"/>
        <v>-73.190747492637911</v>
      </c>
      <c r="AC140">
        <f t="shared" si="50"/>
        <v>-183.74137422997117</v>
      </c>
      <c r="AD140">
        <f t="shared" si="51"/>
        <v>-19.34266741608576</v>
      </c>
      <c r="AE140">
        <f t="shared" si="52"/>
        <v>-0.15910825669485007</v>
      </c>
      <c r="AF140">
        <v>44</v>
      </c>
      <c r="AG140">
        <v>15</v>
      </c>
      <c r="AH140">
        <f t="shared" si="53"/>
        <v>1</v>
      </c>
      <c r="AI140">
        <f t="shared" si="54"/>
        <v>0</v>
      </c>
      <c r="AJ140">
        <f t="shared" si="55"/>
        <v>52386.347477111536</v>
      </c>
      <c r="AK140">
        <f t="shared" si="56"/>
        <v>1800</v>
      </c>
      <c r="AL140">
        <f t="shared" si="57"/>
        <v>1499.1112062</v>
      </c>
      <c r="AM140">
        <f t="shared" si="58"/>
        <v>0.83283955899999995</v>
      </c>
      <c r="AN140">
        <f t="shared" si="59"/>
        <v>0.15339760049000001</v>
      </c>
      <c r="AO140">
        <v>33.6</v>
      </c>
      <c r="AP140">
        <v>0.5</v>
      </c>
      <c r="AQ140" t="s">
        <v>331</v>
      </c>
      <c r="AR140">
        <v>2</v>
      </c>
      <c r="AS140">
        <v>1690216524.5999999</v>
      </c>
      <c r="AT140">
        <v>503.31700000000001</v>
      </c>
      <c r="AU140">
        <v>800.10199999999998</v>
      </c>
      <c r="AV140">
        <v>23.916899999999998</v>
      </c>
      <c r="AW140">
        <v>5.7822300000000002</v>
      </c>
      <c r="AX140">
        <v>503.49599999999998</v>
      </c>
      <c r="AY140">
        <v>23.724299999999999</v>
      </c>
      <c r="AZ140">
        <v>300.14699999999999</v>
      </c>
      <c r="BA140">
        <v>99.084299999999999</v>
      </c>
      <c r="BB140">
        <v>9.9983699999999995E-2</v>
      </c>
      <c r="BC140">
        <v>26.822099999999999</v>
      </c>
      <c r="BD140">
        <v>26.985600000000002</v>
      </c>
      <c r="BE140">
        <v>28.335000000000001</v>
      </c>
      <c r="BF140">
        <v>0</v>
      </c>
      <c r="BG140">
        <v>0</v>
      </c>
      <c r="BH140">
        <v>9992.5</v>
      </c>
      <c r="BI140">
        <v>1076.6199999999999</v>
      </c>
      <c r="BJ140">
        <v>1.4577199999999999</v>
      </c>
      <c r="BK140">
        <v>-296.78500000000003</v>
      </c>
      <c r="BL140">
        <v>515.649</v>
      </c>
      <c r="BM140">
        <v>804.755</v>
      </c>
      <c r="BN140">
        <v>18.134699999999999</v>
      </c>
      <c r="BO140">
        <v>800.10199999999998</v>
      </c>
      <c r="BP140">
        <v>5.7822300000000002</v>
      </c>
      <c r="BQ140">
        <v>2.3697900000000001</v>
      </c>
      <c r="BR140">
        <v>0.57292900000000002</v>
      </c>
      <c r="BS140">
        <v>20.158799999999999</v>
      </c>
      <c r="BT140">
        <v>-0.94167800000000002</v>
      </c>
      <c r="BU140">
        <v>1800</v>
      </c>
      <c r="BV140">
        <v>0.90999399999999997</v>
      </c>
      <c r="BW140">
        <v>3.40033E-2</v>
      </c>
      <c r="BX140">
        <v>2.20022E-2</v>
      </c>
      <c r="BY140">
        <v>3.4000500000000003E-2</v>
      </c>
      <c r="BZ140">
        <v>26</v>
      </c>
      <c r="CA140">
        <v>33528.300000000003</v>
      </c>
      <c r="CB140">
        <v>1690214843</v>
      </c>
      <c r="CC140" t="s">
        <v>332</v>
      </c>
      <c r="CD140">
        <v>1690214842</v>
      </c>
      <c r="CE140">
        <v>1690214843</v>
      </c>
      <c r="CF140">
        <v>8</v>
      </c>
      <c r="CG140">
        <v>-6.3E-2</v>
      </c>
      <c r="CH140">
        <v>1E-3</v>
      </c>
      <c r="CI140">
        <v>-0.38900000000000001</v>
      </c>
      <c r="CJ140">
        <v>-6.6000000000000003E-2</v>
      </c>
      <c r="CK140">
        <v>800</v>
      </c>
      <c r="CL140">
        <v>6</v>
      </c>
      <c r="CM140">
        <v>0.23</v>
      </c>
      <c r="CN140">
        <v>0.02</v>
      </c>
      <c r="CO140">
        <v>-293.70773170731712</v>
      </c>
      <c r="CP140">
        <v>-16.571623693380371</v>
      </c>
      <c r="CQ140">
        <v>1.634919987963765</v>
      </c>
      <c r="CR140">
        <v>-1</v>
      </c>
      <c r="CS140">
        <v>18.008295121951221</v>
      </c>
      <c r="CT140">
        <v>0.69422508710803665</v>
      </c>
      <c r="CU140">
        <v>6.8465394325214118E-2</v>
      </c>
      <c r="CV140">
        <v>-1</v>
      </c>
      <c r="CW140">
        <v>0</v>
      </c>
      <c r="CX140">
        <v>0</v>
      </c>
      <c r="CY140" t="s">
        <v>333</v>
      </c>
      <c r="CZ140">
        <v>2.3643800000000001</v>
      </c>
      <c r="DA140">
        <v>2.7137699999999998</v>
      </c>
      <c r="DB140">
        <v>0.106241</v>
      </c>
      <c r="DC140">
        <v>0.146093</v>
      </c>
      <c r="DD140">
        <v>0.11360199999999999</v>
      </c>
      <c r="DE140">
        <v>3.8274599999999999E-2</v>
      </c>
      <c r="DF140">
        <v>32626.799999999999</v>
      </c>
      <c r="DG140">
        <v>27508.1</v>
      </c>
      <c r="DH140">
        <v>31164.6</v>
      </c>
      <c r="DI140">
        <v>28070.6</v>
      </c>
      <c r="DJ140">
        <v>37498.9</v>
      </c>
      <c r="DK140">
        <v>38387.599999999999</v>
      </c>
      <c r="DL140">
        <v>44349</v>
      </c>
      <c r="DM140">
        <v>42541.3</v>
      </c>
      <c r="DN140">
        <v>1.3613299999999999</v>
      </c>
      <c r="DO140">
        <v>2.0341499999999999</v>
      </c>
      <c r="DP140">
        <v>8.3610400000000001E-2</v>
      </c>
      <c r="DQ140">
        <v>0.18076600000000001</v>
      </c>
      <c r="DR140">
        <v>25.616700000000002</v>
      </c>
      <c r="DS140">
        <v>25.3781</v>
      </c>
      <c r="DT140">
        <v>17.100000000000001</v>
      </c>
      <c r="DU140">
        <v>29.8</v>
      </c>
      <c r="DV140">
        <v>7.2683099999999996</v>
      </c>
      <c r="DW140">
        <v>61.8185</v>
      </c>
      <c r="DX140">
        <v>36.774799999999999</v>
      </c>
      <c r="DY140">
        <v>1</v>
      </c>
      <c r="DZ140">
        <v>-8.9885699999999999E-2</v>
      </c>
      <c r="EA140">
        <v>-0.185417</v>
      </c>
      <c r="EB140">
        <v>20.189699999999998</v>
      </c>
      <c r="EC140">
        <v>5.2403500000000003</v>
      </c>
      <c r="ED140">
        <v>12.039899999999999</v>
      </c>
      <c r="EE140">
        <v>5.0162000000000004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</v>
      </c>
      <c r="EL140">
        <v>1.8646400000000001</v>
      </c>
      <c r="EM140">
        <v>1.8691899999999999</v>
      </c>
      <c r="EN140">
        <v>1.86724</v>
      </c>
      <c r="EO140">
        <v>1.86341</v>
      </c>
      <c r="EP140">
        <v>1.86459</v>
      </c>
      <c r="EQ140">
        <v>1.87015</v>
      </c>
      <c r="ER140">
        <v>1.8694299999999999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-0.17899999999999999</v>
      </c>
      <c r="FG140">
        <v>0.19259999999999999</v>
      </c>
      <c r="FH140">
        <v>0.16202357103534001</v>
      </c>
      <c r="FI140">
        <v>-6.1462078757559423E-4</v>
      </c>
      <c r="FJ140">
        <v>-1.8861989874597051E-7</v>
      </c>
      <c r="FK140">
        <v>1.1980462299894961E-10</v>
      </c>
      <c r="FL140">
        <v>0.19260234566371101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28</v>
      </c>
      <c r="FU140">
        <v>28</v>
      </c>
      <c r="FV140">
        <v>1.7785599999999999</v>
      </c>
      <c r="FW140">
        <v>2.5781200000000002</v>
      </c>
      <c r="FX140">
        <v>1.5490699999999999</v>
      </c>
      <c r="FY140">
        <v>2.3290999999999999</v>
      </c>
      <c r="FZ140">
        <v>1.50146</v>
      </c>
      <c r="GA140">
        <v>2.3950200000000001</v>
      </c>
      <c r="GB140">
        <v>33.850900000000003</v>
      </c>
      <c r="GC140">
        <v>23.991199999999999</v>
      </c>
      <c r="GD140">
        <v>19</v>
      </c>
      <c r="GE140">
        <v>237.06700000000001</v>
      </c>
      <c r="GF140">
        <v>581.73099999999999</v>
      </c>
      <c r="GG140">
        <v>25.265699999999999</v>
      </c>
      <c r="GH140">
        <v>26.2576</v>
      </c>
      <c r="GI140">
        <v>30</v>
      </c>
      <c r="GJ140">
        <v>26.401399999999999</v>
      </c>
      <c r="GK140">
        <v>26.374300000000002</v>
      </c>
      <c r="GL140">
        <v>35.563000000000002</v>
      </c>
      <c r="GM140">
        <v>-30</v>
      </c>
      <c r="GN140">
        <v>-30</v>
      </c>
      <c r="GO140">
        <v>25.2681</v>
      </c>
      <c r="GP140">
        <v>800</v>
      </c>
      <c r="GQ140">
        <v>12.5298</v>
      </c>
      <c r="GR140">
        <v>99.711799999999997</v>
      </c>
      <c r="GS140">
        <v>99.5227</v>
      </c>
    </row>
    <row r="141" spans="1:201" x14ac:dyDescent="0.25">
      <c r="A141">
        <v>125</v>
      </c>
      <c r="B141">
        <v>1690216534.5999999</v>
      </c>
      <c r="C141">
        <v>1589.099999904633</v>
      </c>
      <c r="D141" t="s">
        <v>583</v>
      </c>
      <c r="E141" t="s">
        <v>584</v>
      </c>
      <c r="F141" t="s">
        <v>330</v>
      </c>
      <c r="H141">
        <v>1690216534.5999999</v>
      </c>
      <c r="I141">
        <f t="shared" si="30"/>
        <v>1.6706379608131146E-3</v>
      </c>
      <c r="J141">
        <f t="shared" si="31"/>
        <v>1.6706379608131146</v>
      </c>
      <c r="K141">
        <f t="shared" si="32"/>
        <v>25.932172358246969</v>
      </c>
      <c r="L141">
        <f t="shared" si="33"/>
        <v>500.46899999999999</v>
      </c>
      <c r="M141">
        <f t="shared" si="34"/>
        <v>102.48620581499912</v>
      </c>
      <c r="N141">
        <f t="shared" si="35"/>
        <v>10.165105597243327</v>
      </c>
      <c r="O141">
        <f t="shared" si="36"/>
        <v>49.639072816590001</v>
      </c>
      <c r="P141">
        <f t="shared" si="37"/>
        <v>0.10893807587479866</v>
      </c>
      <c r="Q141">
        <f t="shared" si="38"/>
        <v>2.0673768850297751</v>
      </c>
      <c r="R141">
        <f t="shared" si="39"/>
        <v>0.10584657489601099</v>
      </c>
      <c r="S141">
        <f t="shared" si="40"/>
        <v>6.6424560740459007E-2</v>
      </c>
      <c r="T141">
        <f t="shared" si="41"/>
        <v>276.115493286</v>
      </c>
      <c r="U141">
        <f t="shared" si="42"/>
        <v>28.466713205820753</v>
      </c>
      <c r="V141">
        <f t="shared" si="43"/>
        <v>28.466713205820753</v>
      </c>
      <c r="W141">
        <f t="shared" si="44"/>
        <v>3.8993224725701747</v>
      </c>
      <c r="X141">
        <f t="shared" si="45"/>
        <v>67.292362043383633</v>
      </c>
      <c r="Y141">
        <f t="shared" si="46"/>
        <v>2.3834082747890002</v>
      </c>
      <c r="Z141">
        <f t="shared" si="47"/>
        <v>3.5418704328619168</v>
      </c>
      <c r="AA141">
        <f t="shared" si="48"/>
        <v>1.5159141977811745</v>
      </c>
      <c r="AB141">
        <f t="shared" si="49"/>
        <v>-73.675134071858352</v>
      </c>
      <c r="AC141">
        <f t="shared" si="50"/>
        <v>-183.33614145059443</v>
      </c>
      <c r="AD141">
        <f t="shared" si="51"/>
        <v>-19.262010867512114</v>
      </c>
      <c r="AE141">
        <f t="shared" si="52"/>
        <v>-0.15779310396487745</v>
      </c>
      <c r="AF141">
        <v>44</v>
      </c>
      <c r="AG141">
        <v>15</v>
      </c>
      <c r="AH141">
        <f t="shared" si="53"/>
        <v>1</v>
      </c>
      <c r="AI141">
        <f t="shared" si="54"/>
        <v>0</v>
      </c>
      <c r="AJ141">
        <f t="shared" si="55"/>
        <v>52569.289092914114</v>
      </c>
      <c r="AK141">
        <f t="shared" si="56"/>
        <v>1800</v>
      </c>
      <c r="AL141">
        <f t="shared" si="57"/>
        <v>1499.1110765999999</v>
      </c>
      <c r="AM141">
        <f t="shared" si="58"/>
        <v>0.83283948699999999</v>
      </c>
      <c r="AN141">
        <f t="shared" si="59"/>
        <v>0.15339749626999999</v>
      </c>
      <c r="AO141">
        <v>33.6</v>
      </c>
      <c r="AP141">
        <v>0.5</v>
      </c>
      <c r="AQ141" t="s">
        <v>331</v>
      </c>
      <c r="AR141">
        <v>2</v>
      </c>
      <c r="AS141">
        <v>1690216534.5999999</v>
      </c>
      <c r="AT141">
        <v>500.46899999999999</v>
      </c>
      <c r="AU141">
        <v>800.04600000000005</v>
      </c>
      <c r="AV141">
        <v>24.029900000000001</v>
      </c>
      <c r="AW141">
        <v>5.7822500000000003</v>
      </c>
      <c r="AX141">
        <v>500.64699999999999</v>
      </c>
      <c r="AY141">
        <v>23.837299999999999</v>
      </c>
      <c r="AZ141">
        <v>300.22800000000001</v>
      </c>
      <c r="BA141">
        <v>99.085099999999997</v>
      </c>
      <c r="BB141">
        <v>0.10001</v>
      </c>
      <c r="BC141">
        <v>26.8218</v>
      </c>
      <c r="BD141">
        <v>26.991399999999999</v>
      </c>
      <c r="BE141">
        <v>28.321000000000002</v>
      </c>
      <c r="BF141">
        <v>0</v>
      </c>
      <c r="BG141">
        <v>0</v>
      </c>
      <c r="BH141">
        <v>10028.799999999999</v>
      </c>
      <c r="BI141">
        <v>1076.5999999999999</v>
      </c>
      <c r="BJ141">
        <v>1.4577199999999999</v>
      </c>
      <c r="BK141">
        <v>-299.577</v>
      </c>
      <c r="BL141">
        <v>512.79100000000005</v>
      </c>
      <c r="BM141">
        <v>804.69799999999998</v>
      </c>
      <c r="BN141">
        <v>18.247699999999998</v>
      </c>
      <c r="BO141">
        <v>800.04600000000005</v>
      </c>
      <c r="BP141">
        <v>5.7822500000000003</v>
      </c>
      <c r="BQ141">
        <v>2.3810099999999998</v>
      </c>
      <c r="BR141">
        <v>0.57293499999999997</v>
      </c>
      <c r="BS141">
        <v>20.235199999999999</v>
      </c>
      <c r="BT141">
        <v>-0.94152999999999998</v>
      </c>
      <c r="BU141">
        <v>1800</v>
      </c>
      <c r="BV141">
        <v>0.90999600000000003</v>
      </c>
      <c r="BW141">
        <v>3.4002400000000002E-2</v>
      </c>
      <c r="BX141">
        <v>2.20016E-2</v>
      </c>
      <c r="BY141">
        <v>3.3999700000000001E-2</v>
      </c>
      <c r="BZ141">
        <v>26</v>
      </c>
      <c r="CA141">
        <v>33528.400000000001</v>
      </c>
      <c r="CB141">
        <v>1690214843</v>
      </c>
      <c r="CC141" t="s">
        <v>332</v>
      </c>
      <c r="CD141">
        <v>1690214842</v>
      </c>
      <c r="CE141">
        <v>1690214843</v>
      </c>
      <c r="CF141">
        <v>8</v>
      </c>
      <c r="CG141">
        <v>-6.3E-2</v>
      </c>
      <c r="CH141">
        <v>1E-3</v>
      </c>
      <c r="CI141">
        <v>-0.38900000000000001</v>
      </c>
      <c r="CJ141">
        <v>-6.6000000000000003E-2</v>
      </c>
      <c r="CK141">
        <v>800</v>
      </c>
      <c r="CL141">
        <v>6</v>
      </c>
      <c r="CM141">
        <v>0.23</v>
      </c>
      <c r="CN141">
        <v>0.02</v>
      </c>
      <c r="CO141">
        <v>-296.38819999999998</v>
      </c>
      <c r="CP141">
        <v>-16.61027392120052</v>
      </c>
      <c r="CQ141">
        <v>1.5988225073472031</v>
      </c>
      <c r="CR141">
        <v>-1</v>
      </c>
      <c r="CS141">
        <v>18.119534999999999</v>
      </c>
      <c r="CT141">
        <v>0.68211106941839783</v>
      </c>
      <c r="CU141">
        <v>6.5623896371672583E-2</v>
      </c>
      <c r="CV141">
        <v>-1</v>
      </c>
      <c r="CW141">
        <v>0</v>
      </c>
      <c r="CX141">
        <v>0</v>
      </c>
      <c r="CY141" t="s">
        <v>333</v>
      </c>
      <c r="CZ141">
        <v>2.3646600000000002</v>
      </c>
      <c r="DA141">
        <v>2.7138300000000002</v>
      </c>
      <c r="DB141">
        <v>0.105804</v>
      </c>
      <c r="DC141">
        <v>0.14608699999999999</v>
      </c>
      <c r="DD141">
        <v>0.113983</v>
      </c>
      <c r="DE141">
        <v>3.8275000000000003E-2</v>
      </c>
      <c r="DF141">
        <v>32642.799999999999</v>
      </c>
      <c r="DG141">
        <v>27508.7</v>
      </c>
      <c r="DH141">
        <v>31164.7</v>
      </c>
      <c r="DI141">
        <v>28071.1</v>
      </c>
      <c r="DJ141">
        <v>37482.699999999997</v>
      </c>
      <c r="DK141">
        <v>38388.300000000003</v>
      </c>
      <c r="DL141">
        <v>44349.2</v>
      </c>
      <c r="DM141">
        <v>42542.1</v>
      </c>
      <c r="DN141">
        <v>1.3614299999999999</v>
      </c>
      <c r="DO141">
        <v>2.0341</v>
      </c>
      <c r="DP141">
        <v>8.3833900000000003E-2</v>
      </c>
      <c r="DQ141">
        <v>0.17990900000000001</v>
      </c>
      <c r="DR141">
        <v>25.6188</v>
      </c>
      <c r="DS141">
        <v>25.3781</v>
      </c>
      <c r="DT141">
        <v>17.100000000000001</v>
      </c>
      <c r="DU141">
        <v>29.8</v>
      </c>
      <c r="DV141">
        <v>7.2680499999999997</v>
      </c>
      <c r="DW141">
        <v>61.808500000000002</v>
      </c>
      <c r="DX141">
        <v>36.6066</v>
      </c>
      <c r="DY141">
        <v>1</v>
      </c>
      <c r="DZ141">
        <v>-8.99924E-2</v>
      </c>
      <c r="EA141">
        <v>-0.222968</v>
      </c>
      <c r="EB141">
        <v>20.189800000000002</v>
      </c>
      <c r="EC141">
        <v>5.2408000000000001</v>
      </c>
      <c r="ED141">
        <v>12.039899999999999</v>
      </c>
      <c r="EE141">
        <v>5.0169499999999996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1.8689100000000001</v>
      </c>
      <c r="EL141">
        <v>1.8646400000000001</v>
      </c>
      <c r="EM141">
        <v>1.8692</v>
      </c>
      <c r="EN141">
        <v>1.8672299999999999</v>
      </c>
      <c r="EO141">
        <v>1.86341</v>
      </c>
      <c r="EP141">
        <v>1.8645499999999999</v>
      </c>
      <c r="EQ141">
        <v>1.87018</v>
      </c>
      <c r="ER141">
        <v>1.86944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-0.17799999999999999</v>
      </c>
      <c r="FG141">
        <v>0.19259999999999999</v>
      </c>
      <c r="FH141">
        <v>0.16202357103534001</v>
      </c>
      <c r="FI141">
        <v>-6.1462078757559423E-4</v>
      </c>
      <c r="FJ141">
        <v>-1.8861989874597051E-7</v>
      </c>
      <c r="FK141">
        <v>1.1980462299894961E-10</v>
      </c>
      <c r="FL141">
        <v>0.19260234566371101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28.2</v>
      </c>
      <c r="FU141">
        <v>28.2</v>
      </c>
      <c r="FV141">
        <v>1.7785599999999999</v>
      </c>
      <c r="FW141">
        <v>2.5805699999999998</v>
      </c>
      <c r="FX141">
        <v>1.5490699999999999</v>
      </c>
      <c r="FY141">
        <v>2.3290999999999999</v>
      </c>
      <c r="FZ141">
        <v>1.50146</v>
      </c>
      <c r="GA141">
        <v>2.4145500000000002</v>
      </c>
      <c r="GB141">
        <v>33.850900000000003</v>
      </c>
      <c r="GC141">
        <v>23.991199999999999</v>
      </c>
      <c r="GD141">
        <v>19</v>
      </c>
      <c r="GE141">
        <v>237.096</v>
      </c>
      <c r="GF141">
        <v>581.68499999999995</v>
      </c>
      <c r="GG141">
        <v>25.275300000000001</v>
      </c>
      <c r="GH141">
        <v>26.256399999999999</v>
      </c>
      <c r="GI141">
        <v>29.9999</v>
      </c>
      <c r="GJ141">
        <v>26.399100000000001</v>
      </c>
      <c r="GK141">
        <v>26.373699999999999</v>
      </c>
      <c r="GL141">
        <v>35.561399999999999</v>
      </c>
      <c r="GM141">
        <v>-30</v>
      </c>
      <c r="GN141">
        <v>-30</v>
      </c>
      <c r="GO141">
        <v>25.287800000000001</v>
      </c>
      <c r="GP141">
        <v>800</v>
      </c>
      <c r="GQ141">
        <v>12.5298</v>
      </c>
      <c r="GR141">
        <v>99.712199999999996</v>
      </c>
      <c r="GS141">
        <v>99.524500000000003</v>
      </c>
    </row>
    <row r="142" spans="1:201" x14ac:dyDescent="0.25">
      <c r="A142">
        <v>126</v>
      </c>
      <c r="B142">
        <v>1690216544.5999999</v>
      </c>
      <c r="C142">
        <v>1599.099999904633</v>
      </c>
      <c r="D142" t="s">
        <v>585</v>
      </c>
      <c r="E142" t="s">
        <v>586</v>
      </c>
      <c r="F142" t="s">
        <v>330</v>
      </c>
      <c r="H142">
        <v>1690216544.5999999</v>
      </c>
      <c r="I142">
        <f t="shared" si="30"/>
        <v>1.6808994999757843E-3</v>
      </c>
      <c r="J142">
        <f t="shared" si="31"/>
        <v>1.6808994999757843</v>
      </c>
      <c r="K142">
        <f t="shared" si="32"/>
        <v>26.151750079558855</v>
      </c>
      <c r="L142">
        <f t="shared" si="33"/>
        <v>497.846</v>
      </c>
      <c r="M142">
        <f t="shared" si="34"/>
        <v>101.6251492951787</v>
      </c>
      <c r="N142">
        <f t="shared" si="35"/>
        <v>10.079750107129964</v>
      </c>
      <c r="O142">
        <f t="shared" si="36"/>
        <v>49.379147845171204</v>
      </c>
      <c r="P142">
        <f t="shared" si="37"/>
        <v>0.11037141271863821</v>
      </c>
      <c r="Q142">
        <f t="shared" si="38"/>
        <v>2.0643540024068003</v>
      </c>
      <c r="R142">
        <f t="shared" si="39"/>
        <v>0.1071947988263672</v>
      </c>
      <c r="S142">
        <f t="shared" si="40"/>
        <v>6.7274539968536273E-2</v>
      </c>
      <c r="T142">
        <f t="shared" si="41"/>
        <v>276.11394969909071</v>
      </c>
      <c r="U142">
        <f t="shared" si="42"/>
        <v>28.472089098578632</v>
      </c>
      <c r="V142">
        <f t="shared" si="43"/>
        <v>28.472089098578632</v>
      </c>
      <c r="W142">
        <f t="shared" si="44"/>
        <v>3.9005404409546434</v>
      </c>
      <c r="X142">
        <f t="shared" si="45"/>
        <v>67.580579188056532</v>
      </c>
      <c r="Y142">
        <f t="shared" si="46"/>
        <v>2.3945880389759999</v>
      </c>
      <c r="Z142">
        <f t="shared" si="47"/>
        <v>3.5433079558442047</v>
      </c>
      <c r="AA142">
        <f t="shared" si="48"/>
        <v>1.5059524019786434</v>
      </c>
      <c r="AB142">
        <f t="shared" si="49"/>
        <v>-74.127667948932086</v>
      </c>
      <c r="AC142">
        <f t="shared" si="50"/>
        <v>-182.8984473668167</v>
      </c>
      <c r="AD142">
        <f t="shared" si="51"/>
        <v>-19.245341916798431</v>
      </c>
      <c r="AE142">
        <f t="shared" si="52"/>
        <v>-0.15750753345650992</v>
      </c>
      <c r="AF142">
        <v>44</v>
      </c>
      <c r="AG142">
        <v>15</v>
      </c>
      <c r="AH142">
        <f t="shared" si="53"/>
        <v>1</v>
      </c>
      <c r="AI142">
        <f t="shared" si="54"/>
        <v>0</v>
      </c>
      <c r="AJ142">
        <f t="shared" si="55"/>
        <v>52429.630027332438</v>
      </c>
      <c r="AK142">
        <f t="shared" si="56"/>
        <v>1799.99</v>
      </c>
      <c r="AL142">
        <f t="shared" si="57"/>
        <v>1499.1030290035701</v>
      </c>
      <c r="AM142">
        <f t="shared" si="58"/>
        <v>0.83283964300000002</v>
      </c>
      <c r="AN142">
        <f t="shared" si="59"/>
        <v>0.15339749092999999</v>
      </c>
      <c r="AO142">
        <v>33.6</v>
      </c>
      <c r="AP142">
        <v>0.5</v>
      </c>
      <c r="AQ142" t="s">
        <v>331</v>
      </c>
      <c r="AR142">
        <v>2</v>
      </c>
      <c r="AS142">
        <v>1690216544.5999999</v>
      </c>
      <c r="AT142">
        <v>497.846</v>
      </c>
      <c r="AU142">
        <v>799.96299999999997</v>
      </c>
      <c r="AV142">
        <v>24.142499999999998</v>
      </c>
      <c r="AW142">
        <v>5.7803599999999999</v>
      </c>
      <c r="AX142">
        <v>498.02199999999999</v>
      </c>
      <c r="AY142">
        <v>23.9499</v>
      </c>
      <c r="AZ142">
        <v>300.154</v>
      </c>
      <c r="BA142">
        <v>99.085599999999999</v>
      </c>
      <c r="BB142">
        <v>9.9987199999999998E-2</v>
      </c>
      <c r="BC142">
        <v>26.828700000000001</v>
      </c>
      <c r="BD142">
        <v>26.991900000000001</v>
      </c>
      <c r="BE142">
        <v>28.334499999999998</v>
      </c>
      <c r="BF142">
        <v>0</v>
      </c>
      <c r="BG142">
        <v>0</v>
      </c>
      <c r="BH142">
        <v>10001.200000000001</v>
      </c>
      <c r="BI142">
        <v>1076.6300000000001</v>
      </c>
      <c r="BJ142">
        <v>1.4577199999999999</v>
      </c>
      <c r="BK142">
        <v>-302.11700000000002</v>
      </c>
      <c r="BL142">
        <v>510.16300000000001</v>
      </c>
      <c r="BM142">
        <v>804.61400000000003</v>
      </c>
      <c r="BN142">
        <v>18.362100000000002</v>
      </c>
      <c r="BO142">
        <v>799.96299999999997</v>
      </c>
      <c r="BP142">
        <v>5.7803599999999999</v>
      </c>
      <c r="BQ142">
        <v>2.3921700000000001</v>
      </c>
      <c r="BR142">
        <v>0.57275100000000001</v>
      </c>
      <c r="BS142">
        <v>20.3109</v>
      </c>
      <c r="BT142">
        <v>-0.94591800000000004</v>
      </c>
      <c r="BU142">
        <v>1799.99</v>
      </c>
      <c r="BV142">
        <v>0.90999699999999994</v>
      </c>
      <c r="BW142">
        <v>3.40021E-2</v>
      </c>
      <c r="BX142">
        <v>2.2001400000000001E-2</v>
      </c>
      <c r="BY142">
        <v>3.3999300000000003E-2</v>
      </c>
      <c r="BZ142">
        <v>26</v>
      </c>
      <c r="CA142">
        <v>33528.199999999997</v>
      </c>
      <c r="CB142">
        <v>1690214843</v>
      </c>
      <c r="CC142" t="s">
        <v>332</v>
      </c>
      <c r="CD142">
        <v>1690214842</v>
      </c>
      <c r="CE142">
        <v>1690214843</v>
      </c>
      <c r="CF142">
        <v>8</v>
      </c>
      <c r="CG142">
        <v>-6.3E-2</v>
      </c>
      <c r="CH142">
        <v>1E-3</v>
      </c>
      <c r="CI142">
        <v>-0.38900000000000001</v>
      </c>
      <c r="CJ142">
        <v>-6.6000000000000003E-2</v>
      </c>
      <c r="CK142">
        <v>800</v>
      </c>
      <c r="CL142">
        <v>6</v>
      </c>
      <c r="CM142">
        <v>0.23</v>
      </c>
      <c r="CN142">
        <v>0.02</v>
      </c>
      <c r="CO142">
        <v>-299.22931707317082</v>
      </c>
      <c r="CP142">
        <v>-16.38846689895502</v>
      </c>
      <c r="CQ142">
        <v>1.616759125595495</v>
      </c>
      <c r="CR142">
        <v>-1</v>
      </c>
      <c r="CS142">
        <v>18.23638048780488</v>
      </c>
      <c r="CT142">
        <v>0.68515818815328811</v>
      </c>
      <c r="CU142">
        <v>6.756180989182875E-2</v>
      </c>
      <c r="CV142">
        <v>-1</v>
      </c>
      <c r="CW142">
        <v>0</v>
      </c>
      <c r="CX142">
        <v>0</v>
      </c>
      <c r="CY142" t="s">
        <v>333</v>
      </c>
      <c r="CZ142">
        <v>2.36442</v>
      </c>
      <c r="DA142">
        <v>2.7137799999999999</v>
      </c>
      <c r="DB142">
        <v>0.10539999999999999</v>
      </c>
      <c r="DC142">
        <v>0.14607700000000001</v>
      </c>
      <c r="DD142">
        <v>0.114359</v>
      </c>
      <c r="DE142">
        <v>3.8265E-2</v>
      </c>
      <c r="DF142">
        <v>32657.5</v>
      </c>
      <c r="DG142">
        <v>27509.1</v>
      </c>
      <c r="DH142">
        <v>31164.5</v>
      </c>
      <c r="DI142">
        <v>28071.1</v>
      </c>
      <c r="DJ142">
        <v>37466.400000000001</v>
      </c>
      <c r="DK142">
        <v>38388.699999999997</v>
      </c>
      <c r="DL142">
        <v>44349</v>
      </c>
      <c r="DM142">
        <v>42542.1</v>
      </c>
      <c r="DN142">
        <v>1.36168</v>
      </c>
      <c r="DO142">
        <v>2.0343300000000002</v>
      </c>
      <c r="DP142">
        <v>8.3863699999999999E-2</v>
      </c>
      <c r="DQ142">
        <v>0.18057200000000001</v>
      </c>
      <c r="DR142">
        <v>25.6188</v>
      </c>
      <c r="DS142">
        <v>25.380700000000001</v>
      </c>
      <c r="DT142">
        <v>17.100000000000001</v>
      </c>
      <c r="DU142">
        <v>29.8</v>
      </c>
      <c r="DV142">
        <v>7.26851</v>
      </c>
      <c r="DW142">
        <v>61.738500000000002</v>
      </c>
      <c r="DX142">
        <v>36.654600000000002</v>
      </c>
      <c r="DY142">
        <v>1</v>
      </c>
      <c r="DZ142">
        <v>-9.0121999999999994E-2</v>
      </c>
      <c r="EA142">
        <v>-0.23130400000000001</v>
      </c>
      <c r="EB142">
        <v>20.189800000000002</v>
      </c>
      <c r="EC142">
        <v>5.2409499999999998</v>
      </c>
      <c r="ED142">
        <v>12.039899999999999</v>
      </c>
      <c r="EE142">
        <v>5.0173500000000004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1.8689100000000001</v>
      </c>
      <c r="EL142">
        <v>1.8646499999999999</v>
      </c>
      <c r="EM142">
        <v>1.8691899999999999</v>
      </c>
      <c r="EN142">
        <v>1.86724</v>
      </c>
      <c r="EO142">
        <v>1.86341</v>
      </c>
      <c r="EP142">
        <v>1.8645700000000001</v>
      </c>
      <c r="EQ142">
        <v>1.8701700000000001</v>
      </c>
      <c r="ER142">
        <v>1.8694599999999999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-0.17599999999999999</v>
      </c>
      <c r="FG142">
        <v>0.19259999999999999</v>
      </c>
      <c r="FH142">
        <v>0.16202357103534001</v>
      </c>
      <c r="FI142">
        <v>-6.1462078757559423E-4</v>
      </c>
      <c r="FJ142">
        <v>-1.8861989874597051E-7</v>
      </c>
      <c r="FK142">
        <v>1.1980462299894961E-10</v>
      </c>
      <c r="FL142">
        <v>0.19260234566371101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28.4</v>
      </c>
      <c r="FU142">
        <v>28.4</v>
      </c>
      <c r="FV142">
        <v>1.7785599999999999</v>
      </c>
      <c r="FW142">
        <v>2.5805699999999998</v>
      </c>
      <c r="FX142">
        <v>1.5490699999999999</v>
      </c>
      <c r="FY142">
        <v>2.3290999999999999</v>
      </c>
      <c r="FZ142">
        <v>1.50146</v>
      </c>
      <c r="GA142">
        <v>2.3742700000000001</v>
      </c>
      <c r="GB142">
        <v>33.850900000000003</v>
      </c>
      <c r="GC142">
        <v>23.991199999999999</v>
      </c>
      <c r="GD142">
        <v>19</v>
      </c>
      <c r="GE142">
        <v>237.19</v>
      </c>
      <c r="GF142">
        <v>581.851</v>
      </c>
      <c r="GG142">
        <v>25.294599999999999</v>
      </c>
      <c r="GH142">
        <v>26.255400000000002</v>
      </c>
      <c r="GI142">
        <v>30</v>
      </c>
      <c r="GJ142">
        <v>26.399100000000001</v>
      </c>
      <c r="GK142">
        <v>26.3721</v>
      </c>
      <c r="GL142">
        <v>35.563099999999999</v>
      </c>
      <c r="GM142">
        <v>-30</v>
      </c>
      <c r="GN142">
        <v>-30</v>
      </c>
      <c r="GO142">
        <v>25.299099999999999</v>
      </c>
      <c r="GP142">
        <v>800</v>
      </c>
      <c r="GQ142">
        <v>12.5298</v>
      </c>
      <c r="GR142">
        <v>99.711699999999993</v>
      </c>
      <c r="GS142">
        <v>99.524500000000003</v>
      </c>
    </row>
    <row r="143" spans="1:201" x14ac:dyDescent="0.25">
      <c r="A143">
        <v>127</v>
      </c>
      <c r="B143">
        <v>1690216554.5999999</v>
      </c>
      <c r="C143">
        <v>1609.099999904633</v>
      </c>
      <c r="D143" t="s">
        <v>587</v>
      </c>
      <c r="E143" t="s">
        <v>588</v>
      </c>
      <c r="F143" t="s">
        <v>330</v>
      </c>
      <c r="H143">
        <v>1690216554.5999999</v>
      </c>
      <c r="I143">
        <f t="shared" si="30"/>
        <v>1.6906135034346855E-3</v>
      </c>
      <c r="J143">
        <f t="shared" si="31"/>
        <v>1.6906135034346856</v>
      </c>
      <c r="K143">
        <f t="shared" si="32"/>
        <v>26.396901305046658</v>
      </c>
      <c r="L143">
        <f t="shared" si="33"/>
        <v>495.13900000000001</v>
      </c>
      <c r="M143">
        <f t="shared" si="34"/>
        <v>100.92878984377363</v>
      </c>
      <c r="N143">
        <f t="shared" si="35"/>
        <v>10.010583990686674</v>
      </c>
      <c r="O143">
        <f t="shared" si="36"/>
        <v>49.110175146624805</v>
      </c>
      <c r="P143">
        <f t="shared" si="37"/>
        <v>0.11199430954419076</v>
      </c>
      <c r="Q143">
        <f t="shared" si="38"/>
        <v>2.0651787498229868</v>
      </c>
      <c r="R143">
        <f t="shared" si="39"/>
        <v>0.10872634540920847</v>
      </c>
      <c r="S143">
        <f t="shared" si="40"/>
        <v>6.823963646609256E-2</v>
      </c>
      <c r="T143">
        <f t="shared" si="41"/>
        <v>276.11707497922777</v>
      </c>
      <c r="U143">
        <f t="shared" si="42"/>
        <v>28.463143644578814</v>
      </c>
      <c r="V143">
        <f t="shared" si="43"/>
        <v>28.463143644578814</v>
      </c>
      <c r="W143">
        <f t="shared" si="44"/>
        <v>3.8985139319808821</v>
      </c>
      <c r="X143">
        <f t="shared" si="45"/>
        <v>67.901800966268368</v>
      </c>
      <c r="Y143">
        <f t="shared" si="46"/>
        <v>2.4052767049115999</v>
      </c>
      <c r="Z143">
        <f t="shared" si="47"/>
        <v>3.5422870537800186</v>
      </c>
      <c r="AA143">
        <f t="shared" si="48"/>
        <v>1.4932372270692822</v>
      </c>
      <c r="AB143">
        <f t="shared" si="49"/>
        <v>-74.556055501469629</v>
      </c>
      <c r="AC143">
        <f t="shared" si="50"/>
        <v>-182.52110624190016</v>
      </c>
      <c r="AD143">
        <f t="shared" si="51"/>
        <v>-19.196639743948186</v>
      </c>
      <c r="AE143">
        <f t="shared" si="52"/>
        <v>-0.15672650809023025</v>
      </c>
      <c r="AF143">
        <v>44</v>
      </c>
      <c r="AG143">
        <v>15</v>
      </c>
      <c r="AH143">
        <f t="shared" si="53"/>
        <v>1</v>
      </c>
      <c r="AI143">
        <f t="shared" si="54"/>
        <v>0</v>
      </c>
      <c r="AJ143">
        <f t="shared" si="55"/>
        <v>52468.218837966815</v>
      </c>
      <c r="AK143">
        <f t="shared" si="56"/>
        <v>1800.01</v>
      </c>
      <c r="AL143">
        <f t="shared" si="57"/>
        <v>1499.1199467978799</v>
      </c>
      <c r="AM143">
        <f t="shared" si="58"/>
        <v>0.83283978800000003</v>
      </c>
      <c r="AN143">
        <f t="shared" si="59"/>
        <v>0.15339752277999999</v>
      </c>
      <c r="AO143">
        <v>33.6</v>
      </c>
      <c r="AP143">
        <v>0.5</v>
      </c>
      <c r="AQ143" t="s">
        <v>331</v>
      </c>
      <c r="AR143">
        <v>2</v>
      </c>
      <c r="AS143">
        <v>1690216554.5999999</v>
      </c>
      <c r="AT143">
        <v>495.13900000000001</v>
      </c>
      <c r="AU143">
        <v>800.05499999999995</v>
      </c>
      <c r="AV143">
        <v>24.250499999999999</v>
      </c>
      <c r="AW143">
        <v>5.7811500000000002</v>
      </c>
      <c r="AX143">
        <v>495.31400000000002</v>
      </c>
      <c r="AY143">
        <v>24.0579</v>
      </c>
      <c r="AZ143">
        <v>300.10300000000001</v>
      </c>
      <c r="BA143">
        <v>99.084699999999998</v>
      </c>
      <c r="BB143">
        <v>9.9923200000000004E-2</v>
      </c>
      <c r="BC143">
        <v>26.823799999999999</v>
      </c>
      <c r="BD143">
        <v>26.979500000000002</v>
      </c>
      <c r="BE143">
        <v>28.317299999999999</v>
      </c>
      <c r="BF143">
        <v>0</v>
      </c>
      <c r="BG143">
        <v>0</v>
      </c>
      <c r="BH143">
        <v>10008.799999999999</v>
      </c>
      <c r="BI143">
        <v>1076.74</v>
      </c>
      <c r="BJ143">
        <v>1.4577199999999999</v>
      </c>
      <c r="BK143">
        <v>-304.91500000000002</v>
      </c>
      <c r="BL143">
        <v>507.44499999999999</v>
      </c>
      <c r="BM143">
        <v>804.70699999999999</v>
      </c>
      <c r="BN143">
        <v>18.4693</v>
      </c>
      <c r="BO143">
        <v>800.05499999999995</v>
      </c>
      <c r="BP143">
        <v>5.7811500000000002</v>
      </c>
      <c r="BQ143">
        <v>2.4028499999999999</v>
      </c>
      <c r="BR143">
        <v>0.572824</v>
      </c>
      <c r="BS143">
        <v>20.382999999999999</v>
      </c>
      <c r="BT143">
        <v>-0.94418000000000002</v>
      </c>
      <c r="BU143">
        <v>1800.01</v>
      </c>
      <c r="BV143">
        <v>0.90999699999999994</v>
      </c>
      <c r="BW143">
        <v>3.4002200000000003E-2</v>
      </c>
      <c r="BX143">
        <v>2.2001400000000001E-2</v>
      </c>
      <c r="BY143">
        <v>3.3999399999999999E-2</v>
      </c>
      <c r="BZ143">
        <v>26</v>
      </c>
      <c r="CA143">
        <v>33528.5</v>
      </c>
      <c r="CB143">
        <v>1690214843</v>
      </c>
      <c r="CC143" t="s">
        <v>332</v>
      </c>
      <c r="CD143">
        <v>1690214842</v>
      </c>
      <c r="CE143">
        <v>1690214843</v>
      </c>
      <c r="CF143">
        <v>8</v>
      </c>
      <c r="CG143">
        <v>-6.3E-2</v>
      </c>
      <c r="CH143">
        <v>1E-3</v>
      </c>
      <c r="CI143">
        <v>-0.38900000000000001</v>
      </c>
      <c r="CJ143">
        <v>-6.6000000000000003E-2</v>
      </c>
      <c r="CK143">
        <v>800</v>
      </c>
      <c r="CL143">
        <v>6</v>
      </c>
      <c r="CM143">
        <v>0.23</v>
      </c>
      <c r="CN143">
        <v>0.02</v>
      </c>
      <c r="CO143">
        <v>-302.11692499999998</v>
      </c>
      <c r="CP143">
        <v>-15.748243902438039</v>
      </c>
      <c r="CQ143">
        <v>1.5157493425283071</v>
      </c>
      <c r="CR143">
        <v>-1</v>
      </c>
      <c r="CS143">
        <v>18.356797499999999</v>
      </c>
      <c r="CT143">
        <v>0.65765290806750609</v>
      </c>
      <c r="CU143">
        <v>6.3284095503925816E-2</v>
      </c>
      <c r="CV143">
        <v>-1</v>
      </c>
      <c r="CW143">
        <v>0</v>
      </c>
      <c r="CX143">
        <v>0</v>
      </c>
      <c r="CY143" t="s">
        <v>333</v>
      </c>
      <c r="CZ143">
        <v>2.3642400000000001</v>
      </c>
      <c r="DA143">
        <v>2.7137199999999999</v>
      </c>
      <c r="DB143">
        <v>0.10498200000000001</v>
      </c>
      <c r="DC143">
        <v>0.14609</v>
      </c>
      <c r="DD143">
        <v>0.114722</v>
      </c>
      <c r="DE143">
        <v>3.8269600000000001E-2</v>
      </c>
      <c r="DF143">
        <v>32672.7</v>
      </c>
      <c r="DG143">
        <v>27508.7</v>
      </c>
      <c r="DH143">
        <v>31164.5</v>
      </c>
      <c r="DI143">
        <v>28071.200000000001</v>
      </c>
      <c r="DJ143">
        <v>37450.9</v>
      </c>
      <c r="DK143">
        <v>38388.699999999997</v>
      </c>
      <c r="DL143">
        <v>44349.1</v>
      </c>
      <c r="DM143">
        <v>42542.3</v>
      </c>
      <c r="DN143">
        <v>1.3612299999999999</v>
      </c>
      <c r="DO143">
        <v>2.0342500000000001</v>
      </c>
      <c r="DP143">
        <v>8.2977099999999998E-2</v>
      </c>
      <c r="DQ143">
        <v>0.17941699999999999</v>
      </c>
      <c r="DR143">
        <v>25.620999999999999</v>
      </c>
      <c r="DS143">
        <v>25.382300000000001</v>
      </c>
      <c r="DT143">
        <v>17.100000000000001</v>
      </c>
      <c r="DU143">
        <v>29.8</v>
      </c>
      <c r="DV143">
        <v>7.2690599999999996</v>
      </c>
      <c r="DW143">
        <v>61.488500000000002</v>
      </c>
      <c r="DX143">
        <v>36.706699999999998</v>
      </c>
      <c r="DY143">
        <v>1</v>
      </c>
      <c r="DZ143">
        <v>-9.0200699999999995E-2</v>
      </c>
      <c r="EA143">
        <v>-0.23084199999999999</v>
      </c>
      <c r="EB143">
        <v>20.189499999999999</v>
      </c>
      <c r="EC143">
        <v>5.2408000000000001</v>
      </c>
      <c r="ED143">
        <v>12.039899999999999</v>
      </c>
      <c r="EE143">
        <v>5.0173500000000004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1.86893</v>
      </c>
      <c r="EL143">
        <v>1.8646400000000001</v>
      </c>
      <c r="EM143">
        <v>1.8692</v>
      </c>
      <c r="EN143">
        <v>1.8672500000000001</v>
      </c>
      <c r="EO143">
        <v>1.8633999999999999</v>
      </c>
      <c r="EP143">
        <v>1.86456</v>
      </c>
      <c r="EQ143">
        <v>1.87019</v>
      </c>
      <c r="ER143">
        <v>1.8694599999999999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-0.17499999999999999</v>
      </c>
      <c r="FG143">
        <v>0.19259999999999999</v>
      </c>
      <c r="FH143">
        <v>0.16202357103534001</v>
      </c>
      <c r="FI143">
        <v>-6.1462078757559423E-4</v>
      </c>
      <c r="FJ143">
        <v>-1.8861989874597051E-7</v>
      </c>
      <c r="FK143">
        <v>1.1980462299894961E-10</v>
      </c>
      <c r="FL143">
        <v>0.19260234566371101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28.5</v>
      </c>
      <c r="FU143">
        <v>28.5</v>
      </c>
      <c r="FV143">
        <v>1.7785599999999999</v>
      </c>
      <c r="FW143">
        <v>2.5805699999999998</v>
      </c>
      <c r="FX143">
        <v>1.5490699999999999</v>
      </c>
      <c r="FY143">
        <v>2.3290999999999999</v>
      </c>
      <c r="FZ143">
        <v>1.50146</v>
      </c>
      <c r="GA143">
        <v>2.3889200000000002</v>
      </c>
      <c r="GB143">
        <v>33.8735</v>
      </c>
      <c r="GC143">
        <v>23.982399999999998</v>
      </c>
      <c r="GD143">
        <v>19</v>
      </c>
      <c r="GE143">
        <v>237.01400000000001</v>
      </c>
      <c r="GF143">
        <v>581.77700000000004</v>
      </c>
      <c r="GG143">
        <v>25.305</v>
      </c>
      <c r="GH143">
        <v>26.2547</v>
      </c>
      <c r="GI143">
        <v>30</v>
      </c>
      <c r="GJ143">
        <v>26.396999999999998</v>
      </c>
      <c r="GK143">
        <v>26.370999999999999</v>
      </c>
      <c r="GL143">
        <v>35.559899999999999</v>
      </c>
      <c r="GM143">
        <v>-30</v>
      </c>
      <c r="GN143">
        <v>-30</v>
      </c>
      <c r="GO143">
        <v>25.314699999999998</v>
      </c>
      <c r="GP143">
        <v>800</v>
      </c>
      <c r="GQ143">
        <v>12.5298</v>
      </c>
      <c r="GR143">
        <v>99.711799999999997</v>
      </c>
      <c r="GS143">
        <v>99.524900000000002</v>
      </c>
    </row>
    <row r="144" spans="1:201" x14ac:dyDescent="0.25">
      <c r="A144">
        <v>128</v>
      </c>
      <c r="B144">
        <v>1690216564.5999999</v>
      </c>
      <c r="C144">
        <v>1619.099999904633</v>
      </c>
      <c r="D144" t="s">
        <v>589</v>
      </c>
      <c r="E144" t="s">
        <v>590</v>
      </c>
      <c r="F144" t="s">
        <v>330</v>
      </c>
      <c r="H144">
        <v>1690216564.5999999</v>
      </c>
      <c r="I144">
        <f t="shared" si="30"/>
        <v>1.7016149050810417E-3</v>
      </c>
      <c r="J144">
        <f t="shared" si="31"/>
        <v>1.7016149050810419</v>
      </c>
      <c r="K144">
        <f t="shared" si="32"/>
        <v>26.641198759309638</v>
      </c>
      <c r="L144">
        <f t="shared" si="33"/>
        <v>492.46899999999999</v>
      </c>
      <c r="M144">
        <f t="shared" si="34"/>
        <v>100.06528944639173</v>
      </c>
      <c r="N144">
        <f t="shared" si="35"/>
        <v>9.924993715472878</v>
      </c>
      <c r="O144">
        <f t="shared" si="36"/>
        <v>48.8456262616793</v>
      </c>
      <c r="P144">
        <f t="shared" si="37"/>
        <v>0.11357336417569799</v>
      </c>
      <c r="Q144">
        <f t="shared" si="38"/>
        <v>2.0648329056898458</v>
      </c>
      <c r="R144">
        <f t="shared" si="39"/>
        <v>0.11021354082224434</v>
      </c>
      <c r="S144">
        <f t="shared" si="40"/>
        <v>6.9177050620544439E-2</v>
      </c>
      <c r="T144">
        <f t="shared" si="41"/>
        <v>276.11544508200001</v>
      </c>
      <c r="U144">
        <f t="shared" si="42"/>
        <v>28.465123674717098</v>
      </c>
      <c r="V144">
        <f t="shared" si="43"/>
        <v>28.465123674717098</v>
      </c>
      <c r="W144">
        <f t="shared" si="44"/>
        <v>3.8989624101416283</v>
      </c>
      <c r="X144">
        <f t="shared" si="45"/>
        <v>68.19208313932748</v>
      </c>
      <c r="Y144">
        <f t="shared" si="46"/>
        <v>2.4163691848873405</v>
      </c>
      <c r="Z144">
        <f t="shared" si="47"/>
        <v>3.5434746581216867</v>
      </c>
      <c r="AA144">
        <f t="shared" si="48"/>
        <v>1.4825932252542877</v>
      </c>
      <c r="AB144">
        <f t="shared" si="49"/>
        <v>-75.041217314073947</v>
      </c>
      <c r="AC144">
        <f t="shared" si="50"/>
        <v>-182.07643610011584</v>
      </c>
      <c r="AD144">
        <f t="shared" si="51"/>
        <v>-19.153812332851253</v>
      </c>
      <c r="AE144">
        <f t="shared" si="52"/>
        <v>-0.15602066504104073</v>
      </c>
      <c r="AF144">
        <v>44</v>
      </c>
      <c r="AG144">
        <v>15</v>
      </c>
      <c r="AH144">
        <f t="shared" si="53"/>
        <v>1</v>
      </c>
      <c r="AI144">
        <f t="shared" si="54"/>
        <v>0</v>
      </c>
      <c r="AJ144">
        <f t="shared" si="55"/>
        <v>52451.399734921426</v>
      </c>
      <c r="AK144">
        <f t="shared" si="56"/>
        <v>1800</v>
      </c>
      <c r="AL144">
        <f t="shared" si="57"/>
        <v>1499.1115122000001</v>
      </c>
      <c r="AM144">
        <f t="shared" si="58"/>
        <v>0.83283972900000003</v>
      </c>
      <c r="AN144">
        <f t="shared" si="59"/>
        <v>0.15339746948999999</v>
      </c>
      <c r="AO144">
        <v>33.6</v>
      </c>
      <c r="AP144">
        <v>0.5</v>
      </c>
      <c r="AQ144" t="s">
        <v>331</v>
      </c>
      <c r="AR144">
        <v>2</v>
      </c>
      <c r="AS144">
        <v>1690216564.5999999</v>
      </c>
      <c r="AT144">
        <v>492.46899999999999</v>
      </c>
      <c r="AU144">
        <v>800.03499999999997</v>
      </c>
      <c r="AV144">
        <v>24.362200000000001</v>
      </c>
      <c r="AW144">
        <v>5.7805499999999999</v>
      </c>
      <c r="AX144">
        <v>492.642</v>
      </c>
      <c r="AY144">
        <v>24.169599999999999</v>
      </c>
      <c r="AZ144">
        <v>300.19600000000003</v>
      </c>
      <c r="BA144">
        <v>99.0852</v>
      </c>
      <c r="BB144">
        <v>9.9979700000000005E-2</v>
      </c>
      <c r="BC144">
        <v>26.829499999999999</v>
      </c>
      <c r="BD144">
        <v>26.989100000000001</v>
      </c>
      <c r="BE144">
        <v>28.332599999999999</v>
      </c>
      <c r="BF144">
        <v>0</v>
      </c>
      <c r="BG144">
        <v>0</v>
      </c>
      <c r="BH144">
        <v>10005.6</v>
      </c>
      <c r="BI144">
        <v>1076.83</v>
      </c>
      <c r="BJ144">
        <v>1.4577199999999999</v>
      </c>
      <c r="BK144">
        <v>-307.565</v>
      </c>
      <c r="BL144">
        <v>504.767</v>
      </c>
      <c r="BM144">
        <v>804.68600000000004</v>
      </c>
      <c r="BN144">
        <v>18.581600000000002</v>
      </c>
      <c r="BO144">
        <v>800.03499999999997</v>
      </c>
      <c r="BP144">
        <v>5.7805499999999999</v>
      </c>
      <c r="BQ144">
        <v>2.4139300000000001</v>
      </c>
      <c r="BR144">
        <v>0.57276700000000003</v>
      </c>
      <c r="BS144">
        <v>20.4575</v>
      </c>
      <c r="BT144">
        <v>-0.945523</v>
      </c>
      <c r="BU144">
        <v>1800</v>
      </c>
      <c r="BV144">
        <v>0.90999799999999997</v>
      </c>
      <c r="BW144">
        <v>3.4001700000000003E-2</v>
      </c>
      <c r="BX144">
        <v>2.2001199999999999E-2</v>
      </c>
      <c r="BY144">
        <v>3.3998899999999999E-2</v>
      </c>
      <c r="BZ144">
        <v>26</v>
      </c>
      <c r="CA144">
        <v>33528.300000000003</v>
      </c>
      <c r="CB144">
        <v>1690214843</v>
      </c>
      <c r="CC144" t="s">
        <v>332</v>
      </c>
      <c r="CD144">
        <v>1690214842</v>
      </c>
      <c r="CE144">
        <v>1690214843</v>
      </c>
      <c r="CF144">
        <v>8</v>
      </c>
      <c r="CG144">
        <v>-6.3E-2</v>
      </c>
      <c r="CH144">
        <v>1E-3</v>
      </c>
      <c r="CI144">
        <v>-0.38900000000000001</v>
      </c>
      <c r="CJ144">
        <v>-6.6000000000000003E-2</v>
      </c>
      <c r="CK144">
        <v>800</v>
      </c>
      <c r="CL144">
        <v>6</v>
      </c>
      <c r="CM144">
        <v>0.23</v>
      </c>
      <c r="CN144">
        <v>0.02</v>
      </c>
      <c r="CO144">
        <v>-304.77212500000002</v>
      </c>
      <c r="CP144">
        <v>-16.309969981236591</v>
      </c>
      <c r="CQ144">
        <v>1.5694615507794349</v>
      </c>
      <c r="CR144">
        <v>-1</v>
      </c>
      <c r="CS144">
        <v>18.4668925</v>
      </c>
      <c r="CT144">
        <v>0.66422701688556329</v>
      </c>
      <c r="CU144">
        <v>6.3909085377198027E-2</v>
      </c>
      <c r="CV144">
        <v>-1</v>
      </c>
      <c r="CW144">
        <v>0</v>
      </c>
      <c r="CX144">
        <v>0</v>
      </c>
      <c r="CY144" t="s">
        <v>333</v>
      </c>
      <c r="CZ144">
        <v>2.36456</v>
      </c>
      <c r="DA144">
        <v>2.7137799999999999</v>
      </c>
      <c r="DB144">
        <v>0.104569</v>
      </c>
      <c r="DC144">
        <v>0.146088</v>
      </c>
      <c r="DD144">
        <v>0.115094</v>
      </c>
      <c r="DE144">
        <v>3.8266599999999998E-2</v>
      </c>
      <c r="DF144">
        <v>32688</v>
      </c>
      <c r="DG144">
        <v>27509.3</v>
      </c>
      <c r="DH144">
        <v>31164.7</v>
      </c>
      <c r="DI144">
        <v>28071.7</v>
      </c>
      <c r="DJ144">
        <v>37435.199999999997</v>
      </c>
      <c r="DK144">
        <v>38389.4</v>
      </c>
      <c r="DL144">
        <v>44349.4</v>
      </c>
      <c r="DM144">
        <v>42543</v>
      </c>
      <c r="DN144">
        <v>1.3616200000000001</v>
      </c>
      <c r="DO144">
        <v>2.0341499999999999</v>
      </c>
      <c r="DP144">
        <v>8.3595500000000003E-2</v>
      </c>
      <c r="DQ144">
        <v>0.18035599999999999</v>
      </c>
      <c r="DR144">
        <v>25.6204</v>
      </c>
      <c r="DS144">
        <v>25.382300000000001</v>
      </c>
      <c r="DT144">
        <v>17.100000000000001</v>
      </c>
      <c r="DU144">
        <v>29.8</v>
      </c>
      <c r="DV144">
        <v>7.2678700000000003</v>
      </c>
      <c r="DW144">
        <v>61.658499999999997</v>
      </c>
      <c r="DX144">
        <v>36.366199999999999</v>
      </c>
      <c r="DY144">
        <v>1</v>
      </c>
      <c r="DZ144">
        <v>-9.0180399999999994E-2</v>
      </c>
      <c r="EA144">
        <v>-0.24321899999999999</v>
      </c>
      <c r="EB144">
        <v>20.189599999999999</v>
      </c>
      <c r="EC144">
        <v>5.2411000000000003</v>
      </c>
      <c r="ED144">
        <v>12.039899999999999</v>
      </c>
      <c r="EE144">
        <v>5.0173500000000004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1.8689100000000001</v>
      </c>
      <c r="EL144">
        <v>1.86466</v>
      </c>
      <c r="EM144">
        <v>1.8692</v>
      </c>
      <c r="EN144">
        <v>1.86724</v>
      </c>
      <c r="EO144">
        <v>1.8633999999999999</v>
      </c>
      <c r="EP144">
        <v>1.8645499999999999</v>
      </c>
      <c r="EQ144">
        <v>1.8701700000000001</v>
      </c>
      <c r="ER144">
        <v>1.86948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-0.17299999999999999</v>
      </c>
      <c r="FG144">
        <v>0.19259999999999999</v>
      </c>
      <c r="FH144">
        <v>0.16202357103534001</v>
      </c>
      <c r="FI144">
        <v>-6.1462078757559423E-4</v>
      </c>
      <c r="FJ144">
        <v>-1.8861989874597051E-7</v>
      </c>
      <c r="FK144">
        <v>1.1980462299894961E-10</v>
      </c>
      <c r="FL144">
        <v>0.19260234566371101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28.7</v>
      </c>
      <c r="FU144">
        <v>28.7</v>
      </c>
      <c r="FV144">
        <v>1.7785599999999999</v>
      </c>
      <c r="FW144">
        <v>2.5805699999999998</v>
      </c>
      <c r="FX144">
        <v>1.5490699999999999</v>
      </c>
      <c r="FY144">
        <v>2.3290999999999999</v>
      </c>
      <c r="FZ144">
        <v>1.50146</v>
      </c>
      <c r="GA144">
        <v>2.4072300000000002</v>
      </c>
      <c r="GB144">
        <v>33.8735</v>
      </c>
      <c r="GC144">
        <v>23.991199999999999</v>
      </c>
      <c r="GD144">
        <v>19</v>
      </c>
      <c r="GE144">
        <v>237.16399999999999</v>
      </c>
      <c r="GF144">
        <v>581.68200000000002</v>
      </c>
      <c r="GG144">
        <v>25.321300000000001</v>
      </c>
      <c r="GH144">
        <v>26.2532</v>
      </c>
      <c r="GI144">
        <v>30</v>
      </c>
      <c r="GJ144">
        <v>26.396999999999998</v>
      </c>
      <c r="GK144">
        <v>26.369900000000001</v>
      </c>
      <c r="GL144">
        <v>35.5595</v>
      </c>
      <c r="GM144">
        <v>-30</v>
      </c>
      <c r="GN144">
        <v>-30</v>
      </c>
      <c r="GO144">
        <v>25.321400000000001</v>
      </c>
      <c r="GP144">
        <v>800</v>
      </c>
      <c r="GQ144">
        <v>12.5298</v>
      </c>
      <c r="GR144">
        <v>99.712599999999995</v>
      </c>
      <c r="GS144">
        <v>99.526600000000002</v>
      </c>
    </row>
    <row r="145" spans="1:201" x14ac:dyDescent="0.25">
      <c r="A145">
        <v>129</v>
      </c>
      <c r="B145">
        <v>1690216574.5999999</v>
      </c>
      <c r="C145">
        <v>1629.099999904633</v>
      </c>
      <c r="D145" t="s">
        <v>591</v>
      </c>
      <c r="E145" t="s">
        <v>592</v>
      </c>
      <c r="F145" t="s">
        <v>330</v>
      </c>
      <c r="H145">
        <v>1690216574.5999999</v>
      </c>
      <c r="I145">
        <f t="shared" ref="I145:I208" si="60">(J145)/1000</f>
        <v>1.7120696485392183E-3</v>
      </c>
      <c r="J145">
        <f t="shared" ref="J145:J208" si="61">1000*AZ145*AH145*(AV145-AW145)/(100*AO145*(1000-AH145*AV145))</f>
        <v>1.7120696485392184</v>
      </c>
      <c r="K145">
        <f t="shared" ref="K145:K208" si="62">AZ145*AH145*(AU145-AT145*(1000-AH145*AW145)/(1000-AH145*AV145))/(100*AO145)</f>
        <v>26.876156947093847</v>
      </c>
      <c r="L145">
        <f t="shared" ref="L145:L208" si="63">AT145 - IF(AH145&gt;1, K145*AO145*100/(AJ145*BH145), 0)</f>
        <v>489.87799999999999</v>
      </c>
      <c r="M145">
        <f t="shared" ref="M145:M208" si="64">((S145-I145/2)*L145-K145)/(S145+I145/2)</f>
        <v>99.47780109809095</v>
      </c>
      <c r="N145">
        <f t="shared" ref="N145:N208" si="65">M145*(BA145+BB145)/1000</f>
        <v>9.8669382810131179</v>
      </c>
      <c r="O145">
        <f t="shared" ref="O145:O208" si="66">(AT145 - IF(AH145&gt;1, K145*AO145*100/(AJ145*BH145), 0))*(BA145+BB145)/1000</f>
        <v>48.589694764763998</v>
      </c>
      <c r="P145">
        <f t="shared" ref="P145:P208" si="67">2/((1/R145-1/Q145)+SIGN(R145)*SQRT((1/R145-1/Q145)*(1/R145-1/Q145) + 4*AP145/((AP145+1)*(AP145+1))*(2*1/R145*1/Q145-1/Q145*1/Q145)))</f>
        <v>0.11518912677741662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2.063691434113144</v>
      </c>
      <c r="R145">
        <f t="shared" ref="R145:R208" si="69">I145*(1000-(1000*0.61365*EXP(17.502*V145/(240.97+V145))/(BA145+BB145)+AV145)/2)/(1000*0.61365*EXP(17.502*V145/(240.97+V145))/(BA145+BB145)-AV145)</f>
        <v>0.11173274185289256</v>
      </c>
      <c r="S145">
        <f t="shared" ref="S145:S208" si="70">1/((AP145+1)/(P145/1.6)+1/(Q145/1.37)) + AP145/((AP145+1)/(P145/1.6) + AP145/(Q145/1.37))</f>
        <v>7.0134867025512762E-2</v>
      </c>
      <c r="T145">
        <f t="shared" ref="T145:T208" si="71">(AK145*AN145)</f>
        <v>276.11533679399997</v>
      </c>
      <c r="U145">
        <f t="shared" ref="U145:U208" si="72">(BC145+(T145+2*0.95*0.0000000567*(((BC145+$B$7)+273)^4-(BC145+273)^4)-44100*I145)/(1.84*29.3*Q145+8*0.95*0.0000000567*(BC145+273)^3))</f>
        <v>28.46298844611481</v>
      </c>
      <c r="V145">
        <f t="shared" ref="V145:V208" si="73">($C$7*BD145+$D$7*BE145+$E$7*U145)</f>
        <v>28.46298844611481</v>
      </c>
      <c r="W145">
        <f t="shared" ref="W145:W208" si="74">0.61365*EXP(17.502*V145/(240.97+V145))</f>
        <v>3.8984787813258839</v>
      </c>
      <c r="X145">
        <f t="shared" ref="X145:X208" si="75">(Y145/Z145*100)</f>
        <v>68.491813662635991</v>
      </c>
      <c r="Y145">
        <f t="shared" ref="Y145:Y208" si="76">AV145*(BA145+BB145)/1000</f>
        <v>2.4271042421261999</v>
      </c>
      <c r="Z145">
        <f t="shared" ref="Z145:Z208" si="77">0.61365*EXP(17.502*BC145/(240.97+BC145))</f>
        <v>3.5436413672459754</v>
      </c>
      <c r="AA145">
        <f t="shared" ref="AA145:AA208" si="78">(W145-AV145*(BA145+BB145)/1000)</f>
        <v>1.471374539199684</v>
      </c>
      <c r="AB145">
        <f t="shared" ref="AB145:AB208" si="79">(-I145*44100)</f>
        <v>-75.502271500579525</v>
      </c>
      <c r="AC145">
        <f t="shared" ref="AC145:AC208" si="80">2*29.3*Q145*0.92*(BC145-V145)</f>
        <v>-181.6492145502697</v>
      </c>
      <c r="AD145">
        <f t="shared" ref="AD145:AD208" si="81">2*0.95*0.0000000567*(((BC145+$B$7)+273)^4-(V145+273)^4)</f>
        <v>-19.119311747445529</v>
      </c>
      <c r="AE145">
        <f t="shared" ref="AE145:AE208" si="82">T145+AD145+AB145+AC145</f>
        <v>-0.1554610042947786</v>
      </c>
      <c r="AF145">
        <v>44</v>
      </c>
      <c r="AG145">
        <v>15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52399.07351196462</v>
      </c>
      <c r="AK145">
        <f t="shared" ref="AK145:AK208" si="86">$B$11*BI145+$C$11*BJ145+$D$11*BU145</f>
        <v>1800</v>
      </c>
      <c r="AL145">
        <f t="shared" ref="AL145:AL208" si="87">AK145*AM145</f>
        <v>1499.1113844000001</v>
      </c>
      <c r="AM145">
        <f t="shared" ref="AM145:AM208" si="88">($B$11*$D$9+$C$11*$D$9+$D$11*(BV145*$E$9+BW145*$F$9+BX145*$G$9+BY145*$H$9))/($B$11+$C$11+$D$11)</f>
        <v>0.83283965800000004</v>
      </c>
      <c r="AN145">
        <f t="shared" ref="AN145:AN208" si="89">($B$11*$K$9+$C$11*$K$9+$D$11*(BV145*$L$9+BW145*$M$9+BX145*$N$9+BY145*$O$9))/($B$11+$C$11+$D$11)</f>
        <v>0.15339740932999998</v>
      </c>
      <c r="AO145">
        <v>33.6</v>
      </c>
      <c r="AP145">
        <v>0.5</v>
      </c>
      <c r="AQ145" t="s">
        <v>331</v>
      </c>
      <c r="AR145">
        <v>2</v>
      </c>
      <c r="AS145">
        <v>1690216574.5999999</v>
      </c>
      <c r="AT145">
        <v>489.87799999999999</v>
      </c>
      <c r="AU145">
        <v>800.02599999999995</v>
      </c>
      <c r="AV145">
        <v>24.469899999999999</v>
      </c>
      <c r="AW145">
        <v>5.7795100000000001</v>
      </c>
      <c r="AX145">
        <v>490.04899999999998</v>
      </c>
      <c r="AY145">
        <v>24.2773</v>
      </c>
      <c r="AZ145">
        <v>300.25</v>
      </c>
      <c r="BA145">
        <v>99.087299999999999</v>
      </c>
      <c r="BB145">
        <v>0.100038</v>
      </c>
      <c r="BC145">
        <v>26.830300000000001</v>
      </c>
      <c r="BD145">
        <v>26.99</v>
      </c>
      <c r="BE145">
        <v>28.335999999999999</v>
      </c>
      <c r="BF145">
        <v>0</v>
      </c>
      <c r="BG145">
        <v>0</v>
      </c>
      <c r="BH145">
        <v>9995</v>
      </c>
      <c r="BI145">
        <v>1076.8399999999999</v>
      </c>
      <c r="BJ145">
        <v>1.4577199999999999</v>
      </c>
      <c r="BK145">
        <v>-310.14800000000002</v>
      </c>
      <c r="BL145">
        <v>502.166</v>
      </c>
      <c r="BM145">
        <v>804.67700000000002</v>
      </c>
      <c r="BN145">
        <v>18.6904</v>
      </c>
      <c r="BO145">
        <v>800.02599999999995</v>
      </c>
      <c r="BP145">
        <v>5.7795100000000001</v>
      </c>
      <c r="BQ145">
        <v>2.4246599999999998</v>
      </c>
      <c r="BR145">
        <v>0.57267599999999996</v>
      </c>
      <c r="BS145">
        <v>20.529399999999999</v>
      </c>
      <c r="BT145">
        <v>-0.94769899999999996</v>
      </c>
      <c r="BU145">
        <v>1800</v>
      </c>
      <c r="BV145">
        <v>0.909999</v>
      </c>
      <c r="BW145">
        <v>3.4001200000000002E-2</v>
      </c>
      <c r="BX145">
        <v>2.20009E-2</v>
      </c>
      <c r="BY145">
        <v>3.3998500000000001E-2</v>
      </c>
      <c r="BZ145">
        <v>26</v>
      </c>
      <c r="CA145">
        <v>33528.300000000003</v>
      </c>
      <c r="CB145">
        <v>1690214843</v>
      </c>
      <c r="CC145" t="s">
        <v>332</v>
      </c>
      <c r="CD145">
        <v>1690214842</v>
      </c>
      <c r="CE145">
        <v>1690214843</v>
      </c>
      <c r="CF145">
        <v>8</v>
      </c>
      <c r="CG145">
        <v>-6.3E-2</v>
      </c>
      <c r="CH145">
        <v>1E-3</v>
      </c>
      <c r="CI145">
        <v>-0.38900000000000001</v>
      </c>
      <c r="CJ145">
        <v>-6.6000000000000003E-2</v>
      </c>
      <c r="CK145">
        <v>800</v>
      </c>
      <c r="CL145">
        <v>6</v>
      </c>
      <c r="CM145">
        <v>0.23</v>
      </c>
      <c r="CN145">
        <v>0.02</v>
      </c>
      <c r="CO145">
        <v>-307.16205000000002</v>
      </c>
      <c r="CP145">
        <v>-15.59954971857352</v>
      </c>
      <c r="CQ145">
        <v>1.5013074959847481</v>
      </c>
      <c r="CR145">
        <v>-1</v>
      </c>
      <c r="CS145">
        <v>18.567215000000001</v>
      </c>
      <c r="CT145">
        <v>0.6691497185740789</v>
      </c>
      <c r="CU145">
        <v>6.437334289129322E-2</v>
      </c>
      <c r="CV145">
        <v>-1</v>
      </c>
      <c r="CW145">
        <v>0</v>
      </c>
      <c r="CX145">
        <v>0</v>
      </c>
      <c r="CY145" t="s">
        <v>333</v>
      </c>
      <c r="CZ145">
        <v>2.3647399999999998</v>
      </c>
      <c r="DA145">
        <v>2.7138300000000002</v>
      </c>
      <c r="DB145">
        <v>0.10417</v>
      </c>
      <c r="DC145">
        <v>0.146093</v>
      </c>
      <c r="DD145">
        <v>0.115457</v>
      </c>
      <c r="DE145">
        <v>3.8262400000000002E-2</v>
      </c>
      <c r="DF145">
        <v>32702.7</v>
      </c>
      <c r="DG145">
        <v>27509.200000000001</v>
      </c>
      <c r="DH145">
        <v>31164.799999999999</v>
      </c>
      <c r="DI145">
        <v>28071.7</v>
      </c>
      <c r="DJ145">
        <v>37419.699999999997</v>
      </c>
      <c r="DK145">
        <v>38389.599999999999</v>
      </c>
      <c r="DL145">
        <v>44349.4</v>
      </c>
      <c r="DM145">
        <v>42543</v>
      </c>
      <c r="DN145">
        <v>1.36205</v>
      </c>
      <c r="DO145">
        <v>2.03417</v>
      </c>
      <c r="DP145">
        <v>8.3751999999999993E-2</v>
      </c>
      <c r="DQ145">
        <v>0.18043799999999999</v>
      </c>
      <c r="DR145">
        <v>25.6188</v>
      </c>
      <c r="DS145">
        <v>25.384499999999999</v>
      </c>
      <c r="DT145">
        <v>17.100000000000001</v>
      </c>
      <c r="DU145">
        <v>29.8</v>
      </c>
      <c r="DV145">
        <v>7.2689000000000004</v>
      </c>
      <c r="DW145">
        <v>61.558500000000002</v>
      </c>
      <c r="DX145">
        <v>36.330100000000002</v>
      </c>
      <c r="DY145">
        <v>1</v>
      </c>
      <c r="DZ145">
        <v>-9.0134699999999998E-2</v>
      </c>
      <c r="EA145">
        <v>-0.24997</v>
      </c>
      <c r="EB145">
        <v>20.190000000000001</v>
      </c>
      <c r="EC145">
        <v>5.24125</v>
      </c>
      <c r="ED145">
        <v>12.039899999999999</v>
      </c>
      <c r="EE145">
        <v>5.0172499999999998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1.8689100000000001</v>
      </c>
      <c r="EL145">
        <v>1.8646499999999999</v>
      </c>
      <c r="EM145">
        <v>1.8691899999999999</v>
      </c>
      <c r="EN145">
        <v>1.8672299999999999</v>
      </c>
      <c r="EO145">
        <v>1.8633999999999999</v>
      </c>
      <c r="EP145">
        <v>1.8645400000000001</v>
      </c>
      <c r="EQ145">
        <v>1.8701700000000001</v>
      </c>
      <c r="ER145">
        <v>1.86944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-0.17100000000000001</v>
      </c>
      <c r="FG145">
        <v>0.19259999999999999</v>
      </c>
      <c r="FH145">
        <v>0.16202357103534001</v>
      </c>
      <c r="FI145">
        <v>-6.1462078757559423E-4</v>
      </c>
      <c r="FJ145">
        <v>-1.8861989874597051E-7</v>
      </c>
      <c r="FK145">
        <v>1.1980462299894961E-10</v>
      </c>
      <c r="FL145">
        <v>0.19260234566371101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28.9</v>
      </c>
      <c r="FU145">
        <v>28.9</v>
      </c>
      <c r="FV145">
        <v>1.7785599999999999</v>
      </c>
      <c r="FW145">
        <v>2.5781200000000002</v>
      </c>
      <c r="FX145">
        <v>1.5490699999999999</v>
      </c>
      <c r="FY145">
        <v>2.3290999999999999</v>
      </c>
      <c r="FZ145">
        <v>1.50146</v>
      </c>
      <c r="GA145">
        <v>2.4011200000000001</v>
      </c>
      <c r="GB145">
        <v>33.850900000000003</v>
      </c>
      <c r="GC145">
        <v>23.991199999999999</v>
      </c>
      <c r="GD145">
        <v>19</v>
      </c>
      <c r="GE145">
        <v>237.31700000000001</v>
      </c>
      <c r="GF145">
        <v>581.678</v>
      </c>
      <c r="GG145">
        <v>25.330100000000002</v>
      </c>
      <c r="GH145">
        <v>26.2532</v>
      </c>
      <c r="GI145">
        <v>30</v>
      </c>
      <c r="GJ145">
        <v>26.395299999999999</v>
      </c>
      <c r="GK145">
        <v>26.367699999999999</v>
      </c>
      <c r="GL145">
        <v>35.563000000000002</v>
      </c>
      <c r="GM145">
        <v>-30</v>
      </c>
      <c r="GN145">
        <v>-30</v>
      </c>
      <c r="GO145">
        <v>25.333400000000001</v>
      </c>
      <c r="GP145">
        <v>800</v>
      </c>
      <c r="GQ145">
        <v>12.5298</v>
      </c>
      <c r="GR145">
        <v>99.712699999999998</v>
      </c>
      <c r="GS145">
        <v>99.526700000000005</v>
      </c>
    </row>
    <row r="146" spans="1:201" x14ac:dyDescent="0.25">
      <c r="A146">
        <v>130</v>
      </c>
      <c r="B146">
        <v>1690216584.5999999</v>
      </c>
      <c r="C146">
        <v>1639.099999904633</v>
      </c>
      <c r="D146" t="s">
        <v>593</v>
      </c>
      <c r="E146" t="s">
        <v>594</v>
      </c>
      <c r="F146" t="s">
        <v>330</v>
      </c>
      <c r="H146">
        <v>1690216584.5999999</v>
      </c>
      <c r="I146">
        <f t="shared" si="60"/>
        <v>1.7209388246054859E-3</v>
      </c>
      <c r="J146">
        <f t="shared" si="61"/>
        <v>1.720938824605486</v>
      </c>
      <c r="K146">
        <f t="shared" si="62"/>
        <v>27.093967193183726</v>
      </c>
      <c r="L146">
        <f t="shared" si="63"/>
        <v>487.32</v>
      </c>
      <c r="M146">
        <f t="shared" si="64"/>
        <v>98.853478473393935</v>
      </c>
      <c r="N146">
        <f t="shared" si="65"/>
        <v>9.8048139943501678</v>
      </c>
      <c r="O146">
        <f t="shared" si="66"/>
        <v>48.334990629719996</v>
      </c>
      <c r="P146">
        <f t="shared" si="67"/>
        <v>0.11672000084826983</v>
      </c>
      <c r="Q146">
        <f t="shared" si="68"/>
        <v>2.0655915612459186</v>
      </c>
      <c r="R146">
        <f t="shared" si="69"/>
        <v>0.11317581348208847</v>
      </c>
      <c r="S146">
        <f t="shared" si="70"/>
        <v>7.104435005945027E-2</v>
      </c>
      <c r="T146">
        <f t="shared" si="71"/>
        <v>276.11552115000001</v>
      </c>
      <c r="U146">
        <f t="shared" si="72"/>
        <v>28.458649028145587</v>
      </c>
      <c r="V146">
        <f t="shared" si="73"/>
        <v>28.458649028145587</v>
      </c>
      <c r="W146">
        <f t="shared" si="74"/>
        <v>3.897496065319586</v>
      </c>
      <c r="X146">
        <f t="shared" si="75"/>
        <v>68.78322341890599</v>
      </c>
      <c r="Y146">
        <f t="shared" si="76"/>
        <v>2.4374594265108001</v>
      </c>
      <c r="Z146">
        <f t="shared" si="77"/>
        <v>3.5436830455968886</v>
      </c>
      <c r="AA146">
        <f t="shared" si="78"/>
        <v>1.460036638808786</v>
      </c>
      <c r="AB146">
        <f t="shared" si="79"/>
        <v>-75.893402165101932</v>
      </c>
      <c r="AC146">
        <f t="shared" si="80"/>
        <v>-181.3109562227834</v>
      </c>
      <c r="AD146">
        <f t="shared" si="81"/>
        <v>-19.065759148259051</v>
      </c>
      <c r="AE146">
        <f t="shared" si="82"/>
        <v>-0.15459638614439086</v>
      </c>
      <c r="AF146">
        <v>44</v>
      </c>
      <c r="AG146">
        <v>15</v>
      </c>
      <c r="AH146">
        <f t="shared" si="83"/>
        <v>1</v>
      </c>
      <c r="AI146">
        <f t="shared" si="84"/>
        <v>0</v>
      </c>
      <c r="AJ146">
        <f t="shared" si="85"/>
        <v>52485.962078842815</v>
      </c>
      <c r="AK146">
        <f t="shared" si="86"/>
        <v>1800</v>
      </c>
      <c r="AL146">
        <f t="shared" si="87"/>
        <v>1499.1121889999999</v>
      </c>
      <c r="AM146">
        <f t="shared" si="88"/>
        <v>0.83284010499999994</v>
      </c>
      <c r="AN146">
        <f t="shared" si="89"/>
        <v>0.15339751174999999</v>
      </c>
      <c r="AO146">
        <v>33.6</v>
      </c>
      <c r="AP146">
        <v>0.5</v>
      </c>
      <c r="AQ146" t="s">
        <v>331</v>
      </c>
      <c r="AR146">
        <v>2</v>
      </c>
      <c r="AS146">
        <v>1690216584.5999999</v>
      </c>
      <c r="AT146">
        <v>487.32</v>
      </c>
      <c r="AU146">
        <v>800.06</v>
      </c>
      <c r="AV146">
        <v>24.5748</v>
      </c>
      <c r="AW146">
        <v>5.7802800000000003</v>
      </c>
      <c r="AX146">
        <v>487.488</v>
      </c>
      <c r="AY146">
        <v>24.382200000000001</v>
      </c>
      <c r="AZ146">
        <v>300.101</v>
      </c>
      <c r="BA146">
        <v>99.085300000000004</v>
      </c>
      <c r="BB146">
        <v>0.100021</v>
      </c>
      <c r="BC146">
        <v>26.830500000000001</v>
      </c>
      <c r="BD146">
        <v>26.993600000000001</v>
      </c>
      <c r="BE146">
        <v>28.3279</v>
      </c>
      <c r="BF146">
        <v>0</v>
      </c>
      <c r="BG146">
        <v>0</v>
      </c>
      <c r="BH146">
        <v>10012.5</v>
      </c>
      <c r="BI146">
        <v>1076.8399999999999</v>
      </c>
      <c r="BJ146">
        <v>1.4577199999999999</v>
      </c>
      <c r="BK146">
        <v>-312.74099999999999</v>
      </c>
      <c r="BL146">
        <v>499.59699999999998</v>
      </c>
      <c r="BM146">
        <v>804.71199999999999</v>
      </c>
      <c r="BN146">
        <v>18.794599999999999</v>
      </c>
      <c r="BO146">
        <v>800.06</v>
      </c>
      <c r="BP146">
        <v>5.7802800000000003</v>
      </c>
      <c r="BQ146">
        <v>2.4350000000000001</v>
      </c>
      <c r="BR146">
        <v>0.57274000000000003</v>
      </c>
      <c r="BS146">
        <v>20.598500000000001</v>
      </c>
      <c r="BT146">
        <v>-0.94617099999999998</v>
      </c>
      <c r="BU146">
        <v>1800</v>
      </c>
      <c r="BV146">
        <v>0.909999</v>
      </c>
      <c r="BW146">
        <v>3.4001499999999997E-2</v>
      </c>
      <c r="BX146">
        <v>2.2001E-2</v>
      </c>
      <c r="BY146">
        <v>3.39987E-2</v>
      </c>
      <c r="BZ146">
        <v>26</v>
      </c>
      <c r="CA146">
        <v>33528.300000000003</v>
      </c>
      <c r="CB146">
        <v>1690214843</v>
      </c>
      <c r="CC146" t="s">
        <v>332</v>
      </c>
      <c r="CD146">
        <v>1690214842</v>
      </c>
      <c r="CE146">
        <v>1690214843</v>
      </c>
      <c r="CF146">
        <v>8</v>
      </c>
      <c r="CG146">
        <v>-6.3E-2</v>
      </c>
      <c r="CH146">
        <v>1E-3</v>
      </c>
      <c r="CI146">
        <v>-0.38900000000000001</v>
      </c>
      <c r="CJ146">
        <v>-6.6000000000000003E-2</v>
      </c>
      <c r="CK146">
        <v>800</v>
      </c>
      <c r="CL146">
        <v>6</v>
      </c>
      <c r="CM146">
        <v>0.23</v>
      </c>
      <c r="CN146">
        <v>0.02</v>
      </c>
      <c r="CO146">
        <v>-309.85136585365848</v>
      </c>
      <c r="CP146">
        <v>-15.72309407665478</v>
      </c>
      <c r="CQ146">
        <v>1.5509401830879741</v>
      </c>
      <c r="CR146">
        <v>-1</v>
      </c>
      <c r="CS146">
        <v>18.678963414634151</v>
      </c>
      <c r="CT146">
        <v>0.638282926829282</v>
      </c>
      <c r="CU146">
        <v>6.294221025863854E-2</v>
      </c>
      <c r="CV146">
        <v>-1</v>
      </c>
      <c r="CW146">
        <v>0</v>
      </c>
      <c r="CX146">
        <v>0</v>
      </c>
      <c r="CY146" t="s">
        <v>333</v>
      </c>
      <c r="CZ146">
        <v>2.3642699999999999</v>
      </c>
      <c r="DA146">
        <v>2.7138200000000001</v>
      </c>
      <c r="DB146">
        <v>0.103768</v>
      </c>
      <c r="DC146">
        <v>0.146092</v>
      </c>
      <c r="DD146">
        <v>0.115802</v>
      </c>
      <c r="DE146">
        <v>3.8265199999999999E-2</v>
      </c>
      <c r="DF146">
        <v>32717.8</v>
      </c>
      <c r="DG146">
        <v>27509.4</v>
      </c>
      <c r="DH146">
        <v>31165.3</v>
      </c>
      <c r="DI146">
        <v>28071.9</v>
      </c>
      <c r="DJ146">
        <v>37405.4</v>
      </c>
      <c r="DK146">
        <v>38389.800000000003</v>
      </c>
      <c r="DL146">
        <v>44350</v>
      </c>
      <c r="DM146">
        <v>42543.4</v>
      </c>
      <c r="DN146">
        <v>1.3612500000000001</v>
      </c>
      <c r="DO146">
        <v>2.0343300000000002</v>
      </c>
      <c r="DP146">
        <v>8.3968000000000001E-2</v>
      </c>
      <c r="DQ146">
        <v>0.17993899999999999</v>
      </c>
      <c r="DR146">
        <v>25.6188</v>
      </c>
      <c r="DS146">
        <v>25.384499999999999</v>
      </c>
      <c r="DT146">
        <v>17.100000000000001</v>
      </c>
      <c r="DU146">
        <v>29.8</v>
      </c>
      <c r="DV146">
        <v>7.2693399999999997</v>
      </c>
      <c r="DW146">
        <v>61.638500000000001</v>
      </c>
      <c r="DX146">
        <v>36.286099999999998</v>
      </c>
      <c r="DY146">
        <v>1</v>
      </c>
      <c r="DZ146">
        <v>-9.0322700000000006E-2</v>
      </c>
      <c r="EA146">
        <v>-0.25492900000000002</v>
      </c>
      <c r="EB146">
        <v>20.189699999999998</v>
      </c>
      <c r="EC146">
        <v>5.2413999999999996</v>
      </c>
      <c r="ED146">
        <v>12.039899999999999</v>
      </c>
      <c r="EE146">
        <v>5.0167999999999999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</v>
      </c>
      <c r="EL146">
        <v>1.86466</v>
      </c>
      <c r="EM146">
        <v>1.8691899999999999</v>
      </c>
      <c r="EN146">
        <v>1.8672200000000001</v>
      </c>
      <c r="EO146">
        <v>1.8633999999999999</v>
      </c>
      <c r="EP146">
        <v>1.86453</v>
      </c>
      <c r="EQ146">
        <v>1.87018</v>
      </c>
      <c r="ER146">
        <v>1.8694599999999999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-0.16800000000000001</v>
      </c>
      <c r="FG146">
        <v>0.19259999999999999</v>
      </c>
      <c r="FH146">
        <v>0.16202357103534001</v>
      </c>
      <c r="FI146">
        <v>-6.1462078757559423E-4</v>
      </c>
      <c r="FJ146">
        <v>-1.8861989874597051E-7</v>
      </c>
      <c r="FK146">
        <v>1.1980462299894961E-10</v>
      </c>
      <c r="FL146">
        <v>0.19260234566371101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29</v>
      </c>
      <c r="FU146">
        <v>29</v>
      </c>
      <c r="FV146">
        <v>1.7785599999999999</v>
      </c>
      <c r="FW146">
        <v>2.5805699999999998</v>
      </c>
      <c r="FX146">
        <v>1.5490699999999999</v>
      </c>
      <c r="FY146">
        <v>2.3290999999999999</v>
      </c>
      <c r="FZ146">
        <v>1.50146</v>
      </c>
      <c r="GA146">
        <v>2.4218799999999998</v>
      </c>
      <c r="GB146">
        <v>33.850900000000003</v>
      </c>
      <c r="GC146">
        <v>23.991199999999999</v>
      </c>
      <c r="GD146">
        <v>19</v>
      </c>
      <c r="GE146">
        <v>237.01499999999999</v>
      </c>
      <c r="GF146">
        <v>581.80100000000004</v>
      </c>
      <c r="GG146">
        <v>25.340800000000002</v>
      </c>
      <c r="GH146">
        <v>26.250900000000001</v>
      </c>
      <c r="GI146">
        <v>30.0001</v>
      </c>
      <c r="GJ146">
        <v>26.3947</v>
      </c>
      <c r="GK146">
        <v>26.367699999999999</v>
      </c>
      <c r="GL146">
        <v>35.560499999999998</v>
      </c>
      <c r="GM146">
        <v>-30</v>
      </c>
      <c r="GN146">
        <v>-30</v>
      </c>
      <c r="GO146">
        <v>25.3443</v>
      </c>
      <c r="GP146">
        <v>800</v>
      </c>
      <c r="GQ146">
        <v>12.5298</v>
      </c>
      <c r="GR146">
        <v>99.714100000000002</v>
      </c>
      <c r="GS146">
        <v>99.527500000000003</v>
      </c>
    </row>
    <row r="147" spans="1:201" x14ac:dyDescent="0.25">
      <c r="A147">
        <v>131</v>
      </c>
      <c r="B147">
        <v>1690216594.5999999</v>
      </c>
      <c r="C147">
        <v>1649.099999904633</v>
      </c>
      <c r="D147" t="s">
        <v>595</v>
      </c>
      <c r="E147" t="s">
        <v>596</v>
      </c>
      <c r="F147" t="s">
        <v>330</v>
      </c>
      <c r="H147">
        <v>1690216594.5999999</v>
      </c>
      <c r="I147">
        <f t="shared" si="60"/>
        <v>1.7314456631304293E-3</v>
      </c>
      <c r="J147">
        <f t="shared" si="61"/>
        <v>1.7314456631304294</v>
      </c>
      <c r="K147">
        <f t="shared" si="62"/>
        <v>27.31065617089839</v>
      </c>
      <c r="L147">
        <f t="shared" si="63"/>
        <v>484.80399999999997</v>
      </c>
      <c r="M147">
        <f t="shared" si="64"/>
        <v>98.336160028123714</v>
      </c>
      <c r="N147">
        <f t="shared" si="65"/>
        <v>9.7541488703453076</v>
      </c>
      <c r="O147">
        <f t="shared" si="66"/>
        <v>48.088621597451592</v>
      </c>
      <c r="P147">
        <f t="shared" si="67"/>
        <v>0.11829348556901589</v>
      </c>
      <c r="Q147">
        <f t="shared" si="68"/>
        <v>2.0621604014750181</v>
      </c>
      <c r="R147">
        <f t="shared" si="69"/>
        <v>0.11464884657613533</v>
      </c>
      <c r="S147">
        <f t="shared" si="70"/>
        <v>7.1973631553563427E-2</v>
      </c>
      <c r="T147">
        <f t="shared" si="71"/>
        <v>276.11528646599999</v>
      </c>
      <c r="U147">
        <f t="shared" si="72"/>
        <v>28.4628178970964</v>
      </c>
      <c r="V147">
        <f t="shared" si="73"/>
        <v>28.4628178970964</v>
      </c>
      <c r="W147">
        <f t="shared" si="74"/>
        <v>3.8984401542668636</v>
      </c>
      <c r="X147">
        <f t="shared" si="75"/>
        <v>69.068296142825915</v>
      </c>
      <c r="Y147">
        <f t="shared" si="76"/>
        <v>2.4483532456206998</v>
      </c>
      <c r="Z147">
        <f t="shared" si="77"/>
        <v>3.5448293679603227</v>
      </c>
      <c r="AA147">
        <f t="shared" si="78"/>
        <v>1.4500869086461639</v>
      </c>
      <c r="AB147">
        <f t="shared" si="79"/>
        <v>-76.356753744051929</v>
      </c>
      <c r="AC147">
        <f t="shared" si="80"/>
        <v>-180.86179134995859</v>
      </c>
      <c r="AD147">
        <f t="shared" si="81"/>
        <v>-19.051090269607212</v>
      </c>
      <c r="AE147">
        <f t="shared" si="82"/>
        <v>-0.15434889761772297</v>
      </c>
      <c r="AF147">
        <v>44</v>
      </c>
      <c r="AG147">
        <v>15</v>
      </c>
      <c r="AH147">
        <f t="shared" si="83"/>
        <v>1</v>
      </c>
      <c r="AI147">
        <f t="shared" si="84"/>
        <v>0</v>
      </c>
      <c r="AJ147">
        <f t="shared" si="85"/>
        <v>52328.177387645126</v>
      </c>
      <c r="AK147">
        <f t="shared" si="86"/>
        <v>1800</v>
      </c>
      <c r="AL147">
        <f t="shared" si="87"/>
        <v>1499.1115086</v>
      </c>
      <c r="AM147">
        <f t="shared" si="88"/>
        <v>0.83283972699999997</v>
      </c>
      <c r="AN147">
        <f t="shared" si="89"/>
        <v>0.15339738137</v>
      </c>
      <c r="AO147">
        <v>33.6</v>
      </c>
      <c r="AP147">
        <v>0.5</v>
      </c>
      <c r="AQ147" t="s">
        <v>331</v>
      </c>
      <c r="AR147">
        <v>2</v>
      </c>
      <c r="AS147">
        <v>1690216594.5999999</v>
      </c>
      <c r="AT147">
        <v>484.80399999999997</v>
      </c>
      <c r="AU147">
        <v>799.923</v>
      </c>
      <c r="AV147">
        <v>24.683</v>
      </c>
      <c r="AW147">
        <v>5.7791699999999997</v>
      </c>
      <c r="AX147">
        <v>484.971</v>
      </c>
      <c r="AY147">
        <v>24.490400000000001</v>
      </c>
      <c r="AZ147">
        <v>300.154</v>
      </c>
      <c r="BA147">
        <v>99.091899999999995</v>
      </c>
      <c r="BB147">
        <v>9.99829E-2</v>
      </c>
      <c r="BC147">
        <v>26.835999999999999</v>
      </c>
      <c r="BD147">
        <v>27.013100000000001</v>
      </c>
      <c r="BE147">
        <v>28.331800000000001</v>
      </c>
      <c r="BF147">
        <v>0</v>
      </c>
      <c r="BG147">
        <v>0</v>
      </c>
      <c r="BH147">
        <v>9980.6200000000008</v>
      </c>
      <c r="BI147">
        <v>1077.03</v>
      </c>
      <c r="BJ147">
        <v>1.4577199999999999</v>
      </c>
      <c r="BK147">
        <v>-315.11799999999999</v>
      </c>
      <c r="BL147">
        <v>497.07400000000001</v>
      </c>
      <c r="BM147">
        <v>804.572</v>
      </c>
      <c r="BN147">
        <v>18.9039</v>
      </c>
      <c r="BO147">
        <v>799.923</v>
      </c>
      <c r="BP147">
        <v>5.7791699999999997</v>
      </c>
      <c r="BQ147">
        <v>2.4458899999999999</v>
      </c>
      <c r="BR147">
        <v>0.57266899999999998</v>
      </c>
      <c r="BS147">
        <v>20.6708</v>
      </c>
      <c r="BT147">
        <v>-0.94787600000000005</v>
      </c>
      <c r="BU147">
        <v>1800</v>
      </c>
      <c r="BV147">
        <v>0.91</v>
      </c>
      <c r="BW147">
        <v>3.4000900000000001E-2</v>
      </c>
      <c r="BX147">
        <v>2.2000599999999999E-2</v>
      </c>
      <c r="BY147">
        <v>3.3998100000000003E-2</v>
      </c>
      <c r="BZ147">
        <v>26</v>
      </c>
      <c r="CA147">
        <v>33528.300000000003</v>
      </c>
      <c r="CB147">
        <v>1690214843</v>
      </c>
      <c r="CC147" t="s">
        <v>332</v>
      </c>
      <c r="CD147">
        <v>1690214842</v>
      </c>
      <c r="CE147">
        <v>1690214843</v>
      </c>
      <c r="CF147">
        <v>8</v>
      </c>
      <c r="CG147">
        <v>-6.3E-2</v>
      </c>
      <c r="CH147">
        <v>1E-3</v>
      </c>
      <c r="CI147">
        <v>-0.38900000000000001</v>
      </c>
      <c r="CJ147">
        <v>-6.6000000000000003E-2</v>
      </c>
      <c r="CK147">
        <v>800</v>
      </c>
      <c r="CL147">
        <v>6</v>
      </c>
      <c r="CM147">
        <v>0.23</v>
      </c>
      <c r="CN147">
        <v>0.02</v>
      </c>
      <c r="CO147">
        <v>-312.44839024390251</v>
      </c>
      <c r="CP147">
        <v>-15.357993031359181</v>
      </c>
      <c r="CQ147">
        <v>1.5149771450912111</v>
      </c>
      <c r="CR147">
        <v>-1</v>
      </c>
      <c r="CS147">
        <v>18.78550487804878</v>
      </c>
      <c r="CT147">
        <v>0.64214006968643011</v>
      </c>
      <c r="CU147">
        <v>6.3326971679201094E-2</v>
      </c>
      <c r="CV147">
        <v>-1</v>
      </c>
      <c r="CW147">
        <v>0</v>
      </c>
      <c r="CX147">
        <v>0</v>
      </c>
      <c r="CY147" t="s">
        <v>333</v>
      </c>
      <c r="CZ147">
        <v>2.36443</v>
      </c>
      <c r="DA147">
        <v>2.7137600000000002</v>
      </c>
      <c r="DB147">
        <v>0.103382</v>
      </c>
      <c r="DC147">
        <v>0.14608499999999999</v>
      </c>
      <c r="DD147">
        <v>0.11616899999999999</v>
      </c>
      <c r="DE147">
        <v>3.8261900000000001E-2</v>
      </c>
      <c r="DF147">
        <v>32731.7</v>
      </c>
      <c r="DG147">
        <v>27509.8</v>
      </c>
      <c r="DH147">
        <v>31165</v>
      </c>
      <c r="DI147">
        <v>28072.2</v>
      </c>
      <c r="DJ147">
        <v>37389.5</v>
      </c>
      <c r="DK147">
        <v>38390.300000000003</v>
      </c>
      <c r="DL147">
        <v>44349.8</v>
      </c>
      <c r="DM147">
        <v>42543.7</v>
      </c>
      <c r="DN147">
        <v>1.3615200000000001</v>
      </c>
      <c r="DO147">
        <v>2.0339999999999998</v>
      </c>
      <c r="DP147">
        <v>8.5033499999999998E-2</v>
      </c>
      <c r="DQ147">
        <v>0.18005099999999999</v>
      </c>
      <c r="DR147">
        <v>25.620999999999999</v>
      </c>
      <c r="DS147">
        <v>25.386600000000001</v>
      </c>
      <c r="DT147">
        <v>17.100000000000001</v>
      </c>
      <c r="DU147">
        <v>29.8</v>
      </c>
      <c r="DV147">
        <v>7.2674700000000003</v>
      </c>
      <c r="DW147">
        <v>61.628500000000003</v>
      </c>
      <c r="DX147">
        <v>36.141800000000003</v>
      </c>
      <c r="DY147">
        <v>1</v>
      </c>
      <c r="DZ147">
        <v>-9.0566599999999997E-2</v>
      </c>
      <c r="EA147">
        <v>-0.21709700000000001</v>
      </c>
      <c r="EB147">
        <v>20.189800000000002</v>
      </c>
      <c r="EC147">
        <v>5.2408000000000001</v>
      </c>
      <c r="ED147">
        <v>12.039899999999999</v>
      </c>
      <c r="EE147">
        <v>5.0165499999999996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</v>
      </c>
      <c r="EL147">
        <v>1.86467</v>
      </c>
      <c r="EM147">
        <v>1.8692</v>
      </c>
      <c r="EN147">
        <v>1.8672200000000001</v>
      </c>
      <c r="EO147">
        <v>1.8633999999999999</v>
      </c>
      <c r="EP147">
        <v>1.8645799999999999</v>
      </c>
      <c r="EQ147">
        <v>1.8702000000000001</v>
      </c>
      <c r="ER147">
        <v>1.8694200000000001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-0.16700000000000001</v>
      </c>
      <c r="FG147">
        <v>0.19259999999999999</v>
      </c>
      <c r="FH147">
        <v>0.16202357103534001</v>
      </c>
      <c r="FI147">
        <v>-6.1462078757559423E-4</v>
      </c>
      <c r="FJ147">
        <v>-1.8861989874597051E-7</v>
      </c>
      <c r="FK147">
        <v>1.1980462299894961E-10</v>
      </c>
      <c r="FL147">
        <v>0.19260234566371101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29.2</v>
      </c>
      <c r="FU147">
        <v>29.2</v>
      </c>
      <c r="FV147">
        <v>1.7785599999999999</v>
      </c>
      <c r="FW147">
        <v>2.5781200000000002</v>
      </c>
      <c r="FX147">
        <v>1.5490699999999999</v>
      </c>
      <c r="FY147">
        <v>2.3290999999999999</v>
      </c>
      <c r="FZ147">
        <v>1.50146</v>
      </c>
      <c r="GA147">
        <v>2.3779300000000001</v>
      </c>
      <c r="GB147">
        <v>33.8735</v>
      </c>
      <c r="GC147">
        <v>23.991199999999999</v>
      </c>
      <c r="GD147">
        <v>19</v>
      </c>
      <c r="GE147">
        <v>237.11500000000001</v>
      </c>
      <c r="GF147">
        <v>581.50800000000004</v>
      </c>
      <c r="GG147">
        <v>25.346800000000002</v>
      </c>
      <c r="GH147">
        <v>26.250900000000001</v>
      </c>
      <c r="GI147">
        <v>30</v>
      </c>
      <c r="GJ147">
        <v>26.3935</v>
      </c>
      <c r="GK147">
        <v>26.365400000000001</v>
      </c>
      <c r="GL147">
        <v>35.563800000000001</v>
      </c>
      <c r="GM147">
        <v>-30</v>
      </c>
      <c r="GN147">
        <v>-30</v>
      </c>
      <c r="GO147">
        <v>25.3063</v>
      </c>
      <c r="GP147">
        <v>800</v>
      </c>
      <c r="GQ147">
        <v>12.5298</v>
      </c>
      <c r="GR147">
        <v>99.713499999999996</v>
      </c>
      <c r="GS147">
        <v>99.528199999999998</v>
      </c>
    </row>
    <row r="148" spans="1:201" x14ac:dyDescent="0.25">
      <c r="A148">
        <v>132</v>
      </c>
      <c r="B148">
        <v>1690216604.5999999</v>
      </c>
      <c r="C148">
        <v>1659.099999904633</v>
      </c>
      <c r="D148" t="s">
        <v>597</v>
      </c>
      <c r="E148" t="s">
        <v>598</v>
      </c>
      <c r="F148" t="s">
        <v>330</v>
      </c>
      <c r="H148">
        <v>1690216604.5999999</v>
      </c>
      <c r="I148">
        <f t="shared" si="60"/>
        <v>1.7408782503563498E-3</v>
      </c>
      <c r="J148">
        <f t="shared" si="61"/>
        <v>1.7408782503563498</v>
      </c>
      <c r="K148">
        <f t="shared" si="62"/>
        <v>27.542372779347026</v>
      </c>
      <c r="L148">
        <f t="shared" si="63"/>
        <v>482.19200000000001</v>
      </c>
      <c r="M148">
        <f t="shared" si="64"/>
        <v>97.685181282270023</v>
      </c>
      <c r="N148">
        <f t="shared" si="65"/>
        <v>9.689707267394331</v>
      </c>
      <c r="O148">
        <f t="shared" si="66"/>
        <v>47.830175113033604</v>
      </c>
      <c r="P148">
        <f t="shared" si="67"/>
        <v>0.11992186988370414</v>
      </c>
      <c r="Q148">
        <f t="shared" si="68"/>
        <v>2.0677307825493005</v>
      </c>
      <c r="R148">
        <f t="shared" si="69"/>
        <v>0.11618765602246735</v>
      </c>
      <c r="S148">
        <f t="shared" si="70"/>
        <v>7.2943103217950472E-2</v>
      </c>
      <c r="T148">
        <f t="shared" si="71"/>
        <v>276.11541174600001</v>
      </c>
      <c r="U148">
        <f t="shared" si="72"/>
        <v>28.457267734022448</v>
      </c>
      <c r="V148">
        <f t="shared" si="73"/>
        <v>28.457267734022448</v>
      </c>
      <c r="W148">
        <f t="shared" si="74"/>
        <v>3.8971832991581765</v>
      </c>
      <c r="X148">
        <f t="shared" si="75"/>
        <v>69.348704201257434</v>
      </c>
      <c r="Y148">
        <f t="shared" si="76"/>
        <v>2.4585534502108999</v>
      </c>
      <c r="Z148">
        <f t="shared" si="77"/>
        <v>3.5452045983093092</v>
      </c>
      <c r="AA148">
        <f t="shared" si="78"/>
        <v>1.4386298489472766</v>
      </c>
      <c r="AB148">
        <f t="shared" si="79"/>
        <v>-76.772730840715028</v>
      </c>
      <c r="AC148">
        <f t="shared" si="80"/>
        <v>-180.53097854003457</v>
      </c>
      <c r="AD148">
        <f t="shared" si="81"/>
        <v>-18.964659014823361</v>
      </c>
      <c r="AE148">
        <f t="shared" si="82"/>
        <v>-0.15295664957298527</v>
      </c>
      <c r="AF148">
        <v>44</v>
      </c>
      <c r="AG148">
        <v>15</v>
      </c>
      <c r="AH148">
        <f t="shared" si="83"/>
        <v>1</v>
      </c>
      <c r="AI148">
        <f t="shared" si="84"/>
        <v>0</v>
      </c>
      <c r="AJ148">
        <f t="shared" si="85"/>
        <v>52582.891559367985</v>
      </c>
      <c r="AK148">
        <f t="shared" si="86"/>
        <v>1800</v>
      </c>
      <c r="AL148">
        <f t="shared" si="87"/>
        <v>1499.1130476000001</v>
      </c>
      <c r="AM148">
        <f t="shared" si="88"/>
        <v>0.832840582</v>
      </c>
      <c r="AN148">
        <f t="shared" si="89"/>
        <v>0.15339745097000002</v>
      </c>
      <c r="AO148">
        <v>33.6</v>
      </c>
      <c r="AP148">
        <v>0.5</v>
      </c>
      <c r="AQ148" t="s">
        <v>331</v>
      </c>
      <c r="AR148">
        <v>2</v>
      </c>
      <c r="AS148">
        <v>1690216604.5999999</v>
      </c>
      <c r="AT148">
        <v>482.19200000000001</v>
      </c>
      <c r="AU148">
        <v>799.93799999999999</v>
      </c>
      <c r="AV148">
        <v>24.785499999999999</v>
      </c>
      <c r="AW148">
        <v>5.7787199999999999</v>
      </c>
      <c r="AX148">
        <v>482.35700000000003</v>
      </c>
      <c r="AY148">
        <v>24.5929</v>
      </c>
      <c r="AZ148">
        <v>300.12299999999999</v>
      </c>
      <c r="BA148">
        <v>99.093299999999999</v>
      </c>
      <c r="BB148">
        <v>9.9915799999999999E-2</v>
      </c>
      <c r="BC148">
        <v>26.837800000000001</v>
      </c>
      <c r="BD148">
        <v>26.986000000000001</v>
      </c>
      <c r="BE148">
        <v>28.336099999999998</v>
      </c>
      <c r="BF148">
        <v>0</v>
      </c>
      <c r="BG148">
        <v>0</v>
      </c>
      <c r="BH148">
        <v>10031.200000000001</v>
      </c>
      <c r="BI148">
        <v>1077</v>
      </c>
      <c r="BJ148">
        <v>1.4437</v>
      </c>
      <c r="BK148">
        <v>-317.74599999999998</v>
      </c>
      <c r="BL148">
        <v>494.447</v>
      </c>
      <c r="BM148">
        <v>804.58699999999999</v>
      </c>
      <c r="BN148">
        <v>19.006799999999998</v>
      </c>
      <c r="BO148">
        <v>799.93799999999999</v>
      </c>
      <c r="BP148">
        <v>5.7787199999999999</v>
      </c>
      <c r="BQ148">
        <v>2.45608</v>
      </c>
      <c r="BR148">
        <v>0.57263200000000003</v>
      </c>
      <c r="BS148">
        <v>20.738299999999999</v>
      </c>
      <c r="BT148">
        <v>-0.948739</v>
      </c>
      <c r="BU148">
        <v>1800</v>
      </c>
      <c r="BV148">
        <v>0.91000300000000001</v>
      </c>
      <c r="BW148">
        <v>3.4000000000000002E-2</v>
      </c>
      <c r="BX148">
        <v>2.2000100000000002E-2</v>
      </c>
      <c r="BY148">
        <v>3.3997300000000001E-2</v>
      </c>
      <c r="BZ148">
        <v>26</v>
      </c>
      <c r="CA148">
        <v>33528.5</v>
      </c>
      <c r="CB148">
        <v>1690214843</v>
      </c>
      <c r="CC148" t="s">
        <v>332</v>
      </c>
      <c r="CD148">
        <v>1690214842</v>
      </c>
      <c r="CE148">
        <v>1690214843</v>
      </c>
      <c r="CF148">
        <v>8</v>
      </c>
      <c r="CG148">
        <v>-6.3E-2</v>
      </c>
      <c r="CH148">
        <v>1E-3</v>
      </c>
      <c r="CI148">
        <v>-0.38900000000000001</v>
      </c>
      <c r="CJ148">
        <v>-6.6000000000000003E-2</v>
      </c>
      <c r="CK148">
        <v>800</v>
      </c>
      <c r="CL148">
        <v>6</v>
      </c>
      <c r="CM148">
        <v>0.23</v>
      </c>
      <c r="CN148">
        <v>0.02</v>
      </c>
      <c r="CO148">
        <v>-314.91825</v>
      </c>
      <c r="CP148">
        <v>-15.179076923076719</v>
      </c>
      <c r="CQ148">
        <v>1.4615050932172591</v>
      </c>
      <c r="CR148">
        <v>-1</v>
      </c>
      <c r="CS148">
        <v>18.889037500000001</v>
      </c>
      <c r="CT148">
        <v>0.6378090056284651</v>
      </c>
      <c r="CU148">
        <v>6.1369066668395887E-2</v>
      </c>
      <c r="CV148">
        <v>-1</v>
      </c>
      <c r="CW148">
        <v>0</v>
      </c>
      <c r="CX148">
        <v>0</v>
      </c>
      <c r="CY148" t="s">
        <v>333</v>
      </c>
      <c r="CZ148">
        <v>2.3643200000000002</v>
      </c>
      <c r="DA148">
        <v>2.71373</v>
      </c>
      <c r="DB148">
        <v>0.102974</v>
      </c>
      <c r="DC148">
        <v>0.146089</v>
      </c>
      <c r="DD148">
        <v>0.11651</v>
      </c>
      <c r="DE148">
        <v>3.8260000000000002E-2</v>
      </c>
      <c r="DF148">
        <v>32746.7</v>
      </c>
      <c r="DG148">
        <v>27509.599999999999</v>
      </c>
      <c r="DH148">
        <v>31165.1</v>
      </c>
      <c r="DI148">
        <v>28072</v>
      </c>
      <c r="DJ148">
        <v>37375.1</v>
      </c>
      <c r="DK148">
        <v>38390.199999999997</v>
      </c>
      <c r="DL148">
        <v>44350.1</v>
      </c>
      <c r="DM148">
        <v>42543.6</v>
      </c>
      <c r="DN148">
        <v>1.3614999999999999</v>
      </c>
      <c r="DO148">
        <v>2.0344699999999998</v>
      </c>
      <c r="DP148">
        <v>8.3372000000000002E-2</v>
      </c>
      <c r="DQ148">
        <v>0.18005099999999999</v>
      </c>
      <c r="DR148">
        <v>25.620999999999999</v>
      </c>
      <c r="DS148">
        <v>25.390899999999998</v>
      </c>
      <c r="DT148">
        <v>17.100000000000001</v>
      </c>
      <c r="DU148">
        <v>29.8</v>
      </c>
      <c r="DV148">
        <v>7.2680899999999999</v>
      </c>
      <c r="DW148">
        <v>61.378500000000003</v>
      </c>
      <c r="DX148">
        <v>36.089700000000001</v>
      </c>
      <c r="DY148">
        <v>1</v>
      </c>
      <c r="DZ148">
        <v>-9.0716500000000005E-2</v>
      </c>
      <c r="EA148">
        <v>-0.13602900000000001</v>
      </c>
      <c r="EB148">
        <v>20.189699999999998</v>
      </c>
      <c r="EC148">
        <v>5.2411000000000003</v>
      </c>
      <c r="ED148">
        <v>12.039899999999999</v>
      </c>
      <c r="EE148">
        <v>5.0166500000000003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</v>
      </c>
      <c r="EL148">
        <v>1.86469</v>
      </c>
      <c r="EM148">
        <v>1.8691899999999999</v>
      </c>
      <c r="EN148">
        <v>1.8672299999999999</v>
      </c>
      <c r="EO148">
        <v>1.8633999999999999</v>
      </c>
      <c r="EP148">
        <v>1.8645400000000001</v>
      </c>
      <c r="EQ148">
        <v>1.8702000000000001</v>
      </c>
      <c r="ER148">
        <v>1.8694299999999999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-0.16500000000000001</v>
      </c>
      <c r="FG148">
        <v>0.19259999999999999</v>
      </c>
      <c r="FH148">
        <v>0.16202357103534001</v>
      </c>
      <c r="FI148">
        <v>-6.1462078757559423E-4</v>
      </c>
      <c r="FJ148">
        <v>-1.8861989874597051E-7</v>
      </c>
      <c r="FK148">
        <v>1.1980462299894961E-10</v>
      </c>
      <c r="FL148">
        <v>0.19260234566371101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29.4</v>
      </c>
      <c r="FU148">
        <v>29.4</v>
      </c>
      <c r="FV148">
        <v>1.7785599999999999</v>
      </c>
      <c r="FW148">
        <v>2.5793499999999998</v>
      </c>
      <c r="FX148">
        <v>1.5490699999999999</v>
      </c>
      <c r="FY148">
        <v>2.3290999999999999</v>
      </c>
      <c r="FZ148">
        <v>1.50146</v>
      </c>
      <c r="GA148">
        <v>2.3791500000000001</v>
      </c>
      <c r="GB148">
        <v>33.8735</v>
      </c>
      <c r="GC148">
        <v>23.991199999999999</v>
      </c>
      <c r="GD148">
        <v>19</v>
      </c>
      <c r="GE148">
        <v>237.101</v>
      </c>
      <c r="GF148">
        <v>581.9</v>
      </c>
      <c r="GG148">
        <v>25.296299999999999</v>
      </c>
      <c r="GH148">
        <v>26.248699999999999</v>
      </c>
      <c r="GI148">
        <v>30</v>
      </c>
      <c r="GJ148">
        <v>26.392499999999998</v>
      </c>
      <c r="GK148">
        <v>26.365400000000001</v>
      </c>
      <c r="GL148">
        <v>35.564300000000003</v>
      </c>
      <c r="GM148">
        <v>-30</v>
      </c>
      <c r="GN148">
        <v>-30</v>
      </c>
      <c r="GO148">
        <v>25.2942</v>
      </c>
      <c r="GP148">
        <v>800</v>
      </c>
      <c r="GQ148">
        <v>12.5298</v>
      </c>
      <c r="GR148">
        <v>99.714100000000002</v>
      </c>
      <c r="GS148">
        <v>99.527799999999999</v>
      </c>
    </row>
    <row r="149" spans="1:201" x14ac:dyDescent="0.25">
      <c r="A149">
        <v>133</v>
      </c>
      <c r="B149">
        <v>1690216614.5999999</v>
      </c>
      <c r="C149">
        <v>1669.099999904633</v>
      </c>
      <c r="D149" t="s">
        <v>599</v>
      </c>
      <c r="E149" t="s">
        <v>600</v>
      </c>
      <c r="F149" t="s">
        <v>330</v>
      </c>
      <c r="H149">
        <v>1690216614.5999999</v>
      </c>
      <c r="I149">
        <f t="shared" si="60"/>
        <v>1.7498608309758558E-3</v>
      </c>
      <c r="J149">
        <f t="shared" si="61"/>
        <v>1.7498608309758559</v>
      </c>
      <c r="K149">
        <f t="shared" si="62"/>
        <v>27.772847389562031</v>
      </c>
      <c r="L149">
        <f t="shared" si="63"/>
        <v>479.78</v>
      </c>
      <c r="M149">
        <f t="shared" si="64"/>
        <v>97.374325930926801</v>
      </c>
      <c r="N149">
        <f t="shared" si="65"/>
        <v>9.6584209033222912</v>
      </c>
      <c r="O149">
        <f t="shared" si="66"/>
        <v>47.588695856884002</v>
      </c>
      <c r="P149">
        <f t="shared" si="67"/>
        <v>0.12162451654515365</v>
      </c>
      <c r="Q149">
        <f t="shared" si="68"/>
        <v>2.0641180499146818</v>
      </c>
      <c r="R149">
        <f t="shared" si="69"/>
        <v>0.11777884958332308</v>
      </c>
      <c r="S149">
        <f t="shared" si="70"/>
        <v>7.39471696715506E-2</v>
      </c>
      <c r="T149">
        <f t="shared" si="71"/>
        <v>276.11510799600001</v>
      </c>
      <c r="U149">
        <f t="shared" si="72"/>
        <v>28.442330434104569</v>
      </c>
      <c r="V149">
        <f t="shared" si="73"/>
        <v>28.442330434104569</v>
      </c>
      <c r="W149">
        <f t="shared" si="74"/>
        <v>3.893802447391407</v>
      </c>
      <c r="X149">
        <f t="shared" si="75"/>
        <v>69.656657371534664</v>
      </c>
      <c r="Y149">
        <f t="shared" si="76"/>
        <v>2.4673952236372401</v>
      </c>
      <c r="Z149">
        <f t="shared" si="77"/>
        <v>3.5422245579150426</v>
      </c>
      <c r="AA149">
        <f t="shared" si="78"/>
        <v>1.426407223754167</v>
      </c>
      <c r="AB149">
        <f t="shared" si="79"/>
        <v>-77.168862646035237</v>
      </c>
      <c r="AC149">
        <f t="shared" si="80"/>
        <v>-180.1446361880158</v>
      </c>
      <c r="AD149">
        <f t="shared" si="81"/>
        <v>-18.954430682822803</v>
      </c>
      <c r="AE149">
        <f t="shared" si="82"/>
        <v>-0.15282152087382883</v>
      </c>
      <c r="AF149">
        <v>44</v>
      </c>
      <c r="AG149">
        <v>15</v>
      </c>
      <c r="AH149">
        <f t="shared" si="83"/>
        <v>1</v>
      </c>
      <c r="AI149">
        <f t="shared" si="84"/>
        <v>0</v>
      </c>
      <c r="AJ149">
        <f t="shared" si="85"/>
        <v>52419.807357721431</v>
      </c>
      <c r="AK149">
        <f t="shared" si="86"/>
        <v>1800</v>
      </c>
      <c r="AL149">
        <f t="shared" si="87"/>
        <v>1499.1120756</v>
      </c>
      <c r="AM149">
        <f t="shared" si="88"/>
        <v>0.83284004200000006</v>
      </c>
      <c r="AN149">
        <f t="shared" si="89"/>
        <v>0.15339728222000001</v>
      </c>
      <c r="AO149">
        <v>33.6</v>
      </c>
      <c r="AP149">
        <v>0.5</v>
      </c>
      <c r="AQ149" t="s">
        <v>331</v>
      </c>
      <c r="AR149">
        <v>2</v>
      </c>
      <c r="AS149">
        <v>1690216614.5999999</v>
      </c>
      <c r="AT149">
        <v>479.78</v>
      </c>
      <c r="AU149">
        <v>800.00400000000002</v>
      </c>
      <c r="AV149">
        <v>24.875800000000002</v>
      </c>
      <c r="AW149">
        <v>5.7788899999999996</v>
      </c>
      <c r="AX149">
        <v>479.94299999999998</v>
      </c>
      <c r="AY149">
        <v>24.683199999999999</v>
      </c>
      <c r="AZ149">
        <v>300.22000000000003</v>
      </c>
      <c r="BA149">
        <v>99.0886</v>
      </c>
      <c r="BB149">
        <v>9.9977800000000006E-2</v>
      </c>
      <c r="BC149">
        <v>26.823499999999999</v>
      </c>
      <c r="BD149">
        <v>26.999600000000001</v>
      </c>
      <c r="BE149">
        <v>28.3264</v>
      </c>
      <c r="BF149">
        <v>0</v>
      </c>
      <c r="BG149">
        <v>0</v>
      </c>
      <c r="BH149">
        <v>9998.75</v>
      </c>
      <c r="BI149">
        <v>1077.02</v>
      </c>
      <c r="BJ149">
        <v>1.3315699999999999</v>
      </c>
      <c r="BK149">
        <v>-320.22399999999999</v>
      </c>
      <c r="BL149">
        <v>492.01900000000001</v>
      </c>
      <c r="BM149">
        <v>804.654</v>
      </c>
      <c r="BN149">
        <v>19.096900000000002</v>
      </c>
      <c r="BO149">
        <v>800.00400000000002</v>
      </c>
      <c r="BP149">
        <v>5.7788899999999996</v>
      </c>
      <c r="BQ149">
        <v>2.4649100000000002</v>
      </c>
      <c r="BR149">
        <v>0.57262299999999999</v>
      </c>
      <c r="BS149">
        <v>20.796600000000002</v>
      </c>
      <c r="BT149">
        <v>-0.94897399999999998</v>
      </c>
      <c r="BU149">
        <v>1800</v>
      </c>
      <c r="BV149">
        <v>0.91000400000000004</v>
      </c>
      <c r="BW149">
        <v>3.3999399999999999E-2</v>
      </c>
      <c r="BX149">
        <v>2.1999600000000001E-2</v>
      </c>
      <c r="BY149">
        <v>3.3996600000000002E-2</v>
      </c>
      <c r="BZ149">
        <v>26</v>
      </c>
      <c r="CA149">
        <v>33528.400000000001</v>
      </c>
      <c r="CB149">
        <v>1690214843</v>
      </c>
      <c r="CC149" t="s">
        <v>332</v>
      </c>
      <c r="CD149">
        <v>1690214842</v>
      </c>
      <c r="CE149">
        <v>1690214843</v>
      </c>
      <c r="CF149">
        <v>8</v>
      </c>
      <c r="CG149">
        <v>-6.3E-2</v>
      </c>
      <c r="CH149">
        <v>1E-3</v>
      </c>
      <c r="CI149">
        <v>-0.38900000000000001</v>
      </c>
      <c r="CJ149">
        <v>-6.6000000000000003E-2</v>
      </c>
      <c r="CK149">
        <v>800</v>
      </c>
      <c r="CL149">
        <v>6</v>
      </c>
      <c r="CM149">
        <v>0.23</v>
      </c>
      <c r="CN149">
        <v>0.02</v>
      </c>
      <c r="CO149">
        <v>-317.69772499999999</v>
      </c>
      <c r="CP149">
        <v>-15.200183864915299</v>
      </c>
      <c r="CQ149">
        <v>1.4639651803834011</v>
      </c>
      <c r="CR149">
        <v>-1</v>
      </c>
      <c r="CS149">
        <v>19.0022825</v>
      </c>
      <c r="CT149">
        <v>0.59503902439023337</v>
      </c>
      <c r="CU149">
        <v>5.7294135334691722E-2</v>
      </c>
      <c r="CV149">
        <v>-1</v>
      </c>
      <c r="CW149">
        <v>0</v>
      </c>
      <c r="CX149">
        <v>0</v>
      </c>
      <c r="CY149" t="s">
        <v>333</v>
      </c>
      <c r="CZ149">
        <v>2.3646400000000001</v>
      </c>
      <c r="DA149">
        <v>2.7137699999999998</v>
      </c>
      <c r="DB149">
        <v>0.102591</v>
      </c>
      <c r="DC149">
        <v>0.146091</v>
      </c>
      <c r="DD149">
        <v>0.116803</v>
      </c>
      <c r="DE149">
        <v>3.8259399999999999E-2</v>
      </c>
      <c r="DF149">
        <v>32761.3</v>
      </c>
      <c r="DG149">
        <v>27509.9</v>
      </c>
      <c r="DH149">
        <v>31165.8</v>
      </c>
      <c r="DI149">
        <v>28072.400000000001</v>
      </c>
      <c r="DJ149">
        <v>37363.199999999997</v>
      </c>
      <c r="DK149">
        <v>38390.800000000003</v>
      </c>
      <c r="DL149">
        <v>44350.9</v>
      </c>
      <c r="DM149">
        <v>42544.2</v>
      </c>
      <c r="DN149">
        <v>1.36222</v>
      </c>
      <c r="DO149">
        <v>2.0341999999999998</v>
      </c>
      <c r="DP149">
        <v>8.4072400000000005E-2</v>
      </c>
      <c r="DQ149">
        <v>0.179455</v>
      </c>
      <c r="DR149">
        <v>25.623200000000001</v>
      </c>
      <c r="DS149">
        <v>25.390899999999998</v>
      </c>
      <c r="DT149">
        <v>17.100000000000001</v>
      </c>
      <c r="DU149">
        <v>29.8</v>
      </c>
      <c r="DV149">
        <v>7.2686200000000003</v>
      </c>
      <c r="DW149">
        <v>61.668500000000002</v>
      </c>
      <c r="DX149">
        <v>36.017600000000002</v>
      </c>
      <c r="DY149">
        <v>1</v>
      </c>
      <c r="DZ149">
        <v>-9.0525900000000006E-2</v>
      </c>
      <c r="EA149">
        <v>-0.20542199999999999</v>
      </c>
      <c r="EB149">
        <v>20.189599999999999</v>
      </c>
      <c r="EC149">
        <v>5.2404999999999999</v>
      </c>
      <c r="ED149">
        <v>12.039899999999999</v>
      </c>
      <c r="EE149">
        <v>5.0163000000000002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1.8689100000000001</v>
      </c>
      <c r="EL149">
        <v>1.8646799999999999</v>
      </c>
      <c r="EM149">
        <v>1.8692</v>
      </c>
      <c r="EN149">
        <v>1.86724</v>
      </c>
      <c r="EO149">
        <v>1.8633999999999999</v>
      </c>
      <c r="EP149">
        <v>1.86456</v>
      </c>
      <c r="EQ149">
        <v>1.8701700000000001</v>
      </c>
      <c r="ER149">
        <v>1.86947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-0.16300000000000001</v>
      </c>
      <c r="FG149">
        <v>0.19259999999999999</v>
      </c>
      <c r="FH149">
        <v>0.16202357103534001</v>
      </c>
      <c r="FI149">
        <v>-6.1462078757559423E-4</v>
      </c>
      <c r="FJ149">
        <v>-1.8861989874597051E-7</v>
      </c>
      <c r="FK149">
        <v>1.1980462299894961E-10</v>
      </c>
      <c r="FL149">
        <v>0.19260234566371101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29.5</v>
      </c>
      <c r="FU149">
        <v>29.5</v>
      </c>
      <c r="FV149">
        <v>1.7785599999999999</v>
      </c>
      <c r="FW149">
        <v>2.5781200000000002</v>
      </c>
      <c r="FX149">
        <v>1.5490699999999999</v>
      </c>
      <c r="FY149">
        <v>2.3290999999999999</v>
      </c>
      <c r="FZ149">
        <v>1.50146</v>
      </c>
      <c r="GA149">
        <v>2.3852500000000001</v>
      </c>
      <c r="GB149">
        <v>33.8735</v>
      </c>
      <c r="GC149">
        <v>23.982399999999998</v>
      </c>
      <c r="GD149">
        <v>19</v>
      </c>
      <c r="GE149">
        <v>237.36600000000001</v>
      </c>
      <c r="GF149">
        <v>581.64800000000002</v>
      </c>
      <c r="GG149">
        <v>25.2925</v>
      </c>
      <c r="GH149">
        <v>26.248699999999999</v>
      </c>
      <c r="GI149">
        <v>30.0001</v>
      </c>
      <c r="GJ149">
        <v>26.3903</v>
      </c>
      <c r="GK149">
        <v>26.363299999999999</v>
      </c>
      <c r="GL149">
        <v>35.563099999999999</v>
      </c>
      <c r="GM149">
        <v>-30</v>
      </c>
      <c r="GN149">
        <v>-30</v>
      </c>
      <c r="GO149">
        <v>25.298100000000002</v>
      </c>
      <c r="GP149">
        <v>800</v>
      </c>
      <c r="GQ149">
        <v>12.5298</v>
      </c>
      <c r="GR149">
        <v>99.715900000000005</v>
      </c>
      <c r="GS149">
        <v>99.529200000000003</v>
      </c>
    </row>
    <row r="150" spans="1:201" x14ac:dyDescent="0.25">
      <c r="A150">
        <v>134</v>
      </c>
      <c r="B150">
        <v>1690216624.5999999</v>
      </c>
      <c r="C150">
        <v>1679.099999904633</v>
      </c>
      <c r="D150" t="s">
        <v>601</v>
      </c>
      <c r="E150" t="s">
        <v>602</v>
      </c>
      <c r="F150" t="s">
        <v>330</v>
      </c>
      <c r="H150">
        <v>1690216624.5999999</v>
      </c>
      <c r="I150">
        <f t="shared" si="60"/>
        <v>1.7585301955489201E-3</v>
      </c>
      <c r="J150">
        <f t="shared" si="61"/>
        <v>1.7585301955489201</v>
      </c>
      <c r="K150">
        <f t="shared" si="62"/>
        <v>27.979798084914655</v>
      </c>
      <c r="L150">
        <f t="shared" si="63"/>
        <v>477.38200000000001</v>
      </c>
      <c r="M150">
        <f t="shared" si="64"/>
        <v>97.055834077961734</v>
      </c>
      <c r="N150">
        <f t="shared" si="65"/>
        <v>9.6265030906361222</v>
      </c>
      <c r="O150">
        <f t="shared" si="66"/>
        <v>47.349232965456004</v>
      </c>
      <c r="P150">
        <f t="shared" si="67"/>
        <v>0.12321765915395748</v>
      </c>
      <c r="Q150">
        <f t="shared" si="68"/>
        <v>2.0709226976303343</v>
      </c>
      <c r="R150">
        <f t="shared" si="69"/>
        <v>0.11928486162344339</v>
      </c>
      <c r="S150">
        <f t="shared" si="70"/>
        <v>7.4895928220462177E-2</v>
      </c>
      <c r="T150">
        <f t="shared" si="71"/>
        <v>276.11516744999994</v>
      </c>
      <c r="U150">
        <f t="shared" si="72"/>
        <v>28.435809145701498</v>
      </c>
      <c r="V150">
        <f t="shared" si="73"/>
        <v>28.435809145701498</v>
      </c>
      <c r="W150">
        <f t="shared" si="74"/>
        <v>3.8923272461392209</v>
      </c>
      <c r="X150">
        <f t="shared" si="75"/>
        <v>69.92378167977671</v>
      </c>
      <c r="Y150">
        <f t="shared" si="76"/>
        <v>2.4770613031128002</v>
      </c>
      <c r="Z150">
        <f t="shared" si="77"/>
        <v>3.5425162135205475</v>
      </c>
      <c r="AA150">
        <f t="shared" si="78"/>
        <v>1.4152659430264207</v>
      </c>
      <c r="AB150">
        <f t="shared" si="79"/>
        <v>-77.551181623707379</v>
      </c>
      <c r="AC150">
        <f t="shared" si="80"/>
        <v>-179.8541149256888</v>
      </c>
      <c r="AD150">
        <f t="shared" si="81"/>
        <v>-18.861199250588783</v>
      </c>
      <c r="AE150">
        <f t="shared" si="82"/>
        <v>-0.15132834998505018</v>
      </c>
      <c r="AF150">
        <v>44</v>
      </c>
      <c r="AG150">
        <v>15</v>
      </c>
      <c r="AH150">
        <f t="shared" si="83"/>
        <v>1</v>
      </c>
      <c r="AI150">
        <f t="shared" si="84"/>
        <v>0</v>
      </c>
      <c r="AJ150">
        <f t="shared" si="85"/>
        <v>52731.496360172248</v>
      </c>
      <c r="AK150">
        <f t="shared" si="86"/>
        <v>1800</v>
      </c>
      <c r="AL150">
        <f t="shared" si="87"/>
        <v>1499.1126479999998</v>
      </c>
      <c r="AM150">
        <f t="shared" si="88"/>
        <v>0.83284035999999995</v>
      </c>
      <c r="AN150">
        <f t="shared" si="89"/>
        <v>0.15339731524999997</v>
      </c>
      <c r="AO150">
        <v>33.6</v>
      </c>
      <c r="AP150">
        <v>0.5</v>
      </c>
      <c r="AQ150" t="s">
        <v>331</v>
      </c>
      <c r="AR150">
        <v>2</v>
      </c>
      <c r="AS150">
        <v>1690216624.5999999</v>
      </c>
      <c r="AT150">
        <v>477.38200000000001</v>
      </c>
      <c r="AU150">
        <v>800.01499999999999</v>
      </c>
      <c r="AV150">
        <v>24.9741</v>
      </c>
      <c r="AW150">
        <v>5.77895</v>
      </c>
      <c r="AX150">
        <v>477.54300000000001</v>
      </c>
      <c r="AY150">
        <v>24.781500000000001</v>
      </c>
      <c r="AZ150">
        <v>300.13299999999998</v>
      </c>
      <c r="BA150">
        <v>99.0852</v>
      </c>
      <c r="BB150">
        <v>0.100008</v>
      </c>
      <c r="BC150">
        <v>26.8249</v>
      </c>
      <c r="BD150">
        <v>26.995699999999999</v>
      </c>
      <c r="BE150">
        <v>28.3263</v>
      </c>
      <c r="BF150">
        <v>0</v>
      </c>
      <c r="BG150">
        <v>0</v>
      </c>
      <c r="BH150">
        <v>10061.200000000001</v>
      </c>
      <c r="BI150">
        <v>1077.01</v>
      </c>
      <c r="BJ150">
        <v>1.4577199999999999</v>
      </c>
      <c r="BK150">
        <v>-322.63400000000001</v>
      </c>
      <c r="BL150">
        <v>489.60899999999998</v>
      </c>
      <c r="BM150">
        <v>804.66600000000005</v>
      </c>
      <c r="BN150">
        <v>19.1951</v>
      </c>
      <c r="BO150">
        <v>800.01499999999999</v>
      </c>
      <c r="BP150">
        <v>5.77895</v>
      </c>
      <c r="BQ150">
        <v>2.4745599999999999</v>
      </c>
      <c r="BR150">
        <v>0.57260900000000003</v>
      </c>
      <c r="BS150">
        <v>20.860099999999999</v>
      </c>
      <c r="BT150">
        <v>-0.949299</v>
      </c>
      <c r="BU150">
        <v>1800</v>
      </c>
      <c r="BV150">
        <v>0.91000499999999995</v>
      </c>
      <c r="BW150">
        <v>3.3999099999999997E-2</v>
      </c>
      <c r="BX150">
        <v>2.1999500000000002E-2</v>
      </c>
      <c r="BY150">
        <v>3.39963E-2</v>
      </c>
      <c r="BZ150">
        <v>26</v>
      </c>
      <c r="CA150">
        <v>33528.400000000001</v>
      </c>
      <c r="CB150">
        <v>1690214843</v>
      </c>
      <c r="CC150" t="s">
        <v>332</v>
      </c>
      <c r="CD150">
        <v>1690214842</v>
      </c>
      <c r="CE150">
        <v>1690214843</v>
      </c>
      <c r="CF150">
        <v>8</v>
      </c>
      <c r="CG150">
        <v>-6.3E-2</v>
      </c>
      <c r="CH150">
        <v>1E-3</v>
      </c>
      <c r="CI150">
        <v>-0.38900000000000001</v>
      </c>
      <c r="CJ150">
        <v>-6.6000000000000003E-2</v>
      </c>
      <c r="CK150">
        <v>800</v>
      </c>
      <c r="CL150">
        <v>6</v>
      </c>
      <c r="CM150">
        <v>0.23</v>
      </c>
      <c r="CN150">
        <v>0.02</v>
      </c>
      <c r="CO150">
        <v>-319.92585000000003</v>
      </c>
      <c r="CP150">
        <v>-14.47521951219378</v>
      </c>
      <c r="CQ150">
        <v>1.393195670930687</v>
      </c>
      <c r="CR150">
        <v>-1</v>
      </c>
      <c r="CS150">
        <v>19.087689999999998</v>
      </c>
      <c r="CT150">
        <v>0.5423369606003493</v>
      </c>
      <c r="CU150">
        <v>5.2200784476864277E-2</v>
      </c>
      <c r="CV150">
        <v>-1</v>
      </c>
      <c r="CW150">
        <v>0</v>
      </c>
      <c r="CX150">
        <v>0</v>
      </c>
      <c r="CY150" t="s">
        <v>333</v>
      </c>
      <c r="CZ150">
        <v>2.3643700000000001</v>
      </c>
      <c r="DA150">
        <v>2.7138499999999999</v>
      </c>
      <c r="DB150">
        <v>0.10221</v>
      </c>
      <c r="DC150">
        <v>0.146088</v>
      </c>
      <c r="DD150">
        <v>0.11712400000000001</v>
      </c>
      <c r="DE150">
        <v>3.8258500000000001E-2</v>
      </c>
      <c r="DF150">
        <v>32775.4</v>
      </c>
      <c r="DG150">
        <v>27509.9</v>
      </c>
      <c r="DH150">
        <v>31165.9</v>
      </c>
      <c r="DI150">
        <v>28072.3</v>
      </c>
      <c r="DJ150">
        <v>37349.5</v>
      </c>
      <c r="DK150">
        <v>38390.699999999997</v>
      </c>
      <c r="DL150">
        <v>44351</v>
      </c>
      <c r="DM150">
        <v>42544</v>
      </c>
      <c r="DN150">
        <v>1.3621700000000001</v>
      </c>
      <c r="DO150">
        <v>2.03437</v>
      </c>
      <c r="DP150">
        <v>8.3833900000000003E-2</v>
      </c>
      <c r="DQ150">
        <v>0.179447</v>
      </c>
      <c r="DR150">
        <v>25.623200000000001</v>
      </c>
      <c r="DS150">
        <v>25.390899999999998</v>
      </c>
      <c r="DT150">
        <v>17.100000000000001</v>
      </c>
      <c r="DU150">
        <v>29.8</v>
      </c>
      <c r="DV150">
        <v>7.2682900000000004</v>
      </c>
      <c r="DW150">
        <v>61.388500000000001</v>
      </c>
      <c r="DX150">
        <v>36.009599999999999</v>
      </c>
      <c r="DY150">
        <v>1</v>
      </c>
      <c r="DZ150">
        <v>-9.0726600000000004E-2</v>
      </c>
      <c r="EA150">
        <v>-0.22348899999999999</v>
      </c>
      <c r="EB150">
        <v>20.189599999999999</v>
      </c>
      <c r="EC150">
        <v>5.2406499999999996</v>
      </c>
      <c r="ED150">
        <v>12.039899999999999</v>
      </c>
      <c r="EE150">
        <v>5.0167000000000002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1.8689100000000001</v>
      </c>
      <c r="EL150">
        <v>1.8646799999999999</v>
      </c>
      <c r="EM150">
        <v>1.8692</v>
      </c>
      <c r="EN150">
        <v>1.8672500000000001</v>
      </c>
      <c r="EO150">
        <v>1.86341</v>
      </c>
      <c r="EP150">
        <v>1.86459</v>
      </c>
      <c r="EQ150">
        <v>1.87016</v>
      </c>
      <c r="ER150">
        <v>1.8694900000000001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-0.161</v>
      </c>
      <c r="FG150">
        <v>0.19259999999999999</v>
      </c>
      <c r="FH150">
        <v>0.16202357103534001</v>
      </c>
      <c r="FI150">
        <v>-6.1462078757559423E-4</v>
      </c>
      <c r="FJ150">
        <v>-1.8861989874597051E-7</v>
      </c>
      <c r="FK150">
        <v>1.1980462299894961E-10</v>
      </c>
      <c r="FL150">
        <v>0.19260234566371101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29.7</v>
      </c>
      <c r="FU150">
        <v>29.7</v>
      </c>
      <c r="FV150">
        <v>1.7785599999999999</v>
      </c>
      <c r="FW150">
        <v>2.5769000000000002</v>
      </c>
      <c r="FX150">
        <v>1.5490699999999999</v>
      </c>
      <c r="FY150">
        <v>2.3290999999999999</v>
      </c>
      <c r="FZ150">
        <v>1.50146</v>
      </c>
      <c r="GA150">
        <v>2.4035600000000001</v>
      </c>
      <c r="GB150">
        <v>33.8735</v>
      </c>
      <c r="GC150">
        <v>23.991199999999999</v>
      </c>
      <c r="GD150">
        <v>19</v>
      </c>
      <c r="GE150">
        <v>237.34700000000001</v>
      </c>
      <c r="GF150">
        <v>581.78599999999994</v>
      </c>
      <c r="GG150">
        <v>25.301200000000001</v>
      </c>
      <c r="GH150">
        <v>26.246500000000001</v>
      </c>
      <c r="GI150">
        <v>30</v>
      </c>
      <c r="GJ150">
        <v>26.3903</v>
      </c>
      <c r="GK150">
        <v>26.3627</v>
      </c>
      <c r="GL150">
        <v>35.564799999999998</v>
      </c>
      <c r="GM150">
        <v>-30</v>
      </c>
      <c r="GN150">
        <v>-30</v>
      </c>
      <c r="GO150">
        <v>25.311299999999999</v>
      </c>
      <c r="GP150">
        <v>800</v>
      </c>
      <c r="GQ150">
        <v>12.5298</v>
      </c>
      <c r="GR150">
        <v>99.716300000000004</v>
      </c>
      <c r="GS150">
        <v>99.528899999999993</v>
      </c>
    </row>
    <row r="151" spans="1:201" x14ac:dyDescent="0.25">
      <c r="A151">
        <v>135</v>
      </c>
      <c r="B151">
        <v>1690216634.5999999</v>
      </c>
      <c r="C151">
        <v>1689.099999904633</v>
      </c>
      <c r="D151" t="s">
        <v>603</v>
      </c>
      <c r="E151" t="s">
        <v>604</v>
      </c>
      <c r="F151" t="s">
        <v>330</v>
      </c>
      <c r="H151">
        <v>1690216634.5999999</v>
      </c>
      <c r="I151">
        <f t="shared" si="60"/>
        <v>1.7684516382087342E-3</v>
      </c>
      <c r="J151">
        <f t="shared" si="61"/>
        <v>1.7684516382087343</v>
      </c>
      <c r="K151">
        <f t="shared" si="62"/>
        <v>28.207745960232561</v>
      </c>
      <c r="L151">
        <f t="shared" si="63"/>
        <v>474.98500000000001</v>
      </c>
      <c r="M151">
        <f t="shared" si="64"/>
        <v>95.98268750805866</v>
      </c>
      <c r="N151">
        <f t="shared" si="65"/>
        <v>9.5201129278486807</v>
      </c>
      <c r="O151">
        <f t="shared" si="66"/>
        <v>47.111733964050003</v>
      </c>
      <c r="P151">
        <f t="shared" si="67"/>
        <v>0.12468218820737237</v>
      </c>
      <c r="Q151">
        <f t="shared" si="68"/>
        <v>2.0679312951387834</v>
      </c>
      <c r="R151">
        <f t="shared" si="69"/>
        <v>0.12065137032888831</v>
      </c>
      <c r="S151">
        <f t="shared" si="70"/>
        <v>7.5758404065178392E-2</v>
      </c>
      <c r="T151">
        <f t="shared" si="71"/>
        <v>276.11361038297576</v>
      </c>
      <c r="U151">
        <f t="shared" si="72"/>
        <v>28.442240633685522</v>
      </c>
      <c r="V151">
        <f t="shared" si="73"/>
        <v>28.442240633685522</v>
      </c>
      <c r="W151">
        <f t="shared" si="74"/>
        <v>3.8937821300439022</v>
      </c>
      <c r="X151">
        <f t="shared" si="75"/>
        <v>70.163972367203684</v>
      </c>
      <c r="Y151">
        <f t="shared" si="76"/>
        <v>2.4867251111220003</v>
      </c>
      <c r="Z151">
        <f t="shared" si="77"/>
        <v>3.5441623773917836</v>
      </c>
      <c r="AA151">
        <f t="shared" si="78"/>
        <v>1.4070570189219018</v>
      </c>
      <c r="AB151">
        <f t="shared" si="79"/>
        <v>-77.988717245005176</v>
      </c>
      <c r="AC151">
        <f t="shared" si="80"/>
        <v>-179.4306006060217</v>
      </c>
      <c r="AD151">
        <f t="shared" si="81"/>
        <v>-18.845352557629315</v>
      </c>
      <c r="AE151">
        <f t="shared" si="82"/>
        <v>-0.15106002568043664</v>
      </c>
      <c r="AF151">
        <v>44</v>
      </c>
      <c r="AG151">
        <v>15</v>
      </c>
      <c r="AH151">
        <f t="shared" si="83"/>
        <v>1</v>
      </c>
      <c r="AI151">
        <f t="shared" si="84"/>
        <v>0</v>
      </c>
      <c r="AJ151">
        <f t="shared" si="85"/>
        <v>52592.795971824897</v>
      </c>
      <c r="AK151">
        <f t="shared" si="86"/>
        <v>1799.99</v>
      </c>
      <c r="AL151">
        <f t="shared" si="87"/>
        <v>1499.1055651894799</v>
      </c>
      <c r="AM151">
        <f t="shared" si="88"/>
        <v>0.83284105199999992</v>
      </c>
      <c r="AN151">
        <f t="shared" si="89"/>
        <v>0.15339730241999999</v>
      </c>
      <c r="AO151">
        <v>33.6</v>
      </c>
      <c r="AP151">
        <v>0.5</v>
      </c>
      <c r="AQ151" t="s">
        <v>331</v>
      </c>
      <c r="AR151">
        <v>2</v>
      </c>
      <c r="AS151">
        <v>1690216634.5999999</v>
      </c>
      <c r="AT151">
        <v>474.98500000000001</v>
      </c>
      <c r="AU151">
        <v>800.02599999999995</v>
      </c>
      <c r="AV151">
        <v>25.071400000000001</v>
      </c>
      <c r="AW151">
        <v>5.7787499999999996</v>
      </c>
      <c r="AX151">
        <v>475.14499999999998</v>
      </c>
      <c r="AY151">
        <v>24.878799999999998</v>
      </c>
      <c r="AZ151">
        <v>300.27100000000002</v>
      </c>
      <c r="BA151">
        <v>99.085700000000003</v>
      </c>
      <c r="BB151">
        <v>0.10002999999999999</v>
      </c>
      <c r="BC151">
        <v>26.832799999999999</v>
      </c>
      <c r="BD151">
        <v>27.002400000000002</v>
      </c>
      <c r="BE151">
        <v>28.3383</v>
      </c>
      <c r="BF151">
        <v>0</v>
      </c>
      <c r="BG151">
        <v>0</v>
      </c>
      <c r="BH151">
        <v>10033.799999999999</v>
      </c>
      <c r="BI151">
        <v>1076.95</v>
      </c>
      <c r="BJ151">
        <v>1.4577199999999999</v>
      </c>
      <c r="BK151">
        <v>-325.041</v>
      </c>
      <c r="BL151">
        <v>487.2</v>
      </c>
      <c r="BM151">
        <v>804.67600000000004</v>
      </c>
      <c r="BN151">
        <v>19.2927</v>
      </c>
      <c r="BO151">
        <v>800.02599999999995</v>
      </c>
      <c r="BP151">
        <v>5.7787499999999996</v>
      </c>
      <c r="BQ151">
        <v>2.4842200000000001</v>
      </c>
      <c r="BR151">
        <v>0.57259099999999996</v>
      </c>
      <c r="BS151">
        <v>20.923500000000001</v>
      </c>
      <c r="BT151">
        <v>-0.94972599999999996</v>
      </c>
      <c r="BU151">
        <v>1799.99</v>
      </c>
      <c r="BV151">
        <v>0.91000899999999996</v>
      </c>
      <c r="BW151">
        <v>3.3997800000000002E-2</v>
      </c>
      <c r="BX151">
        <v>2.19986E-2</v>
      </c>
      <c r="BY151">
        <v>3.3994999999999997E-2</v>
      </c>
      <c r="BZ151">
        <v>26</v>
      </c>
      <c r="CA151">
        <v>33528.300000000003</v>
      </c>
      <c r="CB151">
        <v>1690214843</v>
      </c>
      <c r="CC151" t="s">
        <v>332</v>
      </c>
      <c r="CD151">
        <v>1690214842</v>
      </c>
      <c r="CE151">
        <v>1690214843</v>
      </c>
      <c r="CF151">
        <v>8</v>
      </c>
      <c r="CG151">
        <v>-6.3E-2</v>
      </c>
      <c r="CH151">
        <v>1E-3</v>
      </c>
      <c r="CI151">
        <v>-0.38900000000000001</v>
      </c>
      <c r="CJ151">
        <v>-6.6000000000000003E-2</v>
      </c>
      <c r="CK151">
        <v>800</v>
      </c>
      <c r="CL151">
        <v>6</v>
      </c>
      <c r="CM151">
        <v>0.23</v>
      </c>
      <c r="CN151">
        <v>0.02</v>
      </c>
      <c r="CO151">
        <v>-322.38375609756088</v>
      </c>
      <c r="CP151">
        <v>-14.369707317072701</v>
      </c>
      <c r="CQ151">
        <v>1.417321620048865</v>
      </c>
      <c r="CR151">
        <v>-1</v>
      </c>
      <c r="CS151">
        <v>19.184478048780491</v>
      </c>
      <c r="CT151">
        <v>0.59214564459931485</v>
      </c>
      <c r="CU151">
        <v>5.8396414491482411E-2</v>
      </c>
      <c r="CV151">
        <v>-1</v>
      </c>
      <c r="CW151">
        <v>0</v>
      </c>
      <c r="CX151">
        <v>0</v>
      </c>
      <c r="CY151" t="s">
        <v>333</v>
      </c>
      <c r="CZ151">
        <v>2.3648099999999999</v>
      </c>
      <c r="DA151">
        <v>2.7138499999999999</v>
      </c>
      <c r="DB151">
        <v>0.10183300000000001</v>
      </c>
      <c r="DC151">
        <v>0.14609</v>
      </c>
      <c r="DD151">
        <v>0.11744599999999999</v>
      </c>
      <c r="DE151">
        <v>3.8257699999999999E-2</v>
      </c>
      <c r="DF151">
        <v>32788.800000000003</v>
      </c>
      <c r="DG151">
        <v>27510.1</v>
      </c>
      <c r="DH151">
        <v>31165.599999999999</v>
      </c>
      <c r="DI151">
        <v>28072.6</v>
      </c>
      <c r="DJ151">
        <v>37335.5</v>
      </c>
      <c r="DK151">
        <v>38391</v>
      </c>
      <c r="DL151">
        <v>44350.7</v>
      </c>
      <c r="DM151">
        <v>42544.3</v>
      </c>
      <c r="DN151">
        <v>1.36252</v>
      </c>
      <c r="DO151">
        <v>2.0343300000000002</v>
      </c>
      <c r="DP151">
        <v>8.41171E-2</v>
      </c>
      <c r="DQ151">
        <v>0.18005099999999999</v>
      </c>
      <c r="DR151">
        <v>25.625299999999999</v>
      </c>
      <c r="DS151">
        <v>25.393000000000001</v>
      </c>
      <c r="DT151">
        <v>17.100000000000001</v>
      </c>
      <c r="DU151">
        <v>29.8</v>
      </c>
      <c r="DV151">
        <v>7.2691400000000002</v>
      </c>
      <c r="DW151">
        <v>61.558500000000002</v>
      </c>
      <c r="DX151">
        <v>35.889400000000002</v>
      </c>
      <c r="DY151">
        <v>1</v>
      </c>
      <c r="DZ151">
        <v>-9.0904499999999999E-2</v>
      </c>
      <c r="EA151">
        <v>-0.23879400000000001</v>
      </c>
      <c r="EB151">
        <v>20.189699999999998</v>
      </c>
      <c r="EC151">
        <v>5.2409499999999998</v>
      </c>
      <c r="ED151">
        <v>12.039899999999999</v>
      </c>
      <c r="EE151">
        <v>5.0170500000000002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1.86893</v>
      </c>
      <c r="EL151">
        <v>1.86469</v>
      </c>
      <c r="EM151">
        <v>1.8691899999999999</v>
      </c>
      <c r="EN151">
        <v>1.8672599999999999</v>
      </c>
      <c r="EO151">
        <v>1.86341</v>
      </c>
      <c r="EP151">
        <v>1.86456</v>
      </c>
      <c r="EQ151">
        <v>1.87015</v>
      </c>
      <c r="ER151">
        <v>1.86948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-0.16</v>
      </c>
      <c r="FG151">
        <v>0.19259999999999999</v>
      </c>
      <c r="FH151">
        <v>0.16202357103534001</v>
      </c>
      <c r="FI151">
        <v>-6.1462078757559423E-4</v>
      </c>
      <c r="FJ151">
        <v>-1.8861989874597051E-7</v>
      </c>
      <c r="FK151">
        <v>1.1980462299894961E-10</v>
      </c>
      <c r="FL151">
        <v>0.19260234566371101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29.9</v>
      </c>
      <c r="FU151">
        <v>29.9</v>
      </c>
      <c r="FV151">
        <v>1.7785599999999999</v>
      </c>
      <c r="FW151">
        <v>2.5781200000000002</v>
      </c>
      <c r="FX151">
        <v>1.5490699999999999</v>
      </c>
      <c r="FY151">
        <v>2.3290999999999999</v>
      </c>
      <c r="FZ151">
        <v>1.50146</v>
      </c>
      <c r="GA151">
        <v>2.3889200000000002</v>
      </c>
      <c r="GB151">
        <v>33.8735</v>
      </c>
      <c r="GC151">
        <v>23.991199999999999</v>
      </c>
      <c r="GD151">
        <v>19</v>
      </c>
      <c r="GE151">
        <v>237.471</v>
      </c>
      <c r="GF151">
        <v>581.72699999999998</v>
      </c>
      <c r="GG151">
        <v>25.3171</v>
      </c>
      <c r="GH151">
        <v>26.246500000000001</v>
      </c>
      <c r="GI151">
        <v>29.9999</v>
      </c>
      <c r="GJ151">
        <v>26.388100000000001</v>
      </c>
      <c r="GK151">
        <v>26.3611</v>
      </c>
      <c r="GL151">
        <v>35.563200000000002</v>
      </c>
      <c r="GM151">
        <v>-30</v>
      </c>
      <c r="GN151">
        <v>-30</v>
      </c>
      <c r="GO151">
        <v>25.319600000000001</v>
      </c>
      <c r="GP151">
        <v>800</v>
      </c>
      <c r="GQ151">
        <v>12.5298</v>
      </c>
      <c r="GR151">
        <v>99.715500000000006</v>
      </c>
      <c r="GS151">
        <v>99.529700000000005</v>
      </c>
    </row>
    <row r="152" spans="1:201" x14ac:dyDescent="0.25">
      <c r="A152">
        <v>136</v>
      </c>
      <c r="B152">
        <v>1690216644.5999999</v>
      </c>
      <c r="C152">
        <v>1699.099999904633</v>
      </c>
      <c r="D152" t="s">
        <v>605</v>
      </c>
      <c r="E152" t="s">
        <v>606</v>
      </c>
      <c r="F152" t="s">
        <v>330</v>
      </c>
      <c r="H152">
        <v>1690216644.5999999</v>
      </c>
      <c r="I152">
        <f t="shared" si="60"/>
        <v>1.7766811149537197E-3</v>
      </c>
      <c r="J152">
        <f t="shared" si="61"/>
        <v>1.7766811149537198</v>
      </c>
      <c r="K152">
        <f t="shared" si="62"/>
        <v>28.414739630401712</v>
      </c>
      <c r="L152">
        <f t="shared" si="63"/>
        <v>472.56900000000002</v>
      </c>
      <c r="M152">
        <f t="shared" si="64"/>
        <v>95.401120196582241</v>
      </c>
      <c r="N152">
        <f t="shared" si="65"/>
        <v>9.4628589591555166</v>
      </c>
      <c r="O152">
        <f t="shared" si="66"/>
        <v>46.874227328300996</v>
      </c>
      <c r="P152">
        <f t="shared" si="67"/>
        <v>0.12624150189991462</v>
      </c>
      <c r="Q152">
        <f t="shared" si="68"/>
        <v>2.063723593794883</v>
      </c>
      <c r="R152">
        <f t="shared" si="69"/>
        <v>0.12210290519010267</v>
      </c>
      <c r="S152">
        <f t="shared" si="70"/>
        <v>7.6674849774270956E-2</v>
      </c>
      <c r="T152">
        <f t="shared" si="71"/>
        <v>276.114773034</v>
      </c>
      <c r="U152">
        <f t="shared" si="72"/>
        <v>28.438972816880657</v>
      </c>
      <c r="V152">
        <f t="shared" si="73"/>
        <v>28.438972816880657</v>
      </c>
      <c r="W152">
        <f t="shared" si="74"/>
        <v>3.8930428492978373</v>
      </c>
      <c r="X152">
        <f t="shared" si="75"/>
        <v>70.446140635954194</v>
      </c>
      <c r="Y152">
        <f t="shared" si="76"/>
        <v>2.4962411410598002</v>
      </c>
      <c r="Z152">
        <f t="shared" si="77"/>
        <v>3.5434746581216867</v>
      </c>
      <c r="AA152">
        <f t="shared" si="78"/>
        <v>1.3968017082380371</v>
      </c>
      <c r="AB152">
        <f t="shared" si="79"/>
        <v>-78.351637169459039</v>
      </c>
      <c r="AC152">
        <f t="shared" si="80"/>
        <v>-179.06908677321113</v>
      </c>
      <c r="AD152">
        <f t="shared" si="81"/>
        <v>-18.845111849873572</v>
      </c>
      <c r="AE152">
        <f t="shared" si="82"/>
        <v>-0.1510627585437021</v>
      </c>
      <c r="AF152">
        <v>44</v>
      </c>
      <c r="AG152">
        <v>15</v>
      </c>
      <c r="AH152">
        <f t="shared" si="83"/>
        <v>1</v>
      </c>
      <c r="AI152">
        <f t="shared" si="84"/>
        <v>0</v>
      </c>
      <c r="AJ152">
        <f t="shared" si="85"/>
        <v>52400.7468964035</v>
      </c>
      <c r="AK152">
        <f t="shared" si="86"/>
        <v>1800</v>
      </c>
      <c r="AL152">
        <f t="shared" si="87"/>
        <v>1499.1129504</v>
      </c>
      <c r="AM152">
        <f t="shared" si="88"/>
        <v>0.83284052799999997</v>
      </c>
      <c r="AN152">
        <f t="shared" si="89"/>
        <v>0.15339709612999999</v>
      </c>
      <c r="AO152">
        <v>33.6</v>
      </c>
      <c r="AP152">
        <v>0.5</v>
      </c>
      <c r="AQ152" t="s">
        <v>331</v>
      </c>
      <c r="AR152">
        <v>2</v>
      </c>
      <c r="AS152">
        <v>1690216644.5999999</v>
      </c>
      <c r="AT152">
        <v>472.56900000000002</v>
      </c>
      <c r="AU152">
        <v>800.03099999999995</v>
      </c>
      <c r="AV152">
        <v>25.1662</v>
      </c>
      <c r="AW152">
        <v>5.7792000000000003</v>
      </c>
      <c r="AX152">
        <v>472.72699999999998</v>
      </c>
      <c r="AY152">
        <v>24.973600000000001</v>
      </c>
      <c r="AZ152">
        <v>300.17099999999999</v>
      </c>
      <c r="BA152">
        <v>99.090199999999996</v>
      </c>
      <c r="BB152">
        <v>0.10002900000000001</v>
      </c>
      <c r="BC152">
        <v>26.829499999999999</v>
      </c>
      <c r="BD152">
        <v>27.008700000000001</v>
      </c>
      <c r="BE152">
        <v>28.319099999999999</v>
      </c>
      <c r="BF152">
        <v>0</v>
      </c>
      <c r="BG152">
        <v>0</v>
      </c>
      <c r="BH152">
        <v>9995</v>
      </c>
      <c r="BI152">
        <v>1077.01</v>
      </c>
      <c r="BJ152">
        <v>1.4577199999999999</v>
      </c>
      <c r="BK152">
        <v>-327.46199999999999</v>
      </c>
      <c r="BL152">
        <v>484.76799999999997</v>
      </c>
      <c r="BM152">
        <v>804.68100000000004</v>
      </c>
      <c r="BN152">
        <v>19.387</v>
      </c>
      <c r="BO152">
        <v>800.03099999999995</v>
      </c>
      <c r="BP152">
        <v>5.7792000000000003</v>
      </c>
      <c r="BQ152">
        <v>2.4937299999999998</v>
      </c>
      <c r="BR152">
        <v>0.572662</v>
      </c>
      <c r="BS152">
        <v>20.985600000000002</v>
      </c>
      <c r="BT152">
        <v>-0.94803400000000004</v>
      </c>
      <c r="BU152">
        <v>1800</v>
      </c>
      <c r="BV152">
        <v>0.91001100000000001</v>
      </c>
      <c r="BW152">
        <v>3.3996699999999998E-2</v>
      </c>
      <c r="BX152">
        <v>2.1997900000000001E-2</v>
      </c>
      <c r="BY152">
        <v>3.3993900000000001E-2</v>
      </c>
      <c r="BZ152">
        <v>26</v>
      </c>
      <c r="CA152">
        <v>33528.400000000001</v>
      </c>
      <c r="CB152">
        <v>1690214843</v>
      </c>
      <c r="CC152" t="s">
        <v>332</v>
      </c>
      <c r="CD152">
        <v>1690214842</v>
      </c>
      <c r="CE152">
        <v>1690214843</v>
      </c>
      <c r="CF152">
        <v>8</v>
      </c>
      <c r="CG152">
        <v>-6.3E-2</v>
      </c>
      <c r="CH152">
        <v>1E-3</v>
      </c>
      <c r="CI152">
        <v>-0.38900000000000001</v>
      </c>
      <c r="CJ152">
        <v>-6.6000000000000003E-2</v>
      </c>
      <c r="CK152">
        <v>800</v>
      </c>
      <c r="CL152">
        <v>6</v>
      </c>
      <c r="CM152">
        <v>0.23</v>
      </c>
      <c r="CN152">
        <v>0.02</v>
      </c>
      <c r="CO152">
        <v>-324.77382926829267</v>
      </c>
      <c r="CP152">
        <v>-14.381331010453289</v>
      </c>
      <c r="CQ152">
        <v>1.418495921096623</v>
      </c>
      <c r="CR152">
        <v>-1</v>
      </c>
      <c r="CS152">
        <v>19.282114634146339</v>
      </c>
      <c r="CT152">
        <v>0.57526411149830925</v>
      </c>
      <c r="CU152">
        <v>5.6725348405236291E-2</v>
      </c>
      <c r="CV152">
        <v>-1</v>
      </c>
      <c r="CW152">
        <v>0</v>
      </c>
      <c r="CX152">
        <v>0</v>
      </c>
      <c r="CY152" t="s">
        <v>333</v>
      </c>
      <c r="CZ152">
        <v>2.36449</v>
      </c>
      <c r="DA152">
        <v>2.7138200000000001</v>
      </c>
      <c r="DB152">
        <v>0.101455</v>
      </c>
      <c r="DC152">
        <v>0.146097</v>
      </c>
      <c r="DD152">
        <v>0.11776300000000001</v>
      </c>
      <c r="DE152">
        <v>3.8261999999999997E-2</v>
      </c>
      <c r="DF152">
        <v>32802.5</v>
      </c>
      <c r="DG152">
        <v>27510</v>
      </c>
      <c r="DH152">
        <v>31165.4</v>
      </c>
      <c r="DI152">
        <v>28072.7</v>
      </c>
      <c r="DJ152">
        <v>37321.599999999999</v>
      </c>
      <c r="DK152">
        <v>38390.9</v>
      </c>
      <c r="DL152">
        <v>44350.400000000001</v>
      </c>
      <c r="DM152">
        <v>42544.4</v>
      </c>
      <c r="DN152">
        <v>1.36208</v>
      </c>
      <c r="DO152">
        <v>2.0342799999999999</v>
      </c>
      <c r="DP152">
        <v>8.4362900000000005E-2</v>
      </c>
      <c r="DQ152">
        <v>0.17865</v>
      </c>
      <c r="DR152">
        <v>25.627500000000001</v>
      </c>
      <c r="DS152">
        <v>25.396799999999999</v>
      </c>
      <c r="DT152">
        <v>17.100000000000001</v>
      </c>
      <c r="DU152">
        <v>29.8</v>
      </c>
      <c r="DV152">
        <v>7.2686599999999997</v>
      </c>
      <c r="DW152">
        <v>61.4285</v>
      </c>
      <c r="DX152">
        <v>36.161900000000003</v>
      </c>
      <c r="DY152">
        <v>1</v>
      </c>
      <c r="DZ152">
        <v>-9.0622499999999995E-2</v>
      </c>
      <c r="EA152">
        <v>-0.17718400000000001</v>
      </c>
      <c r="EB152">
        <v>20.189699999999998</v>
      </c>
      <c r="EC152">
        <v>5.2415500000000002</v>
      </c>
      <c r="ED152">
        <v>12.039899999999999</v>
      </c>
      <c r="EE152">
        <v>5.0167999999999999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1.86893</v>
      </c>
      <c r="EL152">
        <v>1.8646400000000001</v>
      </c>
      <c r="EM152">
        <v>1.8691899999999999</v>
      </c>
      <c r="EN152">
        <v>1.8672599999999999</v>
      </c>
      <c r="EO152">
        <v>1.8633999999999999</v>
      </c>
      <c r="EP152">
        <v>1.8645799999999999</v>
      </c>
      <c r="EQ152">
        <v>1.87018</v>
      </c>
      <c r="ER152">
        <v>1.86947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-0.158</v>
      </c>
      <c r="FG152">
        <v>0.19259999999999999</v>
      </c>
      <c r="FH152">
        <v>0.16202357103534001</v>
      </c>
      <c r="FI152">
        <v>-6.1462078757559423E-4</v>
      </c>
      <c r="FJ152">
        <v>-1.8861989874597051E-7</v>
      </c>
      <c r="FK152">
        <v>1.1980462299894961E-10</v>
      </c>
      <c r="FL152">
        <v>0.19260234566371101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30</v>
      </c>
      <c r="FU152">
        <v>30</v>
      </c>
      <c r="FV152">
        <v>1.7785599999999999</v>
      </c>
      <c r="FW152">
        <v>2.5769000000000002</v>
      </c>
      <c r="FX152">
        <v>1.5490699999999999</v>
      </c>
      <c r="FY152">
        <v>2.3290999999999999</v>
      </c>
      <c r="FZ152">
        <v>1.50146</v>
      </c>
      <c r="GA152">
        <v>2.3877000000000002</v>
      </c>
      <c r="GB152">
        <v>33.850900000000003</v>
      </c>
      <c r="GC152">
        <v>23.991199999999999</v>
      </c>
      <c r="GD152">
        <v>19</v>
      </c>
      <c r="GE152">
        <v>237.30199999999999</v>
      </c>
      <c r="GF152">
        <v>581.67999999999995</v>
      </c>
      <c r="GG152">
        <v>25.3141</v>
      </c>
      <c r="GH152">
        <v>26.244299999999999</v>
      </c>
      <c r="GI152">
        <v>30.0002</v>
      </c>
      <c r="GJ152">
        <v>26.388100000000001</v>
      </c>
      <c r="GK152">
        <v>26.360499999999998</v>
      </c>
      <c r="GL152">
        <v>35.562199999999997</v>
      </c>
      <c r="GM152">
        <v>-30</v>
      </c>
      <c r="GN152">
        <v>-30</v>
      </c>
      <c r="GO152">
        <v>25.2986</v>
      </c>
      <c r="GP152">
        <v>800</v>
      </c>
      <c r="GQ152">
        <v>12.5298</v>
      </c>
      <c r="GR152">
        <v>99.714799999999997</v>
      </c>
      <c r="GS152">
        <v>99.529899999999998</v>
      </c>
    </row>
    <row r="153" spans="1:201" x14ac:dyDescent="0.25">
      <c r="A153">
        <v>137</v>
      </c>
      <c r="B153">
        <v>1690216654.5999999</v>
      </c>
      <c r="C153">
        <v>1709.099999904633</v>
      </c>
      <c r="D153" t="s">
        <v>607</v>
      </c>
      <c r="E153" t="s">
        <v>608</v>
      </c>
      <c r="F153" t="s">
        <v>330</v>
      </c>
      <c r="H153">
        <v>1690216654.5999999</v>
      </c>
      <c r="I153">
        <f t="shared" si="60"/>
        <v>1.7852056728838374E-3</v>
      </c>
      <c r="J153">
        <f t="shared" si="61"/>
        <v>1.7852056728838375</v>
      </c>
      <c r="K153">
        <f t="shared" si="62"/>
        <v>28.612856277122049</v>
      </c>
      <c r="L153">
        <f t="shared" si="63"/>
        <v>470.34100000000001</v>
      </c>
      <c r="M153">
        <f t="shared" si="64"/>
        <v>95.056459833271688</v>
      </c>
      <c r="N153">
        <f t="shared" si="65"/>
        <v>9.4283713361977775</v>
      </c>
      <c r="O153">
        <f t="shared" si="66"/>
        <v>46.651743715437803</v>
      </c>
      <c r="P153">
        <f t="shared" si="67"/>
        <v>0.12779265051800678</v>
      </c>
      <c r="Q153">
        <f t="shared" si="68"/>
        <v>2.0616259619744155</v>
      </c>
      <c r="R153">
        <f t="shared" si="69"/>
        <v>0.12354940452175835</v>
      </c>
      <c r="S153">
        <f t="shared" si="70"/>
        <v>7.7587879427567646E-2</v>
      </c>
      <c r="T153">
        <f t="shared" si="71"/>
        <v>276.11490855600005</v>
      </c>
      <c r="U153">
        <f t="shared" si="72"/>
        <v>28.435696844892544</v>
      </c>
      <c r="V153">
        <f t="shared" si="73"/>
        <v>28.435696844892544</v>
      </c>
      <c r="W153">
        <f t="shared" si="74"/>
        <v>3.8923018464887655</v>
      </c>
      <c r="X153">
        <f t="shared" si="75"/>
        <v>70.709883919729677</v>
      </c>
      <c r="Y153">
        <f t="shared" si="76"/>
        <v>2.5053363389224605</v>
      </c>
      <c r="Z153">
        <f t="shared" si="77"/>
        <v>3.5431204239658132</v>
      </c>
      <c r="AA153">
        <f t="shared" si="78"/>
        <v>1.386965507566305</v>
      </c>
      <c r="AB153">
        <f t="shared" si="79"/>
        <v>-78.727570174177231</v>
      </c>
      <c r="AC153">
        <f t="shared" si="80"/>
        <v>-178.71191189338435</v>
      </c>
      <c r="AD153">
        <f t="shared" si="81"/>
        <v>-18.826191320544563</v>
      </c>
      <c r="AE153">
        <f t="shared" si="82"/>
        <v>-0.15076483210611968</v>
      </c>
      <c r="AF153">
        <v>44</v>
      </c>
      <c r="AG153">
        <v>15</v>
      </c>
      <c r="AH153">
        <f t="shared" si="83"/>
        <v>1</v>
      </c>
      <c r="AI153">
        <f t="shared" si="84"/>
        <v>0</v>
      </c>
      <c r="AJ153">
        <f t="shared" si="85"/>
        <v>52305.086681134046</v>
      </c>
      <c r="AK153">
        <f t="shared" si="86"/>
        <v>1800</v>
      </c>
      <c r="AL153">
        <f t="shared" si="87"/>
        <v>1499.1141995999999</v>
      </c>
      <c r="AM153">
        <f t="shared" si="88"/>
        <v>0.83284122199999999</v>
      </c>
      <c r="AN153">
        <f t="shared" si="89"/>
        <v>0.15339717142000003</v>
      </c>
      <c r="AO153">
        <v>33.6</v>
      </c>
      <c r="AP153">
        <v>0.5</v>
      </c>
      <c r="AQ153" t="s">
        <v>331</v>
      </c>
      <c r="AR153">
        <v>2</v>
      </c>
      <c r="AS153">
        <v>1690216654.5999999</v>
      </c>
      <c r="AT153">
        <v>470.34100000000001</v>
      </c>
      <c r="AU153">
        <v>800.03</v>
      </c>
      <c r="AV153">
        <v>25.258700000000001</v>
      </c>
      <c r="AW153">
        <v>5.7800099999999999</v>
      </c>
      <c r="AX153">
        <v>470.49799999999999</v>
      </c>
      <c r="AY153">
        <v>25.066099999999999</v>
      </c>
      <c r="AZ153">
        <v>300.16300000000001</v>
      </c>
      <c r="BA153">
        <v>99.087100000000007</v>
      </c>
      <c r="BB153">
        <v>9.9965799999999994E-2</v>
      </c>
      <c r="BC153">
        <v>26.8278</v>
      </c>
      <c r="BD153">
        <v>27.000599999999999</v>
      </c>
      <c r="BE153">
        <v>28.3443</v>
      </c>
      <c r="BF153">
        <v>0</v>
      </c>
      <c r="BG153">
        <v>0</v>
      </c>
      <c r="BH153">
        <v>9976.25</v>
      </c>
      <c r="BI153">
        <v>1076.94</v>
      </c>
      <c r="BJ153">
        <v>1.4577199999999999</v>
      </c>
      <c r="BK153">
        <v>-329.68900000000002</v>
      </c>
      <c r="BL153">
        <v>482.529</v>
      </c>
      <c r="BM153">
        <v>804.68100000000004</v>
      </c>
      <c r="BN153">
        <v>19.4787</v>
      </c>
      <c r="BO153">
        <v>800.03</v>
      </c>
      <c r="BP153">
        <v>5.7800099999999999</v>
      </c>
      <c r="BQ153">
        <v>2.5028100000000002</v>
      </c>
      <c r="BR153">
        <v>0.57272500000000004</v>
      </c>
      <c r="BS153">
        <v>21.044799999999999</v>
      </c>
      <c r="BT153">
        <v>-0.94653699999999996</v>
      </c>
      <c r="BU153">
        <v>1800</v>
      </c>
      <c r="BV153">
        <v>0.91001299999999996</v>
      </c>
      <c r="BW153">
        <v>3.3996199999999997E-2</v>
      </c>
      <c r="BX153">
        <v>2.1997599999999999E-2</v>
      </c>
      <c r="BY153">
        <v>3.39934E-2</v>
      </c>
      <c r="BZ153">
        <v>26</v>
      </c>
      <c r="CA153">
        <v>33528.400000000001</v>
      </c>
      <c r="CB153">
        <v>1690214843</v>
      </c>
      <c r="CC153" t="s">
        <v>332</v>
      </c>
      <c r="CD153">
        <v>1690214842</v>
      </c>
      <c r="CE153">
        <v>1690214843</v>
      </c>
      <c r="CF153">
        <v>8</v>
      </c>
      <c r="CG153">
        <v>-6.3E-2</v>
      </c>
      <c r="CH153">
        <v>1E-3</v>
      </c>
      <c r="CI153">
        <v>-0.38900000000000001</v>
      </c>
      <c r="CJ153">
        <v>-6.6000000000000003E-2</v>
      </c>
      <c r="CK153">
        <v>800</v>
      </c>
      <c r="CL153">
        <v>6</v>
      </c>
      <c r="CM153">
        <v>0.23</v>
      </c>
      <c r="CN153">
        <v>0.02</v>
      </c>
      <c r="CO153">
        <v>-327.13604878048778</v>
      </c>
      <c r="CP153">
        <v>-13.936975609756329</v>
      </c>
      <c r="CQ153">
        <v>1.374840300281819</v>
      </c>
      <c r="CR153">
        <v>-1</v>
      </c>
      <c r="CS153">
        <v>19.37733658536585</v>
      </c>
      <c r="CT153">
        <v>0.5653337979094103</v>
      </c>
      <c r="CU153">
        <v>5.5747478368423302E-2</v>
      </c>
      <c r="CV153">
        <v>-1</v>
      </c>
      <c r="CW153">
        <v>0</v>
      </c>
      <c r="CX153">
        <v>0</v>
      </c>
      <c r="CY153" t="s">
        <v>333</v>
      </c>
      <c r="CZ153">
        <v>2.3644500000000002</v>
      </c>
      <c r="DA153">
        <v>2.71374</v>
      </c>
      <c r="DB153">
        <v>0.1011</v>
      </c>
      <c r="DC153">
        <v>0.146093</v>
      </c>
      <c r="DD153">
        <v>0.118064</v>
      </c>
      <c r="DE153">
        <v>3.8265399999999998E-2</v>
      </c>
      <c r="DF153">
        <v>32815.599999999999</v>
      </c>
      <c r="DG153">
        <v>27510</v>
      </c>
      <c r="DH153">
        <v>31165.599999999999</v>
      </c>
      <c r="DI153">
        <v>28072.6</v>
      </c>
      <c r="DJ153">
        <v>37308.9</v>
      </c>
      <c r="DK153">
        <v>38390.6</v>
      </c>
      <c r="DL153">
        <v>44350.7</v>
      </c>
      <c r="DM153">
        <v>42544.3</v>
      </c>
      <c r="DN153">
        <v>1.36205</v>
      </c>
      <c r="DO153">
        <v>2.0342500000000001</v>
      </c>
      <c r="DP153">
        <v>8.3871200000000007E-2</v>
      </c>
      <c r="DQ153">
        <v>0.18016199999999999</v>
      </c>
      <c r="DR153">
        <v>25.627500000000001</v>
      </c>
      <c r="DS153">
        <v>25.397300000000001</v>
      </c>
      <c r="DT153">
        <v>17.100000000000001</v>
      </c>
      <c r="DU153">
        <v>29.8</v>
      </c>
      <c r="DV153">
        <v>7.2676499999999997</v>
      </c>
      <c r="DW153">
        <v>61.838500000000003</v>
      </c>
      <c r="DX153">
        <v>36.181899999999999</v>
      </c>
      <c r="DY153">
        <v>1</v>
      </c>
      <c r="DZ153">
        <v>-9.1168700000000005E-2</v>
      </c>
      <c r="EA153">
        <v>-0.16065399999999999</v>
      </c>
      <c r="EB153">
        <v>20.189699999999998</v>
      </c>
      <c r="EC153">
        <v>5.2411000000000003</v>
      </c>
      <c r="ED153">
        <v>12.039899999999999</v>
      </c>
      <c r="EE153">
        <v>5.0169499999999996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1.86893</v>
      </c>
      <c r="EL153">
        <v>1.86469</v>
      </c>
      <c r="EM153">
        <v>1.8692</v>
      </c>
      <c r="EN153">
        <v>1.8672500000000001</v>
      </c>
      <c r="EO153">
        <v>1.8633999999999999</v>
      </c>
      <c r="EP153">
        <v>1.8646</v>
      </c>
      <c r="EQ153">
        <v>1.87018</v>
      </c>
      <c r="ER153">
        <v>1.8694900000000001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-0.157</v>
      </c>
      <c r="FG153">
        <v>0.19259999999999999</v>
      </c>
      <c r="FH153">
        <v>0.16202357103534001</v>
      </c>
      <c r="FI153">
        <v>-6.1462078757559423E-4</v>
      </c>
      <c r="FJ153">
        <v>-1.8861989874597051E-7</v>
      </c>
      <c r="FK153">
        <v>1.1980462299894961E-10</v>
      </c>
      <c r="FL153">
        <v>0.19260234566371101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30.2</v>
      </c>
      <c r="FU153">
        <v>30.2</v>
      </c>
      <c r="FV153">
        <v>1.7785599999999999</v>
      </c>
      <c r="FW153">
        <v>2.5817899999999998</v>
      </c>
      <c r="FX153">
        <v>1.5490699999999999</v>
      </c>
      <c r="FY153">
        <v>2.3290999999999999</v>
      </c>
      <c r="FZ153">
        <v>1.50146</v>
      </c>
      <c r="GA153">
        <v>2.3925800000000002</v>
      </c>
      <c r="GB153">
        <v>33.8735</v>
      </c>
      <c r="GC153">
        <v>23.991199999999999</v>
      </c>
      <c r="GD153">
        <v>19</v>
      </c>
      <c r="GE153">
        <v>237.285</v>
      </c>
      <c r="GF153">
        <v>581.64</v>
      </c>
      <c r="GG153">
        <v>25.2913</v>
      </c>
      <c r="GH153">
        <v>26.244299999999999</v>
      </c>
      <c r="GI153">
        <v>30.0001</v>
      </c>
      <c r="GJ153">
        <v>26.3858</v>
      </c>
      <c r="GK153">
        <v>26.358899999999998</v>
      </c>
      <c r="GL153">
        <v>35.559800000000003</v>
      </c>
      <c r="GM153">
        <v>-30</v>
      </c>
      <c r="GN153">
        <v>-30</v>
      </c>
      <c r="GO153">
        <v>25.29</v>
      </c>
      <c r="GP153">
        <v>800</v>
      </c>
      <c r="GQ153">
        <v>12.5298</v>
      </c>
      <c r="GR153">
        <v>99.715400000000002</v>
      </c>
      <c r="GS153">
        <v>99.529600000000002</v>
      </c>
    </row>
    <row r="154" spans="1:201" x14ac:dyDescent="0.25">
      <c r="A154">
        <v>138</v>
      </c>
      <c r="B154">
        <v>1690216664.5999999</v>
      </c>
      <c r="C154">
        <v>1719.099999904633</v>
      </c>
      <c r="D154" t="s">
        <v>609</v>
      </c>
      <c r="E154" t="s">
        <v>610</v>
      </c>
      <c r="F154" t="s">
        <v>330</v>
      </c>
      <c r="H154">
        <v>1690216664.5999999</v>
      </c>
      <c r="I154">
        <f t="shared" si="60"/>
        <v>1.7936402766964813E-3</v>
      </c>
      <c r="J154">
        <f t="shared" si="61"/>
        <v>1.7936402766964812</v>
      </c>
      <c r="K154">
        <f t="shared" si="62"/>
        <v>28.821789588066331</v>
      </c>
      <c r="L154">
        <f t="shared" si="63"/>
        <v>467.96800000000002</v>
      </c>
      <c r="M154">
        <f t="shared" si="64"/>
        <v>94.570848420617637</v>
      </c>
      <c r="N154">
        <f t="shared" si="65"/>
        <v>9.3803901536930034</v>
      </c>
      <c r="O154">
        <f t="shared" si="66"/>
        <v>46.417289183232</v>
      </c>
      <c r="P154">
        <f t="shared" si="67"/>
        <v>0.12940722911130034</v>
      </c>
      <c r="Q154">
        <f t="shared" si="68"/>
        <v>2.0609584428061272</v>
      </c>
      <c r="R154">
        <f t="shared" si="69"/>
        <v>0.12505669016506629</v>
      </c>
      <c r="S154">
        <f t="shared" si="70"/>
        <v>7.8539125517936764E-2</v>
      </c>
      <c r="T154">
        <f t="shared" si="71"/>
        <v>276.11316825143211</v>
      </c>
      <c r="U154">
        <f t="shared" si="72"/>
        <v>28.429329046867736</v>
      </c>
      <c r="V154">
        <f t="shared" si="73"/>
        <v>28.429329046867736</v>
      </c>
      <c r="W154">
        <f t="shared" si="74"/>
        <v>3.8908618454146149</v>
      </c>
      <c r="X154">
        <f t="shared" si="75"/>
        <v>70.974893329288875</v>
      </c>
      <c r="Y154">
        <f t="shared" si="76"/>
        <v>2.5141640291328002</v>
      </c>
      <c r="Z154">
        <f t="shared" si="77"/>
        <v>3.5423287182247756</v>
      </c>
      <c r="AA154">
        <f t="shared" si="78"/>
        <v>1.3766978162818146</v>
      </c>
      <c r="AB154">
        <f t="shared" si="79"/>
        <v>-79.099536202314823</v>
      </c>
      <c r="AC154">
        <f t="shared" si="80"/>
        <v>-178.36873899386342</v>
      </c>
      <c r="AD154">
        <f t="shared" si="81"/>
        <v>-18.795172071668063</v>
      </c>
      <c r="AE154">
        <f t="shared" si="82"/>
        <v>-0.15027901641417429</v>
      </c>
      <c r="AF154">
        <v>43</v>
      </c>
      <c r="AG154">
        <v>14</v>
      </c>
      <c r="AH154">
        <f t="shared" si="83"/>
        <v>1</v>
      </c>
      <c r="AI154">
        <f t="shared" si="84"/>
        <v>0</v>
      </c>
      <c r="AJ154">
        <f t="shared" si="85"/>
        <v>52275.300762429717</v>
      </c>
      <c r="AK154">
        <f t="shared" si="86"/>
        <v>1799.99</v>
      </c>
      <c r="AL154">
        <f t="shared" si="87"/>
        <v>1499.10532579081</v>
      </c>
      <c r="AM154">
        <f t="shared" si="88"/>
        <v>0.83284091900000001</v>
      </c>
      <c r="AN154">
        <f t="shared" si="89"/>
        <v>0.15339705679000001</v>
      </c>
      <c r="AO154">
        <v>33.6</v>
      </c>
      <c r="AP154">
        <v>0.5</v>
      </c>
      <c r="AQ154" t="s">
        <v>331</v>
      </c>
      <c r="AR154">
        <v>2</v>
      </c>
      <c r="AS154">
        <v>1690216664.5999999</v>
      </c>
      <c r="AT154">
        <v>467.96800000000002</v>
      </c>
      <c r="AU154">
        <v>799.96600000000001</v>
      </c>
      <c r="AV154">
        <v>25.347200000000001</v>
      </c>
      <c r="AW154">
        <v>5.77982</v>
      </c>
      <c r="AX154">
        <v>468.12299999999999</v>
      </c>
      <c r="AY154">
        <v>25.154599999999999</v>
      </c>
      <c r="AZ154">
        <v>300.18700000000001</v>
      </c>
      <c r="BA154">
        <v>99.088999999999999</v>
      </c>
      <c r="BB154">
        <v>0.100024</v>
      </c>
      <c r="BC154">
        <v>26.824000000000002</v>
      </c>
      <c r="BD154">
        <v>26.989599999999999</v>
      </c>
      <c r="BE154">
        <v>28.317</v>
      </c>
      <c r="BF154">
        <v>0</v>
      </c>
      <c r="BG154">
        <v>0</v>
      </c>
      <c r="BH154">
        <v>9970</v>
      </c>
      <c r="BI154">
        <v>1076.98</v>
      </c>
      <c r="BJ154">
        <v>1.4577199999999999</v>
      </c>
      <c r="BK154">
        <v>-331.99900000000002</v>
      </c>
      <c r="BL154">
        <v>480.13799999999998</v>
      </c>
      <c r="BM154">
        <v>804.61699999999996</v>
      </c>
      <c r="BN154">
        <v>19.567399999999999</v>
      </c>
      <c r="BO154">
        <v>799.96600000000001</v>
      </c>
      <c r="BP154">
        <v>5.77982</v>
      </c>
      <c r="BQ154">
        <v>2.5116299999999998</v>
      </c>
      <c r="BR154">
        <v>0.572716</v>
      </c>
      <c r="BS154">
        <v>21.102</v>
      </c>
      <c r="BT154">
        <v>-0.94673600000000002</v>
      </c>
      <c r="BU154">
        <v>1799.99</v>
      </c>
      <c r="BV154">
        <v>0.91001399999999999</v>
      </c>
      <c r="BW154">
        <v>3.3995600000000001E-2</v>
      </c>
      <c r="BX154">
        <v>2.1997200000000001E-2</v>
      </c>
      <c r="BY154">
        <v>3.39929E-2</v>
      </c>
      <c r="BZ154">
        <v>26</v>
      </c>
      <c r="CA154">
        <v>33528.300000000003</v>
      </c>
      <c r="CB154">
        <v>1690214843</v>
      </c>
      <c r="CC154" t="s">
        <v>332</v>
      </c>
      <c r="CD154">
        <v>1690214842</v>
      </c>
      <c r="CE154">
        <v>1690214843</v>
      </c>
      <c r="CF154">
        <v>8</v>
      </c>
      <c r="CG154">
        <v>-6.3E-2</v>
      </c>
      <c r="CH154">
        <v>1E-3</v>
      </c>
      <c r="CI154">
        <v>-0.38900000000000001</v>
      </c>
      <c r="CJ154">
        <v>-6.6000000000000003E-2</v>
      </c>
      <c r="CK154">
        <v>800</v>
      </c>
      <c r="CL154">
        <v>6</v>
      </c>
      <c r="CM154">
        <v>0.23</v>
      </c>
      <c r="CN154">
        <v>0.02</v>
      </c>
      <c r="CO154">
        <v>-329.62847499999998</v>
      </c>
      <c r="CP154">
        <v>-13.82867166979317</v>
      </c>
      <c r="CQ154">
        <v>1.3306029270127899</v>
      </c>
      <c r="CR154">
        <v>-1</v>
      </c>
      <c r="CS154">
        <v>19.477844999999999</v>
      </c>
      <c r="CT154">
        <v>0.55360075046902102</v>
      </c>
      <c r="CU154">
        <v>5.3269747277418157E-2</v>
      </c>
      <c r="CV154">
        <v>-1</v>
      </c>
      <c r="CW154">
        <v>0</v>
      </c>
      <c r="CX154">
        <v>0</v>
      </c>
      <c r="CY154" t="s">
        <v>333</v>
      </c>
      <c r="CZ154">
        <v>2.3645499999999999</v>
      </c>
      <c r="DA154">
        <v>2.7137899999999999</v>
      </c>
      <c r="DB154">
        <v>0.10072399999999999</v>
      </c>
      <c r="DC154">
        <v>0.146088</v>
      </c>
      <c r="DD154">
        <v>0.118356</v>
      </c>
      <c r="DE154">
        <v>3.8265E-2</v>
      </c>
      <c r="DF154">
        <v>32829.4</v>
      </c>
      <c r="DG154">
        <v>27510.2</v>
      </c>
      <c r="DH154">
        <v>31165.7</v>
      </c>
      <c r="DI154">
        <v>28072.6</v>
      </c>
      <c r="DJ154">
        <v>37296.400000000001</v>
      </c>
      <c r="DK154">
        <v>38390.699999999997</v>
      </c>
      <c r="DL154">
        <v>44350.7</v>
      </c>
      <c r="DM154">
        <v>42544.3</v>
      </c>
      <c r="DN154">
        <v>1.36263</v>
      </c>
      <c r="DO154">
        <v>2.0346799999999998</v>
      </c>
      <c r="DP154">
        <v>8.3066500000000001E-2</v>
      </c>
      <c r="DQ154">
        <v>0.17848600000000001</v>
      </c>
      <c r="DR154">
        <v>25.6296</v>
      </c>
      <c r="DS154">
        <v>25.397300000000001</v>
      </c>
      <c r="DT154">
        <v>17.100000000000001</v>
      </c>
      <c r="DU154">
        <v>29.8</v>
      </c>
      <c r="DV154">
        <v>7.2672299999999996</v>
      </c>
      <c r="DW154">
        <v>61.768500000000003</v>
      </c>
      <c r="DX154">
        <v>36.089700000000001</v>
      </c>
      <c r="DY154">
        <v>1</v>
      </c>
      <c r="DZ154">
        <v>-9.1186500000000004E-2</v>
      </c>
      <c r="EA154">
        <v>-0.21891099999999999</v>
      </c>
      <c r="EB154">
        <v>20.189699999999998</v>
      </c>
      <c r="EC154">
        <v>5.2416999999999998</v>
      </c>
      <c r="ED154">
        <v>12.039899999999999</v>
      </c>
      <c r="EE154">
        <v>5.0170000000000003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1.8689100000000001</v>
      </c>
      <c r="EL154">
        <v>1.86467</v>
      </c>
      <c r="EM154">
        <v>1.8692</v>
      </c>
      <c r="EN154">
        <v>1.86724</v>
      </c>
      <c r="EO154">
        <v>1.86341</v>
      </c>
      <c r="EP154">
        <v>1.8645799999999999</v>
      </c>
      <c r="EQ154">
        <v>1.87018</v>
      </c>
      <c r="ER154">
        <v>1.8694999999999999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-0.155</v>
      </c>
      <c r="FG154">
        <v>0.19259999999999999</v>
      </c>
      <c r="FH154">
        <v>0.16202357103534001</v>
      </c>
      <c r="FI154">
        <v>-6.1462078757559423E-4</v>
      </c>
      <c r="FJ154">
        <v>-1.8861989874597051E-7</v>
      </c>
      <c r="FK154">
        <v>1.1980462299894961E-10</v>
      </c>
      <c r="FL154">
        <v>0.19260234566371101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30.4</v>
      </c>
      <c r="FU154">
        <v>30.4</v>
      </c>
      <c r="FV154">
        <v>1.7785599999999999</v>
      </c>
      <c r="FW154">
        <v>2.5769000000000002</v>
      </c>
      <c r="FX154">
        <v>1.5490699999999999</v>
      </c>
      <c r="FY154">
        <v>2.3290999999999999</v>
      </c>
      <c r="FZ154">
        <v>1.50146</v>
      </c>
      <c r="GA154">
        <v>2.3999000000000001</v>
      </c>
      <c r="GB154">
        <v>33.8735</v>
      </c>
      <c r="GC154">
        <v>23.991199999999999</v>
      </c>
      <c r="GD154">
        <v>19</v>
      </c>
      <c r="GE154">
        <v>237.501</v>
      </c>
      <c r="GF154">
        <v>581.99</v>
      </c>
      <c r="GG154">
        <v>25.2943</v>
      </c>
      <c r="GH154">
        <v>26.243099999999998</v>
      </c>
      <c r="GI154">
        <v>29.9999</v>
      </c>
      <c r="GJ154">
        <v>26.3858</v>
      </c>
      <c r="GK154">
        <v>26.358899999999998</v>
      </c>
      <c r="GL154">
        <v>35.562399999999997</v>
      </c>
      <c r="GM154">
        <v>-30</v>
      </c>
      <c r="GN154">
        <v>-30</v>
      </c>
      <c r="GO154">
        <v>25.3034</v>
      </c>
      <c r="GP154">
        <v>800</v>
      </c>
      <c r="GQ154">
        <v>12.5298</v>
      </c>
      <c r="GR154">
        <v>99.715599999999995</v>
      </c>
      <c r="GS154">
        <v>99.529700000000005</v>
      </c>
    </row>
    <row r="155" spans="1:201" x14ac:dyDescent="0.25">
      <c r="A155">
        <v>139</v>
      </c>
      <c r="B155">
        <v>1690216674.5999999</v>
      </c>
      <c r="C155">
        <v>1729.099999904633</v>
      </c>
      <c r="D155" t="s">
        <v>611</v>
      </c>
      <c r="E155" t="s">
        <v>612</v>
      </c>
      <c r="F155" t="s">
        <v>330</v>
      </c>
      <c r="H155">
        <v>1690216674.5999999</v>
      </c>
      <c r="I155">
        <f t="shared" si="60"/>
        <v>1.8022676706833105E-3</v>
      </c>
      <c r="J155">
        <f t="shared" si="61"/>
        <v>1.8022676706833105</v>
      </c>
      <c r="K155">
        <f t="shared" si="62"/>
        <v>29.017150516101928</v>
      </c>
      <c r="L155">
        <f t="shared" si="63"/>
        <v>465.827</v>
      </c>
      <c r="M155">
        <f t="shared" si="64"/>
        <v>94.490591494479844</v>
      </c>
      <c r="N155">
        <f t="shared" si="65"/>
        <v>9.3720923861915875</v>
      </c>
      <c r="O155">
        <f t="shared" si="66"/>
        <v>46.203263318946597</v>
      </c>
      <c r="P155">
        <f t="shared" si="67"/>
        <v>0.13103695915794106</v>
      </c>
      <c r="Q155">
        <f t="shared" si="68"/>
        <v>2.0635340393634509</v>
      </c>
      <c r="R155">
        <f t="shared" si="69"/>
        <v>0.12658354364006505</v>
      </c>
      <c r="S155">
        <f t="shared" si="70"/>
        <v>7.9502227576200318E-2</v>
      </c>
      <c r="T155">
        <f t="shared" si="71"/>
        <v>276.11339332218171</v>
      </c>
      <c r="U155">
        <f t="shared" si="72"/>
        <v>28.424519778686751</v>
      </c>
      <c r="V155">
        <f t="shared" si="73"/>
        <v>28.424519778686751</v>
      </c>
      <c r="W155">
        <f t="shared" si="74"/>
        <v>3.8897745951788405</v>
      </c>
      <c r="X155">
        <f t="shared" si="75"/>
        <v>71.230921846277724</v>
      </c>
      <c r="Y155">
        <f t="shared" si="76"/>
        <v>2.5232482399152598</v>
      </c>
      <c r="Z155">
        <f t="shared" si="77"/>
        <v>3.5423495506075859</v>
      </c>
      <c r="AA155">
        <f t="shared" si="78"/>
        <v>1.3665263552635807</v>
      </c>
      <c r="AB155">
        <f t="shared" si="79"/>
        <v>-79.480004277134</v>
      </c>
      <c r="AC155">
        <f t="shared" si="80"/>
        <v>-178.04549547112194</v>
      </c>
      <c r="AD155">
        <f t="shared" si="81"/>
        <v>-18.737253327601383</v>
      </c>
      <c r="AE155">
        <f t="shared" si="82"/>
        <v>-0.14935975367561127</v>
      </c>
      <c r="AF155">
        <v>43</v>
      </c>
      <c r="AG155">
        <v>14</v>
      </c>
      <c r="AH155">
        <f t="shared" si="83"/>
        <v>1</v>
      </c>
      <c r="AI155">
        <f t="shared" si="84"/>
        <v>0</v>
      </c>
      <c r="AJ155">
        <f t="shared" si="85"/>
        <v>52392.918935800903</v>
      </c>
      <c r="AK155">
        <f t="shared" si="86"/>
        <v>1799.99</v>
      </c>
      <c r="AL155">
        <f t="shared" si="87"/>
        <v>1499.1062869854698</v>
      </c>
      <c r="AM155">
        <f t="shared" si="88"/>
        <v>0.8328414529999999</v>
      </c>
      <c r="AN155">
        <f t="shared" si="89"/>
        <v>0.15339718183000001</v>
      </c>
      <c r="AO155">
        <v>33.6</v>
      </c>
      <c r="AP155">
        <v>0.5</v>
      </c>
      <c r="AQ155" t="s">
        <v>331</v>
      </c>
      <c r="AR155">
        <v>2</v>
      </c>
      <c r="AS155">
        <v>1690216674.5999999</v>
      </c>
      <c r="AT155">
        <v>465.827</v>
      </c>
      <c r="AU155">
        <v>800.00699999999995</v>
      </c>
      <c r="AV155">
        <v>25.439699999999998</v>
      </c>
      <c r="AW155">
        <v>5.7804599999999997</v>
      </c>
      <c r="AX155">
        <v>465.98099999999999</v>
      </c>
      <c r="AY155">
        <v>25.2471</v>
      </c>
      <c r="AZ155">
        <v>300.19299999999998</v>
      </c>
      <c r="BA155">
        <v>99.085499999999996</v>
      </c>
      <c r="BB155">
        <v>9.9955799999999997E-2</v>
      </c>
      <c r="BC155">
        <v>26.824100000000001</v>
      </c>
      <c r="BD155">
        <v>26.997699999999998</v>
      </c>
      <c r="BE155">
        <v>28.306899999999999</v>
      </c>
      <c r="BF155">
        <v>0</v>
      </c>
      <c r="BG155">
        <v>0</v>
      </c>
      <c r="BH155">
        <v>9993.75</v>
      </c>
      <c r="BI155">
        <v>1076.95</v>
      </c>
      <c r="BJ155">
        <v>1.47174</v>
      </c>
      <c r="BK155">
        <v>-334.18</v>
      </c>
      <c r="BL155">
        <v>477.98700000000002</v>
      </c>
      <c r="BM155">
        <v>804.65800000000002</v>
      </c>
      <c r="BN155">
        <v>19.659199999999998</v>
      </c>
      <c r="BO155">
        <v>800.00699999999995</v>
      </c>
      <c r="BP155">
        <v>5.7804599999999997</v>
      </c>
      <c r="BQ155">
        <v>2.5207000000000002</v>
      </c>
      <c r="BR155">
        <v>0.57275900000000002</v>
      </c>
      <c r="BS155">
        <v>21.160799999999998</v>
      </c>
      <c r="BT155">
        <v>-0.94571099999999997</v>
      </c>
      <c r="BU155">
        <v>1799.99</v>
      </c>
      <c r="BV155">
        <v>0.91001399999999999</v>
      </c>
      <c r="BW155">
        <v>3.3995900000000003E-2</v>
      </c>
      <c r="BX155">
        <v>2.19974E-2</v>
      </c>
      <c r="BY155">
        <v>3.3993099999999998E-2</v>
      </c>
      <c r="BZ155">
        <v>26</v>
      </c>
      <c r="CA155">
        <v>33528.400000000001</v>
      </c>
      <c r="CB155">
        <v>1690214843</v>
      </c>
      <c r="CC155" t="s">
        <v>332</v>
      </c>
      <c r="CD155">
        <v>1690214842</v>
      </c>
      <c r="CE155">
        <v>1690214843</v>
      </c>
      <c r="CF155">
        <v>8</v>
      </c>
      <c r="CG155">
        <v>-6.3E-2</v>
      </c>
      <c r="CH155">
        <v>1E-3</v>
      </c>
      <c r="CI155">
        <v>-0.38900000000000001</v>
      </c>
      <c r="CJ155">
        <v>-6.6000000000000003E-2</v>
      </c>
      <c r="CK155">
        <v>800</v>
      </c>
      <c r="CL155">
        <v>6</v>
      </c>
      <c r="CM155">
        <v>0.23</v>
      </c>
      <c r="CN155">
        <v>0.02</v>
      </c>
      <c r="CO155">
        <v>-331.94727499999999</v>
      </c>
      <c r="CP155">
        <v>-13.88072420262651</v>
      </c>
      <c r="CQ155">
        <v>1.335507244224075</v>
      </c>
      <c r="CR155">
        <v>-1</v>
      </c>
      <c r="CS155">
        <v>19.567287499999999</v>
      </c>
      <c r="CT155">
        <v>0.52627879924948018</v>
      </c>
      <c r="CU155">
        <v>5.06606365312358E-2</v>
      </c>
      <c r="CV155">
        <v>-1</v>
      </c>
      <c r="CW155">
        <v>0</v>
      </c>
      <c r="CX155">
        <v>0</v>
      </c>
      <c r="CY155" t="s">
        <v>333</v>
      </c>
      <c r="CZ155">
        <v>2.3645700000000001</v>
      </c>
      <c r="DA155">
        <v>2.71374</v>
      </c>
      <c r="DB155">
        <v>0.100381</v>
      </c>
      <c r="DC155">
        <v>0.146089</v>
      </c>
      <c r="DD155">
        <v>0.118655</v>
      </c>
      <c r="DE155">
        <v>3.82674E-2</v>
      </c>
      <c r="DF155">
        <v>32841.800000000003</v>
      </c>
      <c r="DG155">
        <v>27510.7</v>
      </c>
      <c r="DH155">
        <v>31165.5</v>
      </c>
      <c r="DI155">
        <v>28073.1</v>
      </c>
      <c r="DJ155">
        <v>37283.300000000003</v>
      </c>
      <c r="DK155">
        <v>38391.4</v>
      </c>
      <c r="DL155">
        <v>44350.400000000001</v>
      </c>
      <c r="DM155">
        <v>42545.2</v>
      </c>
      <c r="DN155">
        <v>1.3626499999999999</v>
      </c>
      <c r="DO155">
        <v>2.0346500000000001</v>
      </c>
      <c r="DP155">
        <v>8.36253E-2</v>
      </c>
      <c r="DQ155">
        <v>0.177868</v>
      </c>
      <c r="DR155">
        <v>25.628499999999999</v>
      </c>
      <c r="DS155">
        <v>25.397300000000001</v>
      </c>
      <c r="DT155">
        <v>17.100000000000001</v>
      </c>
      <c r="DU155">
        <v>29.8</v>
      </c>
      <c r="DV155">
        <v>7.2686200000000003</v>
      </c>
      <c r="DW155">
        <v>61.518500000000003</v>
      </c>
      <c r="DX155">
        <v>36.1098</v>
      </c>
      <c r="DY155">
        <v>1</v>
      </c>
      <c r="DZ155">
        <v>-9.1153499999999998E-2</v>
      </c>
      <c r="EA155">
        <v>-0.238292</v>
      </c>
      <c r="EB155">
        <v>20.189699999999998</v>
      </c>
      <c r="EC155">
        <v>5.2409499999999998</v>
      </c>
      <c r="ED155">
        <v>12.039899999999999</v>
      </c>
      <c r="EE155">
        <v>5.0169499999999996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1.86893</v>
      </c>
      <c r="EL155">
        <v>1.86467</v>
      </c>
      <c r="EM155">
        <v>1.8692</v>
      </c>
      <c r="EN155">
        <v>1.86724</v>
      </c>
      <c r="EO155">
        <v>1.8633999999999999</v>
      </c>
      <c r="EP155">
        <v>1.86456</v>
      </c>
      <c r="EQ155">
        <v>1.8701700000000001</v>
      </c>
      <c r="ER155">
        <v>1.86948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-0.154</v>
      </c>
      <c r="FG155">
        <v>0.19259999999999999</v>
      </c>
      <c r="FH155">
        <v>0.16202357103534001</v>
      </c>
      <c r="FI155">
        <v>-6.1462078757559423E-4</v>
      </c>
      <c r="FJ155">
        <v>-1.8861989874597051E-7</v>
      </c>
      <c r="FK155">
        <v>1.1980462299894961E-10</v>
      </c>
      <c r="FL155">
        <v>0.19260234566371101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30.5</v>
      </c>
      <c r="FU155">
        <v>30.5</v>
      </c>
      <c r="FV155">
        <v>1.7785599999999999</v>
      </c>
      <c r="FW155">
        <v>2.5781200000000002</v>
      </c>
      <c r="FX155">
        <v>1.5490699999999999</v>
      </c>
      <c r="FY155">
        <v>2.3290999999999999</v>
      </c>
      <c r="FZ155">
        <v>1.50146</v>
      </c>
      <c r="GA155">
        <v>2.4011200000000001</v>
      </c>
      <c r="GB155">
        <v>33.8735</v>
      </c>
      <c r="GC155">
        <v>23.982399999999998</v>
      </c>
      <c r="GD155">
        <v>19</v>
      </c>
      <c r="GE155">
        <v>237.50200000000001</v>
      </c>
      <c r="GF155">
        <v>581.94500000000005</v>
      </c>
      <c r="GG155">
        <v>25.308599999999998</v>
      </c>
      <c r="GH155">
        <v>26.242100000000001</v>
      </c>
      <c r="GI155">
        <v>30.0001</v>
      </c>
      <c r="GJ155">
        <v>26.383600000000001</v>
      </c>
      <c r="GK155">
        <v>26.3567</v>
      </c>
      <c r="GL155">
        <v>35.564100000000003</v>
      </c>
      <c r="GM155">
        <v>-30</v>
      </c>
      <c r="GN155">
        <v>-30</v>
      </c>
      <c r="GO155">
        <v>25.313099999999999</v>
      </c>
      <c r="GP155">
        <v>800</v>
      </c>
      <c r="GQ155">
        <v>12.5298</v>
      </c>
      <c r="GR155">
        <v>99.7149</v>
      </c>
      <c r="GS155">
        <v>99.531599999999997</v>
      </c>
    </row>
    <row r="156" spans="1:201" x14ac:dyDescent="0.25">
      <c r="A156">
        <v>140</v>
      </c>
      <c r="B156">
        <v>1690216684.5999999</v>
      </c>
      <c r="C156">
        <v>1739.099999904633</v>
      </c>
      <c r="D156" t="s">
        <v>613</v>
      </c>
      <c r="E156" t="s">
        <v>614</v>
      </c>
      <c r="F156" t="s">
        <v>330</v>
      </c>
      <c r="H156">
        <v>1690216684.5999999</v>
      </c>
      <c r="I156">
        <f t="shared" si="60"/>
        <v>1.8109893192359142E-3</v>
      </c>
      <c r="J156">
        <f t="shared" si="61"/>
        <v>1.8109893192359143</v>
      </c>
      <c r="K156">
        <f t="shared" si="62"/>
        <v>29.208584954328529</v>
      </c>
      <c r="L156">
        <f t="shared" si="63"/>
        <v>463.66800000000001</v>
      </c>
      <c r="M156">
        <f t="shared" si="64"/>
        <v>94.423626485700879</v>
      </c>
      <c r="N156">
        <f t="shared" si="65"/>
        <v>9.3654677296815656</v>
      </c>
      <c r="O156">
        <f t="shared" si="66"/>
        <v>45.989206863851997</v>
      </c>
      <c r="P156">
        <f t="shared" si="67"/>
        <v>0.13268246308427334</v>
      </c>
      <c r="Q156">
        <f t="shared" si="68"/>
        <v>2.0645627425632025</v>
      </c>
      <c r="R156">
        <f t="shared" si="69"/>
        <v>0.12812078308988051</v>
      </c>
      <c r="S156">
        <f t="shared" si="70"/>
        <v>8.047227276311672E-2</v>
      </c>
      <c r="T156">
        <f t="shared" si="71"/>
        <v>276.11471134800001</v>
      </c>
      <c r="U156">
        <f t="shared" si="72"/>
        <v>28.421677815635199</v>
      </c>
      <c r="V156">
        <f t="shared" si="73"/>
        <v>28.421677815635199</v>
      </c>
      <c r="W156">
        <f t="shared" si="74"/>
        <v>3.8891322259553105</v>
      </c>
      <c r="X156">
        <f t="shared" si="75"/>
        <v>71.488648690397568</v>
      </c>
      <c r="Y156">
        <f t="shared" si="76"/>
        <v>2.5325267577148001</v>
      </c>
      <c r="Z156">
        <f t="shared" si="77"/>
        <v>3.5425578803183781</v>
      </c>
      <c r="AA156">
        <f t="shared" si="78"/>
        <v>1.3566054682405104</v>
      </c>
      <c r="AB156">
        <f t="shared" si="79"/>
        <v>-79.864628978303813</v>
      </c>
      <c r="AC156">
        <f t="shared" si="80"/>
        <v>-177.70662529673115</v>
      </c>
      <c r="AD156">
        <f t="shared" si="81"/>
        <v>-18.692100303292911</v>
      </c>
      <c r="AE156">
        <f t="shared" si="82"/>
        <v>-0.14864323032787752</v>
      </c>
      <c r="AF156">
        <v>44</v>
      </c>
      <c r="AG156">
        <v>15</v>
      </c>
      <c r="AH156">
        <f t="shared" si="83"/>
        <v>1</v>
      </c>
      <c r="AI156">
        <f t="shared" si="84"/>
        <v>0</v>
      </c>
      <c r="AJ156">
        <f t="shared" si="85"/>
        <v>52439.812436343331</v>
      </c>
      <c r="AK156">
        <f t="shared" si="86"/>
        <v>1800</v>
      </c>
      <c r="AL156">
        <f t="shared" si="87"/>
        <v>1499.1143508</v>
      </c>
      <c r="AM156">
        <f t="shared" si="88"/>
        <v>0.83284130599999995</v>
      </c>
      <c r="AN156">
        <f t="shared" si="89"/>
        <v>0.15339706186000002</v>
      </c>
      <c r="AO156">
        <v>33.6</v>
      </c>
      <c r="AP156">
        <v>0.5</v>
      </c>
      <c r="AQ156" t="s">
        <v>331</v>
      </c>
      <c r="AR156">
        <v>2</v>
      </c>
      <c r="AS156">
        <v>1690216684.5999999</v>
      </c>
      <c r="AT156">
        <v>463.66800000000001</v>
      </c>
      <c r="AU156">
        <v>799.99800000000005</v>
      </c>
      <c r="AV156">
        <v>25.533200000000001</v>
      </c>
      <c r="AW156">
        <v>5.7803899999999997</v>
      </c>
      <c r="AX156">
        <v>463.82</v>
      </c>
      <c r="AY156">
        <v>25.340599999999998</v>
      </c>
      <c r="AZ156">
        <v>300.18799999999999</v>
      </c>
      <c r="BA156">
        <v>99.085599999999999</v>
      </c>
      <c r="BB156">
        <v>0.100039</v>
      </c>
      <c r="BC156">
        <v>26.825099999999999</v>
      </c>
      <c r="BD156">
        <v>26.996200000000002</v>
      </c>
      <c r="BE156">
        <v>28.292999999999999</v>
      </c>
      <c r="BF156">
        <v>0</v>
      </c>
      <c r="BG156">
        <v>0</v>
      </c>
      <c r="BH156">
        <v>10003.1</v>
      </c>
      <c r="BI156">
        <v>1076.96</v>
      </c>
      <c r="BJ156">
        <v>1.4577199999999999</v>
      </c>
      <c r="BK156">
        <v>-336.33</v>
      </c>
      <c r="BL156">
        <v>475.81700000000001</v>
      </c>
      <c r="BM156">
        <v>804.649</v>
      </c>
      <c r="BN156">
        <v>19.752800000000001</v>
      </c>
      <c r="BO156">
        <v>799.99800000000005</v>
      </c>
      <c r="BP156">
        <v>5.7803899999999997</v>
      </c>
      <c r="BQ156">
        <v>2.5299700000000001</v>
      </c>
      <c r="BR156">
        <v>0.57275399999999999</v>
      </c>
      <c r="BS156">
        <v>21.220600000000001</v>
      </c>
      <c r="BT156">
        <v>-0.945851</v>
      </c>
      <c r="BU156">
        <v>1800</v>
      </c>
      <c r="BV156">
        <v>0.91001600000000005</v>
      </c>
      <c r="BW156">
        <v>3.3994999999999997E-2</v>
      </c>
      <c r="BX156">
        <v>2.19968E-2</v>
      </c>
      <c r="BY156">
        <v>3.39922E-2</v>
      </c>
      <c r="BZ156">
        <v>26</v>
      </c>
      <c r="CA156">
        <v>33528.5</v>
      </c>
      <c r="CB156">
        <v>1690214843</v>
      </c>
      <c r="CC156" t="s">
        <v>332</v>
      </c>
      <c r="CD156">
        <v>1690214842</v>
      </c>
      <c r="CE156">
        <v>1690214843</v>
      </c>
      <c r="CF156">
        <v>8</v>
      </c>
      <c r="CG156">
        <v>-6.3E-2</v>
      </c>
      <c r="CH156">
        <v>1E-3</v>
      </c>
      <c r="CI156">
        <v>-0.38900000000000001</v>
      </c>
      <c r="CJ156">
        <v>-6.6000000000000003E-2</v>
      </c>
      <c r="CK156">
        <v>800</v>
      </c>
      <c r="CL156">
        <v>6</v>
      </c>
      <c r="CM156">
        <v>0.23</v>
      </c>
      <c r="CN156">
        <v>0.02</v>
      </c>
      <c r="CO156">
        <v>-334.166875</v>
      </c>
      <c r="CP156">
        <v>-12.859283302062691</v>
      </c>
      <c r="CQ156">
        <v>1.237715641565138</v>
      </c>
      <c r="CR156">
        <v>-1</v>
      </c>
      <c r="CS156">
        <v>19.657129999999999</v>
      </c>
      <c r="CT156">
        <v>0.56118574108817398</v>
      </c>
      <c r="CU156">
        <v>5.3989180397557297E-2</v>
      </c>
      <c r="CV156">
        <v>-1</v>
      </c>
      <c r="CW156">
        <v>0</v>
      </c>
      <c r="CX156">
        <v>0</v>
      </c>
      <c r="CY156" t="s">
        <v>333</v>
      </c>
      <c r="CZ156">
        <v>2.3645399999999999</v>
      </c>
      <c r="DA156">
        <v>2.7138300000000002</v>
      </c>
      <c r="DB156">
        <v>0.100036</v>
      </c>
      <c r="DC156">
        <v>0.146088</v>
      </c>
      <c r="DD156">
        <v>0.118961</v>
      </c>
      <c r="DE156">
        <v>3.8267099999999998E-2</v>
      </c>
      <c r="DF156">
        <v>32854.300000000003</v>
      </c>
      <c r="DG156">
        <v>27510.7</v>
      </c>
      <c r="DH156">
        <v>31165.4</v>
      </c>
      <c r="DI156">
        <v>28073.1</v>
      </c>
      <c r="DJ156">
        <v>37270.199999999997</v>
      </c>
      <c r="DK156">
        <v>38391.5</v>
      </c>
      <c r="DL156">
        <v>44350.5</v>
      </c>
      <c r="DM156">
        <v>42545.3</v>
      </c>
      <c r="DN156">
        <v>1.3621300000000001</v>
      </c>
      <c r="DO156">
        <v>2.0346000000000002</v>
      </c>
      <c r="DP156">
        <v>8.3699800000000005E-2</v>
      </c>
      <c r="DQ156">
        <v>0.177145</v>
      </c>
      <c r="DR156">
        <v>25.625800000000002</v>
      </c>
      <c r="DS156">
        <v>25.395199999999999</v>
      </c>
      <c r="DT156">
        <v>17.100000000000001</v>
      </c>
      <c r="DU156">
        <v>29.8</v>
      </c>
      <c r="DV156">
        <v>7.2678900000000004</v>
      </c>
      <c r="DW156">
        <v>61.808500000000002</v>
      </c>
      <c r="DX156">
        <v>36.1218</v>
      </c>
      <c r="DY156">
        <v>1</v>
      </c>
      <c r="DZ156">
        <v>-9.1265200000000005E-2</v>
      </c>
      <c r="EA156">
        <v>-0.219357</v>
      </c>
      <c r="EB156">
        <v>20.189699999999998</v>
      </c>
      <c r="EC156">
        <v>5.2406499999999996</v>
      </c>
      <c r="ED156">
        <v>12.039899999999999</v>
      </c>
      <c r="EE156">
        <v>5.0162500000000003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1.8689100000000001</v>
      </c>
      <c r="EL156">
        <v>1.86466</v>
      </c>
      <c r="EM156">
        <v>1.8692</v>
      </c>
      <c r="EN156">
        <v>1.8672500000000001</v>
      </c>
      <c r="EO156">
        <v>1.8633999999999999</v>
      </c>
      <c r="EP156">
        <v>1.8645700000000001</v>
      </c>
      <c r="EQ156">
        <v>1.87015</v>
      </c>
      <c r="ER156">
        <v>1.86947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-0.152</v>
      </c>
      <c r="FG156">
        <v>0.19259999999999999</v>
      </c>
      <c r="FH156">
        <v>0.16202357103534001</v>
      </c>
      <c r="FI156">
        <v>-6.1462078757559423E-4</v>
      </c>
      <c r="FJ156">
        <v>-1.8861989874597051E-7</v>
      </c>
      <c r="FK156">
        <v>1.1980462299894961E-10</v>
      </c>
      <c r="FL156">
        <v>0.19260234566371101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30.7</v>
      </c>
      <c r="FU156">
        <v>30.7</v>
      </c>
      <c r="FV156">
        <v>1.7785599999999999</v>
      </c>
      <c r="FW156">
        <v>2.5781200000000002</v>
      </c>
      <c r="FX156">
        <v>1.5490699999999999</v>
      </c>
      <c r="FY156">
        <v>2.3290999999999999</v>
      </c>
      <c r="FZ156">
        <v>1.50146</v>
      </c>
      <c r="GA156">
        <v>2.3877000000000002</v>
      </c>
      <c r="GB156">
        <v>33.8735</v>
      </c>
      <c r="GC156">
        <v>23.991199999999999</v>
      </c>
      <c r="GD156">
        <v>19</v>
      </c>
      <c r="GE156">
        <v>237.30500000000001</v>
      </c>
      <c r="GF156">
        <v>581.904</v>
      </c>
      <c r="GG156">
        <v>25.316199999999998</v>
      </c>
      <c r="GH156">
        <v>26.242100000000001</v>
      </c>
      <c r="GI156">
        <v>30</v>
      </c>
      <c r="GJ156">
        <v>26.383600000000001</v>
      </c>
      <c r="GK156">
        <v>26.3567</v>
      </c>
      <c r="GL156">
        <v>35.563600000000001</v>
      </c>
      <c r="GM156">
        <v>-30</v>
      </c>
      <c r="GN156">
        <v>-30</v>
      </c>
      <c r="GO156">
        <v>25.318999999999999</v>
      </c>
      <c r="GP156">
        <v>800</v>
      </c>
      <c r="GQ156">
        <v>12.5298</v>
      </c>
      <c r="GR156">
        <v>99.714799999999997</v>
      </c>
      <c r="GS156">
        <v>99.531800000000004</v>
      </c>
    </row>
    <row r="157" spans="1:201" x14ac:dyDescent="0.25">
      <c r="A157">
        <v>141</v>
      </c>
      <c r="B157">
        <v>1690216694.5999999</v>
      </c>
      <c r="C157">
        <v>1749.099999904633</v>
      </c>
      <c r="D157" t="s">
        <v>615</v>
      </c>
      <c r="E157" t="s">
        <v>616</v>
      </c>
      <c r="F157" t="s">
        <v>330</v>
      </c>
      <c r="H157">
        <v>1690216694.5999999</v>
      </c>
      <c r="I157">
        <f t="shared" si="60"/>
        <v>1.818825906546999E-3</v>
      </c>
      <c r="J157">
        <f t="shared" si="61"/>
        <v>1.8188259065469989</v>
      </c>
      <c r="K157">
        <f t="shared" si="62"/>
        <v>29.399368209103439</v>
      </c>
      <c r="L157">
        <f t="shared" si="63"/>
        <v>461.48700000000002</v>
      </c>
      <c r="M157">
        <f t="shared" si="64"/>
        <v>94.094098125973915</v>
      </c>
      <c r="N157">
        <f t="shared" si="65"/>
        <v>9.3326826621625294</v>
      </c>
      <c r="O157">
        <f t="shared" si="66"/>
        <v>45.772389655590004</v>
      </c>
      <c r="P157">
        <f t="shared" si="67"/>
        <v>0.13425975886279043</v>
      </c>
      <c r="Q157">
        <f t="shared" si="68"/>
        <v>2.0615971298565703</v>
      </c>
      <c r="R157">
        <f t="shared" si="69"/>
        <v>0.12958456685485401</v>
      </c>
      <c r="S157">
        <f t="shared" si="70"/>
        <v>8.1396838925829301E-2</v>
      </c>
      <c r="T157">
        <f t="shared" si="71"/>
        <v>276.11473008600001</v>
      </c>
      <c r="U157">
        <f t="shared" si="72"/>
        <v>28.416748489249436</v>
      </c>
      <c r="V157">
        <f t="shared" si="73"/>
        <v>28.416748489249436</v>
      </c>
      <c r="W157">
        <f t="shared" si="74"/>
        <v>3.8880182691958307</v>
      </c>
      <c r="X157">
        <f t="shared" si="75"/>
        <v>71.745540291386106</v>
      </c>
      <c r="Y157">
        <f t="shared" si="76"/>
        <v>2.5409995803730001</v>
      </c>
      <c r="Z157">
        <f t="shared" si="77"/>
        <v>3.5416829674054</v>
      </c>
      <c r="AA157">
        <f t="shared" si="78"/>
        <v>1.3470186888228306</v>
      </c>
      <c r="AB157">
        <f t="shared" si="79"/>
        <v>-80.210222478722656</v>
      </c>
      <c r="AC157">
        <f t="shared" si="80"/>
        <v>-177.37030021008837</v>
      </c>
      <c r="AD157">
        <f t="shared" si="81"/>
        <v>-18.682710462445428</v>
      </c>
      <c r="AE157">
        <f t="shared" si="82"/>
        <v>-0.14850306525642054</v>
      </c>
      <c r="AF157">
        <v>43</v>
      </c>
      <c r="AG157">
        <v>14</v>
      </c>
      <c r="AH157">
        <f t="shared" si="83"/>
        <v>1</v>
      </c>
      <c r="AI157">
        <f t="shared" si="84"/>
        <v>0</v>
      </c>
      <c r="AJ157">
        <f t="shared" si="85"/>
        <v>52304.917923718087</v>
      </c>
      <c r="AK157">
        <f t="shared" si="86"/>
        <v>1800</v>
      </c>
      <c r="AL157">
        <f t="shared" si="87"/>
        <v>1499.1147665999999</v>
      </c>
      <c r="AM157">
        <f t="shared" si="88"/>
        <v>0.83284153699999997</v>
      </c>
      <c r="AN157">
        <f t="shared" si="89"/>
        <v>0.15339707226999999</v>
      </c>
      <c r="AO157">
        <v>33.6</v>
      </c>
      <c r="AP157">
        <v>0.5</v>
      </c>
      <c r="AQ157" t="s">
        <v>331</v>
      </c>
      <c r="AR157">
        <v>2</v>
      </c>
      <c r="AS157">
        <v>1690216694.5999999</v>
      </c>
      <c r="AT157">
        <v>461.48700000000002</v>
      </c>
      <c r="AU157">
        <v>799.96900000000005</v>
      </c>
      <c r="AV157">
        <v>25.6189</v>
      </c>
      <c r="AW157">
        <v>5.7811700000000004</v>
      </c>
      <c r="AX157">
        <v>461.637</v>
      </c>
      <c r="AY157">
        <v>25.426300000000001</v>
      </c>
      <c r="AZ157">
        <v>300.17</v>
      </c>
      <c r="BA157">
        <v>99.084500000000006</v>
      </c>
      <c r="BB157">
        <v>0.10007000000000001</v>
      </c>
      <c r="BC157">
        <v>26.820900000000002</v>
      </c>
      <c r="BD157">
        <v>27.005600000000001</v>
      </c>
      <c r="BE157">
        <v>28.298200000000001</v>
      </c>
      <c r="BF157">
        <v>0</v>
      </c>
      <c r="BG157">
        <v>0</v>
      </c>
      <c r="BH157">
        <v>9976.25</v>
      </c>
      <c r="BI157">
        <v>1076.98</v>
      </c>
      <c r="BJ157">
        <v>1.49977</v>
      </c>
      <c r="BK157">
        <v>-338.48200000000003</v>
      </c>
      <c r="BL157">
        <v>473.62099999999998</v>
      </c>
      <c r="BM157">
        <v>804.62</v>
      </c>
      <c r="BN157">
        <v>19.837700000000002</v>
      </c>
      <c r="BO157">
        <v>799.96900000000005</v>
      </c>
      <c r="BP157">
        <v>5.7811700000000004</v>
      </c>
      <c r="BQ157">
        <v>2.53843</v>
      </c>
      <c r="BR157">
        <v>0.57282500000000003</v>
      </c>
      <c r="BS157">
        <v>21.275099999999998</v>
      </c>
      <c r="BT157">
        <v>-0.94415400000000005</v>
      </c>
      <c r="BU157">
        <v>1800</v>
      </c>
      <c r="BV157">
        <v>0.91001699999999996</v>
      </c>
      <c r="BW157">
        <v>3.3994700000000003E-2</v>
      </c>
      <c r="BX157">
        <v>2.1996600000000002E-2</v>
      </c>
      <c r="BY157">
        <v>3.3991899999999999E-2</v>
      </c>
      <c r="BZ157">
        <v>26</v>
      </c>
      <c r="CA157">
        <v>33528.5</v>
      </c>
      <c r="CB157">
        <v>1690214843</v>
      </c>
      <c r="CC157" t="s">
        <v>332</v>
      </c>
      <c r="CD157">
        <v>1690214842</v>
      </c>
      <c r="CE157">
        <v>1690214843</v>
      </c>
      <c r="CF157">
        <v>8</v>
      </c>
      <c r="CG157">
        <v>-6.3E-2</v>
      </c>
      <c r="CH157">
        <v>1E-3</v>
      </c>
      <c r="CI157">
        <v>-0.38900000000000001</v>
      </c>
      <c r="CJ157">
        <v>-6.6000000000000003E-2</v>
      </c>
      <c r="CK157">
        <v>800</v>
      </c>
      <c r="CL157">
        <v>6</v>
      </c>
      <c r="CM157">
        <v>0.23</v>
      </c>
      <c r="CN157">
        <v>0.02</v>
      </c>
      <c r="CO157">
        <v>-336.11762499999998</v>
      </c>
      <c r="CP157">
        <v>-13.24024390243892</v>
      </c>
      <c r="CQ157">
        <v>1.275095068759583</v>
      </c>
      <c r="CR157">
        <v>-1</v>
      </c>
      <c r="CS157">
        <v>19.739065</v>
      </c>
      <c r="CT157">
        <v>0.5371587242025686</v>
      </c>
      <c r="CU157">
        <v>5.1702478422218763E-2</v>
      </c>
      <c r="CV157">
        <v>-1</v>
      </c>
      <c r="CW157">
        <v>0</v>
      </c>
      <c r="CX157">
        <v>0</v>
      </c>
      <c r="CY157" t="s">
        <v>333</v>
      </c>
      <c r="CZ157">
        <v>2.36449</v>
      </c>
      <c r="DA157">
        <v>2.7138399999999998</v>
      </c>
      <c r="DB157">
        <v>9.9686200000000003E-2</v>
      </c>
      <c r="DC157">
        <v>0.14608399999999999</v>
      </c>
      <c r="DD157">
        <v>0.11924</v>
      </c>
      <c r="DE157">
        <v>3.8271199999999998E-2</v>
      </c>
      <c r="DF157">
        <v>32867.300000000003</v>
      </c>
      <c r="DG157">
        <v>27511.1</v>
      </c>
      <c r="DH157">
        <v>31165.599999999999</v>
      </c>
      <c r="DI157">
        <v>28073.3</v>
      </c>
      <c r="DJ157">
        <v>37258.5</v>
      </c>
      <c r="DK157">
        <v>38391.5</v>
      </c>
      <c r="DL157">
        <v>44350.7</v>
      </c>
      <c r="DM157">
        <v>42545.4</v>
      </c>
      <c r="DN157">
        <v>1.36273</v>
      </c>
      <c r="DO157">
        <v>2.0345</v>
      </c>
      <c r="DP157">
        <v>8.4437399999999996E-2</v>
      </c>
      <c r="DQ157">
        <v>0.17759900000000001</v>
      </c>
      <c r="DR157">
        <v>25.623200000000001</v>
      </c>
      <c r="DS157">
        <v>25.393000000000001</v>
      </c>
      <c r="DT157">
        <v>17.100000000000001</v>
      </c>
      <c r="DU157">
        <v>29.8</v>
      </c>
      <c r="DV157">
        <v>7.2684899999999999</v>
      </c>
      <c r="DW157">
        <v>61.618499999999997</v>
      </c>
      <c r="DX157">
        <v>36.153799999999997</v>
      </c>
      <c r="DY157">
        <v>1</v>
      </c>
      <c r="DZ157">
        <v>-9.1247499999999995E-2</v>
      </c>
      <c r="EA157">
        <v>-0.23541699999999999</v>
      </c>
      <c r="EB157">
        <v>20.189599999999999</v>
      </c>
      <c r="EC157">
        <v>5.2411000000000003</v>
      </c>
      <c r="ED157">
        <v>12.039899999999999</v>
      </c>
      <c r="EE157">
        <v>5.0172499999999998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1.8689100000000001</v>
      </c>
      <c r="EL157">
        <v>1.86466</v>
      </c>
      <c r="EM157">
        <v>1.8692</v>
      </c>
      <c r="EN157">
        <v>1.86724</v>
      </c>
      <c r="EO157">
        <v>1.8633999999999999</v>
      </c>
      <c r="EP157">
        <v>1.86456</v>
      </c>
      <c r="EQ157">
        <v>1.87015</v>
      </c>
      <c r="ER157">
        <v>1.86947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-0.15</v>
      </c>
      <c r="FG157">
        <v>0.19259999999999999</v>
      </c>
      <c r="FH157">
        <v>0.16202357103534001</v>
      </c>
      <c r="FI157">
        <v>-6.1462078757559423E-4</v>
      </c>
      <c r="FJ157">
        <v>-1.8861989874597051E-7</v>
      </c>
      <c r="FK157">
        <v>1.1980462299894961E-10</v>
      </c>
      <c r="FL157">
        <v>0.19260234566371101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30.9</v>
      </c>
      <c r="FU157">
        <v>30.9</v>
      </c>
      <c r="FV157">
        <v>1.7785599999999999</v>
      </c>
      <c r="FW157">
        <v>2.5769000000000002</v>
      </c>
      <c r="FX157">
        <v>1.5490699999999999</v>
      </c>
      <c r="FY157">
        <v>2.3290999999999999</v>
      </c>
      <c r="FZ157">
        <v>1.50146</v>
      </c>
      <c r="GA157">
        <v>2.3852500000000001</v>
      </c>
      <c r="GB157">
        <v>33.8735</v>
      </c>
      <c r="GC157">
        <v>23.982399999999998</v>
      </c>
      <c r="GD157">
        <v>19</v>
      </c>
      <c r="GE157">
        <v>237.53</v>
      </c>
      <c r="GF157">
        <v>581.79600000000005</v>
      </c>
      <c r="GG157">
        <v>25.324999999999999</v>
      </c>
      <c r="GH157">
        <v>26.239899999999999</v>
      </c>
      <c r="GI157">
        <v>30.0001</v>
      </c>
      <c r="GJ157">
        <v>26.383500000000002</v>
      </c>
      <c r="GK157">
        <v>26.354500000000002</v>
      </c>
      <c r="GL157">
        <v>35.5623</v>
      </c>
      <c r="GM157">
        <v>-30</v>
      </c>
      <c r="GN157">
        <v>-30</v>
      </c>
      <c r="GO157">
        <v>25.330400000000001</v>
      </c>
      <c r="GP157">
        <v>800</v>
      </c>
      <c r="GQ157">
        <v>12.5298</v>
      </c>
      <c r="GR157">
        <v>99.715500000000006</v>
      </c>
      <c r="GS157">
        <v>99.532300000000006</v>
      </c>
    </row>
    <row r="158" spans="1:201" x14ac:dyDescent="0.25">
      <c r="A158">
        <v>142</v>
      </c>
      <c r="B158">
        <v>1690216704.5999999</v>
      </c>
      <c r="C158">
        <v>1759.099999904633</v>
      </c>
      <c r="D158" t="s">
        <v>617</v>
      </c>
      <c r="E158" t="s">
        <v>618</v>
      </c>
      <c r="F158" t="s">
        <v>330</v>
      </c>
      <c r="H158">
        <v>1690216704.5999999</v>
      </c>
      <c r="I158">
        <f t="shared" si="60"/>
        <v>1.8270103710048811E-3</v>
      </c>
      <c r="J158">
        <f t="shared" si="61"/>
        <v>1.8270103710048811</v>
      </c>
      <c r="K158">
        <f t="shared" si="62"/>
        <v>29.604820153389014</v>
      </c>
      <c r="L158">
        <f t="shared" si="63"/>
        <v>459.26499999999999</v>
      </c>
      <c r="M158">
        <f t="shared" si="64"/>
        <v>93.528926541923013</v>
      </c>
      <c r="N158">
        <f t="shared" si="65"/>
        <v>9.2770984021144773</v>
      </c>
      <c r="O158">
        <f t="shared" si="66"/>
        <v>45.554319451504995</v>
      </c>
      <c r="P158">
        <f t="shared" si="67"/>
        <v>0.13583750328564204</v>
      </c>
      <c r="Q158">
        <f t="shared" si="68"/>
        <v>2.0633738754916684</v>
      </c>
      <c r="R158">
        <f t="shared" si="69"/>
        <v>0.13105785461220695</v>
      </c>
      <c r="S158">
        <f t="shared" si="70"/>
        <v>8.2326580441211786E-2</v>
      </c>
      <c r="T158">
        <f t="shared" si="71"/>
        <v>276.11311680771786</v>
      </c>
      <c r="U158">
        <f t="shared" si="72"/>
        <v>28.414250636803789</v>
      </c>
      <c r="V158">
        <f t="shared" si="73"/>
        <v>28.414250636803789</v>
      </c>
      <c r="W158">
        <f t="shared" si="74"/>
        <v>3.88745389677627</v>
      </c>
      <c r="X158">
        <f t="shared" si="75"/>
        <v>71.980328285508207</v>
      </c>
      <c r="Y158">
        <f t="shared" si="76"/>
        <v>2.549569915368</v>
      </c>
      <c r="Z158">
        <f t="shared" si="77"/>
        <v>3.5420370760955597</v>
      </c>
      <c r="AA158">
        <f t="shared" si="78"/>
        <v>1.3378839814082699</v>
      </c>
      <c r="AB158">
        <f t="shared" si="79"/>
        <v>-80.571157361315258</v>
      </c>
      <c r="AC158">
        <f t="shared" si="80"/>
        <v>-177.05619152591876</v>
      </c>
      <c r="AD158">
        <f t="shared" si="81"/>
        <v>-18.633491038283108</v>
      </c>
      <c r="AE158">
        <f t="shared" si="82"/>
        <v>-0.14772311779930192</v>
      </c>
      <c r="AF158">
        <v>43</v>
      </c>
      <c r="AG158">
        <v>14</v>
      </c>
      <c r="AH158">
        <f t="shared" si="83"/>
        <v>1</v>
      </c>
      <c r="AI158">
        <f t="shared" si="84"/>
        <v>0</v>
      </c>
      <c r="AJ158">
        <f t="shared" si="85"/>
        <v>52385.94392971776</v>
      </c>
      <c r="AK158">
        <f t="shared" si="86"/>
        <v>1799.99</v>
      </c>
      <c r="AL158">
        <f t="shared" si="87"/>
        <v>1499.1064363846399</v>
      </c>
      <c r="AM158">
        <f t="shared" si="88"/>
        <v>0.83284153599999999</v>
      </c>
      <c r="AN158">
        <f t="shared" si="89"/>
        <v>0.15339702820999998</v>
      </c>
      <c r="AO158">
        <v>33.6</v>
      </c>
      <c r="AP158">
        <v>0.5</v>
      </c>
      <c r="AQ158" t="s">
        <v>331</v>
      </c>
      <c r="AR158">
        <v>2</v>
      </c>
      <c r="AS158">
        <v>1690216704.5999999</v>
      </c>
      <c r="AT158">
        <v>459.26499999999999</v>
      </c>
      <c r="AU158">
        <v>800.005</v>
      </c>
      <c r="AV158">
        <v>25.704000000000001</v>
      </c>
      <c r="AW158">
        <v>5.7809999999999997</v>
      </c>
      <c r="AX158">
        <v>459.41300000000001</v>
      </c>
      <c r="AY158">
        <v>25.511399999999998</v>
      </c>
      <c r="AZ158">
        <v>300.20400000000001</v>
      </c>
      <c r="BA158">
        <v>99.089600000000004</v>
      </c>
      <c r="BB158">
        <v>0.10001699999999999</v>
      </c>
      <c r="BC158">
        <v>26.822600000000001</v>
      </c>
      <c r="BD158">
        <v>26.999099999999999</v>
      </c>
      <c r="BE158">
        <v>28.2958</v>
      </c>
      <c r="BF158">
        <v>0</v>
      </c>
      <c r="BG158">
        <v>0</v>
      </c>
      <c r="BH158">
        <v>9991.8799999999992</v>
      </c>
      <c r="BI158">
        <v>1076.97</v>
      </c>
      <c r="BJ158">
        <v>1.5137799999999999</v>
      </c>
      <c r="BK158">
        <v>-340.74</v>
      </c>
      <c r="BL158">
        <v>471.38099999999997</v>
      </c>
      <c r="BM158">
        <v>804.65700000000004</v>
      </c>
      <c r="BN158">
        <v>19.922999999999998</v>
      </c>
      <c r="BO158">
        <v>800.005</v>
      </c>
      <c r="BP158">
        <v>5.7809999999999997</v>
      </c>
      <c r="BQ158">
        <v>2.5470000000000002</v>
      </c>
      <c r="BR158">
        <v>0.57283700000000004</v>
      </c>
      <c r="BS158">
        <v>21.33</v>
      </c>
      <c r="BT158">
        <v>-0.94386599999999998</v>
      </c>
      <c r="BU158">
        <v>1799.99</v>
      </c>
      <c r="BV158">
        <v>0.91001799999999999</v>
      </c>
      <c r="BW158">
        <v>3.3994299999999998E-2</v>
      </c>
      <c r="BX158">
        <v>2.19963E-2</v>
      </c>
      <c r="BY158">
        <v>3.3991500000000001E-2</v>
      </c>
      <c r="BZ158">
        <v>26</v>
      </c>
      <c r="CA158">
        <v>33528.400000000001</v>
      </c>
      <c r="CB158">
        <v>1690214843</v>
      </c>
      <c r="CC158" t="s">
        <v>332</v>
      </c>
      <c r="CD158">
        <v>1690214842</v>
      </c>
      <c r="CE158">
        <v>1690214843</v>
      </c>
      <c r="CF158">
        <v>8</v>
      </c>
      <c r="CG158">
        <v>-6.3E-2</v>
      </c>
      <c r="CH158">
        <v>1E-3</v>
      </c>
      <c r="CI158">
        <v>-0.38900000000000001</v>
      </c>
      <c r="CJ158">
        <v>-6.6000000000000003E-2</v>
      </c>
      <c r="CK158">
        <v>800</v>
      </c>
      <c r="CL158">
        <v>6</v>
      </c>
      <c r="CM158">
        <v>0.23</v>
      </c>
      <c r="CN158">
        <v>0.02</v>
      </c>
      <c r="CO158">
        <v>-338.30907317073172</v>
      </c>
      <c r="CP158">
        <v>-12.704759581882049</v>
      </c>
      <c r="CQ158">
        <v>1.254943092485771</v>
      </c>
      <c r="CR158">
        <v>-1</v>
      </c>
      <c r="CS158">
        <v>19.828456097560981</v>
      </c>
      <c r="CT158">
        <v>0.50796585365850644</v>
      </c>
      <c r="CU158">
        <v>5.0094471964043458E-2</v>
      </c>
      <c r="CV158">
        <v>-1</v>
      </c>
      <c r="CW158">
        <v>0</v>
      </c>
      <c r="CX158">
        <v>0</v>
      </c>
      <c r="CY158" t="s">
        <v>333</v>
      </c>
      <c r="CZ158">
        <v>2.3646199999999999</v>
      </c>
      <c r="DA158">
        <v>2.7138</v>
      </c>
      <c r="DB158">
        <v>9.9335400000000004E-2</v>
      </c>
      <c r="DC158">
        <v>0.146095</v>
      </c>
      <c r="DD158">
        <v>0.11952400000000001</v>
      </c>
      <c r="DE158">
        <v>3.8272100000000003E-2</v>
      </c>
      <c r="DF158">
        <v>32879.5</v>
      </c>
      <c r="DG158">
        <v>27509.9</v>
      </c>
      <c r="DH158">
        <v>31165.1</v>
      </c>
      <c r="DI158">
        <v>28072.5</v>
      </c>
      <c r="DJ158">
        <v>37245.599999999999</v>
      </c>
      <c r="DK158">
        <v>38390.5</v>
      </c>
      <c r="DL158">
        <v>44349.9</v>
      </c>
      <c r="DM158">
        <v>42544.4</v>
      </c>
      <c r="DN158">
        <v>1.36283</v>
      </c>
      <c r="DO158">
        <v>2.0345200000000001</v>
      </c>
      <c r="DP158">
        <v>8.4176699999999993E-2</v>
      </c>
      <c r="DQ158">
        <v>0.17757700000000001</v>
      </c>
      <c r="DR158">
        <v>25.620999999999999</v>
      </c>
      <c r="DS158">
        <v>25.390899999999998</v>
      </c>
      <c r="DT158">
        <v>17.100000000000001</v>
      </c>
      <c r="DU158">
        <v>29.8</v>
      </c>
      <c r="DV158">
        <v>7.2678900000000004</v>
      </c>
      <c r="DW158">
        <v>61.638500000000001</v>
      </c>
      <c r="DX158">
        <v>36.081699999999998</v>
      </c>
      <c r="DY158">
        <v>1</v>
      </c>
      <c r="DZ158">
        <v>-9.1316099999999997E-2</v>
      </c>
      <c r="EA158">
        <v>-0.17408999999999999</v>
      </c>
      <c r="EB158">
        <v>20.189900000000002</v>
      </c>
      <c r="EC158">
        <v>5.2406499999999996</v>
      </c>
      <c r="ED158">
        <v>12.039899999999999</v>
      </c>
      <c r="EE158">
        <v>5.0168999999999997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1.86893</v>
      </c>
      <c r="EL158">
        <v>1.8646799999999999</v>
      </c>
      <c r="EM158">
        <v>1.8692</v>
      </c>
      <c r="EN158">
        <v>1.8672299999999999</v>
      </c>
      <c r="EO158">
        <v>1.8633999999999999</v>
      </c>
      <c r="EP158">
        <v>1.8645799999999999</v>
      </c>
      <c r="EQ158">
        <v>1.87018</v>
      </c>
      <c r="ER158">
        <v>1.8694900000000001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-0.14799999999999999</v>
      </c>
      <c r="FG158">
        <v>0.19259999999999999</v>
      </c>
      <c r="FH158">
        <v>0.16202357103534001</v>
      </c>
      <c r="FI158">
        <v>-6.1462078757559423E-4</v>
      </c>
      <c r="FJ158">
        <v>-1.8861989874597051E-7</v>
      </c>
      <c r="FK158">
        <v>1.1980462299894961E-10</v>
      </c>
      <c r="FL158">
        <v>0.19260234566371101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31</v>
      </c>
      <c r="FU158">
        <v>31</v>
      </c>
      <c r="FV158">
        <v>1.7785599999999999</v>
      </c>
      <c r="FW158">
        <v>2.5781200000000002</v>
      </c>
      <c r="FX158">
        <v>1.5490699999999999</v>
      </c>
      <c r="FY158">
        <v>2.3290999999999999</v>
      </c>
      <c r="FZ158">
        <v>1.50146</v>
      </c>
      <c r="GA158">
        <v>2.36572</v>
      </c>
      <c r="GB158">
        <v>33.8735</v>
      </c>
      <c r="GC158">
        <v>23.991199999999999</v>
      </c>
      <c r="GD158">
        <v>19</v>
      </c>
      <c r="GE158">
        <v>237.56</v>
      </c>
      <c r="GF158">
        <v>581.81700000000001</v>
      </c>
      <c r="GG158">
        <v>25.319900000000001</v>
      </c>
      <c r="GH158">
        <v>26.239899999999999</v>
      </c>
      <c r="GI158">
        <v>30</v>
      </c>
      <c r="GJ158">
        <v>26.381399999999999</v>
      </c>
      <c r="GK158">
        <v>26.354500000000002</v>
      </c>
      <c r="GL158">
        <v>35.562800000000003</v>
      </c>
      <c r="GM158">
        <v>-30</v>
      </c>
      <c r="GN158">
        <v>-30</v>
      </c>
      <c r="GO158">
        <v>25.317900000000002</v>
      </c>
      <c r="GP158">
        <v>800</v>
      </c>
      <c r="GQ158">
        <v>12.5298</v>
      </c>
      <c r="GR158">
        <v>99.713700000000003</v>
      </c>
      <c r="GS158">
        <v>99.529799999999994</v>
      </c>
    </row>
    <row r="159" spans="1:201" x14ac:dyDescent="0.25">
      <c r="A159">
        <v>143</v>
      </c>
      <c r="B159">
        <v>1690216714.5999999</v>
      </c>
      <c r="C159">
        <v>1769.099999904633</v>
      </c>
      <c r="D159" t="s">
        <v>619</v>
      </c>
      <c r="E159" t="s">
        <v>620</v>
      </c>
      <c r="F159" t="s">
        <v>330</v>
      </c>
      <c r="H159">
        <v>1690216714.5999999</v>
      </c>
      <c r="I159">
        <f t="shared" si="60"/>
        <v>1.8349373717832505E-3</v>
      </c>
      <c r="J159">
        <f t="shared" si="61"/>
        <v>1.8349373717832504</v>
      </c>
      <c r="K159">
        <f t="shared" si="62"/>
        <v>29.772571419834392</v>
      </c>
      <c r="L159">
        <f t="shared" si="63"/>
        <v>457.26499999999999</v>
      </c>
      <c r="M159">
        <f t="shared" si="64"/>
        <v>93.650349809817769</v>
      </c>
      <c r="N159">
        <f t="shared" si="65"/>
        <v>9.2888046263904318</v>
      </c>
      <c r="O159">
        <f t="shared" si="66"/>
        <v>45.354291319914999</v>
      </c>
      <c r="P159">
        <f t="shared" si="67"/>
        <v>0.13743701971260608</v>
      </c>
      <c r="Q159">
        <f t="shared" si="68"/>
        <v>2.0659395055899701</v>
      </c>
      <c r="R159">
        <f t="shared" si="69"/>
        <v>0.13255216704811998</v>
      </c>
      <c r="S159">
        <f t="shared" si="70"/>
        <v>8.3269524443048554E-2</v>
      </c>
      <c r="T159">
        <f t="shared" si="71"/>
        <v>276.11451414000004</v>
      </c>
      <c r="U159">
        <f t="shared" si="72"/>
        <v>28.410528397646342</v>
      </c>
      <c r="V159">
        <f t="shared" si="73"/>
        <v>28.410528397646342</v>
      </c>
      <c r="W159">
        <f t="shared" si="74"/>
        <v>3.8866130152607923</v>
      </c>
      <c r="X159">
        <f t="shared" si="75"/>
        <v>72.219471071999024</v>
      </c>
      <c r="Y159">
        <f t="shared" si="76"/>
        <v>2.5581758399086998</v>
      </c>
      <c r="Z159">
        <f t="shared" si="77"/>
        <v>3.5422245579150426</v>
      </c>
      <c r="AA159">
        <f t="shared" si="78"/>
        <v>1.3284371753520925</v>
      </c>
      <c r="AB159">
        <f t="shared" si="79"/>
        <v>-80.92073809564134</v>
      </c>
      <c r="AC159">
        <f t="shared" si="80"/>
        <v>-176.76152580193852</v>
      </c>
      <c r="AD159">
        <f t="shared" si="81"/>
        <v>-18.579115986318396</v>
      </c>
      <c r="AE159">
        <f t="shared" si="82"/>
        <v>-0.14686574389824614</v>
      </c>
      <c r="AF159">
        <v>43</v>
      </c>
      <c r="AG159">
        <v>14</v>
      </c>
      <c r="AH159">
        <f t="shared" si="83"/>
        <v>1</v>
      </c>
      <c r="AI159">
        <f t="shared" si="84"/>
        <v>0</v>
      </c>
      <c r="AJ159">
        <f t="shared" si="85"/>
        <v>52503.139296005837</v>
      </c>
      <c r="AK159">
        <f t="shared" si="86"/>
        <v>1800</v>
      </c>
      <c r="AL159">
        <f t="shared" si="87"/>
        <v>1499.1145020000001</v>
      </c>
      <c r="AM159">
        <f t="shared" si="88"/>
        <v>0.83284139000000001</v>
      </c>
      <c r="AN159">
        <f t="shared" si="89"/>
        <v>0.15339695230000003</v>
      </c>
      <c r="AO159">
        <v>33.6</v>
      </c>
      <c r="AP159">
        <v>0.5</v>
      </c>
      <c r="AQ159" t="s">
        <v>331</v>
      </c>
      <c r="AR159">
        <v>2</v>
      </c>
      <c r="AS159">
        <v>1690216714.5999999</v>
      </c>
      <c r="AT159">
        <v>457.26499999999999</v>
      </c>
      <c r="AU159">
        <v>799.93700000000001</v>
      </c>
      <c r="AV159">
        <v>25.791699999999999</v>
      </c>
      <c r="AW159">
        <v>5.7808599999999997</v>
      </c>
      <c r="AX159">
        <v>457.41199999999998</v>
      </c>
      <c r="AY159">
        <v>25.5991</v>
      </c>
      <c r="AZ159">
        <v>300.15600000000001</v>
      </c>
      <c r="BA159">
        <v>99.085999999999999</v>
      </c>
      <c r="BB159">
        <v>0.100011</v>
      </c>
      <c r="BC159">
        <v>26.823499999999999</v>
      </c>
      <c r="BD159">
        <v>27.001999999999999</v>
      </c>
      <c r="BE159">
        <v>28.306999999999999</v>
      </c>
      <c r="BF159">
        <v>0</v>
      </c>
      <c r="BG159">
        <v>0</v>
      </c>
      <c r="BH159">
        <v>10015.6</v>
      </c>
      <c r="BI159">
        <v>1076.92</v>
      </c>
      <c r="BJ159">
        <v>1.5137799999999999</v>
      </c>
      <c r="BK159">
        <v>-342.67200000000003</v>
      </c>
      <c r="BL159">
        <v>469.37099999999998</v>
      </c>
      <c r="BM159">
        <v>804.58900000000006</v>
      </c>
      <c r="BN159">
        <v>20.0108</v>
      </c>
      <c r="BO159">
        <v>799.93700000000001</v>
      </c>
      <c r="BP159">
        <v>5.7808599999999997</v>
      </c>
      <c r="BQ159">
        <v>2.55559</v>
      </c>
      <c r="BR159">
        <v>0.57280200000000003</v>
      </c>
      <c r="BS159">
        <v>21.385000000000002</v>
      </c>
      <c r="BT159">
        <v>-0.94468799999999997</v>
      </c>
      <c r="BU159">
        <v>1800</v>
      </c>
      <c r="BV159">
        <v>0.91001900000000002</v>
      </c>
      <c r="BW159">
        <v>3.3993799999999998E-2</v>
      </c>
      <c r="BX159">
        <v>2.1996000000000002E-2</v>
      </c>
      <c r="BY159">
        <v>3.3991E-2</v>
      </c>
      <c r="BZ159">
        <v>26</v>
      </c>
      <c r="CA159">
        <v>33528.6</v>
      </c>
      <c r="CB159">
        <v>1690214843</v>
      </c>
      <c r="CC159" t="s">
        <v>332</v>
      </c>
      <c r="CD159">
        <v>1690214842</v>
      </c>
      <c r="CE159">
        <v>1690214843</v>
      </c>
      <c r="CF159">
        <v>8</v>
      </c>
      <c r="CG159">
        <v>-6.3E-2</v>
      </c>
      <c r="CH159">
        <v>1E-3</v>
      </c>
      <c r="CI159">
        <v>-0.38900000000000001</v>
      </c>
      <c r="CJ159">
        <v>-6.6000000000000003E-2</v>
      </c>
      <c r="CK159">
        <v>800</v>
      </c>
      <c r="CL159">
        <v>6</v>
      </c>
      <c r="CM159">
        <v>0.23</v>
      </c>
      <c r="CN159">
        <v>0.02</v>
      </c>
      <c r="CO159">
        <v>-340.39052500000003</v>
      </c>
      <c r="CP159">
        <v>-13.10540712945483</v>
      </c>
      <c r="CQ159">
        <v>1.2616580556454271</v>
      </c>
      <c r="CR159">
        <v>-1</v>
      </c>
      <c r="CS159">
        <v>19.9133475</v>
      </c>
      <c r="CT159">
        <v>0.5291718574108768</v>
      </c>
      <c r="CU159">
        <v>5.0929843841798668E-2</v>
      </c>
      <c r="CV159">
        <v>-1</v>
      </c>
      <c r="CW159">
        <v>0</v>
      </c>
      <c r="CX159">
        <v>0</v>
      </c>
      <c r="CY159" t="s">
        <v>333</v>
      </c>
      <c r="CZ159">
        <v>2.3644500000000002</v>
      </c>
      <c r="DA159">
        <v>2.7138200000000001</v>
      </c>
      <c r="DB159">
        <v>9.9010600000000004E-2</v>
      </c>
      <c r="DC159">
        <v>0.14608199999999999</v>
      </c>
      <c r="DD159">
        <v>0.11980499999999999</v>
      </c>
      <c r="DE159">
        <v>3.8270100000000001E-2</v>
      </c>
      <c r="DF159">
        <v>32891.699999999997</v>
      </c>
      <c r="DG159">
        <v>27510.7</v>
      </c>
      <c r="DH159">
        <v>31165.4</v>
      </c>
      <c r="DI159">
        <v>28072.9</v>
      </c>
      <c r="DJ159">
        <v>37234</v>
      </c>
      <c r="DK159">
        <v>38391.1</v>
      </c>
      <c r="DL159">
        <v>44350.400000000001</v>
      </c>
      <c r="DM159">
        <v>42545</v>
      </c>
      <c r="DN159">
        <v>1.3625700000000001</v>
      </c>
      <c r="DO159">
        <v>2.0346000000000002</v>
      </c>
      <c r="DP159">
        <v>8.43555E-2</v>
      </c>
      <c r="DQ159">
        <v>0.17829999999999999</v>
      </c>
      <c r="DR159">
        <v>25.620999999999999</v>
      </c>
      <c r="DS159">
        <v>25.3904</v>
      </c>
      <c r="DT159">
        <v>17.100000000000001</v>
      </c>
      <c r="DU159">
        <v>29.8</v>
      </c>
      <c r="DV159">
        <v>7.2685700000000004</v>
      </c>
      <c r="DW159">
        <v>61.688499999999998</v>
      </c>
      <c r="DX159">
        <v>36.213900000000002</v>
      </c>
      <c r="DY159">
        <v>1</v>
      </c>
      <c r="DZ159">
        <v>-9.1410099999999994E-2</v>
      </c>
      <c r="EA159">
        <v>-0.21373600000000001</v>
      </c>
      <c r="EB159">
        <v>20.189699999999998</v>
      </c>
      <c r="EC159">
        <v>5.2406499999999996</v>
      </c>
      <c r="ED159">
        <v>12.039899999999999</v>
      </c>
      <c r="EE159">
        <v>5.01715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1.86893</v>
      </c>
      <c r="EL159">
        <v>1.8646499999999999</v>
      </c>
      <c r="EM159">
        <v>1.8692</v>
      </c>
      <c r="EN159">
        <v>1.8672500000000001</v>
      </c>
      <c r="EO159">
        <v>1.8633999999999999</v>
      </c>
      <c r="EP159">
        <v>1.8645799999999999</v>
      </c>
      <c r="EQ159">
        <v>1.87019</v>
      </c>
      <c r="ER159">
        <v>1.8694900000000001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-0.14699999999999999</v>
      </c>
      <c r="FG159">
        <v>0.19259999999999999</v>
      </c>
      <c r="FH159">
        <v>0.16202357103534001</v>
      </c>
      <c r="FI159">
        <v>-6.1462078757559423E-4</v>
      </c>
      <c r="FJ159">
        <v>-1.8861989874597051E-7</v>
      </c>
      <c r="FK159">
        <v>1.1980462299894961E-10</v>
      </c>
      <c r="FL159">
        <v>0.19260234566371101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31.2</v>
      </c>
      <c r="FU159">
        <v>31.2</v>
      </c>
      <c r="FV159">
        <v>1.7785599999999999</v>
      </c>
      <c r="FW159">
        <v>2.5781200000000002</v>
      </c>
      <c r="FX159">
        <v>1.5490699999999999</v>
      </c>
      <c r="FY159">
        <v>2.3290999999999999</v>
      </c>
      <c r="FZ159">
        <v>1.50146</v>
      </c>
      <c r="GA159">
        <v>2.3290999999999999</v>
      </c>
      <c r="GB159">
        <v>33.8735</v>
      </c>
      <c r="GC159">
        <v>23.982399999999998</v>
      </c>
      <c r="GD159">
        <v>19</v>
      </c>
      <c r="GE159">
        <v>237.46600000000001</v>
      </c>
      <c r="GF159">
        <v>581.87300000000005</v>
      </c>
      <c r="GG159">
        <v>25.318000000000001</v>
      </c>
      <c r="GH159">
        <v>26.239899999999999</v>
      </c>
      <c r="GI159">
        <v>30</v>
      </c>
      <c r="GJ159">
        <v>26.381399999999999</v>
      </c>
      <c r="GK159">
        <v>26.353899999999999</v>
      </c>
      <c r="GL159">
        <v>35.5625</v>
      </c>
      <c r="GM159">
        <v>-30</v>
      </c>
      <c r="GN159">
        <v>-30</v>
      </c>
      <c r="GO159">
        <v>25.3248</v>
      </c>
      <c r="GP159">
        <v>800</v>
      </c>
      <c r="GQ159">
        <v>12.5298</v>
      </c>
      <c r="GR159">
        <v>99.714799999999997</v>
      </c>
      <c r="GS159">
        <v>99.531099999999995</v>
      </c>
    </row>
    <row r="160" spans="1:201" x14ac:dyDescent="0.25">
      <c r="A160">
        <v>144</v>
      </c>
      <c r="B160">
        <v>1690216724.5999999</v>
      </c>
      <c r="C160">
        <v>1779.099999904633</v>
      </c>
      <c r="D160" t="s">
        <v>621</v>
      </c>
      <c r="E160" t="s">
        <v>622</v>
      </c>
      <c r="F160" t="s">
        <v>330</v>
      </c>
      <c r="H160">
        <v>1690216724.5999999</v>
      </c>
      <c r="I160">
        <f t="shared" si="60"/>
        <v>1.84277029861748E-3</v>
      </c>
      <c r="J160">
        <f t="shared" si="61"/>
        <v>1.8427702986174801</v>
      </c>
      <c r="K160">
        <f t="shared" si="62"/>
        <v>29.96748411039135</v>
      </c>
      <c r="L160">
        <f t="shared" si="63"/>
        <v>455.19</v>
      </c>
      <c r="M160">
        <f t="shared" si="64"/>
        <v>93.210950518312387</v>
      </c>
      <c r="N160">
        <f t="shared" si="65"/>
        <v>9.2452561803626363</v>
      </c>
      <c r="O160">
        <f t="shared" si="66"/>
        <v>45.148645490021998</v>
      </c>
      <c r="P160">
        <f t="shared" si="67"/>
        <v>0.13899997414555765</v>
      </c>
      <c r="Q160">
        <f t="shared" si="68"/>
        <v>2.0631998142162837</v>
      </c>
      <c r="R160">
        <f t="shared" si="69"/>
        <v>0.13399918378219786</v>
      </c>
      <c r="S160">
        <f t="shared" si="70"/>
        <v>8.4183801923617477E-2</v>
      </c>
      <c r="T160">
        <f t="shared" si="71"/>
        <v>276.11459233199997</v>
      </c>
      <c r="U160">
        <f t="shared" si="72"/>
        <v>28.406829462967707</v>
      </c>
      <c r="V160">
        <f t="shared" si="73"/>
        <v>28.406829462967707</v>
      </c>
      <c r="W160">
        <f t="shared" si="74"/>
        <v>3.8857775555707335</v>
      </c>
      <c r="X160">
        <f t="shared" si="75"/>
        <v>72.45567472041634</v>
      </c>
      <c r="Y160">
        <f t="shared" si="76"/>
        <v>2.5661201070414599</v>
      </c>
      <c r="Z160">
        <f t="shared" si="77"/>
        <v>3.5416413095914296</v>
      </c>
      <c r="AA160">
        <f t="shared" si="78"/>
        <v>1.3196574485292736</v>
      </c>
      <c r="AB160">
        <f t="shared" si="79"/>
        <v>-81.266170169030872</v>
      </c>
      <c r="AC160">
        <f t="shared" si="80"/>
        <v>-176.42712854199732</v>
      </c>
      <c r="AD160">
        <f t="shared" si="81"/>
        <v>-18.567990006621386</v>
      </c>
      <c r="AE160">
        <f t="shared" si="82"/>
        <v>-0.14669638564964771</v>
      </c>
      <c r="AF160">
        <v>43</v>
      </c>
      <c r="AG160">
        <v>14</v>
      </c>
      <c r="AH160">
        <f t="shared" si="83"/>
        <v>1</v>
      </c>
      <c r="AI160">
        <f t="shared" si="84"/>
        <v>0</v>
      </c>
      <c r="AJ160">
        <f t="shared" si="85"/>
        <v>52378.246910775692</v>
      </c>
      <c r="AK160">
        <f t="shared" si="86"/>
        <v>1800</v>
      </c>
      <c r="AL160">
        <f t="shared" si="87"/>
        <v>1499.1154901999998</v>
      </c>
      <c r="AM160">
        <f t="shared" si="88"/>
        <v>0.83284193899999992</v>
      </c>
      <c r="AN160">
        <f t="shared" si="89"/>
        <v>0.15339699573999999</v>
      </c>
      <c r="AO160">
        <v>33.6</v>
      </c>
      <c r="AP160">
        <v>0.5</v>
      </c>
      <c r="AQ160" t="s">
        <v>331</v>
      </c>
      <c r="AR160">
        <v>2</v>
      </c>
      <c r="AS160">
        <v>1690216724.5999999</v>
      </c>
      <c r="AT160">
        <v>455.19</v>
      </c>
      <c r="AU160">
        <v>799.97799999999995</v>
      </c>
      <c r="AV160">
        <v>25.871700000000001</v>
      </c>
      <c r="AW160">
        <v>5.7807700000000004</v>
      </c>
      <c r="AX160">
        <v>455.33499999999998</v>
      </c>
      <c r="AY160">
        <v>25.679099999999998</v>
      </c>
      <c r="AZ160">
        <v>300.21100000000001</v>
      </c>
      <c r="BA160">
        <v>99.086399999999998</v>
      </c>
      <c r="BB160">
        <v>9.9973800000000002E-2</v>
      </c>
      <c r="BC160">
        <v>26.820699999999999</v>
      </c>
      <c r="BD160">
        <v>26.9985</v>
      </c>
      <c r="BE160">
        <v>28.307600000000001</v>
      </c>
      <c r="BF160">
        <v>0</v>
      </c>
      <c r="BG160">
        <v>0</v>
      </c>
      <c r="BH160">
        <v>9990.6200000000008</v>
      </c>
      <c r="BI160">
        <v>1076.97</v>
      </c>
      <c r="BJ160">
        <v>1.49977</v>
      </c>
      <c r="BK160">
        <v>-344.78899999999999</v>
      </c>
      <c r="BL160">
        <v>467.279</v>
      </c>
      <c r="BM160">
        <v>804.63</v>
      </c>
      <c r="BN160">
        <v>20.091000000000001</v>
      </c>
      <c r="BO160">
        <v>799.97799999999995</v>
      </c>
      <c r="BP160">
        <v>5.7807700000000004</v>
      </c>
      <c r="BQ160">
        <v>2.5635400000000002</v>
      </c>
      <c r="BR160">
        <v>0.57279599999999997</v>
      </c>
      <c r="BS160">
        <v>21.435600000000001</v>
      </c>
      <c r="BT160">
        <v>-0.94484999999999997</v>
      </c>
      <c r="BU160">
        <v>1800</v>
      </c>
      <c r="BV160">
        <v>0.91002099999999997</v>
      </c>
      <c r="BW160">
        <v>3.3993200000000001E-2</v>
      </c>
      <c r="BX160">
        <v>2.19957E-2</v>
      </c>
      <c r="BY160">
        <v>3.3990399999999997E-2</v>
      </c>
      <c r="BZ160">
        <v>26</v>
      </c>
      <c r="CA160">
        <v>33528.5</v>
      </c>
      <c r="CB160">
        <v>1690214843</v>
      </c>
      <c r="CC160" t="s">
        <v>332</v>
      </c>
      <c r="CD160">
        <v>1690214842</v>
      </c>
      <c r="CE160">
        <v>1690214843</v>
      </c>
      <c r="CF160">
        <v>8</v>
      </c>
      <c r="CG160">
        <v>-6.3E-2</v>
      </c>
      <c r="CH160">
        <v>1E-3</v>
      </c>
      <c r="CI160">
        <v>-0.38900000000000001</v>
      </c>
      <c r="CJ160">
        <v>-6.6000000000000003E-2</v>
      </c>
      <c r="CK160">
        <v>800</v>
      </c>
      <c r="CL160">
        <v>6</v>
      </c>
      <c r="CM160">
        <v>0.23</v>
      </c>
      <c r="CN160">
        <v>0.02</v>
      </c>
      <c r="CO160">
        <v>-342.69167499999998</v>
      </c>
      <c r="CP160">
        <v>-12.14281801125686</v>
      </c>
      <c r="CQ160">
        <v>1.1690025745801429</v>
      </c>
      <c r="CR160">
        <v>-1</v>
      </c>
      <c r="CS160">
        <v>20.007670000000001</v>
      </c>
      <c r="CT160">
        <v>0.49401050656654549</v>
      </c>
      <c r="CU160">
        <v>4.7550106203877257E-2</v>
      </c>
      <c r="CV160">
        <v>-1</v>
      </c>
      <c r="CW160">
        <v>0</v>
      </c>
      <c r="CX160">
        <v>0</v>
      </c>
      <c r="CY160" t="s">
        <v>333</v>
      </c>
      <c r="CZ160">
        <v>2.36463</v>
      </c>
      <c r="DA160">
        <v>2.7137600000000002</v>
      </c>
      <c r="DB160">
        <v>9.8677200000000007E-2</v>
      </c>
      <c r="DC160">
        <v>0.146088</v>
      </c>
      <c r="DD160">
        <v>0.12006699999999999</v>
      </c>
      <c r="DE160">
        <v>3.8269900000000003E-2</v>
      </c>
      <c r="DF160">
        <v>32904.1</v>
      </c>
      <c r="DG160">
        <v>27510.5</v>
      </c>
      <c r="DH160">
        <v>31165.599999999999</v>
      </c>
      <c r="DI160">
        <v>28072.9</v>
      </c>
      <c r="DJ160">
        <v>37222.800000000003</v>
      </c>
      <c r="DK160">
        <v>38391.1</v>
      </c>
      <c r="DL160">
        <v>44350.5</v>
      </c>
      <c r="DM160">
        <v>42545</v>
      </c>
      <c r="DN160">
        <v>1.3629800000000001</v>
      </c>
      <c r="DO160">
        <v>2.0344500000000001</v>
      </c>
      <c r="DP160">
        <v>8.4266099999999997E-2</v>
      </c>
      <c r="DQ160">
        <v>0.17843400000000001</v>
      </c>
      <c r="DR160">
        <v>25.6188</v>
      </c>
      <c r="DS160">
        <v>25.3888</v>
      </c>
      <c r="DT160">
        <v>17.100000000000001</v>
      </c>
      <c r="DU160">
        <v>29.8</v>
      </c>
      <c r="DV160">
        <v>7.26837</v>
      </c>
      <c r="DW160">
        <v>61.618499999999997</v>
      </c>
      <c r="DX160">
        <v>36.157899999999998</v>
      </c>
      <c r="DY160">
        <v>1</v>
      </c>
      <c r="DZ160">
        <v>-9.1554899999999995E-2</v>
      </c>
      <c r="EA160">
        <v>-0.20172899999999999</v>
      </c>
      <c r="EB160">
        <v>20.189599999999999</v>
      </c>
      <c r="EC160">
        <v>5.2411000000000003</v>
      </c>
      <c r="ED160">
        <v>12.039899999999999</v>
      </c>
      <c r="EE160">
        <v>5.0170500000000002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1.86893</v>
      </c>
      <c r="EL160">
        <v>1.86466</v>
      </c>
      <c r="EM160">
        <v>1.8692</v>
      </c>
      <c r="EN160">
        <v>1.8672500000000001</v>
      </c>
      <c r="EO160">
        <v>1.8633999999999999</v>
      </c>
      <c r="EP160">
        <v>1.86456</v>
      </c>
      <c r="EQ160">
        <v>1.87019</v>
      </c>
      <c r="ER160">
        <v>1.8694999999999999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-0.14499999999999999</v>
      </c>
      <c r="FG160">
        <v>0.19259999999999999</v>
      </c>
      <c r="FH160">
        <v>0.16202357103534001</v>
      </c>
      <c r="FI160">
        <v>-6.1462078757559423E-4</v>
      </c>
      <c r="FJ160">
        <v>-1.8861989874597051E-7</v>
      </c>
      <c r="FK160">
        <v>1.1980462299894961E-10</v>
      </c>
      <c r="FL160">
        <v>0.19260234566371101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31.4</v>
      </c>
      <c r="FU160">
        <v>31.4</v>
      </c>
      <c r="FV160">
        <v>1.7785599999999999</v>
      </c>
      <c r="FW160">
        <v>2.5793499999999998</v>
      </c>
      <c r="FX160">
        <v>1.5490699999999999</v>
      </c>
      <c r="FY160">
        <v>2.3290999999999999</v>
      </c>
      <c r="FZ160">
        <v>1.50146</v>
      </c>
      <c r="GA160">
        <v>2.34009</v>
      </c>
      <c r="GB160">
        <v>33.8735</v>
      </c>
      <c r="GC160">
        <v>23.982399999999998</v>
      </c>
      <c r="GD160">
        <v>19</v>
      </c>
      <c r="GE160">
        <v>237.60900000000001</v>
      </c>
      <c r="GF160">
        <v>581.73</v>
      </c>
      <c r="GG160">
        <v>25.3218</v>
      </c>
      <c r="GH160">
        <v>26.2377</v>
      </c>
      <c r="GI160">
        <v>29.9999</v>
      </c>
      <c r="GJ160">
        <v>26.379200000000001</v>
      </c>
      <c r="GK160">
        <v>26.3522</v>
      </c>
      <c r="GL160">
        <v>35.565600000000003</v>
      </c>
      <c r="GM160">
        <v>-30</v>
      </c>
      <c r="GN160">
        <v>-30</v>
      </c>
      <c r="GO160">
        <v>25.3188</v>
      </c>
      <c r="GP160">
        <v>800</v>
      </c>
      <c r="GQ160">
        <v>12.5298</v>
      </c>
      <c r="GR160">
        <v>99.715100000000007</v>
      </c>
      <c r="GS160">
        <v>99.531099999999995</v>
      </c>
    </row>
    <row r="161" spans="1:201" x14ac:dyDescent="0.25">
      <c r="A161">
        <v>145</v>
      </c>
      <c r="B161">
        <v>1690216734.5999999</v>
      </c>
      <c r="C161">
        <v>1789.099999904633</v>
      </c>
      <c r="D161" t="s">
        <v>623</v>
      </c>
      <c r="E161" t="s">
        <v>624</v>
      </c>
      <c r="F161" t="s">
        <v>330</v>
      </c>
      <c r="H161">
        <v>1690216734.5999999</v>
      </c>
      <c r="I161">
        <f t="shared" si="60"/>
        <v>1.8493844612044519E-3</v>
      </c>
      <c r="J161">
        <f t="shared" si="61"/>
        <v>1.8493844612044519</v>
      </c>
      <c r="K161">
        <f t="shared" si="62"/>
        <v>30.153713548017858</v>
      </c>
      <c r="L161">
        <f t="shared" si="63"/>
        <v>453.16199999999998</v>
      </c>
      <c r="M161">
        <f t="shared" si="64"/>
        <v>92.350291642235803</v>
      </c>
      <c r="N161">
        <f t="shared" si="65"/>
        <v>9.1602488203222414</v>
      </c>
      <c r="O161">
        <f t="shared" si="66"/>
        <v>44.949253565934598</v>
      </c>
      <c r="P161">
        <f t="shared" si="67"/>
        <v>0.14034163412171197</v>
      </c>
      <c r="Q161">
        <f t="shared" si="68"/>
        <v>2.0623496169674591</v>
      </c>
      <c r="R161">
        <f t="shared" si="69"/>
        <v>0.13524372539868015</v>
      </c>
      <c r="S161">
        <f t="shared" si="70"/>
        <v>8.4969927016332436E-2</v>
      </c>
      <c r="T161">
        <f t="shared" si="71"/>
        <v>276.11449428599997</v>
      </c>
      <c r="U161">
        <f t="shared" si="72"/>
        <v>28.406143757124671</v>
      </c>
      <c r="V161">
        <f t="shared" si="73"/>
        <v>28.406143757124671</v>
      </c>
      <c r="W161">
        <f t="shared" si="74"/>
        <v>3.8856226958683848</v>
      </c>
      <c r="X161">
        <f t="shared" si="75"/>
        <v>72.656857963787246</v>
      </c>
      <c r="Y161">
        <f t="shared" si="76"/>
        <v>2.5734117696658596</v>
      </c>
      <c r="Z161">
        <f t="shared" si="77"/>
        <v>3.5418704328619168</v>
      </c>
      <c r="AA161">
        <f t="shared" si="78"/>
        <v>1.3122109262025252</v>
      </c>
      <c r="AB161">
        <f t="shared" si="79"/>
        <v>-81.557854739116337</v>
      </c>
      <c r="AC161">
        <f t="shared" si="80"/>
        <v>-176.15588256996864</v>
      </c>
      <c r="AD161">
        <f t="shared" si="81"/>
        <v>-18.547123730732576</v>
      </c>
      <c r="AE161">
        <f t="shared" si="82"/>
        <v>-0.14636675381757414</v>
      </c>
      <c r="AF161">
        <v>43</v>
      </c>
      <c r="AG161">
        <v>14</v>
      </c>
      <c r="AH161">
        <f t="shared" si="83"/>
        <v>1</v>
      </c>
      <c r="AI161">
        <f t="shared" si="84"/>
        <v>0</v>
      </c>
      <c r="AJ161">
        <f t="shared" si="85"/>
        <v>52339.269329389048</v>
      </c>
      <c r="AK161">
        <f t="shared" si="86"/>
        <v>1800</v>
      </c>
      <c r="AL161">
        <f t="shared" si="87"/>
        <v>1499.1150725999996</v>
      </c>
      <c r="AM161">
        <f t="shared" si="88"/>
        <v>0.83284170699999982</v>
      </c>
      <c r="AN161">
        <f t="shared" si="89"/>
        <v>0.15339694126999998</v>
      </c>
      <c r="AO161">
        <v>33.6</v>
      </c>
      <c r="AP161">
        <v>0.5</v>
      </c>
      <c r="AQ161" t="s">
        <v>331</v>
      </c>
      <c r="AR161">
        <v>2</v>
      </c>
      <c r="AS161">
        <v>1690216734.5999999</v>
      </c>
      <c r="AT161">
        <v>453.16199999999998</v>
      </c>
      <c r="AU161">
        <v>800.06299999999999</v>
      </c>
      <c r="AV161">
        <v>25.944199999999999</v>
      </c>
      <c r="AW161">
        <v>5.7805099999999996</v>
      </c>
      <c r="AX161">
        <v>453.30599999999998</v>
      </c>
      <c r="AY161">
        <v>25.7516</v>
      </c>
      <c r="AZ161">
        <v>300.17899999999997</v>
      </c>
      <c r="BA161">
        <v>99.090299999999999</v>
      </c>
      <c r="BB161">
        <v>9.9953299999999995E-2</v>
      </c>
      <c r="BC161">
        <v>26.8218</v>
      </c>
      <c r="BD161">
        <v>26.9925</v>
      </c>
      <c r="BE161">
        <v>28.296700000000001</v>
      </c>
      <c r="BF161">
        <v>0</v>
      </c>
      <c r="BG161">
        <v>0</v>
      </c>
      <c r="BH161">
        <v>9982.5</v>
      </c>
      <c r="BI161">
        <v>1076.98</v>
      </c>
      <c r="BJ161">
        <v>1.5137799999999999</v>
      </c>
      <c r="BK161">
        <v>-346.90100000000001</v>
      </c>
      <c r="BL161">
        <v>465.23200000000003</v>
      </c>
      <c r="BM161">
        <v>804.71500000000003</v>
      </c>
      <c r="BN161">
        <v>20.163699999999999</v>
      </c>
      <c r="BO161">
        <v>800.06299999999999</v>
      </c>
      <c r="BP161">
        <v>5.7805099999999996</v>
      </c>
      <c r="BQ161">
        <v>2.5708199999999999</v>
      </c>
      <c r="BR161">
        <v>0.572793</v>
      </c>
      <c r="BS161">
        <v>21.4819</v>
      </c>
      <c r="BT161">
        <v>-0.94491099999999995</v>
      </c>
      <c r="BU161">
        <v>1800</v>
      </c>
      <c r="BV161">
        <v>0.91002099999999997</v>
      </c>
      <c r="BW161">
        <v>3.3993099999999998E-2</v>
      </c>
      <c r="BX161">
        <v>2.1995600000000001E-2</v>
      </c>
      <c r="BY161">
        <v>3.3990300000000001E-2</v>
      </c>
      <c r="BZ161">
        <v>26</v>
      </c>
      <c r="CA161">
        <v>33528.5</v>
      </c>
      <c r="CB161">
        <v>1690214843</v>
      </c>
      <c r="CC161" t="s">
        <v>332</v>
      </c>
      <c r="CD161">
        <v>1690214842</v>
      </c>
      <c r="CE161">
        <v>1690214843</v>
      </c>
      <c r="CF161">
        <v>8</v>
      </c>
      <c r="CG161">
        <v>-6.3E-2</v>
      </c>
      <c r="CH161">
        <v>1E-3</v>
      </c>
      <c r="CI161">
        <v>-0.38900000000000001</v>
      </c>
      <c r="CJ161">
        <v>-6.6000000000000003E-2</v>
      </c>
      <c r="CK161">
        <v>800</v>
      </c>
      <c r="CL161">
        <v>6</v>
      </c>
      <c r="CM161">
        <v>0.23</v>
      </c>
      <c r="CN161">
        <v>0.02</v>
      </c>
      <c r="CO161">
        <v>-344.55002439024389</v>
      </c>
      <c r="CP161">
        <v>-12.230696864112049</v>
      </c>
      <c r="CQ161">
        <v>1.207309778741205</v>
      </c>
      <c r="CR161">
        <v>-1</v>
      </c>
      <c r="CS161">
        <v>20.081202439024391</v>
      </c>
      <c r="CT161">
        <v>0.46027108013938411</v>
      </c>
      <c r="CU161">
        <v>4.5398057806339723E-2</v>
      </c>
      <c r="CV161">
        <v>-1</v>
      </c>
      <c r="CW161">
        <v>0</v>
      </c>
      <c r="CX161">
        <v>0</v>
      </c>
      <c r="CY161" t="s">
        <v>333</v>
      </c>
      <c r="CZ161">
        <v>2.3645100000000001</v>
      </c>
      <c r="DA161">
        <v>2.71373</v>
      </c>
      <c r="DB161">
        <v>9.8353700000000002E-2</v>
      </c>
      <c r="DC161">
        <v>0.14610400000000001</v>
      </c>
      <c r="DD161">
        <v>0.120307</v>
      </c>
      <c r="DE161">
        <v>3.8269999999999998E-2</v>
      </c>
      <c r="DF161">
        <v>32915.800000000003</v>
      </c>
      <c r="DG161">
        <v>27509.9</v>
      </c>
      <c r="DH161">
        <v>31165.5</v>
      </c>
      <c r="DI161">
        <v>28072.799999999999</v>
      </c>
      <c r="DJ161">
        <v>37212.6</v>
      </c>
      <c r="DK161">
        <v>38390.9</v>
      </c>
      <c r="DL161">
        <v>44350.6</v>
      </c>
      <c r="DM161">
        <v>42544.800000000003</v>
      </c>
      <c r="DN161">
        <v>1.3629500000000001</v>
      </c>
      <c r="DO161">
        <v>2.0343</v>
      </c>
      <c r="DP161">
        <v>8.4035100000000001E-2</v>
      </c>
      <c r="DQ161">
        <v>0.177763</v>
      </c>
      <c r="DR161">
        <v>25.616700000000002</v>
      </c>
      <c r="DS161">
        <v>25.3888</v>
      </c>
      <c r="DT161">
        <v>17.100000000000001</v>
      </c>
      <c r="DU161">
        <v>29.8</v>
      </c>
      <c r="DV161">
        <v>7.2687099999999996</v>
      </c>
      <c r="DW161">
        <v>61.728499999999997</v>
      </c>
      <c r="DX161">
        <v>36.330100000000002</v>
      </c>
      <c r="DY161">
        <v>1</v>
      </c>
      <c r="DZ161">
        <v>-9.1737799999999994E-2</v>
      </c>
      <c r="EA161">
        <v>-0.21012800000000001</v>
      </c>
      <c r="EB161">
        <v>20.189599999999999</v>
      </c>
      <c r="EC161">
        <v>5.2409499999999998</v>
      </c>
      <c r="ED161">
        <v>12.039899999999999</v>
      </c>
      <c r="EE161">
        <v>5.0169499999999996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1.86893</v>
      </c>
      <c r="EL161">
        <v>1.86473</v>
      </c>
      <c r="EM161">
        <v>1.8691899999999999</v>
      </c>
      <c r="EN161">
        <v>1.86724</v>
      </c>
      <c r="EO161">
        <v>1.8633999999999999</v>
      </c>
      <c r="EP161">
        <v>1.86456</v>
      </c>
      <c r="EQ161">
        <v>1.8701700000000001</v>
      </c>
      <c r="ER161">
        <v>1.8694900000000001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-0.14399999999999999</v>
      </c>
      <c r="FG161">
        <v>0.19259999999999999</v>
      </c>
      <c r="FH161">
        <v>0.16202357103534001</v>
      </c>
      <c r="FI161">
        <v>-6.1462078757559423E-4</v>
      </c>
      <c r="FJ161">
        <v>-1.8861989874597051E-7</v>
      </c>
      <c r="FK161">
        <v>1.1980462299894961E-10</v>
      </c>
      <c r="FL161">
        <v>0.19260234566371101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31.5</v>
      </c>
      <c r="FU161">
        <v>31.5</v>
      </c>
      <c r="FV161">
        <v>1.7785599999999999</v>
      </c>
      <c r="FW161">
        <v>2.5781200000000002</v>
      </c>
      <c r="FX161">
        <v>1.5490699999999999</v>
      </c>
      <c r="FY161">
        <v>2.3290999999999999</v>
      </c>
      <c r="FZ161">
        <v>1.50146</v>
      </c>
      <c r="GA161">
        <v>2.3327599999999999</v>
      </c>
      <c r="GB161">
        <v>33.8735</v>
      </c>
      <c r="GC161">
        <v>23.982399999999998</v>
      </c>
      <c r="GD161">
        <v>19</v>
      </c>
      <c r="GE161">
        <v>237.6</v>
      </c>
      <c r="GF161">
        <v>581.60699999999997</v>
      </c>
      <c r="GG161">
        <v>25.319400000000002</v>
      </c>
      <c r="GH161">
        <v>26.2377</v>
      </c>
      <c r="GI161">
        <v>30.0001</v>
      </c>
      <c r="GJ161">
        <v>26.379200000000001</v>
      </c>
      <c r="GK161">
        <v>26.3522</v>
      </c>
      <c r="GL161">
        <v>35.562800000000003</v>
      </c>
      <c r="GM161">
        <v>-30</v>
      </c>
      <c r="GN161">
        <v>-30</v>
      </c>
      <c r="GO161">
        <v>25.3231</v>
      </c>
      <c r="GP161">
        <v>800</v>
      </c>
      <c r="GQ161">
        <v>12.5298</v>
      </c>
      <c r="GR161">
        <v>99.715199999999996</v>
      </c>
      <c r="GS161">
        <v>99.530600000000007</v>
      </c>
    </row>
    <row r="162" spans="1:201" x14ac:dyDescent="0.25">
      <c r="A162">
        <v>146</v>
      </c>
      <c r="B162">
        <v>1690216744.5999999</v>
      </c>
      <c r="C162">
        <v>1799.099999904633</v>
      </c>
      <c r="D162" t="s">
        <v>625</v>
      </c>
      <c r="E162" t="s">
        <v>626</v>
      </c>
      <c r="F162" t="s">
        <v>330</v>
      </c>
      <c r="H162">
        <v>1690216744.5999999</v>
      </c>
      <c r="I162">
        <f t="shared" si="60"/>
        <v>1.8573210259921875E-3</v>
      </c>
      <c r="J162">
        <f t="shared" si="61"/>
        <v>1.8573210259921875</v>
      </c>
      <c r="K162">
        <f t="shared" si="62"/>
        <v>30.328621687351202</v>
      </c>
      <c r="L162">
        <f t="shared" si="63"/>
        <v>451.18299999999999</v>
      </c>
      <c r="M162">
        <f t="shared" si="64"/>
        <v>92.295129819775838</v>
      </c>
      <c r="N162">
        <f t="shared" si="65"/>
        <v>9.1545190818657396</v>
      </c>
      <c r="O162">
        <f t="shared" si="66"/>
        <v>44.751693734856495</v>
      </c>
      <c r="P162">
        <f t="shared" si="67"/>
        <v>0.14194409288966003</v>
      </c>
      <c r="Q162">
        <f t="shared" si="68"/>
        <v>2.0654074108513485</v>
      </c>
      <c r="R162">
        <f t="shared" si="69"/>
        <v>0.13673883963536748</v>
      </c>
      <c r="S162">
        <f t="shared" si="70"/>
        <v>8.5913542719368297E-2</v>
      </c>
      <c r="T162">
        <f t="shared" si="71"/>
        <v>276.11288100902789</v>
      </c>
      <c r="U162">
        <f t="shared" si="72"/>
        <v>28.40305738232983</v>
      </c>
      <c r="V162">
        <f t="shared" si="73"/>
        <v>28.40305738232983</v>
      </c>
      <c r="W162">
        <f t="shared" si="74"/>
        <v>3.8849257361014087</v>
      </c>
      <c r="X162">
        <f t="shared" si="75"/>
        <v>72.879380005578184</v>
      </c>
      <c r="Y162">
        <f t="shared" si="76"/>
        <v>2.58158166053515</v>
      </c>
      <c r="Z162">
        <f t="shared" si="77"/>
        <v>3.5422662217180716</v>
      </c>
      <c r="AA162">
        <f t="shared" si="78"/>
        <v>1.3033440755662586</v>
      </c>
      <c r="AB162">
        <f t="shared" si="79"/>
        <v>-81.90785724625546</v>
      </c>
      <c r="AC162">
        <f t="shared" si="80"/>
        <v>-175.86183041284582</v>
      </c>
      <c r="AD162">
        <f t="shared" si="81"/>
        <v>-18.488640467966871</v>
      </c>
      <c r="AE162">
        <f t="shared" si="82"/>
        <v>-0.14544711804026633</v>
      </c>
      <c r="AF162">
        <v>43</v>
      </c>
      <c r="AG162">
        <v>14</v>
      </c>
      <c r="AH162">
        <f t="shared" si="83"/>
        <v>1</v>
      </c>
      <c r="AI162">
        <f t="shared" si="84"/>
        <v>0</v>
      </c>
      <c r="AJ162">
        <f t="shared" si="85"/>
        <v>52478.767343758307</v>
      </c>
      <c r="AK162">
        <f t="shared" si="86"/>
        <v>1799.99</v>
      </c>
      <c r="AL162">
        <f t="shared" si="87"/>
        <v>1499.1067423829402</v>
      </c>
      <c r="AM162">
        <f t="shared" si="88"/>
        <v>0.83284170600000007</v>
      </c>
      <c r="AN162">
        <f t="shared" si="89"/>
        <v>0.15339689720999999</v>
      </c>
      <c r="AO162">
        <v>33.6</v>
      </c>
      <c r="AP162">
        <v>0.5</v>
      </c>
      <c r="AQ162" t="s">
        <v>331</v>
      </c>
      <c r="AR162">
        <v>2</v>
      </c>
      <c r="AS162">
        <v>1690216744.5999999</v>
      </c>
      <c r="AT162">
        <v>451.18299999999999</v>
      </c>
      <c r="AU162">
        <v>800.02</v>
      </c>
      <c r="AV162">
        <v>26.0273</v>
      </c>
      <c r="AW162">
        <v>5.7800200000000004</v>
      </c>
      <c r="AX162">
        <v>451.32600000000002</v>
      </c>
      <c r="AY162">
        <v>25.834700000000002</v>
      </c>
      <c r="AZ162">
        <v>300.197</v>
      </c>
      <c r="BA162">
        <v>99.087500000000006</v>
      </c>
      <c r="BB162">
        <v>9.9955500000000003E-2</v>
      </c>
      <c r="BC162">
        <v>26.823699999999999</v>
      </c>
      <c r="BD162">
        <v>26.987400000000001</v>
      </c>
      <c r="BE162">
        <v>28.299099999999999</v>
      </c>
      <c r="BF162">
        <v>0</v>
      </c>
      <c r="BG162">
        <v>0</v>
      </c>
      <c r="BH162">
        <v>10010.6</v>
      </c>
      <c r="BI162">
        <v>1076.97</v>
      </c>
      <c r="BJ162">
        <v>1.5137799999999999</v>
      </c>
      <c r="BK162">
        <v>-348.83699999999999</v>
      </c>
      <c r="BL162">
        <v>463.24</v>
      </c>
      <c r="BM162">
        <v>804.67100000000005</v>
      </c>
      <c r="BN162">
        <v>20.247299999999999</v>
      </c>
      <c r="BO162">
        <v>800.02</v>
      </c>
      <c r="BP162">
        <v>5.7800200000000004</v>
      </c>
      <c r="BQ162">
        <v>2.5789800000000001</v>
      </c>
      <c r="BR162">
        <v>0.57272800000000001</v>
      </c>
      <c r="BS162">
        <v>21.5337</v>
      </c>
      <c r="BT162">
        <v>-0.94645500000000005</v>
      </c>
      <c r="BU162">
        <v>1799.99</v>
      </c>
      <c r="BV162">
        <v>0.910022</v>
      </c>
      <c r="BW162">
        <v>3.3992700000000001E-2</v>
      </c>
      <c r="BX162">
        <v>2.1995299999999999E-2</v>
      </c>
      <c r="BY162">
        <v>3.3989900000000003E-2</v>
      </c>
      <c r="BZ162">
        <v>26</v>
      </c>
      <c r="CA162">
        <v>33528.400000000001</v>
      </c>
      <c r="CB162">
        <v>1690214843</v>
      </c>
      <c r="CC162" t="s">
        <v>332</v>
      </c>
      <c r="CD162">
        <v>1690214842</v>
      </c>
      <c r="CE162">
        <v>1690214843</v>
      </c>
      <c r="CF162">
        <v>8</v>
      </c>
      <c r="CG162">
        <v>-6.3E-2</v>
      </c>
      <c r="CH162">
        <v>1E-3</v>
      </c>
      <c r="CI162">
        <v>-0.38900000000000001</v>
      </c>
      <c r="CJ162">
        <v>-6.6000000000000003E-2</v>
      </c>
      <c r="CK162">
        <v>800</v>
      </c>
      <c r="CL162">
        <v>6</v>
      </c>
      <c r="CM162">
        <v>0.23</v>
      </c>
      <c r="CN162">
        <v>0.02</v>
      </c>
      <c r="CO162">
        <v>-346.54365000000001</v>
      </c>
      <c r="CP162">
        <v>-12.088525328329091</v>
      </c>
      <c r="CQ162">
        <v>1.1643940172896821</v>
      </c>
      <c r="CR162">
        <v>-1</v>
      </c>
      <c r="CS162">
        <v>20.156770000000002</v>
      </c>
      <c r="CT162">
        <v>0.46554371482172752</v>
      </c>
      <c r="CU162">
        <v>4.4813414286349489E-2</v>
      </c>
      <c r="CV162">
        <v>-1</v>
      </c>
      <c r="CW162">
        <v>0</v>
      </c>
      <c r="CX162">
        <v>0</v>
      </c>
      <c r="CY162" t="s">
        <v>333</v>
      </c>
      <c r="CZ162">
        <v>2.3645700000000001</v>
      </c>
      <c r="DA162">
        <v>2.7137600000000002</v>
      </c>
      <c r="DB162">
        <v>9.8031099999999996E-2</v>
      </c>
      <c r="DC162">
        <v>0.146096</v>
      </c>
      <c r="DD162">
        <v>0.120573</v>
      </c>
      <c r="DE162">
        <v>3.8266500000000002E-2</v>
      </c>
      <c r="DF162">
        <v>32927.4</v>
      </c>
      <c r="DG162">
        <v>27510.400000000001</v>
      </c>
      <c r="DH162">
        <v>31165.3</v>
      </c>
      <c r="DI162">
        <v>28073</v>
      </c>
      <c r="DJ162">
        <v>37200.800000000003</v>
      </c>
      <c r="DK162">
        <v>38391.300000000003</v>
      </c>
      <c r="DL162">
        <v>44350.1</v>
      </c>
      <c r="DM162">
        <v>42545</v>
      </c>
      <c r="DN162">
        <v>1.363</v>
      </c>
      <c r="DO162">
        <v>2.03443</v>
      </c>
      <c r="DP162">
        <v>8.3722199999999997E-2</v>
      </c>
      <c r="DQ162">
        <v>0.17791199999999999</v>
      </c>
      <c r="DR162">
        <v>25.616700000000002</v>
      </c>
      <c r="DS162">
        <v>25.3888</v>
      </c>
      <c r="DT162">
        <v>17.100000000000001</v>
      </c>
      <c r="DU162">
        <v>29.8</v>
      </c>
      <c r="DV162">
        <v>7.2683299999999997</v>
      </c>
      <c r="DW162">
        <v>61.5685</v>
      </c>
      <c r="DX162">
        <v>36.482399999999998</v>
      </c>
      <c r="DY162">
        <v>1</v>
      </c>
      <c r="DZ162">
        <v>-9.1506599999999993E-2</v>
      </c>
      <c r="EA162">
        <v>-0.24412</v>
      </c>
      <c r="EB162">
        <v>20.189499999999999</v>
      </c>
      <c r="EC162">
        <v>5.2408000000000001</v>
      </c>
      <c r="ED162">
        <v>12.039899999999999</v>
      </c>
      <c r="EE162">
        <v>5.01675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1.86894</v>
      </c>
      <c r="EL162">
        <v>1.8647199999999999</v>
      </c>
      <c r="EM162">
        <v>1.8692</v>
      </c>
      <c r="EN162">
        <v>1.8672800000000001</v>
      </c>
      <c r="EO162">
        <v>1.8633999999999999</v>
      </c>
      <c r="EP162">
        <v>1.8645700000000001</v>
      </c>
      <c r="EQ162">
        <v>1.87022</v>
      </c>
      <c r="ER162">
        <v>1.8694900000000001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-0.14299999999999999</v>
      </c>
      <c r="FG162">
        <v>0.19259999999999999</v>
      </c>
      <c r="FH162">
        <v>0.16202357103534001</v>
      </c>
      <c r="FI162">
        <v>-6.1462078757559423E-4</v>
      </c>
      <c r="FJ162">
        <v>-1.8861989874597051E-7</v>
      </c>
      <c r="FK162">
        <v>1.1980462299894961E-10</v>
      </c>
      <c r="FL162">
        <v>0.19260234566371101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31.7</v>
      </c>
      <c r="FU162">
        <v>31.7</v>
      </c>
      <c r="FV162">
        <v>1.7785599999999999</v>
      </c>
      <c r="FW162">
        <v>2.5805699999999998</v>
      </c>
      <c r="FX162">
        <v>1.5490699999999999</v>
      </c>
      <c r="FY162">
        <v>2.3290999999999999</v>
      </c>
      <c r="FZ162">
        <v>1.50146</v>
      </c>
      <c r="GA162">
        <v>2.3315399999999999</v>
      </c>
      <c r="GB162">
        <v>33.850900000000003</v>
      </c>
      <c r="GC162">
        <v>23.982399999999998</v>
      </c>
      <c r="GD162">
        <v>19</v>
      </c>
      <c r="GE162">
        <v>237.619</v>
      </c>
      <c r="GF162">
        <v>581.68600000000004</v>
      </c>
      <c r="GG162">
        <v>25.3291</v>
      </c>
      <c r="GH162">
        <v>26.2377</v>
      </c>
      <c r="GI162">
        <v>30.0001</v>
      </c>
      <c r="GJ162">
        <v>26.379200000000001</v>
      </c>
      <c r="GK162">
        <v>26.350100000000001</v>
      </c>
      <c r="GL162">
        <v>35.559600000000003</v>
      </c>
      <c r="GM162">
        <v>-30</v>
      </c>
      <c r="GN162">
        <v>-30</v>
      </c>
      <c r="GO162">
        <v>25.34</v>
      </c>
      <c r="GP162">
        <v>800</v>
      </c>
      <c r="GQ162">
        <v>12.5298</v>
      </c>
      <c r="GR162">
        <v>99.714299999999994</v>
      </c>
      <c r="GS162">
        <v>99.531199999999998</v>
      </c>
    </row>
    <row r="163" spans="1:201" x14ac:dyDescent="0.25">
      <c r="A163">
        <v>147</v>
      </c>
      <c r="B163">
        <v>1690216754.5999999</v>
      </c>
      <c r="C163">
        <v>1809.099999904633</v>
      </c>
      <c r="D163" t="s">
        <v>627</v>
      </c>
      <c r="E163" t="s">
        <v>628</v>
      </c>
      <c r="F163" t="s">
        <v>330</v>
      </c>
      <c r="H163">
        <v>1690216754.5999999</v>
      </c>
      <c r="I163">
        <f t="shared" si="60"/>
        <v>1.8645959058792138E-3</v>
      </c>
      <c r="J163">
        <f t="shared" si="61"/>
        <v>1.8645959058792139</v>
      </c>
      <c r="K163">
        <f t="shared" si="62"/>
        <v>30.484820984354503</v>
      </c>
      <c r="L163">
        <f t="shared" si="63"/>
        <v>449.358</v>
      </c>
      <c r="M163">
        <f t="shared" si="64"/>
        <v>92.473896379484941</v>
      </c>
      <c r="N163">
        <f t="shared" si="65"/>
        <v>9.1722119851687118</v>
      </c>
      <c r="O163">
        <f t="shared" si="66"/>
        <v>44.5704895608336</v>
      </c>
      <c r="P163">
        <f t="shared" si="67"/>
        <v>0.14351407462842702</v>
      </c>
      <c r="Q163">
        <f t="shared" si="68"/>
        <v>2.0663685608733973</v>
      </c>
      <c r="R163">
        <f t="shared" si="69"/>
        <v>0.13819773458332241</v>
      </c>
      <c r="S163">
        <f t="shared" si="70"/>
        <v>8.6834827995418334E-2</v>
      </c>
      <c r="T163">
        <f t="shared" si="71"/>
        <v>276.11443259999993</v>
      </c>
      <c r="U163">
        <f t="shared" si="72"/>
        <v>28.399696917276358</v>
      </c>
      <c r="V163">
        <f t="shared" si="73"/>
        <v>28.399696917276358</v>
      </c>
      <c r="W163">
        <f t="shared" si="74"/>
        <v>3.8841670057523365</v>
      </c>
      <c r="X163">
        <f t="shared" si="75"/>
        <v>73.105752233351666</v>
      </c>
      <c r="Y163">
        <f t="shared" si="76"/>
        <v>2.5895851381375201</v>
      </c>
      <c r="Z163">
        <f t="shared" si="77"/>
        <v>3.5422453897630812</v>
      </c>
      <c r="AA163">
        <f t="shared" si="78"/>
        <v>1.2945818676148164</v>
      </c>
      <c r="AB163">
        <f t="shared" si="79"/>
        <v>-82.228679449273329</v>
      </c>
      <c r="AC163">
        <f t="shared" si="80"/>
        <v>-175.58044626601492</v>
      </c>
      <c r="AD163">
        <f t="shared" si="81"/>
        <v>-18.450152947627483</v>
      </c>
      <c r="AE163">
        <f t="shared" si="82"/>
        <v>-0.14484606291580349</v>
      </c>
      <c r="AF163">
        <v>43</v>
      </c>
      <c r="AG163">
        <v>14</v>
      </c>
      <c r="AH163">
        <f t="shared" si="83"/>
        <v>1</v>
      </c>
      <c r="AI163">
        <f t="shared" si="84"/>
        <v>0</v>
      </c>
      <c r="AJ163">
        <f t="shared" si="85"/>
        <v>52522.802246022504</v>
      </c>
      <c r="AK163">
        <f t="shared" si="86"/>
        <v>1800</v>
      </c>
      <c r="AL163">
        <f t="shared" si="87"/>
        <v>1499.116473</v>
      </c>
      <c r="AM163">
        <f t="shared" si="88"/>
        <v>0.83284248500000002</v>
      </c>
      <c r="AN163">
        <f t="shared" si="89"/>
        <v>0.15339690699999997</v>
      </c>
      <c r="AO163">
        <v>33.6</v>
      </c>
      <c r="AP163">
        <v>0.5</v>
      </c>
      <c r="AQ163" t="s">
        <v>331</v>
      </c>
      <c r="AR163">
        <v>2</v>
      </c>
      <c r="AS163">
        <v>1690216754.5999999</v>
      </c>
      <c r="AT163">
        <v>449.358</v>
      </c>
      <c r="AU163">
        <v>799.99800000000005</v>
      </c>
      <c r="AV163">
        <v>26.1081</v>
      </c>
      <c r="AW163">
        <v>5.7799500000000004</v>
      </c>
      <c r="AX163">
        <v>449.49900000000002</v>
      </c>
      <c r="AY163">
        <v>25.915500000000002</v>
      </c>
      <c r="AZ163">
        <v>300.149</v>
      </c>
      <c r="BA163">
        <v>99.087100000000007</v>
      </c>
      <c r="BB163">
        <v>9.9939200000000006E-2</v>
      </c>
      <c r="BC163">
        <v>26.823599999999999</v>
      </c>
      <c r="BD163">
        <v>26.988099999999999</v>
      </c>
      <c r="BE163">
        <v>28.291499999999999</v>
      </c>
      <c r="BF163">
        <v>0</v>
      </c>
      <c r="BG163">
        <v>0</v>
      </c>
      <c r="BH163">
        <v>10019.4</v>
      </c>
      <c r="BI163">
        <v>1076.8599999999999</v>
      </c>
      <c r="BJ163">
        <v>1.5137799999999999</v>
      </c>
      <c r="BK163">
        <v>-350.64</v>
      </c>
      <c r="BL163">
        <v>461.404</v>
      </c>
      <c r="BM163">
        <v>804.64800000000002</v>
      </c>
      <c r="BN163">
        <v>20.328199999999999</v>
      </c>
      <c r="BO163">
        <v>799.99800000000005</v>
      </c>
      <c r="BP163">
        <v>5.7799500000000004</v>
      </c>
      <c r="BQ163">
        <v>2.5869800000000001</v>
      </c>
      <c r="BR163">
        <v>0.57271899999999998</v>
      </c>
      <c r="BS163">
        <v>21.584299999999999</v>
      </c>
      <c r="BT163">
        <v>-0.94667900000000005</v>
      </c>
      <c r="BU163">
        <v>1800</v>
      </c>
      <c r="BV163">
        <v>0.910026</v>
      </c>
      <c r="BW163">
        <v>3.3991399999999998E-2</v>
      </c>
      <c r="BX163">
        <v>2.19945E-2</v>
      </c>
      <c r="BY163">
        <v>3.3988600000000001E-2</v>
      </c>
      <c r="BZ163">
        <v>26</v>
      </c>
      <c r="CA163">
        <v>33528.5</v>
      </c>
      <c r="CB163">
        <v>1690214843</v>
      </c>
      <c r="CC163" t="s">
        <v>332</v>
      </c>
      <c r="CD163">
        <v>1690214842</v>
      </c>
      <c r="CE163">
        <v>1690214843</v>
      </c>
      <c r="CF163">
        <v>8</v>
      </c>
      <c r="CG163">
        <v>-6.3E-2</v>
      </c>
      <c r="CH163">
        <v>1E-3</v>
      </c>
      <c r="CI163">
        <v>-0.38900000000000001</v>
      </c>
      <c r="CJ163">
        <v>-6.6000000000000003E-2</v>
      </c>
      <c r="CK163">
        <v>800</v>
      </c>
      <c r="CL163">
        <v>6</v>
      </c>
      <c r="CM163">
        <v>0.23</v>
      </c>
      <c r="CN163">
        <v>0.02</v>
      </c>
      <c r="CO163">
        <v>-348.61768292682927</v>
      </c>
      <c r="CP163">
        <v>-11.76487108013974</v>
      </c>
      <c r="CQ163">
        <v>1.160748401112023</v>
      </c>
      <c r="CR163">
        <v>-1</v>
      </c>
      <c r="CS163">
        <v>20.23930731707317</v>
      </c>
      <c r="CT163">
        <v>0.49914773519163869</v>
      </c>
      <c r="CU163">
        <v>4.9220501331645211E-2</v>
      </c>
      <c r="CV163">
        <v>-1</v>
      </c>
      <c r="CW163">
        <v>0</v>
      </c>
      <c r="CX163">
        <v>0</v>
      </c>
      <c r="CY163" t="s">
        <v>333</v>
      </c>
      <c r="CZ163">
        <v>2.36443</v>
      </c>
      <c r="DA163">
        <v>2.7137500000000001</v>
      </c>
      <c r="DB163">
        <v>9.7735500000000003E-2</v>
      </c>
      <c r="DC163">
        <v>0.146092</v>
      </c>
      <c r="DD163">
        <v>0.120835</v>
      </c>
      <c r="DE163">
        <v>3.8266000000000001E-2</v>
      </c>
      <c r="DF163">
        <v>32938.6</v>
      </c>
      <c r="DG163">
        <v>27510.2</v>
      </c>
      <c r="DH163">
        <v>31165.7</v>
      </c>
      <c r="DI163">
        <v>28072.799999999999</v>
      </c>
      <c r="DJ163">
        <v>37190</v>
      </c>
      <c r="DK163">
        <v>38391</v>
      </c>
      <c r="DL163">
        <v>44350.7</v>
      </c>
      <c r="DM163">
        <v>42544.7</v>
      </c>
      <c r="DN163">
        <v>1.3631500000000001</v>
      </c>
      <c r="DO163">
        <v>2.03478</v>
      </c>
      <c r="DP163">
        <v>8.3766900000000005E-2</v>
      </c>
      <c r="DQ163">
        <v>0.177316</v>
      </c>
      <c r="DR163">
        <v>25.616700000000002</v>
      </c>
      <c r="DS163">
        <v>25.390899999999998</v>
      </c>
      <c r="DT163">
        <v>17.100000000000001</v>
      </c>
      <c r="DU163">
        <v>29.8</v>
      </c>
      <c r="DV163">
        <v>7.2675400000000003</v>
      </c>
      <c r="DW163">
        <v>61.558500000000002</v>
      </c>
      <c r="DX163">
        <v>36.510399999999997</v>
      </c>
      <c r="DY163">
        <v>1</v>
      </c>
      <c r="DZ163">
        <v>-9.1816599999999998E-2</v>
      </c>
      <c r="EA163">
        <v>-0.26927299999999998</v>
      </c>
      <c r="EB163">
        <v>20.189599999999999</v>
      </c>
      <c r="EC163">
        <v>5.2404999999999999</v>
      </c>
      <c r="ED163">
        <v>12.039899999999999</v>
      </c>
      <c r="EE163">
        <v>5.0166500000000003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1.8689100000000001</v>
      </c>
      <c r="EL163">
        <v>1.86466</v>
      </c>
      <c r="EM163">
        <v>1.8692</v>
      </c>
      <c r="EN163">
        <v>1.8672500000000001</v>
      </c>
      <c r="EO163">
        <v>1.8633999999999999</v>
      </c>
      <c r="EP163">
        <v>1.86453</v>
      </c>
      <c r="EQ163">
        <v>1.87015</v>
      </c>
      <c r="ER163">
        <v>1.86947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-0.14099999999999999</v>
      </c>
      <c r="FG163">
        <v>0.19259999999999999</v>
      </c>
      <c r="FH163">
        <v>0.16202357103534001</v>
      </c>
      <c r="FI163">
        <v>-6.1462078757559423E-4</v>
      </c>
      <c r="FJ163">
        <v>-1.8861989874597051E-7</v>
      </c>
      <c r="FK163">
        <v>1.1980462299894961E-10</v>
      </c>
      <c r="FL163">
        <v>0.19260234566371101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31.9</v>
      </c>
      <c r="FU163">
        <v>31.9</v>
      </c>
      <c r="FV163">
        <v>1.7785599999999999</v>
      </c>
      <c r="FW163">
        <v>2.5817899999999998</v>
      </c>
      <c r="FX163">
        <v>1.5490699999999999</v>
      </c>
      <c r="FY163">
        <v>2.3290999999999999</v>
      </c>
      <c r="FZ163">
        <v>1.50146</v>
      </c>
      <c r="GA163">
        <v>2.3596200000000001</v>
      </c>
      <c r="GB163">
        <v>33.8735</v>
      </c>
      <c r="GC163">
        <v>23.982399999999998</v>
      </c>
      <c r="GD163">
        <v>19</v>
      </c>
      <c r="GE163">
        <v>237.667</v>
      </c>
      <c r="GF163">
        <v>581.97299999999996</v>
      </c>
      <c r="GG163">
        <v>25.349599999999999</v>
      </c>
      <c r="GH163">
        <v>26.235399999999998</v>
      </c>
      <c r="GI163">
        <v>30.0001</v>
      </c>
      <c r="GJ163">
        <v>26.376999999999999</v>
      </c>
      <c r="GK163">
        <v>26.350100000000001</v>
      </c>
      <c r="GL163">
        <v>35.563000000000002</v>
      </c>
      <c r="GM163">
        <v>-30</v>
      </c>
      <c r="GN163">
        <v>-30</v>
      </c>
      <c r="GO163">
        <v>25.361499999999999</v>
      </c>
      <c r="GP163">
        <v>800</v>
      </c>
      <c r="GQ163">
        <v>12.5298</v>
      </c>
      <c r="GR163">
        <v>99.715599999999995</v>
      </c>
      <c r="GS163">
        <v>99.530500000000004</v>
      </c>
    </row>
    <row r="164" spans="1:201" x14ac:dyDescent="0.25">
      <c r="A164">
        <v>148</v>
      </c>
      <c r="B164">
        <v>1690216764.5999999</v>
      </c>
      <c r="C164">
        <v>1819.099999904633</v>
      </c>
      <c r="D164" t="s">
        <v>629</v>
      </c>
      <c r="E164" t="s">
        <v>630</v>
      </c>
      <c r="F164" t="s">
        <v>330</v>
      </c>
      <c r="H164">
        <v>1690216764.5999999</v>
      </c>
      <c r="I164">
        <f t="shared" si="60"/>
        <v>1.8723956566834518E-3</v>
      </c>
      <c r="J164">
        <f t="shared" si="61"/>
        <v>1.8723956566834519</v>
      </c>
      <c r="K164">
        <f t="shared" si="62"/>
        <v>30.661941814155732</v>
      </c>
      <c r="L164">
        <f t="shared" si="63"/>
        <v>447.42</v>
      </c>
      <c r="M164">
        <f t="shared" si="64"/>
        <v>91.977871319600084</v>
      </c>
      <c r="N164">
        <f t="shared" si="65"/>
        <v>9.1230945700196298</v>
      </c>
      <c r="O164">
        <f t="shared" si="66"/>
        <v>44.37866319318001</v>
      </c>
      <c r="P164">
        <f t="shared" si="67"/>
        <v>0.14497356934660224</v>
      </c>
      <c r="Q164">
        <f t="shared" si="68"/>
        <v>2.0630107546286665</v>
      </c>
      <c r="R164">
        <f t="shared" si="69"/>
        <v>0.13954227530742908</v>
      </c>
      <c r="S164">
        <f t="shared" si="70"/>
        <v>8.7684949011548968E-2</v>
      </c>
      <c r="T164">
        <f t="shared" si="71"/>
        <v>276.11445740399995</v>
      </c>
      <c r="U164">
        <f t="shared" si="72"/>
        <v>28.403113801322782</v>
      </c>
      <c r="V164">
        <f t="shared" si="73"/>
        <v>28.403113801322782</v>
      </c>
      <c r="W164">
        <f t="shared" si="74"/>
        <v>3.8849384755613765</v>
      </c>
      <c r="X164">
        <f t="shared" si="75"/>
        <v>73.312762850272506</v>
      </c>
      <c r="Y164">
        <f t="shared" si="76"/>
        <v>2.5975136470661999</v>
      </c>
      <c r="Z164">
        <f t="shared" si="77"/>
        <v>3.5430579152652202</v>
      </c>
      <c r="AA164">
        <f t="shared" si="78"/>
        <v>1.2874248284951766</v>
      </c>
      <c r="AB164">
        <f t="shared" si="79"/>
        <v>-82.572648459740222</v>
      </c>
      <c r="AC164">
        <f t="shared" si="80"/>
        <v>-175.24139900947387</v>
      </c>
      <c r="AD164">
        <f t="shared" si="81"/>
        <v>-18.445170816877571</v>
      </c>
      <c r="AE164">
        <f t="shared" si="82"/>
        <v>-0.14476088209170257</v>
      </c>
      <c r="AF164">
        <v>43</v>
      </c>
      <c r="AG164">
        <v>14</v>
      </c>
      <c r="AH164">
        <f t="shared" si="83"/>
        <v>1</v>
      </c>
      <c r="AI164">
        <f t="shared" si="84"/>
        <v>0</v>
      </c>
      <c r="AJ164">
        <f t="shared" si="85"/>
        <v>52368.446270913439</v>
      </c>
      <c r="AK164">
        <f t="shared" si="86"/>
        <v>1800</v>
      </c>
      <c r="AL164">
        <f t="shared" si="87"/>
        <v>1499.1159204</v>
      </c>
      <c r="AM164">
        <f t="shared" si="88"/>
        <v>0.83284217800000004</v>
      </c>
      <c r="AN164">
        <f t="shared" si="89"/>
        <v>0.15339692077999997</v>
      </c>
      <c r="AO164">
        <v>33.6</v>
      </c>
      <c r="AP164">
        <v>0.5</v>
      </c>
      <c r="AQ164" t="s">
        <v>331</v>
      </c>
      <c r="AR164">
        <v>2</v>
      </c>
      <c r="AS164">
        <v>1690216764.5999999</v>
      </c>
      <c r="AT164">
        <v>447.42</v>
      </c>
      <c r="AU164">
        <v>799.98500000000001</v>
      </c>
      <c r="AV164">
        <v>26.187799999999999</v>
      </c>
      <c r="AW164">
        <v>5.7795500000000004</v>
      </c>
      <c r="AX164">
        <v>447.56</v>
      </c>
      <c r="AY164">
        <v>25.995200000000001</v>
      </c>
      <c r="AZ164">
        <v>300.197</v>
      </c>
      <c r="BA164">
        <v>99.087900000000005</v>
      </c>
      <c r="BB164">
        <v>0.10002900000000001</v>
      </c>
      <c r="BC164">
        <v>26.827500000000001</v>
      </c>
      <c r="BD164">
        <v>26.998200000000001</v>
      </c>
      <c r="BE164">
        <v>28.309799999999999</v>
      </c>
      <c r="BF164">
        <v>0</v>
      </c>
      <c r="BG164">
        <v>0</v>
      </c>
      <c r="BH164">
        <v>9988.75</v>
      </c>
      <c r="BI164">
        <v>1076.8499999999999</v>
      </c>
      <c r="BJ164">
        <v>1.5137799999999999</v>
      </c>
      <c r="BK164">
        <v>-352.565</v>
      </c>
      <c r="BL164">
        <v>459.452</v>
      </c>
      <c r="BM164">
        <v>804.63599999999997</v>
      </c>
      <c r="BN164">
        <v>20.408200000000001</v>
      </c>
      <c r="BO164">
        <v>799.98500000000001</v>
      </c>
      <c r="BP164">
        <v>5.7795500000000004</v>
      </c>
      <c r="BQ164">
        <v>2.5948899999999999</v>
      </c>
      <c r="BR164">
        <v>0.57268399999999997</v>
      </c>
      <c r="BS164">
        <v>21.6342</v>
      </c>
      <c r="BT164">
        <v>-0.94751700000000005</v>
      </c>
      <c r="BU164">
        <v>1800</v>
      </c>
      <c r="BV164">
        <v>0.91002400000000006</v>
      </c>
      <c r="BW164">
        <v>3.3993700000000002E-2</v>
      </c>
      <c r="BX164">
        <v>2.1994400000000001E-2</v>
      </c>
      <c r="BY164">
        <v>3.3988400000000002E-2</v>
      </c>
      <c r="BZ164">
        <v>26</v>
      </c>
      <c r="CA164">
        <v>33528.6</v>
      </c>
      <c r="CB164">
        <v>1690214843</v>
      </c>
      <c r="CC164" t="s">
        <v>332</v>
      </c>
      <c r="CD164">
        <v>1690214842</v>
      </c>
      <c r="CE164">
        <v>1690214843</v>
      </c>
      <c r="CF164">
        <v>8</v>
      </c>
      <c r="CG164">
        <v>-6.3E-2</v>
      </c>
      <c r="CH164">
        <v>1E-3</v>
      </c>
      <c r="CI164">
        <v>-0.38900000000000001</v>
      </c>
      <c r="CJ164">
        <v>-6.6000000000000003E-2</v>
      </c>
      <c r="CK164">
        <v>800</v>
      </c>
      <c r="CL164">
        <v>6</v>
      </c>
      <c r="CM164">
        <v>0.23</v>
      </c>
      <c r="CN164">
        <v>0.02</v>
      </c>
      <c r="CO164">
        <v>-350.53351219512189</v>
      </c>
      <c r="CP164">
        <v>-11.182222996515369</v>
      </c>
      <c r="CQ164">
        <v>1.10318174258295</v>
      </c>
      <c r="CR164">
        <v>-1</v>
      </c>
      <c r="CS164">
        <v>20.321470731707318</v>
      </c>
      <c r="CT164">
        <v>0.48944111498260168</v>
      </c>
      <c r="CU164">
        <v>4.8274308896809899E-2</v>
      </c>
      <c r="CV164">
        <v>-1</v>
      </c>
      <c r="CW164">
        <v>0</v>
      </c>
      <c r="CX164">
        <v>0</v>
      </c>
      <c r="CY164" t="s">
        <v>333</v>
      </c>
      <c r="CZ164">
        <v>2.3645900000000002</v>
      </c>
      <c r="DA164">
        <v>2.7138100000000001</v>
      </c>
      <c r="DB164">
        <v>9.74217E-2</v>
      </c>
      <c r="DC164">
        <v>0.146092</v>
      </c>
      <c r="DD164">
        <v>0.12109300000000001</v>
      </c>
      <c r="DE164">
        <v>3.8264199999999998E-2</v>
      </c>
      <c r="DF164">
        <v>32949.800000000003</v>
      </c>
      <c r="DG164">
        <v>27510.1</v>
      </c>
      <c r="DH164">
        <v>31165.4</v>
      </c>
      <c r="DI164">
        <v>28072.6</v>
      </c>
      <c r="DJ164">
        <v>37178.6</v>
      </c>
      <c r="DK164">
        <v>38390.9</v>
      </c>
      <c r="DL164">
        <v>44350.400000000001</v>
      </c>
      <c r="DM164">
        <v>42544.5</v>
      </c>
      <c r="DN164">
        <v>1.36313</v>
      </c>
      <c r="DO164">
        <v>2.0346000000000002</v>
      </c>
      <c r="DP164">
        <v>8.4251199999999998E-2</v>
      </c>
      <c r="DQ164">
        <v>0.17830699999999999</v>
      </c>
      <c r="DR164">
        <v>25.6188</v>
      </c>
      <c r="DS164">
        <v>25.393000000000001</v>
      </c>
      <c r="DT164">
        <v>17.100000000000001</v>
      </c>
      <c r="DU164">
        <v>29.8</v>
      </c>
      <c r="DV164">
        <v>7.26945</v>
      </c>
      <c r="DW164">
        <v>61.638500000000001</v>
      </c>
      <c r="DX164">
        <v>36.626600000000003</v>
      </c>
      <c r="DY164">
        <v>1</v>
      </c>
      <c r="DZ164">
        <v>-9.1834399999999997E-2</v>
      </c>
      <c r="EA164">
        <v>-0.26439499999999999</v>
      </c>
      <c r="EB164">
        <v>20.189599999999999</v>
      </c>
      <c r="EC164">
        <v>5.2409499999999998</v>
      </c>
      <c r="ED164">
        <v>12.039899999999999</v>
      </c>
      <c r="EE164">
        <v>5.0170000000000003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1.86894</v>
      </c>
      <c r="EL164">
        <v>1.8646799999999999</v>
      </c>
      <c r="EM164">
        <v>1.8692</v>
      </c>
      <c r="EN164">
        <v>1.8672599999999999</v>
      </c>
      <c r="EO164">
        <v>1.8633999999999999</v>
      </c>
      <c r="EP164">
        <v>1.86459</v>
      </c>
      <c r="EQ164">
        <v>1.8701700000000001</v>
      </c>
      <c r="ER164">
        <v>1.86948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-0.14000000000000001</v>
      </c>
      <c r="FG164">
        <v>0.19259999999999999</v>
      </c>
      <c r="FH164">
        <v>0.16202357103534001</v>
      </c>
      <c r="FI164">
        <v>-6.1462078757559423E-4</v>
      </c>
      <c r="FJ164">
        <v>-1.8861989874597051E-7</v>
      </c>
      <c r="FK164">
        <v>1.1980462299894961E-10</v>
      </c>
      <c r="FL164">
        <v>0.19260234566371101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32</v>
      </c>
      <c r="FU164">
        <v>32</v>
      </c>
      <c r="FV164">
        <v>1.7785599999999999</v>
      </c>
      <c r="FW164">
        <v>2.5805699999999998</v>
      </c>
      <c r="FX164">
        <v>1.5490699999999999</v>
      </c>
      <c r="FY164">
        <v>2.3290999999999999</v>
      </c>
      <c r="FZ164">
        <v>1.50146</v>
      </c>
      <c r="GA164">
        <v>2.3290999999999999</v>
      </c>
      <c r="GB164">
        <v>33.8735</v>
      </c>
      <c r="GC164">
        <v>23.982399999999998</v>
      </c>
      <c r="GD164">
        <v>19</v>
      </c>
      <c r="GE164">
        <v>237.65799999999999</v>
      </c>
      <c r="GF164">
        <v>581.81700000000001</v>
      </c>
      <c r="GG164">
        <v>25.369</v>
      </c>
      <c r="GH164">
        <v>26.235399999999998</v>
      </c>
      <c r="GI164">
        <v>30.0001</v>
      </c>
      <c r="GJ164">
        <v>26.376999999999999</v>
      </c>
      <c r="GK164">
        <v>26.349</v>
      </c>
      <c r="GL164">
        <v>35.562600000000003</v>
      </c>
      <c r="GM164">
        <v>-30</v>
      </c>
      <c r="GN164">
        <v>-30</v>
      </c>
      <c r="GO164">
        <v>25.372399999999999</v>
      </c>
      <c r="GP164">
        <v>800</v>
      </c>
      <c r="GQ164">
        <v>12.5298</v>
      </c>
      <c r="GR164">
        <v>99.714799999999997</v>
      </c>
      <c r="GS164">
        <v>99.529899999999998</v>
      </c>
    </row>
    <row r="165" spans="1:201" x14ac:dyDescent="0.25">
      <c r="A165">
        <v>149</v>
      </c>
      <c r="B165">
        <v>1690216774.5999999</v>
      </c>
      <c r="C165">
        <v>1829.099999904633</v>
      </c>
      <c r="D165" t="s">
        <v>631</v>
      </c>
      <c r="E165" t="s">
        <v>632</v>
      </c>
      <c r="F165" t="s">
        <v>330</v>
      </c>
      <c r="H165">
        <v>1690216774.5999999</v>
      </c>
      <c r="I165">
        <f t="shared" si="60"/>
        <v>1.879331113111419E-3</v>
      </c>
      <c r="J165">
        <f t="shared" si="61"/>
        <v>1.879331113111419</v>
      </c>
      <c r="K165">
        <f t="shared" si="62"/>
        <v>30.836591968055572</v>
      </c>
      <c r="L165">
        <f t="shared" si="63"/>
        <v>445.476</v>
      </c>
      <c r="M165">
        <f t="shared" si="64"/>
        <v>91.372601714129146</v>
      </c>
      <c r="N165">
        <f t="shared" si="65"/>
        <v>9.0632733635682978</v>
      </c>
      <c r="O165">
        <f t="shared" si="66"/>
        <v>44.186886322233597</v>
      </c>
      <c r="P165">
        <f t="shared" si="67"/>
        <v>0.14638852037197658</v>
      </c>
      <c r="Q165">
        <f t="shared" si="68"/>
        <v>2.0595944259643733</v>
      </c>
      <c r="R165">
        <f t="shared" si="69"/>
        <v>0.14084405857472071</v>
      </c>
      <c r="S165">
        <f t="shared" si="70"/>
        <v>8.8508187890559364E-2</v>
      </c>
      <c r="T165">
        <f t="shared" si="71"/>
        <v>276.11445495600003</v>
      </c>
      <c r="U165">
        <f t="shared" si="72"/>
        <v>28.403685095803503</v>
      </c>
      <c r="V165">
        <f t="shared" si="73"/>
        <v>28.403685095803503</v>
      </c>
      <c r="W165">
        <f t="shared" si="74"/>
        <v>3.8850674764278019</v>
      </c>
      <c r="X165">
        <f t="shared" si="75"/>
        <v>73.51639769556138</v>
      </c>
      <c r="Y165">
        <f t="shared" si="76"/>
        <v>2.6048357750095996</v>
      </c>
      <c r="Z165">
        <f t="shared" si="77"/>
        <v>3.5432037703975654</v>
      </c>
      <c r="AA165">
        <f t="shared" si="78"/>
        <v>1.2802317014182023</v>
      </c>
      <c r="AB165">
        <f t="shared" si="79"/>
        <v>-82.87850208821358</v>
      </c>
      <c r="AC165">
        <f t="shared" si="80"/>
        <v>-174.93690965307698</v>
      </c>
      <c r="AD165">
        <f t="shared" si="81"/>
        <v>-18.44378108116771</v>
      </c>
      <c r="AE165">
        <f t="shared" si="82"/>
        <v>-0.14473786645820041</v>
      </c>
      <c r="AF165">
        <v>43</v>
      </c>
      <c r="AG165">
        <v>14</v>
      </c>
      <c r="AH165">
        <f t="shared" si="83"/>
        <v>1</v>
      </c>
      <c r="AI165">
        <f t="shared" si="84"/>
        <v>0</v>
      </c>
      <c r="AJ165">
        <f t="shared" si="85"/>
        <v>52212.333528545634</v>
      </c>
      <c r="AK165">
        <f t="shared" si="86"/>
        <v>1800</v>
      </c>
      <c r="AL165">
        <f t="shared" si="87"/>
        <v>1499.1142806</v>
      </c>
      <c r="AM165">
        <f t="shared" si="88"/>
        <v>0.83284126700000005</v>
      </c>
      <c r="AN165">
        <f t="shared" si="89"/>
        <v>0.15339691942000003</v>
      </c>
      <c r="AO165">
        <v>33.6</v>
      </c>
      <c r="AP165">
        <v>0.5</v>
      </c>
      <c r="AQ165" t="s">
        <v>331</v>
      </c>
      <c r="AR165">
        <v>2</v>
      </c>
      <c r="AS165">
        <v>1690216774.5999999</v>
      </c>
      <c r="AT165">
        <v>445.476</v>
      </c>
      <c r="AU165">
        <v>799.99199999999996</v>
      </c>
      <c r="AV165">
        <v>26.260999999999999</v>
      </c>
      <c r="AW165">
        <v>5.7785599999999997</v>
      </c>
      <c r="AX165">
        <v>445.61500000000001</v>
      </c>
      <c r="AY165">
        <v>26.0684</v>
      </c>
      <c r="AZ165">
        <v>300.19499999999999</v>
      </c>
      <c r="BA165">
        <v>99.090299999999999</v>
      </c>
      <c r="BB165">
        <v>9.9973599999999996E-2</v>
      </c>
      <c r="BC165">
        <v>26.828199999999999</v>
      </c>
      <c r="BD165">
        <v>26.992699999999999</v>
      </c>
      <c r="BE165">
        <v>28.3096</v>
      </c>
      <c r="BF165">
        <v>0</v>
      </c>
      <c r="BG165">
        <v>0</v>
      </c>
      <c r="BH165">
        <v>9957.5</v>
      </c>
      <c r="BI165">
        <v>1076.8</v>
      </c>
      <c r="BJ165">
        <v>1.5137799999999999</v>
      </c>
      <c r="BK165">
        <v>-354.51499999999999</v>
      </c>
      <c r="BL165">
        <v>457.49099999999999</v>
      </c>
      <c r="BM165">
        <v>804.64099999999996</v>
      </c>
      <c r="BN165">
        <v>20.482500000000002</v>
      </c>
      <c r="BO165">
        <v>799.99199999999996</v>
      </c>
      <c r="BP165">
        <v>5.7785599999999997</v>
      </c>
      <c r="BQ165">
        <v>2.6022099999999999</v>
      </c>
      <c r="BR165">
        <v>0.57259899999999997</v>
      </c>
      <c r="BS165">
        <v>21.680299999999999</v>
      </c>
      <c r="BT165">
        <v>-0.94953200000000004</v>
      </c>
      <c r="BU165">
        <v>1800</v>
      </c>
      <c r="BV165">
        <v>0.91001900000000002</v>
      </c>
      <c r="BW165">
        <v>3.39992E-2</v>
      </c>
      <c r="BX165">
        <v>2.1994099999999999E-2</v>
      </c>
      <c r="BY165">
        <v>3.3987999999999997E-2</v>
      </c>
      <c r="BZ165">
        <v>26</v>
      </c>
      <c r="CA165">
        <v>33528.5</v>
      </c>
      <c r="CB165">
        <v>1690214843</v>
      </c>
      <c r="CC165" t="s">
        <v>332</v>
      </c>
      <c r="CD165">
        <v>1690214842</v>
      </c>
      <c r="CE165">
        <v>1690214843</v>
      </c>
      <c r="CF165">
        <v>8</v>
      </c>
      <c r="CG165">
        <v>-6.3E-2</v>
      </c>
      <c r="CH165">
        <v>1E-3</v>
      </c>
      <c r="CI165">
        <v>-0.38900000000000001</v>
      </c>
      <c r="CJ165">
        <v>-6.6000000000000003E-2</v>
      </c>
      <c r="CK165">
        <v>800</v>
      </c>
      <c r="CL165">
        <v>6</v>
      </c>
      <c r="CM165">
        <v>0.23</v>
      </c>
      <c r="CN165">
        <v>0.02</v>
      </c>
      <c r="CO165">
        <v>-352.54367500000001</v>
      </c>
      <c r="CP165">
        <v>-11.36936960600376</v>
      </c>
      <c r="CQ165">
        <v>1.0949708303763199</v>
      </c>
      <c r="CR165">
        <v>-1</v>
      </c>
      <c r="CS165">
        <v>20.405864999999999</v>
      </c>
      <c r="CT165">
        <v>0.46039474671665881</v>
      </c>
      <c r="CU165">
        <v>4.432653014843356E-2</v>
      </c>
      <c r="CV165">
        <v>-1</v>
      </c>
      <c r="CW165">
        <v>0</v>
      </c>
      <c r="CX165">
        <v>0</v>
      </c>
      <c r="CY165" t="s">
        <v>333</v>
      </c>
      <c r="CZ165">
        <v>2.3645700000000001</v>
      </c>
      <c r="DA165">
        <v>2.71373</v>
      </c>
      <c r="DB165">
        <v>9.7108100000000003E-2</v>
      </c>
      <c r="DC165">
        <v>0.146097</v>
      </c>
      <c r="DD165">
        <v>0.121333</v>
      </c>
      <c r="DE165">
        <v>3.8259799999999997E-2</v>
      </c>
      <c r="DF165">
        <v>32961</v>
      </c>
      <c r="DG165">
        <v>27510.5</v>
      </c>
      <c r="DH165">
        <v>31165.200000000001</v>
      </c>
      <c r="DI165">
        <v>28073.1</v>
      </c>
      <c r="DJ165">
        <v>37168.300000000003</v>
      </c>
      <c r="DK165">
        <v>38391.9</v>
      </c>
      <c r="DL165">
        <v>44350.400000000001</v>
      </c>
      <c r="DM165">
        <v>42545.4</v>
      </c>
      <c r="DN165">
        <v>1.3629800000000001</v>
      </c>
      <c r="DO165">
        <v>2.0345</v>
      </c>
      <c r="DP165">
        <v>8.3781800000000003E-2</v>
      </c>
      <c r="DQ165">
        <v>0.17829200000000001</v>
      </c>
      <c r="DR165">
        <v>25.620999999999999</v>
      </c>
      <c r="DS165">
        <v>25.393000000000001</v>
      </c>
      <c r="DT165">
        <v>17.100000000000001</v>
      </c>
      <c r="DU165">
        <v>29.8</v>
      </c>
      <c r="DV165">
        <v>7.2678700000000003</v>
      </c>
      <c r="DW165">
        <v>61.988500000000002</v>
      </c>
      <c r="DX165">
        <v>36.806899999999999</v>
      </c>
      <c r="DY165">
        <v>1</v>
      </c>
      <c r="DZ165">
        <v>-9.1890200000000005E-2</v>
      </c>
      <c r="EA165">
        <v>-0.24992900000000001</v>
      </c>
      <c r="EB165">
        <v>20.189499999999999</v>
      </c>
      <c r="EC165">
        <v>5.2409499999999998</v>
      </c>
      <c r="ED165">
        <v>12.039899999999999</v>
      </c>
      <c r="EE165">
        <v>5.0171000000000001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1.8689499999999999</v>
      </c>
      <c r="EL165">
        <v>1.86466</v>
      </c>
      <c r="EM165">
        <v>1.8692</v>
      </c>
      <c r="EN165">
        <v>1.86727</v>
      </c>
      <c r="EO165">
        <v>1.86341</v>
      </c>
      <c r="EP165">
        <v>1.8646</v>
      </c>
      <c r="EQ165">
        <v>1.87018</v>
      </c>
      <c r="ER165">
        <v>1.86951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-0.13900000000000001</v>
      </c>
      <c r="FG165">
        <v>0.19259999999999999</v>
      </c>
      <c r="FH165">
        <v>0.16202357103534001</v>
      </c>
      <c r="FI165">
        <v>-6.1462078757559423E-4</v>
      </c>
      <c r="FJ165">
        <v>-1.8861989874597051E-7</v>
      </c>
      <c r="FK165">
        <v>1.1980462299894961E-10</v>
      </c>
      <c r="FL165">
        <v>0.19260234566371101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32.200000000000003</v>
      </c>
      <c r="FU165">
        <v>32.200000000000003</v>
      </c>
      <c r="FV165">
        <v>1.7785599999999999</v>
      </c>
      <c r="FW165">
        <v>2.5805699999999998</v>
      </c>
      <c r="FX165">
        <v>1.5490699999999999</v>
      </c>
      <c r="FY165">
        <v>2.3290999999999999</v>
      </c>
      <c r="FZ165">
        <v>1.50146</v>
      </c>
      <c r="GA165">
        <v>2.3339799999999999</v>
      </c>
      <c r="GB165">
        <v>33.850900000000003</v>
      </c>
      <c r="GC165">
        <v>23.982399999999998</v>
      </c>
      <c r="GD165">
        <v>19</v>
      </c>
      <c r="GE165">
        <v>237.59700000000001</v>
      </c>
      <c r="GF165">
        <v>581.72199999999998</v>
      </c>
      <c r="GG165">
        <v>25.376200000000001</v>
      </c>
      <c r="GH165">
        <v>26.2348</v>
      </c>
      <c r="GI165">
        <v>30</v>
      </c>
      <c r="GJ165">
        <v>26.375800000000002</v>
      </c>
      <c r="GK165">
        <v>26.347899999999999</v>
      </c>
      <c r="GL165">
        <v>35.561999999999998</v>
      </c>
      <c r="GM165">
        <v>-30</v>
      </c>
      <c r="GN165">
        <v>-30</v>
      </c>
      <c r="GO165">
        <v>25.375900000000001</v>
      </c>
      <c r="GP165">
        <v>800</v>
      </c>
      <c r="GQ165">
        <v>12.5298</v>
      </c>
      <c r="GR165">
        <v>99.714500000000001</v>
      </c>
      <c r="GS165">
        <v>99.531899999999993</v>
      </c>
    </row>
    <row r="166" spans="1:201" x14ac:dyDescent="0.25">
      <c r="A166">
        <v>150</v>
      </c>
      <c r="B166">
        <v>1690216784.5999999</v>
      </c>
      <c r="C166">
        <v>1839.099999904633</v>
      </c>
      <c r="D166" t="s">
        <v>633</v>
      </c>
      <c r="E166" t="s">
        <v>634</v>
      </c>
      <c r="F166" t="s">
        <v>330</v>
      </c>
      <c r="H166">
        <v>1690216784.5999999</v>
      </c>
      <c r="I166">
        <f t="shared" si="60"/>
        <v>1.8869192317136766E-3</v>
      </c>
      <c r="J166">
        <f t="shared" si="61"/>
        <v>1.8869192317136767</v>
      </c>
      <c r="K166">
        <f t="shared" si="62"/>
        <v>31.008958425347924</v>
      </c>
      <c r="L166">
        <f t="shared" si="63"/>
        <v>443.572</v>
      </c>
      <c r="M166">
        <f t="shared" si="64"/>
        <v>91.73501097745033</v>
      </c>
      <c r="N166">
        <f t="shared" si="65"/>
        <v>9.0990564759331338</v>
      </c>
      <c r="O166">
        <f t="shared" si="66"/>
        <v>43.997233293346795</v>
      </c>
      <c r="P166">
        <f t="shared" si="67"/>
        <v>0.1481915800371961</v>
      </c>
      <c r="Q166">
        <f t="shared" si="68"/>
        <v>2.0648036051082759</v>
      </c>
      <c r="R166">
        <f t="shared" si="69"/>
        <v>0.1425262832251174</v>
      </c>
      <c r="S166">
        <f t="shared" si="70"/>
        <v>8.956988592882259E-2</v>
      </c>
      <c r="T166">
        <f t="shared" si="71"/>
        <v>276.11451550800001</v>
      </c>
      <c r="U166">
        <f t="shared" si="72"/>
        <v>28.393569946472464</v>
      </c>
      <c r="V166">
        <f t="shared" si="73"/>
        <v>28.393569946472464</v>
      </c>
      <c r="W166">
        <f t="shared" si="74"/>
        <v>3.8827839826474353</v>
      </c>
      <c r="X166">
        <f t="shared" si="75"/>
        <v>73.75242232420419</v>
      </c>
      <c r="Y166">
        <f t="shared" si="76"/>
        <v>2.6126146943978101</v>
      </c>
      <c r="Z166">
        <f t="shared" si="77"/>
        <v>3.5424120483977624</v>
      </c>
      <c r="AA166">
        <f t="shared" si="78"/>
        <v>1.2701692882496252</v>
      </c>
      <c r="AB166">
        <f t="shared" si="79"/>
        <v>-83.213138118573141</v>
      </c>
      <c r="AC166">
        <f t="shared" si="80"/>
        <v>-174.67637673211044</v>
      </c>
      <c r="AD166">
        <f t="shared" si="81"/>
        <v>-18.368574872036866</v>
      </c>
      <c r="AE166">
        <f t="shared" si="82"/>
        <v>-0.14357421472041665</v>
      </c>
      <c r="AF166">
        <v>43</v>
      </c>
      <c r="AG166">
        <v>14</v>
      </c>
      <c r="AH166">
        <f t="shared" si="83"/>
        <v>1</v>
      </c>
      <c r="AI166">
        <f t="shared" si="84"/>
        <v>0</v>
      </c>
      <c r="AJ166">
        <f t="shared" si="85"/>
        <v>52451.022318340372</v>
      </c>
      <c r="AK166">
        <f t="shared" si="86"/>
        <v>1800</v>
      </c>
      <c r="AL166">
        <f t="shared" si="87"/>
        <v>1499.1139007999998</v>
      </c>
      <c r="AM166">
        <f t="shared" si="88"/>
        <v>0.83284105599999991</v>
      </c>
      <c r="AN166">
        <f t="shared" si="89"/>
        <v>0.15339695306000001</v>
      </c>
      <c r="AO166">
        <v>33.6</v>
      </c>
      <c r="AP166">
        <v>0.5</v>
      </c>
      <c r="AQ166" t="s">
        <v>331</v>
      </c>
      <c r="AR166">
        <v>2</v>
      </c>
      <c r="AS166">
        <v>1690216784.5999999</v>
      </c>
      <c r="AT166">
        <v>443.572</v>
      </c>
      <c r="AU166">
        <v>800.00300000000004</v>
      </c>
      <c r="AV166">
        <v>26.3399</v>
      </c>
      <c r="AW166">
        <v>5.7771100000000004</v>
      </c>
      <c r="AX166">
        <v>443.71</v>
      </c>
      <c r="AY166">
        <v>26.147300000000001</v>
      </c>
      <c r="AZ166">
        <v>300.20499999999998</v>
      </c>
      <c r="BA166">
        <v>99.088499999999996</v>
      </c>
      <c r="BB166">
        <v>9.9981899999999999E-2</v>
      </c>
      <c r="BC166">
        <v>26.824400000000001</v>
      </c>
      <c r="BD166">
        <v>26.995799999999999</v>
      </c>
      <c r="BE166">
        <v>28.3034</v>
      </c>
      <c r="BF166">
        <v>0</v>
      </c>
      <c r="BG166">
        <v>0</v>
      </c>
      <c r="BH166">
        <v>10005</v>
      </c>
      <c r="BI166">
        <v>1076.83</v>
      </c>
      <c r="BJ166">
        <v>1.5137799999999999</v>
      </c>
      <c r="BK166">
        <v>-356.43099999999998</v>
      </c>
      <c r="BL166">
        <v>455.572</v>
      </c>
      <c r="BM166">
        <v>804.65200000000004</v>
      </c>
      <c r="BN166">
        <v>20.562799999999999</v>
      </c>
      <c r="BO166">
        <v>800.00300000000004</v>
      </c>
      <c r="BP166">
        <v>5.7771100000000004</v>
      </c>
      <c r="BQ166">
        <v>2.6099800000000002</v>
      </c>
      <c r="BR166">
        <v>0.57244499999999998</v>
      </c>
      <c r="BS166">
        <v>21.729099999999999</v>
      </c>
      <c r="BT166">
        <v>-0.95321699999999998</v>
      </c>
      <c r="BU166">
        <v>1800</v>
      </c>
      <c r="BV166">
        <v>0.91001699999999996</v>
      </c>
      <c r="BW166">
        <v>3.40021E-2</v>
      </c>
      <c r="BX166">
        <v>2.1993800000000001E-2</v>
      </c>
      <c r="BY166">
        <v>3.39876E-2</v>
      </c>
      <c r="BZ166">
        <v>26</v>
      </c>
      <c r="CA166">
        <v>33528.5</v>
      </c>
      <c r="CB166">
        <v>1690214843</v>
      </c>
      <c r="CC166" t="s">
        <v>332</v>
      </c>
      <c r="CD166">
        <v>1690214842</v>
      </c>
      <c r="CE166">
        <v>1690214843</v>
      </c>
      <c r="CF166">
        <v>8</v>
      </c>
      <c r="CG166">
        <v>-6.3E-2</v>
      </c>
      <c r="CH166">
        <v>1E-3</v>
      </c>
      <c r="CI166">
        <v>-0.38900000000000001</v>
      </c>
      <c r="CJ166">
        <v>-6.6000000000000003E-2</v>
      </c>
      <c r="CK166">
        <v>800</v>
      </c>
      <c r="CL166">
        <v>6</v>
      </c>
      <c r="CM166">
        <v>0.23</v>
      </c>
      <c r="CN166">
        <v>0.02</v>
      </c>
      <c r="CO166">
        <v>-354.48017499999997</v>
      </c>
      <c r="CP166">
        <v>-11.655500938086149</v>
      </c>
      <c r="CQ166">
        <v>1.1230914897616291</v>
      </c>
      <c r="CR166">
        <v>-1</v>
      </c>
      <c r="CS166">
        <v>20.482025</v>
      </c>
      <c r="CT166">
        <v>0.461209756097475</v>
      </c>
      <c r="CU166">
        <v>4.4372028069494363E-2</v>
      </c>
      <c r="CV166">
        <v>-1</v>
      </c>
      <c r="CW166">
        <v>0</v>
      </c>
      <c r="CX166">
        <v>0</v>
      </c>
      <c r="CY166" t="s">
        <v>333</v>
      </c>
      <c r="CZ166">
        <v>2.3646099999999999</v>
      </c>
      <c r="DA166">
        <v>2.7137799999999999</v>
      </c>
      <c r="DB166">
        <v>9.6796300000000002E-2</v>
      </c>
      <c r="DC166">
        <v>0.146096</v>
      </c>
      <c r="DD166">
        <v>0.121586</v>
      </c>
      <c r="DE166">
        <v>3.8251300000000002E-2</v>
      </c>
      <c r="DF166">
        <v>32972.199999999997</v>
      </c>
      <c r="DG166">
        <v>27510.2</v>
      </c>
      <c r="DH166">
        <v>31165</v>
      </c>
      <c r="DI166">
        <v>28072.799999999999</v>
      </c>
      <c r="DJ166">
        <v>37157.1</v>
      </c>
      <c r="DK166">
        <v>38391.699999999997</v>
      </c>
      <c r="DL166">
        <v>44349.9</v>
      </c>
      <c r="DM166">
        <v>42544.800000000003</v>
      </c>
      <c r="DN166">
        <v>1.3633</v>
      </c>
      <c r="DO166">
        <v>2.03443</v>
      </c>
      <c r="DP166">
        <v>8.3975499999999995E-2</v>
      </c>
      <c r="DQ166">
        <v>0.177786</v>
      </c>
      <c r="DR166">
        <v>25.620999999999999</v>
      </c>
      <c r="DS166">
        <v>25.395199999999999</v>
      </c>
      <c r="DT166">
        <v>17.100000000000001</v>
      </c>
      <c r="DU166">
        <v>29.8</v>
      </c>
      <c r="DV166">
        <v>7.2686200000000003</v>
      </c>
      <c r="DW166">
        <v>61.888599999999997</v>
      </c>
      <c r="DX166">
        <v>36.927100000000003</v>
      </c>
      <c r="DY166">
        <v>1</v>
      </c>
      <c r="DZ166">
        <v>-9.15295E-2</v>
      </c>
      <c r="EA166">
        <v>-0.22699900000000001</v>
      </c>
      <c r="EB166">
        <v>20.189699999999998</v>
      </c>
      <c r="EC166">
        <v>5.2409499999999998</v>
      </c>
      <c r="ED166">
        <v>12.039899999999999</v>
      </c>
      <c r="EE166">
        <v>5.01715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1.86893</v>
      </c>
      <c r="EL166">
        <v>1.86466</v>
      </c>
      <c r="EM166">
        <v>1.8692</v>
      </c>
      <c r="EN166">
        <v>1.8672599999999999</v>
      </c>
      <c r="EO166">
        <v>1.8633999999999999</v>
      </c>
      <c r="EP166">
        <v>1.86459</v>
      </c>
      <c r="EQ166">
        <v>1.8701700000000001</v>
      </c>
      <c r="ER166">
        <v>1.8694599999999999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-0.13800000000000001</v>
      </c>
      <c r="FG166">
        <v>0.19259999999999999</v>
      </c>
      <c r="FH166">
        <v>0.16202357103534001</v>
      </c>
      <c r="FI166">
        <v>-6.1462078757559423E-4</v>
      </c>
      <c r="FJ166">
        <v>-1.8861989874597051E-7</v>
      </c>
      <c r="FK166">
        <v>1.1980462299894961E-10</v>
      </c>
      <c r="FL166">
        <v>0.19260234566371101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32.4</v>
      </c>
      <c r="FU166">
        <v>32.4</v>
      </c>
      <c r="FV166">
        <v>1.7785599999999999</v>
      </c>
      <c r="FW166">
        <v>2.5854499999999998</v>
      </c>
      <c r="FX166">
        <v>1.5490699999999999</v>
      </c>
      <c r="FY166">
        <v>2.3290999999999999</v>
      </c>
      <c r="FZ166">
        <v>1.50146</v>
      </c>
      <c r="GA166">
        <v>2.2863799999999999</v>
      </c>
      <c r="GB166">
        <v>33.8735</v>
      </c>
      <c r="GC166">
        <v>23.973700000000001</v>
      </c>
      <c r="GD166">
        <v>19</v>
      </c>
      <c r="GE166">
        <v>237.71600000000001</v>
      </c>
      <c r="GF166">
        <v>581.66</v>
      </c>
      <c r="GG166">
        <v>25.377600000000001</v>
      </c>
      <c r="GH166">
        <v>26.2332</v>
      </c>
      <c r="GI166">
        <v>30.0002</v>
      </c>
      <c r="GJ166">
        <v>26.3748</v>
      </c>
      <c r="GK166">
        <v>26.347899999999999</v>
      </c>
      <c r="GL166">
        <v>35.560899999999997</v>
      </c>
      <c r="GM166">
        <v>-30</v>
      </c>
      <c r="GN166">
        <v>-30</v>
      </c>
      <c r="GO166">
        <v>25.348700000000001</v>
      </c>
      <c r="GP166">
        <v>800</v>
      </c>
      <c r="GQ166">
        <v>12.5298</v>
      </c>
      <c r="GR166">
        <v>99.713700000000003</v>
      </c>
      <c r="GS166">
        <v>99.530600000000007</v>
      </c>
    </row>
    <row r="167" spans="1:201" x14ac:dyDescent="0.25">
      <c r="A167">
        <v>151</v>
      </c>
      <c r="B167">
        <v>1690216794.5999999</v>
      </c>
      <c r="C167">
        <v>1849.099999904633</v>
      </c>
      <c r="D167" t="s">
        <v>635</v>
      </c>
      <c r="E167" t="s">
        <v>636</v>
      </c>
      <c r="F167" t="s">
        <v>330</v>
      </c>
      <c r="H167">
        <v>1690216794.5999999</v>
      </c>
      <c r="I167">
        <f t="shared" si="60"/>
        <v>1.8927854605969533E-3</v>
      </c>
      <c r="J167">
        <f t="shared" si="61"/>
        <v>1.8927854605969532</v>
      </c>
      <c r="K167">
        <f t="shared" si="62"/>
        <v>31.165073553266364</v>
      </c>
      <c r="L167">
        <f t="shared" si="63"/>
        <v>441.78500000000003</v>
      </c>
      <c r="M167">
        <f t="shared" si="64"/>
        <v>90.491465407223146</v>
      </c>
      <c r="N167">
        <f t="shared" si="65"/>
        <v>8.9758660905290704</v>
      </c>
      <c r="O167">
        <f t="shared" si="66"/>
        <v>43.820740253896503</v>
      </c>
      <c r="P167">
        <f t="shared" si="67"/>
        <v>0.14918676454853666</v>
      </c>
      <c r="Q167">
        <f t="shared" si="68"/>
        <v>2.063173760282468</v>
      </c>
      <c r="R167">
        <f t="shared" si="69"/>
        <v>0.14344235969507513</v>
      </c>
      <c r="S167">
        <f t="shared" si="70"/>
        <v>9.0149157363079713E-2</v>
      </c>
      <c r="T167">
        <f t="shared" si="71"/>
        <v>276.11273740582573</v>
      </c>
      <c r="U167">
        <f t="shared" si="72"/>
        <v>28.404054884735427</v>
      </c>
      <c r="V167">
        <f t="shared" si="73"/>
        <v>28.404054884735427</v>
      </c>
      <c r="W167">
        <f t="shared" si="74"/>
        <v>3.885150978425814</v>
      </c>
      <c r="X167">
        <f t="shared" si="75"/>
        <v>73.888514728764676</v>
      </c>
      <c r="Y167">
        <f t="shared" si="76"/>
        <v>2.6192063675099098</v>
      </c>
      <c r="Z167">
        <f t="shared" si="77"/>
        <v>3.5448085228464565</v>
      </c>
      <c r="AA167">
        <f t="shared" si="78"/>
        <v>1.2659446109159043</v>
      </c>
      <c r="AB167">
        <f t="shared" si="79"/>
        <v>-83.471838812325643</v>
      </c>
      <c r="AC167">
        <f t="shared" si="80"/>
        <v>-174.42559146432376</v>
      </c>
      <c r="AD167">
        <f t="shared" si="81"/>
        <v>-18.35870631117152</v>
      </c>
      <c r="AE167">
        <f t="shared" si="82"/>
        <v>-0.14339918199522117</v>
      </c>
      <c r="AF167">
        <v>43</v>
      </c>
      <c r="AG167">
        <v>14</v>
      </c>
      <c r="AH167">
        <f t="shared" si="83"/>
        <v>1</v>
      </c>
      <c r="AI167">
        <f t="shared" si="84"/>
        <v>0</v>
      </c>
      <c r="AJ167">
        <f t="shared" si="85"/>
        <v>52374.481882657979</v>
      </c>
      <c r="AK167">
        <f t="shared" si="86"/>
        <v>1799.99</v>
      </c>
      <c r="AL167">
        <f t="shared" si="87"/>
        <v>1499.10286700447</v>
      </c>
      <c r="AM167">
        <f t="shared" si="88"/>
        <v>0.83283955300000001</v>
      </c>
      <c r="AN167">
        <f t="shared" si="89"/>
        <v>0.15339681743000003</v>
      </c>
      <c r="AO167">
        <v>33.6</v>
      </c>
      <c r="AP167">
        <v>0.5</v>
      </c>
      <c r="AQ167" t="s">
        <v>331</v>
      </c>
      <c r="AR167">
        <v>2</v>
      </c>
      <c r="AS167">
        <v>1690216794.5999999</v>
      </c>
      <c r="AT167">
        <v>441.78500000000003</v>
      </c>
      <c r="AU167">
        <v>800.01900000000001</v>
      </c>
      <c r="AV167">
        <v>26.405899999999999</v>
      </c>
      <c r="AW167">
        <v>5.7768699999999997</v>
      </c>
      <c r="AX167">
        <v>441.92099999999999</v>
      </c>
      <c r="AY167">
        <v>26.2133</v>
      </c>
      <c r="AZ167">
        <v>300.15100000000001</v>
      </c>
      <c r="BA167">
        <v>99.090199999999996</v>
      </c>
      <c r="BB167">
        <v>9.9994899999999998E-2</v>
      </c>
      <c r="BC167">
        <v>26.835899999999999</v>
      </c>
      <c r="BD167">
        <v>27.0059</v>
      </c>
      <c r="BE167">
        <v>28.304099999999998</v>
      </c>
      <c r="BF167">
        <v>0</v>
      </c>
      <c r="BG167">
        <v>0</v>
      </c>
      <c r="BH167">
        <v>9990</v>
      </c>
      <c r="BI167">
        <v>1077.02</v>
      </c>
      <c r="BJ167">
        <v>1.5137799999999999</v>
      </c>
      <c r="BK167">
        <v>-358.23399999999998</v>
      </c>
      <c r="BL167">
        <v>453.767</v>
      </c>
      <c r="BM167">
        <v>804.66800000000001</v>
      </c>
      <c r="BN167">
        <v>20.629100000000001</v>
      </c>
      <c r="BO167">
        <v>800.01900000000001</v>
      </c>
      <c r="BP167">
        <v>5.7768699999999997</v>
      </c>
      <c r="BQ167">
        <v>2.6165699999999998</v>
      </c>
      <c r="BR167">
        <v>0.57243100000000002</v>
      </c>
      <c r="BS167">
        <v>21.770399999999999</v>
      </c>
      <c r="BT167">
        <v>-0.95354300000000003</v>
      </c>
      <c r="BU167">
        <v>1799.99</v>
      </c>
      <c r="BV167">
        <v>0.91001200000000004</v>
      </c>
      <c r="BW167">
        <v>3.4007200000000001E-2</v>
      </c>
      <c r="BX167">
        <v>2.19934E-2</v>
      </c>
      <c r="BY167">
        <v>3.39869E-2</v>
      </c>
      <c r="BZ167">
        <v>26</v>
      </c>
      <c r="CA167">
        <v>33528.300000000003</v>
      </c>
      <c r="CB167">
        <v>1690214843</v>
      </c>
      <c r="CC167" t="s">
        <v>332</v>
      </c>
      <c r="CD167">
        <v>1690214842</v>
      </c>
      <c r="CE167">
        <v>1690214843</v>
      </c>
      <c r="CF167">
        <v>8</v>
      </c>
      <c r="CG167">
        <v>-6.3E-2</v>
      </c>
      <c r="CH167">
        <v>1E-3</v>
      </c>
      <c r="CI167">
        <v>-0.38900000000000001</v>
      </c>
      <c r="CJ167">
        <v>-6.6000000000000003E-2</v>
      </c>
      <c r="CK167">
        <v>800</v>
      </c>
      <c r="CL167">
        <v>6</v>
      </c>
      <c r="CM167">
        <v>0.23</v>
      </c>
      <c r="CN167">
        <v>0.02</v>
      </c>
      <c r="CO167">
        <v>-356.16772500000002</v>
      </c>
      <c r="CP167">
        <v>-10.8736547842392</v>
      </c>
      <c r="CQ167">
        <v>1.047702533821026</v>
      </c>
      <c r="CR167">
        <v>-1</v>
      </c>
      <c r="CS167">
        <v>20.550035000000001</v>
      </c>
      <c r="CT167">
        <v>0.44775309568476712</v>
      </c>
      <c r="CU167">
        <v>4.3119691267447718E-2</v>
      </c>
      <c r="CV167">
        <v>-1</v>
      </c>
      <c r="CW167">
        <v>0</v>
      </c>
      <c r="CX167">
        <v>0</v>
      </c>
      <c r="CY167" t="s">
        <v>333</v>
      </c>
      <c r="CZ167">
        <v>2.36442</v>
      </c>
      <c r="DA167">
        <v>2.7137799999999999</v>
      </c>
      <c r="DB167">
        <v>9.6505900000000006E-2</v>
      </c>
      <c r="DC167">
        <v>0.14610100000000001</v>
      </c>
      <c r="DD167">
        <v>0.12180100000000001</v>
      </c>
      <c r="DE167">
        <v>3.8250899999999997E-2</v>
      </c>
      <c r="DF167">
        <v>32983.1</v>
      </c>
      <c r="DG167">
        <v>27510.6</v>
      </c>
      <c r="DH167">
        <v>31165.3</v>
      </c>
      <c r="DI167">
        <v>28073.4</v>
      </c>
      <c r="DJ167">
        <v>37148.199999999997</v>
      </c>
      <c r="DK167">
        <v>38392.400000000001</v>
      </c>
      <c r="DL167">
        <v>44350.400000000001</v>
      </c>
      <c r="DM167">
        <v>42545.599999999999</v>
      </c>
      <c r="DN167">
        <v>1.3631800000000001</v>
      </c>
      <c r="DO167">
        <v>2.0345200000000001</v>
      </c>
      <c r="DP167">
        <v>8.45939E-2</v>
      </c>
      <c r="DQ167">
        <v>0.17782999999999999</v>
      </c>
      <c r="DR167">
        <v>25.620999999999999</v>
      </c>
      <c r="DS167">
        <v>25.395199999999999</v>
      </c>
      <c r="DT167">
        <v>17.100000000000001</v>
      </c>
      <c r="DU167">
        <v>29.8</v>
      </c>
      <c r="DV167">
        <v>7.2694099999999997</v>
      </c>
      <c r="DW167">
        <v>62.058500000000002</v>
      </c>
      <c r="DX167">
        <v>37.075299999999999</v>
      </c>
      <c r="DY167">
        <v>1</v>
      </c>
      <c r="DZ167">
        <v>-9.1763200000000003E-2</v>
      </c>
      <c r="EA167">
        <v>-0.21210200000000001</v>
      </c>
      <c r="EB167">
        <v>20.189699999999998</v>
      </c>
      <c r="EC167">
        <v>5.2411000000000003</v>
      </c>
      <c r="ED167">
        <v>12.039899999999999</v>
      </c>
      <c r="EE167">
        <v>5.0170500000000002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1.86896</v>
      </c>
      <c r="EL167">
        <v>1.86466</v>
      </c>
      <c r="EM167">
        <v>1.8691899999999999</v>
      </c>
      <c r="EN167">
        <v>1.86727</v>
      </c>
      <c r="EO167">
        <v>1.86341</v>
      </c>
      <c r="EP167">
        <v>1.8645799999999999</v>
      </c>
      <c r="EQ167">
        <v>1.8701700000000001</v>
      </c>
      <c r="ER167">
        <v>1.8694900000000001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-0.13600000000000001</v>
      </c>
      <c r="FG167">
        <v>0.19259999999999999</v>
      </c>
      <c r="FH167">
        <v>0.16202357103534001</v>
      </c>
      <c r="FI167">
        <v>-6.1462078757559423E-4</v>
      </c>
      <c r="FJ167">
        <v>-1.8861989874597051E-7</v>
      </c>
      <c r="FK167">
        <v>1.1980462299894961E-10</v>
      </c>
      <c r="FL167">
        <v>0.19260234566371101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32.5</v>
      </c>
      <c r="FU167">
        <v>32.5</v>
      </c>
      <c r="FV167">
        <v>1.7785599999999999</v>
      </c>
      <c r="FW167">
        <v>2.5817899999999998</v>
      </c>
      <c r="FX167">
        <v>1.5490699999999999</v>
      </c>
      <c r="FY167">
        <v>2.3290999999999999</v>
      </c>
      <c r="FZ167">
        <v>1.50146</v>
      </c>
      <c r="GA167">
        <v>2.2607400000000002</v>
      </c>
      <c r="GB167">
        <v>33.8735</v>
      </c>
      <c r="GC167">
        <v>23.973700000000001</v>
      </c>
      <c r="GD167">
        <v>19</v>
      </c>
      <c r="GE167">
        <v>237.66900000000001</v>
      </c>
      <c r="GF167">
        <v>581.71699999999998</v>
      </c>
      <c r="GG167">
        <v>25.350100000000001</v>
      </c>
      <c r="GH167">
        <v>26.2332</v>
      </c>
      <c r="GI167">
        <v>30.0002</v>
      </c>
      <c r="GJ167">
        <v>26.3748</v>
      </c>
      <c r="GK167">
        <v>26.345600000000001</v>
      </c>
      <c r="GL167">
        <v>35.5623</v>
      </c>
      <c r="GM167">
        <v>-30</v>
      </c>
      <c r="GN167">
        <v>-30</v>
      </c>
      <c r="GO167">
        <v>25.351900000000001</v>
      </c>
      <c r="GP167">
        <v>800</v>
      </c>
      <c r="GQ167">
        <v>12.5298</v>
      </c>
      <c r="GR167">
        <v>99.714600000000004</v>
      </c>
      <c r="GS167">
        <v>99.532600000000002</v>
      </c>
    </row>
    <row r="168" spans="1:201" x14ac:dyDescent="0.25">
      <c r="A168">
        <v>152</v>
      </c>
      <c r="B168">
        <v>1690216804.5999999</v>
      </c>
      <c r="C168">
        <v>1859.099999904633</v>
      </c>
      <c r="D168" t="s">
        <v>637</v>
      </c>
      <c r="E168" t="s">
        <v>638</v>
      </c>
      <c r="F168" t="s">
        <v>330</v>
      </c>
      <c r="H168">
        <v>1690216804.5999999</v>
      </c>
      <c r="I168">
        <f t="shared" si="60"/>
        <v>1.8990874257592909E-3</v>
      </c>
      <c r="J168">
        <f t="shared" si="61"/>
        <v>1.8990874257592909</v>
      </c>
      <c r="K168">
        <f t="shared" si="62"/>
        <v>31.319311507977666</v>
      </c>
      <c r="L168">
        <f t="shared" si="63"/>
        <v>440.04599999999999</v>
      </c>
      <c r="M168">
        <f t="shared" si="64"/>
        <v>90.98463437362301</v>
      </c>
      <c r="N168">
        <f t="shared" si="65"/>
        <v>9.0247480505313291</v>
      </c>
      <c r="O168">
        <f t="shared" si="66"/>
        <v>43.648076490984003</v>
      </c>
      <c r="P168">
        <f t="shared" si="67"/>
        <v>0.15092844449852538</v>
      </c>
      <c r="Q168">
        <f t="shared" si="68"/>
        <v>2.0648839196050242</v>
      </c>
      <c r="R168">
        <f t="shared" si="69"/>
        <v>0.1450566351581544</v>
      </c>
      <c r="S168">
        <f t="shared" si="70"/>
        <v>9.1168921691140214E-2</v>
      </c>
      <c r="T168">
        <f t="shared" si="71"/>
        <v>276.11452762200003</v>
      </c>
      <c r="U168">
        <f t="shared" si="72"/>
        <v>28.388950075244281</v>
      </c>
      <c r="V168">
        <f t="shared" si="73"/>
        <v>28.388950075244281</v>
      </c>
      <c r="W168">
        <f t="shared" si="74"/>
        <v>3.8817414367692264</v>
      </c>
      <c r="X168">
        <f t="shared" si="75"/>
        <v>74.123885662450689</v>
      </c>
      <c r="Y168">
        <f t="shared" si="76"/>
        <v>2.6257425725076002</v>
      </c>
      <c r="Z168">
        <f t="shared" si="77"/>
        <v>3.5423703830973552</v>
      </c>
      <c r="AA168">
        <f t="shared" si="78"/>
        <v>1.2559988642616262</v>
      </c>
      <c r="AB168">
        <f t="shared" si="79"/>
        <v>-83.749755475984728</v>
      </c>
      <c r="AC168">
        <f t="shared" si="80"/>
        <v>-174.19114210328959</v>
      </c>
      <c r="AD168">
        <f t="shared" si="81"/>
        <v>-18.316394995367684</v>
      </c>
      <c r="AE168">
        <f t="shared" si="82"/>
        <v>-0.14276495264195432</v>
      </c>
      <c r="AF168">
        <v>43</v>
      </c>
      <c r="AG168">
        <v>14</v>
      </c>
      <c r="AH168">
        <f t="shared" si="83"/>
        <v>1</v>
      </c>
      <c r="AI168">
        <f t="shared" si="84"/>
        <v>0</v>
      </c>
      <c r="AJ168">
        <f t="shared" si="85"/>
        <v>52454.76200282621</v>
      </c>
      <c r="AK168">
        <f t="shared" si="86"/>
        <v>1800</v>
      </c>
      <c r="AL168">
        <f t="shared" si="87"/>
        <v>1499.1119982</v>
      </c>
      <c r="AM168">
        <f t="shared" si="88"/>
        <v>0.83283999900000005</v>
      </c>
      <c r="AN168">
        <f t="shared" si="89"/>
        <v>0.15339695979000001</v>
      </c>
      <c r="AO168">
        <v>33.6</v>
      </c>
      <c r="AP168">
        <v>0.5</v>
      </c>
      <c r="AQ168" t="s">
        <v>331</v>
      </c>
      <c r="AR168">
        <v>2</v>
      </c>
      <c r="AS168">
        <v>1690216804.5999999</v>
      </c>
      <c r="AT168">
        <v>440.04599999999999</v>
      </c>
      <c r="AU168">
        <v>799.99</v>
      </c>
      <c r="AV168">
        <v>26.471900000000002</v>
      </c>
      <c r="AW168">
        <v>5.7762099999999998</v>
      </c>
      <c r="AX168">
        <v>440.18099999999998</v>
      </c>
      <c r="AY168">
        <v>26.279299999999999</v>
      </c>
      <c r="AZ168">
        <v>300.16000000000003</v>
      </c>
      <c r="BA168">
        <v>99.089799999999997</v>
      </c>
      <c r="BB168">
        <v>0.100004</v>
      </c>
      <c r="BC168">
        <v>26.824200000000001</v>
      </c>
      <c r="BD168">
        <v>26.996099999999998</v>
      </c>
      <c r="BE168">
        <v>28.316700000000001</v>
      </c>
      <c r="BF168">
        <v>0</v>
      </c>
      <c r="BG168">
        <v>0</v>
      </c>
      <c r="BH168">
        <v>10005.6</v>
      </c>
      <c r="BI168">
        <v>1076.95</v>
      </c>
      <c r="BJ168">
        <v>1.5137799999999999</v>
      </c>
      <c r="BK168">
        <v>-359.94400000000002</v>
      </c>
      <c r="BL168">
        <v>452.012</v>
      </c>
      <c r="BM168">
        <v>804.63800000000003</v>
      </c>
      <c r="BN168">
        <v>20.695699999999999</v>
      </c>
      <c r="BO168">
        <v>799.99</v>
      </c>
      <c r="BP168">
        <v>5.7762099999999998</v>
      </c>
      <c r="BQ168">
        <v>2.6230899999999999</v>
      </c>
      <c r="BR168">
        <v>0.57236399999999998</v>
      </c>
      <c r="BS168">
        <v>21.8111</v>
      </c>
      <c r="BT168">
        <v>-0.95514299999999996</v>
      </c>
      <c r="BU168">
        <v>1800</v>
      </c>
      <c r="BV168">
        <v>0.91001100000000001</v>
      </c>
      <c r="BW168">
        <v>3.4009499999999998E-2</v>
      </c>
      <c r="BX168">
        <v>2.1993200000000001E-2</v>
      </c>
      <c r="BY168">
        <v>3.3986700000000002E-2</v>
      </c>
      <c r="BZ168">
        <v>26</v>
      </c>
      <c r="CA168">
        <v>33528.5</v>
      </c>
      <c r="CB168">
        <v>1690214843</v>
      </c>
      <c r="CC168" t="s">
        <v>332</v>
      </c>
      <c r="CD168">
        <v>1690214842</v>
      </c>
      <c r="CE168">
        <v>1690214843</v>
      </c>
      <c r="CF168">
        <v>8</v>
      </c>
      <c r="CG168">
        <v>-6.3E-2</v>
      </c>
      <c r="CH168">
        <v>1E-3</v>
      </c>
      <c r="CI168">
        <v>-0.38900000000000001</v>
      </c>
      <c r="CJ168">
        <v>-6.6000000000000003E-2</v>
      </c>
      <c r="CK168">
        <v>800</v>
      </c>
      <c r="CL168">
        <v>6</v>
      </c>
      <c r="CM168">
        <v>0.23</v>
      </c>
      <c r="CN168">
        <v>0.02</v>
      </c>
      <c r="CO168">
        <v>-357.96877499999999</v>
      </c>
      <c r="CP168">
        <v>-10.77078799249422</v>
      </c>
      <c r="CQ168">
        <v>1.0381741782451559</v>
      </c>
      <c r="CR168">
        <v>-1</v>
      </c>
      <c r="CS168">
        <v>20.6218</v>
      </c>
      <c r="CT168">
        <v>0.40920225140702848</v>
      </c>
      <c r="CU168">
        <v>3.9373988875906277E-2</v>
      </c>
      <c r="CV168">
        <v>-1</v>
      </c>
      <c r="CW168">
        <v>0</v>
      </c>
      <c r="CX168">
        <v>0</v>
      </c>
      <c r="CY168" t="s">
        <v>333</v>
      </c>
      <c r="CZ168">
        <v>2.3644599999999998</v>
      </c>
      <c r="DA168">
        <v>2.7138</v>
      </c>
      <c r="DB168">
        <v>9.6221600000000004E-2</v>
      </c>
      <c r="DC168">
        <v>0.146097</v>
      </c>
      <c r="DD168">
        <v>0.122014</v>
      </c>
      <c r="DE168">
        <v>3.8247200000000002E-2</v>
      </c>
      <c r="DF168">
        <v>32993.5</v>
      </c>
      <c r="DG168">
        <v>27510.6</v>
      </c>
      <c r="DH168">
        <v>31165.3</v>
      </c>
      <c r="DI168">
        <v>28073.200000000001</v>
      </c>
      <c r="DJ168">
        <v>37139.1</v>
      </c>
      <c r="DK168">
        <v>38392.400000000001</v>
      </c>
      <c r="DL168">
        <v>44350.3</v>
      </c>
      <c r="DM168">
        <v>42545.4</v>
      </c>
      <c r="DN168">
        <v>1.3629800000000001</v>
      </c>
      <c r="DO168">
        <v>2.0344500000000001</v>
      </c>
      <c r="DP168">
        <v>8.3856299999999995E-2</v>
      </c>
      <c r="DQ168">
        <v>0.17847099999999999</v>
      </c>
      <c r="DR168">
        <v>25.623200000000001</v>
      </c>
      <c r="DS168">
        <v>25.397300000000001</v>
      </c>
      <c r="DT168">
        <v>17.100000000000001</v>
      </c>
      <c r="DU168">
        <v>29.8</v>
      </c>
      <c r="DV168">
        <v>7.2679400000000003</v>
      </c>
      <c r="DW168">
        <v>61.868499999999997</v>
      </c>
      <c r="DX168">
        <v>37.091299999999997</v>
      </c>
      <c r="DY168">
        <v>1</v>
      </c>
      <c r="DZ168">
        <v>-9.1864799999999996E-2</v>
      </c>
      <c r="EA168">
        <v>-0.21210799999999999</v>
      </c>
      <c r="EB168">
        <v>20.189599999999999</v>
      </c>
      <c r="EC168">
        <v>5.24125</v>
      </c>
      <c r="ED168">
        <v>12.039899999999999</v>
      </c>
      <c r="EE168">
        <v>5.0171999999999999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1.8689499999999999</v>
      </c>
      <c r="EL168">
        <v>1.8646499999999999</v>
      </c>
      <c r="EM168">
        <v>1.8692</v>
      </c>
      <c r="EN168">
        <v>1.8672599999999999</v>
      </c>
      <c r="EO168">
        <v>1.8633999999999999</v>
      </c>
      <c r="EP168">
        <v>1.8645700000000001</v>
      </c>
      <c r="EQ168">
        <v>1.8702000000000001</v>
      </c>
      <c r="ER168">
        <v>1.8694900000000001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-0.13500000000000001</v>
      </c>
      <c r="FG168">
        <v>0.19259999999999999</v>
      </c>
      <c r="FH168">
        <v>0.16202357103534001</v>
      </c>
      <c r="FI168">
        <v>-6.1462078757559423E-4</v>
      </c>
      <c r="FJ168">
        <v>-1.8861989874597051E-7</v>
      </c>
      <c r="FK168">
        <v>1.1980462299894961E-10</v>
      </c>
      <c r="FL168">
        <v>0.19260234566371101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32.700000000000003</v>
      </c>
      <c r="FU168">
        <v>32.700000000000003</v>
      </c>
      <c r="FV168">
        <v>1.7785599999999999</v>
      </c>
      <c r="FW168">
        <v>2.5903299999999998</v>
      </c>
      <c r="FX168">
        <v>1.5490699999999999</v>
      </c>
      <c r="FY168">
        <v>2.3290999999999999</v>
      </c>
      <c r="FZ168">
        <v>1.50146</v>
      </c>
      <c r="GA168">
        <v>2.2631800000000002</v>
      </c>
      <c r="GB168">
        <v>33.8735</v>
      </c>
      <c r="GC168">
        <v>23.982399999999998</v>
      </c>
      <c r="GD168">
        <v>19</v>
      </c>
      <c r="GE168">
        <v>237.58600000000001</v>
      </c>
      <c r="GF168">
        <v>581.65599999999995</v>
      </c>
      <c r="GG168">
        <v>25.347200000000001</v>
      </c>
      <c r="GH168">
        <v>26.2332</v>
      </c>
      <c r="GI168">
        <v>30.0001</v>
      </c>
      <c r="GJ168">
        <v>26.372599999999998</v>
      </c>
      <c r="GK168">
        <v>26.345600000000001</v>
      </c>
      <c r="GL168">
        <v>35.560400000000001</v>
      </c>
      <c r="GM168">
        <v>-30</v>
      </c>
      <c r="GN168">
        <v>-30</v>
      </c>
      <c r="GO168">
        <v>25.347799999999999</v>
      </c>
      <c r="GP168">
        <v>800</v>
      </c>
      <c r="GQ168">
        <v>12.5298</v>
      </c>
      <c r="GR168">
        <v>99.714500000000001</v>
      </c>
      <c r="GS168">
        <v>99.5321</v>
      </c>
    </row>
    <row r="169" spans="1:201" x14ac:dyDescent="0.25">
      <c r="A169">
        <v>153</v>
      </c>
      <c r="B169">
        <v>1690216814.5999999</v>
      </c>
      <c r="C169">
        <v>1869.099999904633</v>
      </c>
      <c r="D169" t="s">
        <v>639</v>
      </c>
      <c r="E169" t="s">
        <v>640</v>
      </c>
      <c r="F169" t="s">
        <v>330</v>
      </c>
      <c r="H169">
        <v>1690216814.5999999</v>
      </c>
      <c r="I169">
        <f t="shared" si="60"/>
        <v>1.9054956118637462E-3</v>
      </c>
      <c r="J169">
        <f t="shared" si="61"/>
        <v>1.9054956118637463</v>
      </c>
      <c r="K169">
        <f t="shared" si="62"/>
        <v>31.476580483257546</v>
      </c>
      <c r="L169">
        <f t="shared" si="63"/>
        <v>438.34</v>
      </c>
      <c r="M169">
        <f t="shared" si="64"/>
        <v>90.406458524512573</v>
      </c>
      <c r="N169">
        <f t="shared" si="65"/>
        <v>8.9674385898158242</v>
      </c>
      <c r="O169">
        <f t="shared" si="66"/>
        <v>43.479051116619992</v>
      </c>
      <c r="P169">
        <f t="shared" si="67"/>
        <v>0.15219220382594825</v>
      </c>
      <c r="Q169">
        <f t="shared" si="68"/>
        <v>2.0705739251223916</v>
      </c>
      <c r="R169">
        <f t="shared" si="69"/>
        <v>0.14623945337720889</v>
      </c>
      <c r="S169">
        <f t="shared" si="70"/>
        <v>9.1915089231959263E-2</v>
      </c>
      <c r="T169">
        <f t="shared" si="71"/>
        <v>276.11274023180994</v>
      </c>
      <c r="U169">
        <f t="shared" si="72"/>
        <v>28.390835876694887</v>
      </c>
      <c r="V169">
        <f t="shared" si="73"/>
        <v>28.390835876694887</v>
      </c>
      <c r="W169">
        <f t="shared" si="74"/>
        <v>3.8821669677339643</v>
      </c>
      <c r="X169">
        <f t="shared" si="75"/>
        <v>74.26971446577096</v>
      </c>
      <c r="Y169">
        <f t="shared" si="76"/>
        <v>2.6321618833694997</v>
      </c>
      <c r="Z169">
        <f t="shared" si="77"/>
        <v>3.5440581700130229</v>
      </c>
      <c r="AA169">
        <f t="shared" si="78"/>
        <v>1.2500050843644646</v>
      </c>
      <c r="AB169">
        <f t="shared" si="79"/>
        <v>-84.032356483191208</v>
      </c>
      <c r="AC169">
        <f t="shared" si="80"/>
        <v>-173.97746076342537</v>
      </c>
      <c r="AD169">
        <f t="shared" si="81"/>
        <v>-18.244561929268247</v>
      </c>
      <c r="AE169">
        <f t="shared" si="82"/>
        <v>-0.14163894407488442</v>
      </c>
      <c r="AF169">
        <v>43</v>
      </c>
      <c r="AG169">
        <v>14</v>
      </c>
      <c r="AH169">
        <f t="shared" si="83"/>
        <v>1</v>
      </c>
      <c r="AI169">
        <f t="shared" si="84"/>
        <v>0</v>
      </c>
      <c r="AJ169">
        <f t="shared" si="85"/>
        <v>52714.283390336386</v>
      </c>
      <c r="AK169">
        <f t="shared" si="86"/>
        <v>1799.99</v>
      </c>
      <c r="AL169">
        <f t="shared" si="87"/>
        <v>1499.1025736060999</v>
      </c>
      <c r="AM169">
        <f t="shared" si="88"/>
        <v>0.83283938999999996</v>
      </c>
      <c r="AN169">
        <f t="shared" si="89"/>
        <v>0.15339681899999996</v>
      </c>
      <c r="AO169">
        <v>33.6</v>
      </c>
      <c r="AP169">
        <v>0.5</v>
      </c>
      <c r="AQ169" t="s">
        <v>331</v>
      </c>
      <c r="AR169">
        <v>2</v>
      </c>
      <c r="AS169">
        <v>1690216814.5999999</v>
      </c>
      <c r="AT169">
        <v>438.34</v>
      </c>
      <c r="AU169">
        <v>799.97699999999998</v>
      </c>
      <c r="AV169">
        <v>26.5365</v>
      </c>
      <c r="AW169">
        <v>5.7759499999999999</v>
      </c>
      <c r="AX169">
        <v>438.47300000000001</v>
      </c>
      <c r="AY169">
        <v>26.343900000000001</v>
      </c>
      <c r="AZ169">
        <v>300.21199999999999</v>
      </c>
      <c r="BA169">
        <v>99.090199999999996</v>
      </c>
      <c r="BB169">
        <v>0.10004300000000001</v>
      </c>
      <c r="BC169">
        <v>26.8323</v>
      </c>
      <c r="BD169">
        <v>26.986799999999999</v>
      </c>
      <c r="BE169">
        <v>28.311199999999999</v>
      </c>
      <c r="BF169">
        <v>0</v>
      </c>
      <c r="BG169">
        <v>0</v>
      </c>
      <c r="BH169">
        <v>10057.5</v>
      </c>
      <c r="BI169">
        <v>1076.95</v>
      </c>
      <c r="BJ169">
        <v>1.5137799999999999</v>
      </c>
      <c r="BK169">
        <v>-361.637</v>
      </c>
      <c r="BL169">
        <v>450.28899999999999</v>
      </c>
      <c r="BM169">
        <v>804.62400000000002</v>
      </c>
      <c r="BN169">
        <v>20.7605</v>
      </c>
      <c r="BO169">
        <v>799.97699999999998</v>
      </c>
      <c r="BP169">
        <v>5.7759499999999999</v>
      </c>
      <c r="BQ169">
        <v>2.6295099999999998</v>
      </c>
      <c r="BR169">
        <v>0.57233999999999996</v>
      </c>
      <c r="BS169">
        <v>21.851099999999999</v>
      </c>
      <c r="BT169">
        <v>-0.95571700000000004</v>
      </c>
      <c r="BU169">
        <v>1799.99</v>
      </c>
      <c r="BV169">
        <v>0.91001100000000001</v>
      </c>
      <c r="BW169">
        <v>3.4009200000000003E-2</v>
      </c>
      <c r="BX169">
        <v>2.1992999999999999E-2</v>
      </c>
      <c r="BY169">
        <v>3.39864E-2</v>
      </c>
      <c r="BZ169">
        <v>26</v>
      </c>
      <c r="CA169">
        <v>33528.300000000003</v>
      </c>
      <c r="CB169">
        <v>1690214843</v>
      </c>
      <c r="CC169" t="s">
        <v>332</v>
      </c>
      <c r="CD169">
        <v>1690214842</v>
      </c>
      <c r="CE169">
        <v>1690214843</v>
      </c>
      <c r="CF169">
        <v>8</v>
      </c>
      <c r="CG169">
        <v>-6.3E-2</v>
      </c>
      <c r="CH169">
        <v>1E-3</v>
      </c>
      <c r="CI169">
        <v>-0.38900000000000001</v>
      </c>
      <c r="CJ169">
        <v>-6.6000000000000003E-2</v>
      </c>
      <c r="CK169">
        <v>800</v>
      </c>
      <c r="CL169">
        <v>6</v>
      </c>
      <c r="CM169">
        <v>0.23</v>
      </c>
      <c r="CN169">
        <v>0.02</v>
      </c>
      <c r="CO169">
        <v>-359.78885365853648</v>
      </c>
      <c r="CP169">
        <v>-10.391540069686391</v>
      </c>
      <c r="CQ169">
        <v>1.026003721786988</v>
      </c>
      <c r="CR169">
        <v>-1</v>
      </c>
      <c r="CS169">
        <v>20.689760975609762</v>
      </c>
      <c r="CT169">
        <v>0.39043066202094001</v>
      </c>
      <c r="CU169">
        <v>3.8517261749853371E-2</v>
      </c>
      <c r="CV169">
        <v>-1</v>
      </c>
      <c r="CW169">
        <v>0</v>
      </c>
      <c r="CX169">
        <v>0</v>
      </c>
      <c r="CY169" t="s">
        <v>333</v>
      </c>
      <c r="CZ169">
        <v>2.36463</v>
      </c>
      <c r="DA169">
        <v>2.7138900000000001</v>
      </c>
      <c r="DB169">
        <v>9.5942200000000005E-2</v>
      </c>
      <c r="DC169">
        <v>0.146096</v>
      </c>
      <c r="DD169">
        <v>0.122222</v>
      </c>
      <c r="DE169">
        <v>3.8245899999999999E-2</v>
      </c>
      <c r="DF169">
        <v>33003.800000000003</v>
      </c>
      <c r="DG169">
        <v>27510.7</v>
      </c>
      <c r="DH169">
        <v>31165.4</v>
      </c>
      <c r="DI169">
        <v>28073.3</v>
      </c>
      <c r="DJ169">
        <v>37130.199999999997</v>
      </c>
      <c r="DK169">
        <v>38392.800000000003</v>
      </c>
      <c r="DL169">
        <v>44350.5</v>
      </c>
      <c r="DM169">
        <v>42545.8</v>
      </c>
      <c r="DN169">
        <v>1.3633</v>
      </c>
      <c r="DO169">
        <v>2.0345200000000001</v>
      </c>
      <c r="DP169">
        <v>8.3193199999999995E-2</v>
      </c>
      <c r="DQ169">
        <v>0.17800199999999999</v>
      </c>
      <c r="DR169">
        <v>25.6248</v>
      </c>
      <c r="DS169">
        <v>25.3994</v>
      </c>
      <c r="DT169">
        <v>17.100000000000001</v>
      </c>
      <c r="DU169">
        <v>29.8</v>
      </c>
      <c r="DV169">
        <v>7.2675799999999997</v>
      </c>
      <c r="DW169">
        <v>61.558500000000002</v>
      </c>
      <c r="DX169">
        <v>37.319699999999997</v>
      </c>
      <c r="DY169">
        <v>1</v>
      </c>
      <c r="DZ169">
        <v>-9.1882599999999995E-2</v>
      </c>
      <c r="EA169">
        <v>-0.23503299999999999</v>
      </c>
      <c r="EB169">
        <v>20.189499999999999</v>
      </c>
      <c r="EC169">
        <v>5.2415500000000002</v>
      </c>
      <c r="ED169">
        <v>12.039899999999999</v>
      </c>
      <c r="EE169">
        <v>5.0170500000000002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1.86894</v>
      </c>
      <c r="EL169">
        <v>1.8646799999999999</v>
      </c>
      <c r="EM169">
        <v>1.8692</v>
      </c>
      <c r="EN169">
        <v>1.8672599999999999</v>
      </c>
      <c r="EO169">
        <v>1.8633999999999999</v>
      </c>
      <c r="EP169">
        <v>1.86459</v>
      </c>
      <c r="EQ169">
        <v>1.87018</v>
      </c>
      <c r="ER169">
        <v>1.8694299999999999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-0.13300000000000001</v>
      </c>
      <c r="FG169">
        <v>0.19259999999999999</v>
      </c>
      <c r="FH169">
        <v>0.16202357103534001</v>
      </c>
      <c r="FI169">
        <v>-6.1462078757559423E-4</v>
      </c>
      <c r="FJ169">
        <v>-1.8861989874597051E-7</v>
      </c>
      <c r="FK169">
        <v>1.1980462299894961E-10</v>
      </c>
      <c r="FL169">
        <v>0.19260234566371101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32.9</v>
      </c>
      <c r="FU169">
        <v>32.9</v>
      </c>
      <c r="FV169">
        <v>1.7785599999999999</v>
      </c>
      <c r="FW169">
        <v>2.5891099999999998</v>
      </c>
      <c r="FX169">
        <v>1.5490699999999999</v>
      </c>
      <c r="FY169">
        <v>2.3290999999999999</v>
      </c>
      <c r="FZ169">
        <v>1.50024</v>
      </c>
      <c r="GA169">
        <v>2.2997999999999998</v>
      </c>
      <c r="GB169">
        <v>33.8735</v>
      </c>
      <c r="GC169">
        <v>23.982399999999998</v>
      </c>
      <c r="GD169">
        <v>19</v>
      </c>
      <c r="GE169">
        <v>237.708</v>
      </c>
      <c r="GF169">
        <v>581.71699999999998</v>
      </c>
      <c r="GG169">
        <v>25.347899999999999</v>
      </c>
      <c r="GH169">
        <v>26.231000000000002</v>
      </c>
      <c r="GI169">
        <v>30.0001</v>
      </c>
      <c r="GJ169">
        <v>26.372599999999998</v>
      </c>
      <c r="GK169">
        <v>26.345600000000001</v>
      </c>
      <c r="GL169">
        <v>35.561599999999999</v>
      </c>
      <c r="GM169">
        <v>-30</v>
      </c>
      <c r="GN169">
        <v>-30</v>
      </c>
      <c r="GO169">
        <v>25.3598</v>
      </c>
      <c r="GP169">
        <v>800</v>
      </c>
      <c r="GQ169">
        <v>12.5298</v>
      </c>
      <c r="GR169">
        <v>99.7149</v>
      </c>
      <c r="GS169">
        <v>99.532799999999995</v>
      </c>
    </row>
    <row r="170" spans="1:201" x14ac:dyDescent="0.25">
      <c r="A170">
        <v>154</v>
      </c>
      <c r="B170">
        <v>1690216824.5999999</v>
      </c>
      <c r="C170">
        <v>1879.099999904633</v>
      </c>
      <c r="D170" t="s">
        <v>641</v>
      </c>
      <c r="E170" t="s">
        <v>642</v>
      </c>
      <c r="F170" t="s">
        <v>330</v>
      </c>
      <c r="H170">
        <v>1690216824.5999999</v>
      </c>
      <c r="I170">
        <f t="shared" si="60"/>
        <v>1.9119209375136976E-3</v>
      </c>
      <c r="J170">
        <f t="shared" si="61"/>
        <v>1.9119209375136976</v>
      </c>
      <c r="K170">
        <f t="shared" si="62"/>
        <v>31.644871756116942</v>
      </c>
      <c r="L170">
        <f t="shared" si="63"/>
        <v>436.42</v>
      </c>
      <c r="M170">
        <f t="shared" si="64"/>
        <v>90.12097183358776</v>
      </c>
      <c r="N170">
        <f t="shared" si="65"/>
        <v>8.9390729709707664</v>
      </c>
      <c r="O170">
        <f t="shared" si="66"/>
        <v>43.28837280178</v>
      </c>
      <c r="P170">
        <f t="shared" si="67"/>
        <v>0.15378481621694176</v>
      </c>
      <c r="Q170">
        <f t="shared" si="68"/>
        <v>2.0636498842807036</v>
      </c>
      <c r="R170">
        <f t="shared" si="69"/>
        <v>0.14768998801308103</v>
      </c>
      <c r="S170">
        <f t="shared" si="70"/>
        <v>9.283371160638082E-2</v>
      </c>
      <c r="T170">
        <f t="shared" si="71"/>
        <v>276.114352392</v>
      </c>
      <c r="U170">
        <f t="shared" si="72"/>
        <v>28.386088416342002</v>
      </c>
      <c r="V170">
        <f t="shared" si="73"/>
        <v>28.386088416342002</v>
      </c>
      <c r="W170">
        <f t="shared" si="74"/>
        <v>3.8810957813521481</v>
      </c>
      <c r="X170">
        <f t="shared" si="75"/>
        <v>74.500964168715427</v>
      </c>
      <c r="Y170">
        <f t="shared" si="76"/>
        <v>2.639239777072</v>
      </c>
      <c r="Z170">
        <f t="shared" si="77"/>
        <v>3.5425578803183781</v>
      </c>
      <c r="AA170">
        <f t="shared" si="78"/>
        <v>1.2418560042801481</v>
      </c>
      <c r="AB170">
        <f t="shared" si="79"/>
        <v>-84.315713344354066</v>
      </c>
      <c r="AC170">
        <f t="shared" si="80"/>
        <v>-173.66853514267763</v>
      </c>
      <c r="AD170">
        <f t="shared" si="81"/>
        <v>-18.27218293299574</v>
      </c>
      <c r="AE170">
        <f t="shared" si="82"/>
        <v>-0.14207902802743888</v>
      </c>
      <c r="AF170">
        <v>43</v>
      </c>
      <c r="AG170">
        <v>14</v>
      </c>
      <c r="AH170">
        <f t="shared" si="83"/>
        <v>1</v>
      </c>
      <c r="AI170">
        <f t="shared" si="84"/>
        <v>0</v>
      </c>
      <c r="AJ170">
        <f t="shared" si="85"/>
        <v>52398.13341018463</v>
      </c>
      <c r="AK170">
        <f t="shared" si="86"/>
        <v>1800</v>
      </c>
      <c r="AL170">
        <f t="shared" si="87"/>
        <v>1499.1118902000001</v>
      </c>
      <c r="AM170">
        <f t="shared" si="88"/>
        <v>0.83283993899999997</v>
      </c>
      <c r="AN170">
        <f t="shared" si="89"/>
        <v>0.15339686244</v>
      </c>
      <c r="AO170">
        <v>33.6</v>
      </c>
      <c r="AP170">
        <v>0.5</v>
      </c>
      <c r="AQ170" t="s">
        <v>331</v>
      </c>
      <c r="AR170">
        <v>2</v>
      </c>
      <c r="AS170">
        <v>1690216824.5999999</v>
      </c>
      <c r="AT170">
        <v>436.42</v>
      </c>
      <c r="AU170">
        <v>800</v>
      </c>
      <c r="AV170">
        <v>26.608000000000001</v>
      </c>
      <c r="AW170">
        <v>5.7750199999999996</v>
      </c>
      <c r="AX170">
        <v>436.55200000000002</v>
      </c>
      <c r="AY170">
        <v>26.415400000000002</v>
      </c>
      <c r="AZ170">
        <v>300.15499999999997</v>
      </c>
      <c r="BA170">
        <v>99.089699999999993</v>
      </c>
      <c r="BB170">
        <v>0.100009</v>
      </c>
      <c r="BC170">
        <v>26.825099999999999</v>
      </c>
      <c r="BD170">
        <v>26.988800000000001</v>
      </c>
      <c r="BE170">
        <v>28.309799999999999</v>
      </c>
      <c r="BF170">
        <v>0</v>
      </c>
      <c r="BG170">
        <v>0</v>
      </c>
      <c r="BH170">
        <v>9994.3799999999992</v>
      </c>
      <c r="BI170">
        <v>1076.8900000000001</v>
      </c>
      <c r="BJ170">
        <v>1.5137799999999999</v>
      </c>
      <c r="BK170">
        <v>-363.58</v>
      </c>
      <c r="BL170">
        <v>448.34899999999999</v>
      </c>
      <c r="BM170">
        <v>804.64700000000005</v>
      </c>
      <c r="BN170">
        <v>20.832999999999998</v>
      </c>
      <c r="BO170">
        <v>800</v>
      </c>
      <c r="BP170">
        <v>5.7750199999999996</v>
      </c>
      <c r="BQ170">
        <v>2.6365799999999999</v>
      </c>
      <c r="BR170">
        <v>0.572245</v>
      </c>
      <c r="BS170">
        <v>21.895099999999999</v>
      </c>
      <c r="BT170">
        <v>-0.95798499999999998</v>
      </c>
      <c r="BU170">
        <v>1800</v>
      </c>
      <c r="BV170">
        <v>0.91001299999999996</v>
      </c>
      <c r="BW170">
        <v>3.40086E-2</v>
      </c>
      <c r="BX170">
        <v>2.19927E-2</v>
      </c>
      <c r="BY170">
        <v>3.3985799999999997E-2</v>
      </c>
      <c r="BZ170">
        <v>26</v>
      </c>
      <c r="CA170">
        <v>33528.5</v>
      </c>
      <c r="CB170">
        <v>1690214843</v>
      </c>
      <c r="CC170" t="s">
        <v>332</v>
      </c>
      <c r="CD170">
        <v>1690214842</v>
      </c>
      <c r="CE170">
        <v>1690214843</v>
      </c>
      <c r="CF170">
        <v>8</v>
      </c>
      <c r="CG170">
        <v>-6.3E-2</v>
      </c>
      <c r="CH170">
        <v>1E-3</v>
      </c>
      <c r="CI170">
        <v>-0.38900000000000001</v>
      </c>
      <c r="CJ170">
        <v>-6.6000000000000003E-2</v>
      </c>
      <c r="CK170">
        <v>800</v>
      </c>
      <c r="CL170">
        <v>6</v>
      </c>
      <c r="CM170">
        <v>0.23</v>
      </c>
      <c r="CN170">
        <v>0.02</v>
      </c>
      <c r="CO170">
        <v>-361.55309756097557</v>
      </c>
      <c r="CP170">
        <v>-10.773282229965201</v>
      </c>
      <c r="CQ170">
        <v>1.0633522648973599</v>
      </c>
      <c r="CR170">
        <v>-1</v>
      </c>
      <c r="CS170">
        <v>20.755870731707319</v>
      </c>
      <c r="CT170">
        <v>0.40929407665505041</v>
      </c>
      <c r="CU170">
        <v>4.0399536606268001E-2</v>
      </c>
      <c r="CV170">
        <v>-1</v>
      </c>
      <c r="CW170">
        <v>0</v>
      </c>
      <c r="CX170">
        <v>0</v>
      </c>
      <c r="CY170" t="s">
        <v>333</v>
      </c>
      <c r="CZ170">
        <v>2.3644599999999998</v>
      </c>
      <c r="DA170">
        <v>2.7137899999999999</v>
      </c>
      <c r="DB170">
        <v>9.5626299999999997E-2</v>
      </c>
      <c r="DC170">
        <v>0.14609800000000001</v>
      </c>
      <c r="DD170">
        <v>0.122451</v>
      </c>
      <c r="DE170">
        <v>3.8240900000000001E-2</v>
      </c>
      <c r="DF170">
        <v>33015.599999999999</v>
      </c>
      <c r="DG170">
        <v>27510.6</v>
      </c>
      <c r="DH170">
        <v>31165.599999999999</v>
      </c>
      <c r="DI170">
        <v>28073.3</v>
      </c>
      <c r="DJ170">
        <v>37120.6</v>
      </c>
      <c r="DK170">
        <v>38392.699999999997</v>
      </c>
      <c r="DL170">
        <v>44350.8</v>
      </c>
      <c r="DM170">
        <v>42545.5</v>
      </c>
      <c r="DN170">
        <v>1.36327</v>
      </c>
      <c r="DO170">
        <v>2.03443</v>
      </c>
      <c r="DP170">
        <v>8.31485E-2</v>
      </c>
      <c r="DQ170">
        <v>0.177786</v>
      </c>
      <c r="DR170">
        <v>25.627500000000001</v>
      </c>
      <c r="DS170">
        <v>25.401599999999998</v>
      </c>
      <c r="DT170">
        <v>17.100000000000001</v>
      </c>
      <c r="DU170">
        <v>29.8</v>
      </c>
      <c r="DV170">
        <v>7.2684199999999999</v>
      </c>
      <c r="DW170">
        <v>61.878500000000003</v>
      </c>
      <c r="DX170">
        <v>37.339700000000001</v>
      </c>
      <c r="DY170">
        <v>1</v>
      </c>
      <c r="DZ170">
        <v>-9.2586399999999999E-2</v>
      </c>
      <c r="EA170">
        <v>-0.27417999999999998</v>
      </c>
      <c r="EB170">
        <v>20.189499999999999</v>
      </c>
      <c r="EC170">
        <v>5.2409499999999998</v>
      </c>
      <c r="ED170">
        <v>12.039899999999999</v>
      </c>
      <c r="EE170">
        <v>5.01715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1.8689199999999999</v>
      </c>
      <c r="EL170">
        <v>1.86467</v>
      </c>
      <c r="EM170">
        <v>1.8692</v>
      </c>
      <c r="EN170">
        <v>1.8672599999999999</v>
      </c>
      <c r="EO170">
        <v>1.86341</v>
      </c>
      <c r="EP170">
        <v>1.86459</v>
      </c>
      <c r="EQ170">
        <v>1.87015</v>
      </c>
      <c r="ER170">
        <v>1.86947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-0.13200000000000001</v>
      </c>
      <c r="FG170">
        <v>0.19259999999999999</v>
      </c>
      <c r="FH170">
        <v>0.16202357103534001</v>
      </c>
      <c r="FI170">
        <v>-6.1462078757559423E-4</v>
      </c>
      <c r="FJ170">
        <v>-1.8861989874597051E-7</v>
      </c>
      <c r="FK170">
        <v>1.1980462299894961E-10</v>
      </c>
      <c r="FL170">
        <v>0.19260234566371101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33</v>
      </c>
      <c r="FU170">
        <v>33</v>
      </c>
      <c r="FV170">
        <v>1.7785599999999999</v>
      </c>
      <c r="FW170">
        <v>2.5866699999999998</v>
      </c>
      <c r="FX170">
        <v>1.5490699999999999</v>
      </c>
      <c r="FY170">
        <v>2.3290999999999999</v>
      </c>
      <c r="FZ170">
        <v>1.50146</v>
      </c>
      <c r="GA170">
        <v>2.3107899999999999</v>
      </c>
      <c r="GB170">
        <v>33.850900000000003</v>
      </c>
      <c r="GC170">
        <v>23.982399999999998</v>
      </c>
      <c r="GD170">
        <v>19</v>
      </c>
      <c r="GE170">
        <v>237.69900000000001</v>
      </c>
      <c r="GF170">
        <v>581.61</v>
      </c>
      <c r="GG170">
        <v>25.367699999999999</v>
      </c>
      <c r="GH170">
        <v>26.231000000000002</v>
      </c>
      <c r="GI170">
        <v>29.9999</v>
      </c>
      <c r="GJ170">
        <v>26.372599999999998</v>
      </c>
      <c r="GK170">
        <v>26.343399999999999</v>
      </c>
      <c r="GL170">
        <v>35.5608</v>
      </c>
      <c r="GM170">
        <v>-30</v>
      </c>
      <c r="GN170">
        <v>-30</v>
      </c>
      <c r="GO170">
        <v>25.377500000000001</v>
      </c>
      <c r="GP170">
        <v>800</v>
      </c>
      <c r="GQ170">
        <v>12.5298</v>
      </c>
      <c r="GR170">
        <v>99.715599999999995</v>
      </c>
      <c r="GS170">
        <v>99.532300000000006</v>
      </c>
    </row>
    <row r="171" spans="1:201" x14ac:dyDescent="0.25">
      <c r="A171">
        <v>155</v>
      </c>
      <c r="B171">
        <v>1690216834.5999999</v>
      </c>
      <c r="C171">
        <v>1889.099999904633</v>
      </c>
      <c r="D171" t="s">
        <v>643</v>
      </c>
      <c r="E171" t="s">
        <v>644</v>
      </c>
      <c r="F171" t="s">
        <v>330</v>
      </c>
      <c r="H171">
        <v>1690216834.5999999</v>
      </c>
      <c r="I171">
        <f t="shared" si="60"/>
        <v>1.9181853717950147E-3</v>
      </c>
      <c r="J171">
        <f t="shared" si="61"/>
        <v>1.9181853717950146</v>
      </c>
      <c r="K171">
        <f t="shared" si="62"/>
        <v>31.790011645875936</v>
      </c>
      <c r="L171">
        <f t="shared" si="63"/>
        <v>434.839</v>
      </c>
      <c r="M171">
        <f t="shared" si="64"/>
        <v>89.923387265062914</v>
      </c>
      <c r="N171">
        <f t="shared" si="65"/>
        <v>8.9194560908981195</v>
      </c>
      <c r="O171">
        <f t="shared" si="66"/>
        <v>43.131464295017004</v>
      </c>
      <c r="P171">
        <f t="shared" si="67"/>
        <v>0.15514755079490167</v>
      </c>
      <c r="Q171">
        <f t="shared" si="68"/>
        <v>2.0627534470549009</v>
      </c>
      <c r="R171">
        <f t="shared" si="69"/>
        <v>0.14894399072749356</v>
      </c>
      <c r="S171">
        <f t="shared" si="70"/>
        <v>9.3626690764366582E-2</v>
      </c>
      <c r="T171">
        <f t="shared" si="71"/>
        <v>276.114409722</v>
      </c>
      <c r="U171">
        <f t="shared" si="72"/>
        <v>28.386550723196066</v>
      </c>
      <c r="V171">
        <f t="shared" si="73"/>
        <v>28.386550723196066</v>
      </c>
      <c r="W171">
        <f t="shared" si="74"/>
        <v>3.8812000819618473</v>
      </c>
      <c r="X171">
        <f t="shared" si="75"/>
        <v>74.677222393561777</v>
      </c>
      <c r="Y171">
        <f t="shared" si="76"/>
        <v>2.6458105598729</v>
      </c>
      <c r="Z171">
        <f t="shared" si="77"/>
        <v>3.5429954075273771</v>
      </c>
      <c r="AA171">
        <f t="shared" si="78"/>
        <v>1.2353895220889473</v>
      </c>
      <c r="AB171">
        <f t="shared" si="79"/>
        <v>-84.591974896160153</v>
      </c>
      <c r="AC171">
        <f t="shared" si="80"/>
        <v>-173.41097135478199</v>
      </c>
      <c r="AD171">
        <f t="shared" si="81"/>
        <v>-18.253246001110433</v>
      </c>
      <c r="AE171">
        <f t="shared" si="82"/>
        <v>-0.14178253005255215</v>
      </c>
      <c r="AF171">
        <v>43</v>
      </c>
      <c r="AG171">
        <v>14</v>
      </c>
      <c r="AH171">
        <f t="shared" si="83"/>
        <v>1</v>
      </c>
      <c r="AI171">
        <f t="shared" si="84"/>
        <v>0</v>
      </c>
      <c r="AJ171">
        <f t="shared" si="85"/>
        <v>52356.76890706861</v>
      </c>
      <c r="AK171">
        <f t="shared" si="86"/>
        <v>1800</v>
      </c>
      <c r="AL171">
        <f t="shared" si="87"/>
        <v>1499.1121512</v>
      </c>
      <c r="AM171">
        <f t="shared" si="88"/>
        <v>0.83284008399999998</v>
      </c>
      <c r="AN171">
        <f t="shared" si="89"/>
        <v>0.15339689429</v>
      </c>
      <c r="AO171">
        <v>33.6</v>
      </c>
      <c r="AP171">
        <v>0.5</v>
      </c>
      <c r="AQ171" t="s">
        <v>331</v>
      </c>
      <c r="AR171">
        <v>2</v>
      </c>
      <c r="AS171">
        <v>1690216834.5999999</v>
      </c>
      <c r="AT171">
        <v>434.839</v>
      </c>
      <c r="AU171">
        <v>800.02700000000004</v>
      </c>
      <c r="AV171">
        <v>26.674299999999999</v>
      </c>
      <c r="AW171">
        <v>5.7752499999999998</v>
      </c>
      <c r="AX171">
        <v>434.97</v>
      </c>
      <c r="AY171">
        <v>26.4817</v>
      </c>
      <c r="AZ171">
        <v>300.166</v>
      </c>
      <c r="BA171">
        <v>99.089500000000001</v>
      </c>
      <c r="BB171">
        <v>0.10000299999999999</v>
      </c>
      <c r="BC171">
        <v>26.827200000000001</v>
      </c>
      <c r="BD171">
        <v>27.006699999999999</v>
      </c>
      <c r="BE171">
        <v>28.2913</v>
      </c>
      <c r="BF171">
        <v>0</v>
      </c>
      <c r="BG171">
        <v>0</v>
      </c>
      <c r="BH171">
        <v>9986.25</v>
      </c>
      <c r="BI171">
        <v>1076.94</v>
      </c>
      <c r="BJ171">
        <v>1.5137799999999999</v>
      </c>
      <c r="BK171">
        <v>-365.18799999999999</v>
      </c>
      <c r="BL171">
        <v>446.755</v>
      </c>
      <c r="BM171">
        <v>804.67399999999998</v>
      </c>
      <c r="BN171">
        <v>20.899100000000001</v>
      </c>
      <c r="BO171">
        <v>800.02700000000004</v>
      </c>
      <c r="BP171">
        <v>5.7752499999999998</v>
      </c>
      <c r="BQ171">
        <v>2.6431499999999999</v>
      </c>
      <c r="BR171">
        <v>0.57226600000000005</v>
      </c>
      <c r="BS171">
        <v>21.9359</v>
      </c>
      <c r="BT171">
        <v>-0.95747700000000002</v>
      </c>
      <c r="BU171">
        <v>1800</v>
      </c>
      <c r="BV171">
        <v>0.91001299999999996</v>
      </c>
      <c r="BW171">
        <v>3.4008700000000003E-2</v>
      </c>
      <c r="BX171">
        <v>2.19927E-2</v>
      </c>
      <c r="BY171">
        <v>3.3985899999999999E-2</v>
      </c>
      <c r="BZ171">
        <v>26</v>
      </c>
      <c r="CA171">
        <v>33528.5</v>
      </c>
      <c r="CB171">
        <v>1690214843</v>
      </c>
      <c r="CC171" t="s">
        <v>332</v>
      </c>
      <c r="CD171">
        <v>1690214842</v>
      </c>
      <c r="CE171">
        <v>1690214843</v>
      </c>
      <c r="CF171">
        <v>8</v>
      </c>
      <c r="CG171">
        <v>-6.3E-2</v>
      </c>
      <c r="CH171">
        <v>1E-3</v>
      </c>
      <c r="CI171">
        <v>-0.38900000000000001</v>
      </c>
      <c r="CJ171">
        <v>-6.6000000000000003E-2</v>
      </c>
      <c r="CK171">
        <v>800</v>
      </c>
      <c r="CL171">
        <v>6</v>
      </c>
      <c r="CM171">
        <v>0.23</v>
      </c>
      <c r="CN171">
        <v>0.02</v>
      </c>
      <c r="CO171">
        <v>-363.21564999999998</v>
      </c>
      <c r="CP171">
        <v>-9.8785891181982262</v>
      </c>
      <c r="CQ171">
        <v>0.95527442523078487</v>
      </c>
      <c r="CR171">
        <v>-1</v>
      </c>
      <c r="CS171">
        <v>20.821515000000002</v>
      </c>
      <c r="CT171">
        <v>0.40556622889297678</v>
      </c>
      <c r="CU171">
        <v>3.9078686966171242E-2</v>
      </c>
      <c r="CV171">
        <v>-1</v>
      </c>
      <c r="CW171">
        <v>0</v>
      </c>
      <c r="CX171">
        <v>0</v>
      </c>
      <c r="CY171" t="s">
        <v>333</v>
      </c>
      <c r="CZ171">
        <v>2.3644699999999998</v>
      </c>
      <c r="DA171">
        <v>2.7137799999999999</v>
      </c>
      <c r="DB171">
        <v>9.5366400000000004E-2</v>
      </c>
      <c r="DC171">
        <v>0.14610100000000001</v>
      </c>
      <c r="DD171">
        <v>0.122664</v>
      </c>
      <c r="DE171">
        <v>3.8241999999999998E-2</v>
      </c>
      <c r="DF171">
        <v>33024.6</v>
      </c>
      <c r="DG171">
        <v>27510.5</v>
      </c>
      <c r="DH171">
        <v>31165.200000000001</v>
      </c>
      <c r="DI171">
        <v>28073.3</v>
      </c>
      <c r="DJ171">
        <v>37111.1</v>
      </c>
      <c r="DK171">
        <v>38392.800000000003</v>
      </c>
      <c r="DL171">
        <v>44350.3</v>
      </c>
      <c r="DM171">
        <v>42545.599999999999</v>
      </c>
      <c r="DN171">
        <v>1.36378</v>
      </c>
      <c r="DO171">
        <v>2.0346500000000001</v>
      </c>
      <c r="DP171">
        <v>8.4243700000000005E-2</v>
      </c>
      <c r="DQ171">
        <v>0.176653</v>
      </c>
      <c r="DR171">
        <v>25.627500000000001</v>
      </c>
      <c r="DS171">
        <v>25.401599999999998</v>
      </c>
      <c r="DT171">
        <v>17.100000000000001</v>
      </c>
      <c r="DU171">
        <v>29.8</v>
      </c>
      <c r="DV171">
        <v>7.2674300000000001</v>
      </c>
      <c r="DW171">
        <v>61.718499999999999</v>
      </c>
      <c r="DX171">
        <v>37.411900000000003</v>
      </c>
      <c r="DY171">
        <v>1</v>
      </c>
      <c r="DZ171">
        <v>-9.2177300000000004E-2</v>
      </c>
      <c r="EA171">
        <v>-0.27487499999999998</v>
      </c>
      <c r="EB171">
        <v>20.189499999999999</v>
      </c>
      <c r="EC171">
        <v>5.2411000000000003</v>
      </c>
      <c r="ED171">
        <v>12.039899999999999</v>
      </c>
      <c r="EE171">
        <v>5.0173500000000004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1.86896</v>
      </c>
      <c r="EL171">
        <v>1.86466</v>
      </c>
      <c r="EM171">
        <v>1.8692</v>
      </c>
      <c r="EN171">
        <v>1.8672800000000001</v>
      </c>
      <c r="EO171">
        <v>1.8633999999999999</v>
      </c>
      <c r="EP171">
        <v>1.8645700000000001</v>
      </c>
      <c r="EQ171">
        <v>1.8702000000000001</v>
      </c>
      <c r="ER171">
        <v>1.86947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-0.13100000000000001</v>
      </c>
      <c r="FG171">
        <v>0.19259999999999999</v>
      </c>
      <c r="FH171">
        <v>0.16202357103534001</v>
      </c>
      <c r="FI171">
        <v>-6.1462078757559423E-4</v>
      </c>
      <c r="FJ171">
        <v>-1.8861989874597051E-7</v>
      </c>
      <c r="FK171">
        <v>1.1980462299894961E-10</v>
      </c>
      <c r="FL171">
        <v>0.19260234566371101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33.200000000000003</v>
      </c>
      <c r="FU171">
        <v>33.200000000000003</v>
      </c>
      <c r="FV171">
        <v>1.7785599999999999</v>
      </c>
      <c r="FW171">
        <v>2.5854499999999998</v>
      </c>
      <c r="FX171">
        <v>1.5490699999999999</v>
      </c>
      <c r="FY171">
        <v>2.3290999999999999</v>
      </c>
      <c r="FZ171">
        <v>1.50146</v>
      </c>
      <c r="GA171">
        <v>2.3034699999999999</v>
      </c>
      <c r="GB171">
        <v>33.8735</v>
      </c>
      <c r="GC171">
        <v>23.982399999999998</v>
      </c>
      <c r="GD171">
        <v>19</v>
      </c>
      <c r="GE171">
        <v>237.88</v>
      </c>
      <c r="GF171">
        <v>581.79600000000005</v>
      </c>
      <c r="GG171">
        <v>25.3856</v>
      </c>
      <c r="GH171">
        <v>26.231000000000002</v>
      </c>
      <c r="GI171">
        <v>30.0001</v>
      </c>
      <c r="GJ171">
        <v>26.3703</v>
      </c>
      <c r="GK171">
        <v>26.343399999999999</v>
      </c>
      <c r="GL171">
        <v>35.560200000000002</v>
      </c>
      <c r="GM171">
        <v>-30</v>
      </c>
      <c r="GN171">
        <v>-30</v>
      </c>
      <c r="GO171">
        <v>25.388100000000001</v>
      </c>
      <c r="GP171">
        <v>800</v>
      </c>
      <c r="GQ171">
        <v>12.5298</v>
      </c>
      <c r="GR171">
        <v>99.714399999999998</v>
      </c>
      <c r="GS171">
        <v>99.532499999999999</v>
      </c>
    </row>
    <row r="172" spans="1:201" x14ac:dyDescent="0.25">
      <c r="A172">
        <v>156</v>
      </c>
      <c r="B172">
        <v>1690216844.5999999</v>
      </c>
      <c r="C172">
        <v>1899.099999904633</v>
      </c>
      <c r="D172" t="s">
        <v>645</v>
      </c>
      <c r="E172" t="s">
        <v>646</v>
      </c>
      <c r="F172" t="s">
        <v>330</v>
      </c>
      <c r="H172">
        <v>1690216844.5999999</v>
      </c>
      <c r="I172">
        <f t="shared" si="60"/>
        <v>1.9239192680244157E-3</v>
      </c>
      <c r="J172">
        <f t="shared" si="61"/>
        <v>1.9239192680244157</v>
      </c>
      <c r="K172">
        <f t="shared" si="62"/>
        <v>31.926565188921639</v>
      </c>
      <c r="L172">
        <f t="shared" si="63"/>
        <v>433.27</v>
      </c>
      <c r="M172">
        <f t="shared" si="64"/>
        <v>89.533701979197588</v>
      </c>
      <c r="N172">
        <f t="shared" si="65"/>
        <v>8.8807289985603806</v>
      </c>
      <c r="O172">
        <f t="shared" si="66"/>
        <v>42.975475917439994</v>
      </c>
      <c r="P172">
        <f t="shared" si="67"/>
        <v>0.15638721640131353</v>
      </c>
      <c r="Q172">
        <f t="shared" si="68"/>
        <v>2.0597134944200661</v>
      </c>
      <c r="R172">
        <f t="shared" si="69"/>
        <v>0.15007739315449919</v>
      </c>
      <c r="S172">
        <f t="shared" si="70"/>
        <v>9.4344069664633406E-2</v>
      </c>
      <c r="T172">
        <f t="shared" si="71"/>
        <v>276.11262233246504</v>
      </c>
      <c r="U172">
        <f t="shared" si="72"/>
        <v>28.388455332293358</v>
      </c>
      <c r="V172">
        <f t="shared" si="73"/>
        <v>28.388455332293358</v>
      </c>
      <c r="W172">
        <f t="shared" si="74"/>
        <v>3.8816298047944224</v>
      </c>
      <c r="X172">
        <f t="shared" si="75"/>
        <v>74.842367094549388</v>
      </c>
      <c r="Y172">
        <f t="shared" si="76"/>
        <v>2.6519579289280002</v>
      </c>
      <c r="Z172">
        <f t="shared" si="77"/>
        <v>3.5433913061271105</v>
      </c>
      <c r="AA172">
        <f t="shared" si="78"/>
        <v>1.2296718758664222</v>
      </c>
      <c r="AB172">
        <f t="shared" si="79"/>
        <v>-84.844839719876731</v>
      </c>
      <c r="AC172">
        <f t="shared" si="80"/>
        <v>-173.15592128870199</v>
      </c>
      <c r="AD172">
        <f t="shared" si="81"/>
        <v>-18.253646487398893</v>
      </c>
      <c r="AE172">
        <f t="shared" si="82"/>
        <v>-0.14178516351259418</v>
      </c>
      <c r="AF172">
        <v>43</v>
      </c>
      <c r="AG172">
        <v>14</v>
      </c>
      <c r="AH172">
        <f t="shared" si="83"/>
        <v>1</v>
      </c>
      <c r="AI172">
        <f t="shared" si="84"/>
        <v>0</v>
      </c>
      <c r="AJ172">
        <f t="shared" si="85"/>
        <v>52217.574031249693</v>
      </c>
      <c r="AK172">
        <f t="shared" si="86"/>
        <v>1799.99</v>
      </c>
      <c r="AL172">
        <f t="shared" si="87"/>
        <v>1499.1027266052497</v>
      </c>
      <c r="AM172">
        <f t="shared" si="88"/>
        <v>0.83283947499999988</v>
      </c>
      <c r="AN172">
        <f t="shared" si="89"/>
        <v>0.15339675350000001</v>
      </c>
      <c r="AO172">
        <v>33.6</v>
      </c>
      <c r="AP172">
        <v>0.5</v>
      </c>
      <c r="AQ172" t="s">
        <v>331</v>
      </c>
      <c r="AR172">
        <v>2</v>
      </c>
      <c r="AS172">
        <v>1690216844.5999999</v>
      </c>
      <c r="AT172">
        <v>433.27</v>
      </c>
      <c r="AU172">
        <v>799.99900000000002</v>
      </c>
      <c r="AV172">
        <v>26.736499999999999</v>
      </c>
      <c r="AW172">
        <v>5.7752699999999999</v>
      </c>
      <c r="AX172">
        <v>433.4</v>
      </c>
      <c r="AY172">
        <v>26.543900000000001</v>
      </c>
      <c r="AZ172">
        <v>300.15100000000001</v>
      </c>
      <c r="BA172">
        <v>99.0886</v>
      </c>
      <c r="BB172">
        <v>0.10007199999999999</v>
      </c>
      <c r="BC172">
        <v>26.8291</v>
      </c>
      <c r="BD172">
        <v>26.995999999999999</v>
      </c>
      <c r="BE172">
        <v>28.295500000000001</v>
      </c>
      <c r="BF172">
        <v>0</v>
      </c>
      <c r="BG172">
        <v>0</v>
      </c>
      <c r="BH172">
        <v>9958.75</v>
      </c>
      <c r="BI172">
        <v>1077</v>
      </c>
      <c r="BJ172">
        <v>1.5137799999999999</v>
      </c>
      <c r="BK172">
        <v>-366.72899999999998</v>
      </c>
      <c r="BL172">
        <v>445.17200000000003</v>
      </c>
      <c r="BM172">
        <v>804.64599999999996</v>
      </c>
      <c r="BN172">
        <v>20.961200000000002</v>
      </c>
      <c r="BO172">
        <v>799.99900000000002</v>
      </c>
      <c r="BP172">
        <v>5.7752699999999999</v>
      </c>
      <c r="BQ172">
        <v>2.6492800000000001</v>
      </c>
      <c r="BR172">
        <v>0.57226399999999999</v>
      </c>
      <c r="BS172">
        <v>21.9739</v>
      </c>
      <c r="BT172">
        <v>-0.95753500000000003</v>
      </c>
      <c r="BU172">
        <v>1799.99</v>
      </c>
      <c r="BV172">
        <v>0.91001299999999996</v>
      </c>
      <c r="BW172">
        <v>3.4008400000000001E-2</v>
      </c>
      <c r="BX172">
        <v>2.1992500000000002E-2</v>
      </c>
      <c r="BY172">
        <v>3.3985599999999998E-2</v>
      </c>
      <c r="BZ172">
        <v>26</v>
      </c>
      <c r="CA172">
        <v>33528.300000000003</v>
      </c>
      <c r="CB172">
        <v>1690214843</v>
      </c>
      <c r="CC172" t="s">
        <v>332</v>
      </c>
      <c r="CD172">
        <v>1690214842</v>
      </c>
      <c r="CE172">
        <v>1690214843</v>
      </c>
      <c r="CF172">
        <v>8</v>
      </c>
      <c r="CG172">
        <v>-6.3E-2</v>
      </c>
      <c r="CH172">
        <v>1E-3</v>
      </c>
      <c r="CI172">
        <v>-0.38900000000000001</v>
      </c>
      <c r="CJ172">
        <v>-6.6000000000000003E-2</v>
      </c>
      <c r="CK172">
        <v>800</v>
      </c>
      <c r="CL172">
        <v>6</v>
      </c>
      <c r="CM172">
        <v>0.23</v>
      </c>
      <c r="CN172">
        <v>0.02</v>
      </c>
      <c r="CO172">
        <v>-364.94319512195119</v>
      </c>
      <c r="CP172">
        <v>-9.9137770034849932</v>
      </c>
      <c r="CQ172">
        <v>0.98209540094716297</v>
      </c>
      <c r="CR172">
        <v>-1</v>
      </c>
      <c r="CS172">
        <v>20.89045853658536</v>
      </c>
      <c r="CT172">
        <v>0.3938822299651254</v>
      </c>
      <c r="CU172">
        <v>3.8878152217018423E-2</v>
      </c>
      <c r="CV172">
        <v>-1</v>
      </c>
      <c r="CW172">
        <v>0</v>
      </c>
      <c r="CX172">
        <v>0</v>
      </c>
      <c r="CY172" t="s">
        <v>333</v>
      </c>
      <c r="CZ172">
        <v>2.3644500000000002</v>
      </c>
      <c r="DA172">
        <v>2.7138300000000002</v>
      </c>
      <c r="DB172">
        <v>9.51071E-2</v>
      </c>
      <c r="DC172">
        <v>0.146097</v>
      </c>
      <c r="DD172">
        <v>0.122863</v>
      </c>
      <c r="DE172">
        <v>3.8241900000000002E-2</v>
      </c>
      <c r="DF172">
        <v>33033.699999999997</v>
      </c>
      <c r="DG172">
        <v>27510.799999999999</v>
      </c>
      <c r="DH172">
        <v>31164.799999999999</v>
      </c>
      <c r="DI172">
        <v>28073.5</v>
      </c>
      <c r="DJ172">
        <v>37102.199999999997</v>
      </c>
      <c r="DK172">
        <v>38393</v>
      </c>
      <c r="DL172">
        <v>44349.8</v>
      </c>
      <c r="DM172">
        <v>42545.8</v>
      </c>
      <c r="DN172">
        <v>1.3633999999999999</v>
      </c>
      <c r="DO172">
        <v>2.0344699999999998</v>
      </c>
      <c r="DP172">
        <v>8.3588099999999999E-2</v>
      </c>
      <c r="DQ172">
        <v>0.17677999999999999</v>
      </c>
      <c r="DR172">
        <v>25.627500000000001</v>
      </c>
      <c r="DS172">
        <v>25.403700000000001</v>
      </c>
      <c r="DT172">
        <v>17.100000000000001</v>
      </c>
      <c r="DU172">
        <v>29.8</v>
      </c>
      <c r="DV172">
        <v>7.2685300000000002</v>
      </c>
      <c r="DW172">
        <v>61.948500000000003</v>
      </c>
      <c r="DX172">
        <v>37.215499999999999</v>
      </c>
      <c r="DY172">
        <v>1</v>
      </c>
      <c r="DZ172">
        <v>-9.1882599999999995E-2</v>
      </c>
      <c r="EA172">
        <v>-0.19562399999999999</v>
      </c>
      <c r="EB172">
        <v>20.189399999999999</v>
      </c>
      <c r="EC172">
        <v>5.24125</v>
      </c>
      <c r="ED172">
        <v>12.039899999999999</v>
      </c>
      <c r="EE172">
        <v>5.0168499999999998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1.8689899999999999</v>
      </c>
      <c r="EL172">
        <v>1.86466</v>
      </c>
      <c r="EM172">
        <v>1.8692</v>
      </c>
      <c r="EN172">
        <v>1.8672800000000001</v>
      </c>
      <c r="EO172">
        <v>1.8633999999999999</v>
      </c>
      <c r="EP172">
        <v>1.8646</v>
      </c>
      <c r="EQ172">
        <v>1.87022</v>
      </c>
      <c r="ER172">
        <v>1.86947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-0.13</v>
      </c>
      <c r="FG172">
        <v>0.19259999999999999</v>
      </c>
      <c r="FH172">
        <v>0.16202357103534001</v>
      </c>
      <c r="FI172">
        <v>-6.1462078757559423E-4</v>
      </c>
      <c r="FJ172">
        <v>-1.8861989874597051E-7</v>
      </c>
      <c r="FK172">
        <v>1.1980462299894961E-10</v>
      </c>
      <c r="FL172">
        <v>0.19260234566371101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33.4</v>
      </c>
      <c r="FU172">
        <v>33.4</v>
      </c>
      <c r="FV172">
        <v>1.7785599999999999</v>
      </c>
      <c r="FW172">
        <v>2.5854499999999998</v>
      </c>
      <c r="FX172">
        <v>1.5490699999999999</v>
      </c>
      <c r="FY172">
        <v>2.3290999999999999</v>
      </c>
      <c r="FZ172">
        <v>1.50146</v>
      </c>
      <c r="GA172">
        <v>2.32544</v>
      </c>
      <c r="GB172">
        <v>33.850900000000003</v>
      </c>
      <c r="GC172">
        <v>23.982399999999998</v>
      </c>
      <c r="GD172">
        <v>19</v>
      </c>
      <c r="GE172">
        <v>237.73699999999999</v>
      </c>
      <c r="GF172">
        <v>581.64599999999996</v>
      </c>
      <c r="GG172">
        <v>25.376300000000001</v>
      </c>
      <c r="GH172">
        <v>26.2288</v>
      </c>
      <c r="GI172">
        <v>30.000299999999999</v>
      </c>
      <c r="GJ172">
        <v>26.3703</v>
      </c>
      <c r="GK172">
        <v>26.3429</v>
      </c>
      <c r="GL172">
        <v>35.558900000000001</v>
      </c>
      <c r="GM172">
        <v>-30</v>
      </c>
      <c r="GN172">
        <v>-30</v>
      </c>
      <c r="GO172">
        <v>25.373899999999999</v>
      </c>
      <c r="GP172">
        <v>800</v>
      </c>
      <c r="GQ172">
        <v>12.5298</v>
      </c>
      <c r="GR172">
        <v>99.713300000000004</v>
      </c>
      <c r="GS172">
        <v>99.533000000000001</v>
      </c>
    </row>
    <row r="173" spans="1:201" x14ac:dyDescent="0.25">
      <c r="A173">
        <v>157</v>
      </c>
      <c r="B173">
        <v>1690216854.5999999</v>
      </c>
      <c r="C173">
        <v>1909.099999904633</v>
      </c>
      <c r="D173" t="s">
        <v>647</v>
      </c>
      <c r="E173" t="s">
        <v>648</v>
      </c>
      <c r="F173" t="s">
        <v>330</v>
      </c>
      <c r="H173">
        <v>1690216854.5999999</v>
      </c>
      <c r="I173">
        <f t="shared" si="60"/>
        <v>1.9299183975407393E-3</v>
      </c>
      <c r="J173">
        <f t="shared" si="61"/>
        <v>1.9299183975407392</v>
      </c>
      <c r="K173">
        <f t="shared" si="62"/>
        <v>32.080208734784627</v>
      </c>
      <c r="L173">
        <f t="shared" si="63"/>
        <v>431.60199999999998</v>
      </c>
      <c r="M173">
        <f t="shared" si="64"/>
        <v>89.666827617071419</v>
      </c>
      <c r="N173">
        <f t="shared" si="65"/>
        <v>8.8939255734425799</v>
      </c>
      <c r="O173">
        <f t="shared" si="66"/>
        <v>42.809990799965995</v>
      </c>
      <c r="P173">
        <f t="shared" si="67"/>
        <v>0.15800341197839499</v>
      </c>
      <c r="Q173">
        <f t="shared" si="68"/>
        <v>2.063223102283934</v>
      </c>
      <c r="R173">
        <f t="shared" si="69"/>
        <v>0.15157585508036531</v>
      </c>
      <c r="S173">
        <f t="shared" si="70"/>
        <v>9.5290612129647984E-2</v>
      </c>
      <c r="T173">
        <f t="shared" si="71"/>
        <v>276.11438025599995</v>
      </c>
      <c r="U173">
        <f t="shared" si="72"/>
        <v>28.377923165584637</v>
      </c>
      <c r="V173">
        <f t="shared" si="73"/>
        <v>28.377923165584637</v>
      </c>
      <c r="W173">
        <f t="shared" si="74"/>
        <v>3.8792540297752161</v>
      </c>
      <c r="X173">
        <f t="shared" si="75"/>
        <v>75.038407667171697</v>
      </c>
      <c r="Y173">
        <f t="shared" si="76"/>
        <v>2.6579663775092999</v>
      </c>
      <c r="Z173">
        <f t="shared" si="77"/>
        <v>3.5421412315924248</v>
      </c>
      <c r="AA173">
        <f t="shared" si="78"/>
        <v>1.2212876522659162</v>
      </c>
      <c r="AB173">
        <f t="shared" si="79"/>
        <v>-85.109401331546607</v>
      </c>
      <c r="AC173">
        <f t="shared" si="80"/>
        <v>-172.94684271820722</v>
      </c>
      <c r="AD173">
        <f t="shared" si="81"/>
        <v>-18.199091337307983</v>
      </c>
      <c r="AE173">
        <f t="shared" si="82"/>
        <v>-0.14095513106190083</v>
      </c>
      <c r="AF173">
        <v>43</v>
      </c>
      <c r="AG173">
        <v>14</v>
      </c>
      <c r="AH173">
        <f t="shared" si="83"/>
        <v>1</v>
      </c>
      <c r="AI173">
        <f t="shared" si="84"/>
        <v>0</v>
      </c>
      <c r="AJ173">
        <f t="shared" si="85"/>
        <v>52378.937713604006</v>
      </c>
      <c r="AK173">
        <f t="shared" si="86"/>
        <v>1800</v>
      </c>
      <c r="AL173">
        <f t="shared" si="87"/>
        <v>1499.1097626000001</v>
      </c>
      <c r="AM173">
        <f t="shared" si="88"/>
        <v>0.83283875699999999</v>
      </c>
      <c r="AN173">
        <f t="shared" si="89"/>
        <v>0.15339687791999998</v>
      </c>
      <c r="AO173">
        <v>33.6</v>
      </c>
      <c r="AP173">
        <v>0.5</v>
      </c>
      <c r="AQ173" t="s">
        <v>331</v>
      </c>
      <c r="AR173">
        <v>2</v>
      </c>
      <c r="AS173">
        <v>1690216854.5999999</v>
      </c>
      <c r="AT173">
        <v>431.60199999999998</v>
      </c>
      <c r="AU173">
        <v>799.99</v>
      </c>
      <c r="AV173">
        <v>26.7971</v>
      </c>
      <c r="AW173">
        <v>5.7748999999999997</v>
      </c>
      <c r="AX173">
        <v>431.73099999999999</v>
      </c>
      <c r="AY173">
        <v>26.604500000000002</v>
      </c>
      <c r="AZ173">
        <v>300.19499999999999</v>
      </c>
      <c r="BA173">
        <v>99.088499999999996</v>
      </c>
      <c r="BB173">
        <v>0.10008300000000001</v>
      </c>
      <c r="BC173">
        <v>26.8231</v>
      </c>
      <c r="BD173">
        <v>26.986599999999999</v>
      </c>
      <c r="BE173">
        <v>28.3033</v>
      </c>
      <c r="BF173">
        <v>0</v>
      </c>
      <c r="BG173">
        <v>0</v>
      </c>
      <c r="BH173">
        <v>9990.6200000000008</v>
      </c>
      <c r="BI173">
        <v>1077.02</v>
      </c>
      <c r="BJ173">
        <v>1.5137799999999999</v>
      </c>
      <c r="BK173">
        <v>-368.387</v>
      </c>
      <c r="BL173">
        <v>443.48700000000002</v>
      </c>
      <c r="BM173">
        <v>804.63699999999994</v>
      </c>
      <c r="BN173">
        <v>21.022200000000002</v>
      </c>
      <c r="BO173">
        <v>799.99</v>
      </c>
      <c r="BP173">
        <v>5.7748999999999997</v>
      </c>
      <c r="BQ173">
        <v>2.6552899999999999</v>
      </c>
      <c r="BR173">
        <v>0.57222600000000001</v>
      </c>
      <c r="BS173">
        <v>22.010999999999999</v>
      </c>
      <c r="BT173">
        <v>-0.95842700000000003</v>
      </c>
      <c r="BU173">
        <v>1800</v>
      </c>
      <c r="BV173">
        <v>0.91000099999999995</v>
      </c>
      <c r="BW173">
        <v>3.4007700000000002E-2</v>
      </c>
      <c r="BX173">
        <v>2.1992100000000001E-2</v>
      </c>
      <c r="BY173">
        <v>3.39992E-2</v>
      </c>
      <c r="BZ173">
        <v>26</v>
      </c>
      <c r="CA173">
        <v>33528.5</v>
      </c>
      <c r="CB173">
        <v>1690214843</v>
      </c>
      <c r="CC173" t="s">
        <v>332</v>
      </c>
      <c r="CD173">
        <v>1690214842</v>
      </c>
      <c r="CE173">
        <v>1690214843</v>
      </c>
      <c r="CF173">
        <v>8</v>
      </c>
      <c r="CG173">
        <v>-6.3E-2</v>
      </c>
      <c r="CH173">
        <v>1E-3</v>
      </c>
      <c r="CI173">
        <v>-0.38900000000000001</v>
      </c>
      <c r="CJ173">
        <v>-6.6000000000000003E-2</v>
      </c>
      <c r="CK173">
        <v>800</v>
      </c>
      <c r="CL173">
        <v>6</v>
      </c>
      <c r="CM173">
        <v>0.23</v>
      </c>
      <c r="CN173">
        <v>0.02</v>
      </c>
      <c r="CO173">
        <v>-366.57215000000002</v>
      </c>
      <c r="CP173">
        <v>-9.572532833020384</v>
      </c>
      <c r="CQ173">
        <v>0.92324483616211106</v>
      </c>
      <c r="CR173">
        <v>-1</v>
      </c>
      <c r="CS173">
        <v>20.954742499999998</v>
      </c>
      <c r="CT173">
        <v>0.38588780487805441</v>
      </c>
      <c r="CU173">
        <v>3.7140798911035743E-2</v>
      </c>
      <c r="CV173">
        <v>-1</v>
      </c>
      <c r="CW173">
        <v>0</v>
      </c>
      <c r="CX173">
        <v>0</v>
      </c>
      <c r="CY173" t="s">
        <v>333</v>
      </c>
      <c r="CZ173">
        <v>2.3645900000000002</v>
      </c>
      <c r="DA173">
        <v>2.71387</v>
      </c>
      <c r="DB173">
        <v>9.4831600000000002E-2</v>
      </c>
      <c r="DC173">
        <v>0.146096</v>
      </c>
      <c r="DD173">
        <v>0.123057</v>
      </c>
      <c r="DE173">
        <v>3.8240000000000003E-2</v>
      </c>
      <c r="DF173">
        <v>33043.9</v>
      </c>
      <c r="DG173">
        <v>27510.400000000001</v>
      </c>
      <c r="DH173">
        <v>31165</v>
      </c>
      <c r="DI173">
        <v>28073</v>
      </c>
      <c r="DJ173">
        <v>37093.9</v>
      </c>
      <c r="DK173">
        <v>38392.5</v>
      </c>
      <c r="DL173">
        <v>44349.9</v>
      </c>
      <c r="DM173">
        <v>42545.2</v>
      </c>
      <c r="DN173">
        <v>1.3636999999999999</v>
      </c>
      <c r="DO173">
        <v>2.0343300000000002</v>
      </c>
      <c r="DP173">
        <v>8.31485E-2</v>
      </c>
      <c r="DQ173">
        <v>0.17738300000000001</v>
      </c>
      <c r="DR173">
        <v>25.625299999999999</v>
      </c>
      <c r="DS173">
        <v>25.401599999999998</v>
      </c>
      <c r="DT173">
        <v>17</v>
      </c>
      <c r="DU173">
        <v>29.8</v>
      </c>
      <c r="DV173">
        <v>7.2257899999999999</v>
      </c>
      <c r="DW173">
        <v>61.878500000000003</v>
      </c>
      <c r="DX173">
        <v>37.151400000000002</v>
      </c>
      <c r="DY173">
        <v>1</v>
      </c>
      <c r="DZ173">
        <v>-9.2411099999999996E-2</v>
      </c>
      <c r="EA173">
        <v>-0.24589900000000001</v>
      </c>
      <c r="EB173">
        <v>20.189699999999998</v>
      </c>
      <c r="EC173">
        <v>5.2408000000000001</v>
      </c>
      <c r="ED173">
        <v>12.039899999999999</v>
      </c>
      <c r="EE173">
        <v>5.0168999999999997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1.86893</v>
      </c>
      <c r="EL173">
        <v>1.86467</v>
      </c>
      <c r="EM173">
        <v>1.8692</v>
      </c>
      <c r="EN173">
        <v>1.8672599999999999</v>
      </c>
      <c r="EO173">
        <v>1.8633999999999999</v>
      </c>
      <c r="EP173">
        <v>1.8646</v>
      </c>
      <c r="EQ173">
        <v>1.8702000000000001</v>
      </c>
      <c r="ER173">
        <v>1.86947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-0.129</v>
      </c>
      <c r="FG173">
        <v>0.19259999999999999</v>
      </c>
      <c r="FH173">
        <v>0.16202357103534001</v>
      </c>
      <c r="FI173">
        <v>-6.1462078757559423E-4</v>
      </c>
      <c r="FJ173">
        <v>-1.8861989874597051E-7</v>
      </c>
      <c r="FK173">
        <v>1.1980462299894961E-10</v>
      </c>
      <c r="FL173">
        <v>0.19260234566371101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33.5</v>
      </c>
      <c r="FU173">
        <v>33.5</v>
      </c>
      <c r="FV173">
        <v>1.7785599999999999</v>
      </c>
      <c r="FW173">
        <v>2.5830099999999998</v>
      </c>
      <c r="FX173">
        <v>1.5490699999999999</v>
      </c>
      <c r="FY173">
        <v>2.3290999999999999</v>
      </c>
      <c r="FZ173">
        <v>1.50146</v>
      </c>
      <c r="GA173">
        <v>2.32666</v>
      </c>
      <c r="GB173">
        <v>33.850900000000003</v>
      </c>
      <c r="GC173">
        <v>23.973700000000001</v>
      </c>
      <c r="GD173">
        <v>19</v>
      </c>
      <c r="GE173">
        <v>237.851</v>
      </c>
      <c r="GF173">
        <v>581.50300000000004</v>
      </c>
      <c r="GG173">
        <v>25.374199999999998</v>
      </c>
      <c r="GH173">
        <v>26.2288</v>
      </c>
      <c r="GI173">
        <v>30.0001</v>
      </c>
      <c r="GJ173">
        <v>26.370200000000001</v>
      </c>
      <c r="GK173">
        <v>26.341200000000001</v>
      </c>
      <c r="GL173">
        <v>35.560299999999998</v>
      </c>
      <c r="GM173">
        <v>-30</v>
      </c>
      <c r="GN173">
        <v>-30</v>
      </c>
      <c r="GO173">
        <v>25.380099999999999</v>
      </c>
      <c r="GP173">
        <v>800</v>
      </c>
      <c r="GQ173">
        <v>12.5298</v>
      </c>
      <c r="GR173">
        <v>99.713700000000003</v>
      </c>
      <c r="GS173">
        <v>99.531499999999994</v>
      </c>
    </row>
    <row r="174" spans="1:201" x14ac:dyDescent="0.25">
      <c r="A174">
        <v>158</v>
      </c>
      <c r="B174">
        <v>1690216864.5999999</v>
      </c>
      <c r="C174">
        <v>1919.099999904633</v>
      </c>
      <c r="D174" t="s">
        <v>649</v>
      </c>
      <c r="E174" t="s">
        <v>650</v>
      </c>
      <c r="F174" t="s">
        <v>330</v>
      </c>
      <c r="H174">
        <v>1690216864.5999999</v>
      </c>
      <c r="I174">
        <f t="shared" si="60"/>
        <v>1.9358568888917598E-3</v>
      </c>
      <c r="J174">
        <f t="shared" si="61"/>
        <v>1.9358568888917598</v>
      </c>
      <c r="K174">
        <f t="shared" si="62"/>
        <v>32.212927626653496</v>
      </c>
      <c r="L174">
        <f t="shared" si="63"/>
        <v>430.07799999999997</v>
      </c>
      <c r="M174">
        <f t="shared" si="64"/>
        <v>89.774377592102681</v>
      </c>
      <c r="N174">
        <f t="shared" si="65"/>
        <v>8.9044693246521618</v>
      </c>
      <c r="O174">
        <f t="shared" si="66"/>
        <v>42.658233461755998</v>
      </c>
      <c r="P174">
        <f t="shared" si="67"/>
        <v>0.15945349520186716</v>
      </c>
      <c r="Q174">
        <f t="shared" si="68"/>
        <v>2.0654699455684096</v>
      </c>
      <c r="R174">
        <f t="shared" si="69"/>
        <v>0.15291684971969891</v>
      </c>
      <c r="S174">
        <f t="shared" si="70"/>
        <v>9.6137993766705426E-2</v>
      </c>
      <c r="T174">
        <f t="shared" si="71"/>
        <v>276.11440230599999</v>
      </c>
      <c r="U174">
        <f t="shared" si="72"/>
        <v>28.375959522713131</v>
      </c>
      <c r="V174">
        <f t="shared" si="73"/>
        <v>28.375959522713131</v>
      </c>
      <c r="W174">
        <f t="shared" si="74"/>
        <v>3.8788112247934099</v>
      </c>
      <c r="X174">
        <f t="shared" si="75"/>
        <v>75.217176269566068</v>
      </c>
      <c r="Y174">
        <f t="shared" si="76"/>
        <v>2.6645649945280003</v>
      </c>
      <c r="Z174">
        <f t="shared" si="77"/>
        <v>3.5424953802820713</v>
      </c>
      <c r="AA174">
        <f t="shared" si="78"/>
        <v>1.2142462302654096</v>
      </c>
      <c r="AB174">
        <f t="shared" si="79"/>
        <v>-85.371288800126607</v>
      </c>
      <c r="AC174">
        <f t="shared" si="80"/>
        <v>-172.7272213901002</v>
      </c>
      <c r="AD174">
        <f t="shared" si="81"/>
        <v>-18.156184208233611</v>
      </c>
      <c r="AE174">
        <f t="shared" si="82"/>
        <v>-0.14029209246044161</v>
      </c>
      <c r="AF174">
        <v>43</v>
      </c>
      <c r="AG174">
        <v>14</v>
      </c>
      <c r="AH174">
        <f t="shared" si="83"/>
        <v>1</v>
      </c>
      <c r="AI174">
        <f t="shared" si="84"/>
        <v>0</v>
      </c>
      <c r="AJ174">
        <f t="shared" si="85"/>
        <v>52481.43190595058</v>
      </c>
      <c r="AK174">
        <f t="shared" si="86"/>
        <v>1800</v>
      </c>
      <c r="AL174">
        <f t="shared" si="87"/>
        <v>1499.1105276000001</v>
      </c>
      <c r="AM174">
        <f t="shared" si="88"/>
        <v>0.83283918200000007</v>
      </c>
      <c r="AN174">
        <f t="shared" si="89"/>
        <v>0.15339689016999999</v>
      </c>
      <c r="AO174">
        <v>33.6</v>
      </c>
      <c r="AP174">
        <v>0.5</v>
      </c>
      <c r="AQ174" t="s">
        <v>331</v>
      </c>
      <c r="AR174">
        <v>2</v>
      </c>
      <c r="AS174">
        <v>1690216864.5999999</v>
      </c>
      <c r="AT174">
        <v>430.07799999999997</v>
      </c>
      <c r="AU174">
        <v>800.01</v>
      </c>
      <c r="AV174">
        <v>26.864000000000001</v>
      </c>
      <c r="AW174">
        <v>5.7749800000000002</v>
      </c>
      <c r="AX174">
        <v>430.20600000000002</v>
      </c>
      <c r="AY174">
        <v>26.671399999999998</v>
      </c>
      <c r="AZ174">
        <v>300.14400000000001</v>
      </c>
      <c r="BA174">
        <v>99.087199999999996</v>
      </c>
      <c r="BB174">
        <v>0.10000199999999999</v>
      </c>
      <c r="BC174">
        <v>26.8248</v>
      </c>
      <c r="BD174">
        <v>27.002400000000002</v>
      </c>
      <c r="BE174">
        <v>28.290600000000001</v>
      </c>
      <c r="BF174">
        <v>0</v>
      </c>
      <c r="BG174">
        <v>0</v>
      </c>
      <c r="BH174">
        <v>10011.200000000001</v>
      </c>
      <c r="BI174">
        <v>1077.08</v>
      </c>
      <c r="BJ174">
        <v>1.5137799999999999</v>
      </c>
      <c r="BK174">
        <v>-369.93299999999999</v>
      </c>
      <c r="BL174">
        <v>441.95</v>
      </c>
      <c r="BM174">
        <v>804.65700000000004</v>
      </c>
      <c r="BN174">
        <v>21.088999999999999</v>
      </c>
      <c r="BO174">
        <v>800.01</v>
      </c>
      <c r="BP174">
        <v>5.7749800000000002</v>
      </c>
      <c r="BQ174">
        <v>2.66188</v>
      </c>
      <c r="BR174">
        <v>0.57222700000000004</v>
      </c>
      <c r="BS174">
        <v>22.0517</v>
      </c>
      <c r="BT174">
        <v>-0.958426</v>
      </c>
      <c r="BU174">
        <v>1800</v>
      </c>
      <c r="BV174">
        <v>0.91000400000000004</v>
      </c>
      <c r="BW174">
        <v>3.4007599999999999E-2</v>
      </c>
      <c r="BX174">
        <v>2.1992100000000001E-2</v>
      </c>
      <c r="BY174">
        <v>3.3996499999999999E-2</v>
      </c>
      <c r="BZ174">
        <v>26</v>
      </c>
      <c r="CA174">
        <v>33528.400000000001</v>
      </c>
      <c r="CB174">
        <v>1690214843</v>
      </c>
      <c r="CC174" t="s">
        <v>332</v>
      </c>
      <c r="CD174">
        <v>1690214842</v>
      </c>
      <c r="CE174">
        <v>1690214843</v>
      </c>
      <c r="CF174">
        <v>8</v>
      </c>
      <c r="CG174">
        <v>-6.3E-2</v>
      </c>
      <c r="CH174">
        <v>1E-3</v>
      </c>
      <c r="CI174">
        <v>-0.38900000000000001</v>
      </c>
      <c r="CJ174">
        <v>-6.6000000000000003E-2</v>
      </c>
      <c r="CK174">
        <v>800</v>
      </c>
      <c r="CL174">
        <v>6</v>
      </c>
      <c r="CM174">
        <v>0.23</v>
      </c>
      <c r="CN174">
        <v>0.02</v>
      </c>
      <c r="CO174">
        <v>-368.20077500000002</v>
      </c>
      <c r="CP174">
        <v>-9.9221200750449494</v>
      </c>
      <c r="CQ174">
        <v>0.9565649870108166</v>
      </c>
      <c r="CR174">
        <v>-1</v>
      </c>
      <c r="CS174">
        <v>21.016030000000001</v>
      </c>
      <c r="CT174">
        <v>0.36134183864917568</v>
      </c>
      <c r="CU174">
        <v>3.4866188492578457E-2</v>
      </c>
      <c r="CV174">
        <v>-1</v>
      </c>
      <c r="CW174">
        <v>0</v>
      </c>
      <c r="CX174">
        <v>0</v>
      </c>
      <c r="CY174" t="s">
        <v>333</v>
      </c>
      <c r="CZ174">
        <v>2.3644099999999999</v>
      </c>
      <c r="DA174">
        <v>2.7138</v>
      </c>
      <c r="DB174">
        <v>9.4578800000000005E-2</v>
      </c>
      <c r="DC174">
        <v>0.146097</v>
      </c>
      <c r="DD174">
        <v>0.12327</v>
      </c>
      <c r="DE174">
        <v>3.82399E-2</v>
      </c>
      <c r="DF174">
        <v>33053</v>
      </c>
      <c r="DG174">
        <v>27510.799999999999</v>
      </c>
      <c r="DH174">
        <v>31164.9</v>
      </c>
      <c r="DI174">
        <v>28073.4</v>
      </c>
      <c r="DJ174">
        <v>37084.6</v>
      </c>
      <c r="DK174">
        <v>38393</v>
      </c>
      <c r="DL174">
        <v>44349.8</v>
      </c>
      <c r="DM174">
        <v>42545.8</v>
      </c>
      <c r="DN174">
        <v>1.3634999999999999</v>
      </c>
      <c r="DO174">
        <v>2.03485</v>
      </c>
      <c r="DP174">
        <v>8.4243700000000005E-2</v>
      </c>
      <c r="DQ174">
        <v>0.17660899999999999</v>
      </c>
      <c r="DR174">
        <v>25.623200000000001</v>
      </c>
      <c r="DS174">
        <v>25.401599999999998</v>
      </c>
      <c r="DT174">
        <v>17</v>
      </c>
      <c r="DU174">
        <v>29.8</v>
      </c>
      <c r="DV174">
        <v>7.2256799999999997</v>
      </c>
      <c r="DW174">
        <v>61.628500000000003</v>
      </c>
      <c r="DX174">
        <v>37.099400000000003</v>
      </c>
      <c r="DY174">
        <v>1</v>
      </c>
      <c r="DZ174">
        <v>-9.2228199999999996E-2</v>
      </c>
      <c r="EA174">
        <v>-0.26145699999999999</v>
      </c>
      <c r="EB174">
        <v>20.189800000000002</v>
      </c>
      <c r="EC174">
        <v>5.2411000000000003</v>
      </c>
      <c r="ED174">
        <v>12.039899999999999</v>
      </c>
      <c r="EE174">
        <v>5.0169499999999996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1.8689199999999999</v>
      </c>
      <c r="EL174">
        <v>1.86466</v>
      </c>
      <c r="EM174">
        <v>1.8692</v>
      </c>
      <c r="EN174">
        <v>1.8672599999999999</v>
      </c>
      <c r="EO174">
        <v>1.8633999999999999</v>
      </c>
      <c r="EP174">
        <v>1.8645700000000001</v>
      </c>
      <c r="EQ174">
        <v>1.8701700000000001</v>
      </c>
      <c r="ER174">
        <v>1.86947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-0.128</v>
      </c>
      <c r="FG174">
        <v>0.19259999999999999</v>
      </c>
      <c r="FH174">
        <v>0.16202357103534001</v>
      </c>
      <c r="FI174">
        <v>-6.1462078757559423E-4</v>
      </c>
      <c r="FJ174">
        <v>-1.8861989874597051E-7</v>
      </c>
      <c r="FK174">
        <v>1.1980462299894961E-10</v>
      </c>
      <c r="FL174">
        <v>0.19260234566371101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33.700000000000003</v>
      </c>
      <c r="FU174">
        <v>33.700000000000003</v>
      </c>
      <c r="FV174">
        <v>1.7785599999999999</v>
      </c>
      <c r="FW174">
        <v>2.5854499999999998</v>
      </c>
      <c r="FX174">
        <v>1.5490699999999999</v>
      </c>
      <c r="FY174">
        <v>2.3290999999999999</v>
      </c>
      <c r="FZ174">
        <v>1.50146</v>
      </c>
      <c r="GA174">
        <v>2.36206</v>
      </c>
      <c r="GB174">
        <v>33.850900000000003</v>
      </c>
      <c r="GC174">
        <v>23.982399999999998</v>
      </c>
      <c r="GD174">
        <v>19</v>
      </c>
      <c r="GE174">
        <v>237.767</v>
      </c>
      <c r="GF174">
        <v>581.93499999999995</v>
      </c>
      <c r="GG174">
        <v>25.385200000000001</v>
      </c>
      <c r="GH174">
        <v>26.2288</v>
      </c>
      <c r="GI174">
        <v>30.0002</v>
      </c>
      <c r="GJ174">
        <v>26.368099999999998</v>
      </c>
      <c r="GK174">
        <v>26.341200000000001</v>
      </c>
      <c r="GL174">
        <v>35.560200000000002</v>
      </c>
      <c r="GM174">
        <v>-30</v>
      </c>
      <c r="GN174">
        <v>-30</v>
      </c>
      <c r="GO174">
        <v>25.379200000000001</v>
      </c>
      <c r="GP174">
        <v>800</v>
      </c>
      <c r="GQ174">
        <v>12.5298</v>
      </c>
      <c r="GR174">
        <v>99.713200000000001</v>
      </c>
      <c r="GS174">
        <v>99.532899999999998</v>
      </c>
    </row>
    <row r="175" spans="1:201" x14ac:dyDescent="0.25">
      <c r="A175">
        <v>159</v>
      </c>
      <c r="B175">
        <v>1690216874.5999999</v>
      </c>
      <c r="C175">
        <v>1929.099999904633</v>
      </c>
      <c r="D175" t="s">
        <v>651</v>
      </c>
      <c r="E175" t="s">
        <v>652</v>
      </c>
      <c r="F175" t="s">
        <v>330</v>
      </c>
      <c r="H175">
        <v>1690216874.5999999</v>
      </c>
      <c r="I175">
        <f t="shared" si="60"/>
        <v>1.9415347276187866E-3</v>
      </c>
      <c r="J175">
        <f t="shared" si="61"/>
        <v>1.9415347276187866</v>
      </c>
      <c r="K175">
        <f t="shared" si="62"/>
        <v>32.357635573989356</v>
      </c>
      <c r="L175">
        <f t="shared" si="63"/>
        <v>428.464</v>
      </c>
      <c r="M175">
        <f t="shared" si="64"/>
        <v>89.390259235722567</v>
      </c>
      <c r="N175">
        <f t="shared" si="65"/>
        <v>8.8665567308853781</v>
      </c>
      <c r="O175">
        <f t="shared" si="66"/>
        <v>42.499041792955197</v>
      </c>
      <c r="P175">
        <f t="shared" si="67"/>
        <v>0.16078187456242268</v>
      </c>
      <c r="Q175">
        <f t="shared" si="68"/>
        <v>2.0664587646941963</v>
      </c>
      <c r="R175">
        <f t="shared" si="69"/>
        <v>0.15414134156662937</v>
      </c>
      <c r="S175">
        <f t="shared" si="70"/>
        <v>9.6912109778826708E-2</v>
      </c>
      <c r="T175">
        <f t="shared" si="71"/>
        <v>276.11593753490865</v>
      </c>
      <c r="U175">
        <f t="shared" si="72"/>
        <v>28.373663889607368</v>
      </c>
      <c r="V175">
        <f t="shared" si="73"/>
        <v>28.373663889607368</v>
      </c>
      <c r="W175">
        <f t="shared" si="74"/>
        <v>3.8782936113201263</v>
      </c>
      <c r="X175">
        <f t="shared" si="75"/>
        <v>75.373508940434675</v>
      </c>
      <c r="Y175">
        <f t="shared" si="76"/>
        <v>2.6701658836265696</v>
      </c>
      <c r="Z175">
        <f t="shared" si="77"/>
        <v>3.542578713877734</v>
      </c>
      <c r="AA175">
        <f t="shared" si="78"/>
        <v>1.2081277276935567</v>
      </c>
      <c r="AB175">
        <f t="shared" si="79"/>
        <v>-85.621681487988482</v>
      </c>
      <c r="AC175">
        <f t="shared" si="80"/>
        <v>-172.50960029421591</v>
      </c>
      <c r="AD175">
        <f t="shared" si="81"/>
        <v>-18.124460199721906</v>
      </c>
      <c r="AE175">
        <f t="shared" si="82"/>
        <v>-0.13980444701766714</v>
      </c>
      <c r="AF175">
        <v>43</v>
      </c>
      <c r="AG175">
        <v>14</v>
      </c>
      <c r="AH175">
        <f t="shared" si="83"/>
        <v>1</v>
      </c>
      <c r="AI175">
        <f t="shared" si="84"/>
        <v>0</v>
      </c>
      <c r="AJ175">
        <f t="shared" si="85"/>
        <v>52526.703370017</v>
      </c>
      <c r="AK175">
        <f t="shared" si="86"/>
        <v>1800.01</v>
      </c>
      <c r="AL175">
        <f t="shared" si="87"/>
        <v>1499.1199179977198</v>
      </c>
      <c r="AM175">
        <f t="shared" si="88"/>
        <v>0.83283977199999992</v>
      </c>
      <c r="AN175">
        <f t="shared" si="89"/>
        <v>0.15339689086999997</v>
      </c>
      <c r="AO175">
        <v>33.6</v>
      </c>
      <c r="AP175">
        <v>0.5</v>
      </c>
      <c r="AQ175" t="s">
        <v>331</v>
      </c>
      <c r="AR175">
        <v>2</v>
      </c>
      <c r="AS175">
        <v>1690216874.5999999</v>
      </c>
      <c r="AT175">
        <v>428.464</v>
      </c>
      <c r="AU175">
        <v>799.92899999999997</v>
      </c>
      <c r="AV175">
        <v>26.919899999999998</v>
      </c>
      <c r="AW175">
        <v>5.77475</v>
      </c>
      <c r="AX175">
        <v>428.59100000000001</v>
      </c>
      <c r="AY175">
        <v>26.7273</v>
      </c>
      <c r="AZ175">
        <v>300.20800000000003</v>
      </c>
      <c r="BA175">
        <v>99.089299999999994</v>
      </c>
      <c r="BB175">
        <v>9.9994299999999994E-2</v>
      </c>
      <c r="BC175">
        <v>26.825199999999999</v>
      </c>
      <c r="BD175">
        <v>26.994499999999999</v>
      </c>
      <c r="BE175">
        <v>28.300599999999999</v>
      </c>
      <c r="BF175">
        <v>0</v>
      </c>
      <c r="BG175">
        <v>0</v>
      </c>
      <c r="BH175">
        <v>10020</v>
      </c>
      <c r="BI175">
        <v>1076.97</v>
      </c>
      <c r="BJ175">
        <v>1.5137799999999999</v>
      </c>
      <c r="BK175">
        <v>-371.46499999999997</v>
      </c>
      <c r="BL175">
        <v>440.31700000000001</v>
      </c>
      <c r="BM175">
        <v>804.57500000000005</v>
      </c>
      <c r="BN175">
        <v>21.145199999999999</v>
      </c>
      <c r="BO175">
        <v>799.92899999999997</v>
      </c>
      <c r="BP175">
        <v>5.77475</v>
      </c>
      <c r="BQ175">
        <v>2.6674799999999999</v>
      </c>
      <c r="BR175">
        <v>0.57221599999999995</v>
      </c>
      <c r="BS175">
        <v>22.086099999999998</v>
      </c>
      <c r="BT175">
        <v>-0.95867500000000005</v>
      </c>
      <c r="BU175">
        <v>1800.01</v>
      </c>
      <c r="BV175">
        <v>0.91000899999999996</v>
      </c>
      <c r="BW175">
        <v>3.4007799999999998E-2</v>
      </c>
      <c r="BX175">
        <v>2.1992100000000001E-2</v>
      </c>
      <c r="BY175">
        <v>3.3991500000000001E-2</v>
      </c>
      <c r="BZ175">
        <v>26</v>
      </c>
      <c r="CA175">
        <v>33528.6</v>
      </c>
      <c r="CB175">
        <v>1690214843</v>
      </c>
      <c r="CC175" t="s">
        <v>332</v>
      </c>
      <c r="CD175">
        <v>1690214842</v>
      </c>
      <c r="CE175">
        <v>1690214843</v>
      </c>
      <c r="CF175">
        <v>8</v>
      </c>
      <c r="CG175">
        <v>-6.3E-2</v>
      </c>
      <c r="CH175">
        <v>1E-3</v>
      </c>
      <c r="CI175">
        <v>-0.38900000000000001</v>
      </c>
      <c r="CJ175">
        <v>-6.6000000000000003E-2</v>
      </c>
      <c r="CK175">
        <v>800</v>
      </c>
      <c r="CL175">
        <v>6</v>
      </c>
      <c r="CM175">
        <v>0.23</v>
      </c>
      <c r="CN175">
        <v>0.02</v>
      </c>
      <c r="CO175">
        <v>-369.95740000000001</v>
      </c>
      <c r="CP175">
        <v>-9.1749793621005598</v>
      </c>
      <c r="CQ175">
        <v>0.88334412320453926</v>
      </c>
      <c r="CR175">
        <v>-1</v>
      </c>
      <c r="CS175">
        <v>21.083945</v>
      </c>
      <c r="CT175">
        <v>0.38595872420260602</v>
      </c>
      <c r="CU175">
        <v>3.7203023734637318E-2</v>
      </c>
      <c r="CV175">
        <v>-1</v>
      </c>
      <c r="CW175">
        <v>0</v>
      </c>
      <c r="CX175">
        <v>0</v>
      </c>
      <c r="CY175" t="s">
        <v>333</v>
      </c>
      <c r="CZ175">
        <v>2.3646099999999999</v>
      </c>
      <c r="DA175">
        <v>2.7138</v>
      </c>
      <c r="DB175">
        <v>9.4313300000000003E-2</v>
      </c>
      <c r="DC175">
        <v>0.14609</v>
      </c>
      <c r="DD175">
        <v>0.12345100000000001</v>
      </c>
      <c r="DE175">
        <v>3.8239700000000001E-2</v>
      </c>
      <c r="DF175">
        <v>33062.9</v>
      </c>
      <c r="DG175">
        <v>27510.9</v>
      </c>
      <c r="DH175">
        <v>31165.1</v>
      </c>
      <c r="DI175">
        <v>28073.3</v>
      </c>
      <c r="DJ175">
        <v>37077.1</v>
      </c>
      <c r="DK175">
        <v>38393</v>
      </c>
      <c r="DL175">
        <v>44350.1</v>
      </c>
      <c r="DM175">
        <v>42545.7</v>
      </c>
      <c r="DN175">
        <v>1.36378</v>
      </c>
      <c r="DO175">
        <v>2.03457</v>
      </c>
      <c r="DP175">
        <v>8.3893499999999996E-2</v>
      </c>
      <c r="DQ175">
        <v>0.17748</v>
      </c>
      <c r="DR175">
        <v>25.620999999999999</v>
      </c>
      <c r="DS175">
        <v>25.397300000000001</v>
      </c>
      <c r="DT175">
        <v>17</v>
      </c>
      <c r="DU175">
        <v>29.8</v>
      </c>
      <c r="DV175">
        <v>7.2256099999999996</v>
      </c>
      <c r="DW175">
        <v>61.6785</v>
      </c>
      <c r="DX175">
        <v>36.895000000000003</v>
      </c>
      <c r="DY175">
        <v>1</v>
      </c>
      <c r="DZ175">
        <v>-9.2360300000000006E-2</v>
      </c>
      <c r="EA175">
        <v>-0.24362700000000001</v>
      </c>
      <c r="EB175">
        <v>20.189599999999999</v>
      </c>
      <c r="EC175">
        <v>5.2418500000000003</v>
      </c>
      <c r="ED175">
        <v>12.039899999999999</v>
      </c>
      <c r="EE175">
        <v>5.0168999999999997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1.86893</v>
      </c>
      <c r="EL175">
        <v>1.86467</v>
      </c>
      <c r="EM175">
        <v>1.8692</v>
      </c>
      <c r="EN175">
        <v>1.8672800000000001</v>
      </c>
      <c r="EO175">
        <v>1.8633999999999999</v>
      </c>
      <c r="EP175">
        <v>1.8646</v>
      </c>
      <c r="EQ175">
        <v>1.8702000000000001</v>
      </c>
      <c r="ER175">
        <v>1.8694900000000001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-0.127</v>
      </c>
      <c r="FG175">
        <v>0.19259999999999999</v>
      </c>
      <c r="FH175">
        <v>0.16202357103534001</v>
      </c>
      <c r="FI175">
        <v>-6.1462078757559423E-4</v>
      </c>
      <c r="FJ175">
        <v>-1.8861989874597051E-7</v>
      </c>
      <c r="FK175">
        <v>1.1980462299894961E-10</v>
      </c>
      <c r="FL175">
        <v>0.19260234566371101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33.9</v>
      </c>
      <c r="FU175">
        <v>33.9</v>
      </c>
      <c r="FV175">
        <v>1.7785599999999999</v>
      </c>
      <c r="FW175">
        <v>2.5866699999999998</v>
      </c>
      <c r="FX175">
        <v>1.5490699999999999</v>
      </c>
      <c r="FY175">
        <v>2.3290999999999999</v>
      </c>
      <c r="FZ175">
        <v>1.50146</v>
      </c>
      <c r="GA175">
        <v>2.36206</v>
      </c>
      <c r="GB175">
        <v>33.8735</v>
      </c>
      <c r="GC175">
        <v>23.982399999999998</v>
      </c>
      <c r="GD175">
        <v>19</v>
      </c>
      <c r="GE175">
        <v>237.87100000000001</v>
      </c>
      <c r="GF175">
        <v>581.68399999999997</v>
      </c>
      <c r="GG175">
        <v>25.3811</v>
      </c>
      <c r="GH175">
        <v>26.226600000000001</v>
      </c>
      <c r="GI175">
        <v>30.0001</v>
      </c>
      <c r="GJ175">
        <v>26.368099999999998</v>
      </c>
      <c r="GK175">
        <v>26.338999999999999</v>
      </c>
      <c r="GL175">
        <v>35.562399999999997</v>
      </c>
      <c r="GM175">
        <v>-30</v>
      </c>
      <c r="GN175">
        <v>-30</v>
      </c>
      <c r="GO175">
        <v>25.386199999999999</v>
      </c>
      <c r="GP175">
        <v>800</v>
      </c>
      <c r="GQ175">
        <v>12.5298</v>
      </c>
      <c r="GR175">
        <v>99.713899999999995</v>
      </c>
      <c r="GS175">
        <v>99.532700000000006</v>
      </c>
    </row>
    <row r="176" spans="1:201" x14ac:dyDescent="0.25">
      <c r="A176">
        <v>160</v>
      </c>
      <c r="B176">
        <v>1690216884.5999999</v>
      </c>
      <c r="C176">
        <v>1939.099999904633</v>
      </c>
      <c r="D176" t="s">
        <v>653</v>
      </c>
      <c r="E176" t="s">
        <v>654</v>
      </c>
      <c r="F176" t="s">
        <v>330</v>
      </c>
      <c r="H176">
        <v>1690216884.5999999</v>
      </c>
      <c r="I176">
        <f t="shared" si="60"/>
        <v>1.9476550000646494E-3</v>
      </c>
      <c r="J176">
        <f t="shared" si="61"/>
        <v>1.9476550000646493</v>
      </c>
      <c r="K176">
        <f t="shared" si="62"/>
        <v>32.498434026920975</v>
      </c>
      <c r="L176">
        <f t="shared" si="63"/>
        <v>426.916</v>
      </c>
      <c r="M176">
        <f t="shared" si="64"/>
        <v>89.443043841369573</v>
      </c>
      <c r="N176">
        <f t="shared" si="65"/>
        <v>8.8716791369429924</v>
      </c>
      <c r="O176">
        <f t="shared" si="66"/>
        <v>42.344956161647993</v>
      </c>
      <c r="P176">
        <f t="shared" si="67"/>
        <v>0.1622912551840901</v>
      </c>
      <c r="Q176">
        <f t="shared" si="68"/>
        <v>2.0665101487800794</v>
      </c>
      <c r="R176">
        <f t="shared" si="69"/>
        <v>0.15552843765765315</v>
      </c>
      <c r="S176">
        <f t="shared" si="70"/>
        <v>9.77894022660344E-2</v>
      </c>
      <c r="T176">
        <f t="shared" si="71"/>
        <v>276.11442057599993</v>
      </c>
      <c r="U176">
        <f t="shared" si="72"/>
        <v>28.3705240960116</v>
      </c>
      <c r="V176">
        <f t="shared" si="73"/>
        <v>28.3705240960116</v>
      </c>
      <c r="W176">
        <f t="shared" si="74"/>
        <v>3.877585756260344</v>
      </c>
      <c r="X176">
        <f t="shared" si="75"/>
        <v>75.556578090519494</v>
      </c>
      <c r="Y176">
        <f t="shared" si="76"/>
        <v>2.6765095851576</v>
      </c>
      <c r="Z176">
        <f t="shared" si="77"/>
        <v>3.5423912156940798</v>
      </c>
      <c r="AA176">
        <f t="shared" si="78"/>
        <v>1.201076171102744</v>
      </c>
      <c r="AB176">
        <f t="shared" si="79"/>
        <v>-85.891585502851044</v>
      </c>
      <c r="AC176">
        <f t="shared" si="80"/>
        <v>-172.26435515636953</v>
      </c>
      <c r="AD176">
        <f t="shared" si="81"/>
        <v>-18.097878683676633</v>
      </c>
      <c r="AE176">
        <f t="shared" si="82"/>
        <v>-0.13939876689730113</v>
      </c>
      <c r="AF176">
        <v>43</v>
      </c>
      <c r="AG176">
        <v>14</v>
      </c>
      <c r="AH176">
        <f t="shared" si="83"/>
        <v>1</v>
      </c>
      <c r="AI176">
        <f t="shared" si="84"/>
        <v>0</v>
      </c>
      <c r="AJ176">
        <f t="shared" si="85"/>
        <v>52529.187101845331</v>
      </c>
      <c r="AK176">
        <f t="shared" si="86"/>
        <v>1800</v>
      </c>
      <c r="AL176">
        <f t="shared" si="87"/>
        <v>1499.1108065999999</v>
      </c>
      <c r="AM176">
        <f t="shared" si="88"/>
        <v>0.8328393369999999</v>
      </c>
      <c r="AN176">
        <f t="shared" si="89"/>
        <v>0.15339690031999997</v>
      </c>
      <c r="AO176">
        <v>33.6</v>
      </c>
      <c r="AP176">
        <v>0.5</v>
      </c>
      <c r="AQ176" t="s">
        <v>331</v>
      </c>
      <c r="AR176">
        <v>2</v>
      </c>
      <c r="AS176">
        <v>1690216884.5999999</v>
      </c>
      <c r="AT176">
        <v>426.916</v>
      </c>
      <c r="AU176">
        <v>799.94500000000005</v>
      </c>
      <c r="AV176">
        <v>26.984200000000001</v>
      </c>
      <c r="AW176">
        <v>5.7742199999999997</v>
      </c>
      <c r="AX176">
        <v>427.04199999999997</v>
      </c>
      <c r="AY176">
        <v>26.791599999999999</v>
      </c>
      <c r="AZ176">
        <v>300.214</v>
      </c>
      <c r="BA176">
        <v>99.087999999999994</v>
      </c>
      <c r="BB176">
        <v>0.10002800000000001</v>
      </c>
      <c r="BC176">
        <v>26.824300000000001</v>
      </c>
      <c r="BD176">
        <v>26.994299999999999</v>
      </c>
      <c r="BE176">
        <v>28.2821</v>
      </c>
      <c r="BF176">
        <v>0</v>
      </c>
      <c r="BG176">
        <v>0</v>
      </c>
      <c r="BH176">
        <v>10020.6</v>
      </c>
      <c r="BI176">
        <v>1077.0899999999999</v>
      </c>
      <c r="BJ176">
        <v>1.5838699999999999</v>
      </c>
      <c r="BK176">
        <v>-373.02800000000002</v>
      </c>
      <c r="BL176">
        <v>438.75599999999997</v>
      </c>
      <c r="BM176">
        <v>804.59100000000001</v>
      </c>
      <c r="BN176">
        <v>21.21</v>
      </c>
      <c r="BO176">
        <v>799.94500000000005</v>
      </c>
      <c r="BP176">
        <v>5.7742199999999997</v>
      </c>
      <c r="BQ176">
        <v>2.67381</v>
      </c>
      <c r="BR176">
        <v>0.57215499999999997</v>
      </c>
      <c r="BS176">
        <v>22.1251</v>
      </c>
      <c r="BT176">
        <v>-0.96012200000000003</v>
      </c>
      <c r="BU176">
        <v>1800</v>
      </c>
      <c r="BV176">
        <v>0.91000499999999995</v>
      </c>
      <c r="BW176">
        <v>3.4007799999999998E-2</v>
      </c>
      <c r="BX176">
        <v>2.1992100000000001E-2</v>
      </c>
      <c r="BY176">
        <v>3.3995400000000002E-2</v>
      </c>
      <c r="BZ176">
        <v>26</v>
      </c>
      <c r="CA176">
        <v>33528.5</v>
      </c>
      <c r="CB176">
        <v>1690214843</v>
      </c>
      <c r="CC176" t="s">
        <v>332</v>
      </c>
      <c r="CD176">
        <v>1690214842</v>
      </c>
      <c r="CE176">
        <v>1690214843</v>
      </c>
      <c r="CF176">
        <v>8</v>
      </c>
      <c r="CG176">
        <v>-6.3E-2</v>
      </c>
      <c r="CH176">
        <v>1E-3</v>
      </c>
      <c r="CI176">
        <v>-0.38900000000000001</v>
      </c>
      <c r="CJ176">
        <v>-6.6000000000000003E-2</v>
      </c>
      <c r="CK176">
        <v>800</v>
      </c>
      <c r="CL176">
        <v>6</v>
      </c>
      <c r="CM176">
        <v>0.23</v>
      </c>
      <c r="CN176">
        <v>0.02</v>
      </c>
      <c r="CO176">
        <v>-371.36322499999989</v>
      </c>
      <c r="CP176">
        <v>-9.5527091932448798</v>
      </c>
      <c r="CQ176">
        <v>0.92023253820705886</v>
      </c>
      <c r="CR176">
        <v>-1</v>
      </c>
      <c r="CS176">
        <v>21.139215</v>
      </c>
      <c r="CT176">
        <v>0.34714446529072829</v>
      </c>
      <c r="CU176">
        <v>3.3406328367541357E-2</v>
      </c>
      <c r="CV176">
        <v>-1</v>
      </c>
      <c r="CW176">
        <v>0</v>
      </c>
      <c r="CX176">
        <v>0</v>
      </c>
      <c r="CY176" t="s">
        <v>333</v>
      </c>
      <c r="CZ176">
        <v>2.3646699999999998</v>
      </c>
      <c r="DA176">
        <v>2.7138399999999998</v>
      </c>
      <c r="DB176">
        <v>9.4055799999999995E-2</v>
      </c>
      <c r="DC176">
        <v>0.14609</v>
      </c>
      <c r="DD176">
        <v>0.123656</v>
      </c>
      <c r="DE176">
        <v>3.8236300000000001E-2</v>
      </c>
      <c r="DF176">
        <v>33072.699999999997</v>
      </c>
      <c r="DG176">
        <v>27511.200000000001</v>
      </c>
      <c r="DH176">
        <v>31165.4</v>
      </c>
      <c r="DI176">
        <v>28073.7</v>
      </c>
      <c r="DJ176">
        <v>37068.699999999997</v>
      </c>
      <c r="DK176">
        <v>38393.599999999999</v>
      </c>
      <c r="DL176">
        <v>44350.6</v>
      </c>
      <c r="DM176">
        <v>42546.2</v>
      </c>
      <c r="DN176">
        <v>1.3638300000000001</v>
      </c>
      <c r="DO176">
        <v>2.0346299999999999</v>
      </c>
      <c r="DP176">
        <v>8.4079799999999996E-2</v>
      </c>
      <c r="DQ176">
        <v>0.17660899999999999</v>
      </c>
      <c r="DR176">
        <v>25.617799999999999</v>
      </c>
      <c r="DS176">
        <v>25.393000000000001</v>
      </c>
      <c r="DT176">
        <v>17</v>
      </c>
      <c r="DU176">
        <v>29.8</v>
      </c>
      <c r="DV176">
        <v>7.2257100000000003</v>
      </c>
      <c r="DW176">
        <v>61.668500000000002</v>
      </c>
      <c r="DX176">
        <v>36.810899999999997</v>
      </c>
      <c r="DY176">
        <v>1</v>
      </c>
      <c r="DZ176">
        <v>-9.2393299999999998E-2</v>
      </c>
      <c r="EA176">
        <v>-0.27017999999999998</v>
      </c>
      <c r="EB176">
        <v>20.189599999999999</v>
      </c>
      <c r="EC176">
        <v>5.2413999999999996</v>
      </c>
      <c r="ED176">
        <v>12.039899999999999</v>
      </c>
      <c r="EE176">
        <v>5.0168999999999997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1.86893</v>
      </c>
      <c r="EL176">
        <v>1.86466</v>
      </c>
      <c r="EM176">
        <v>1.8692</v>
      </c>
      <c r="EN176">
        <v>1.8672599999999999</v>
      </c>
      <c r="EO176">
        <v>1.8633999999999999</v>
      </c>
      <c r="EP176">
        <v>1.8646</v>
      </c>
      <c r="EQ176">
        <v>1.8702099999999999</v>
      </c>
      <c r="ER176">
        <v>1.8694900000000001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-0.126</v>
      </c>
      <c r="FG176">
        <v>0.19259999999999999</v>
      </c>
      <c r="FH176">
        <v>0.16202357103534001</v>
      </c>
      <c r="FI176">
        <v>-6.1462078757559423E-4</v>
      </c>
      <c r="FJ176">
        <v>-1.8861989874597051E-7</v>
      </c>
      <c r="FK176">
        <v>1.1980462299894961E-10</v>
      </c>
      <c r="FL176">
        <v>0.19260234566371101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34</v>
      </c>
      <c r="FU176">
        <v>34</v>
      </c>
      <c r="FV176">
        <v>1.7785599999999999</v>
      </c>
      <c r="FW176">
        <v>2.5842299999999998</v>
      </c>
      <c r="FX176">
        <v>1.5490699999999999</v>
      </c>
      <c r="FY176">
        <v>2.3290999999999999</v>
      </c>
      <c r="FZ176">
        <v>1.50146</v>
      </c>
      <c r="GA176">
        <v>2.3767100000000001</v>
      </c>
      <c r="GB176">
        <v>33.8735</v>
      </c>
      <c r="GC176">
        <v>23.982399999999998</v>
      </c>
      <c r="GD176">
        <v>19</v>
      </c>
      <c r="GE176">
        <v>237.88200000000001</v>
      </c>
      <c r="GF176">
        <v>581.726</v>
      </c>
      <c r="GG176">
        <v>25.3917</v>
      </c>
      <c r="GH176">
        <v>26.226600000000001</v>
      </c>
      <c r="GI176">
        <v>30.0001</v>
      </c>
      <c r="GJ176">
        <v>26.3659</v>
      </c>
      <c r="GK176">
        <v>26.338999999999999</v>
      </c>
      <c r="GL176">
        <v>35.560899999999997</v>
      </c>
      <c r="GM176">
        <v>-30</v>
      </c>
      <c r="GN176">
        <v>-30</v>
      </c>
      <c r="GO176">
        <v>25.394200000000001</v>
      </c>
      <c r="GP176">
        <v>800</v>
      </c>
      <c r="GQ176">
        <v>12.5298</v>
      </c>
      <c r="GR176">
        <v>99.715000000000003</v>
      </c>
      <c r="GS176">
        <v>99.533799999999999</v>
      </c>
    </row>
    <row r="177" spans="1:201" x14ac:dyDescent="0.25">
      <c r="A177">
        <v>161</v>
      </c>
      <c r="B177">
        <v>1690216894.5999999</v>
      </c>
      <c r="C177">
        <v>1949.099999904633</v>
      </c>
      <c r="D177" t="s">
        <v>655</v>
      </c>
      <c r="E177" t="s">
        <v>656</v>
      </c>
      <c r="F177" t="s">
        <v>330</v>
      </c>
      <c r="H177">
        <v>1690216894.5999999</v>
      </c>
      <c r="I177">
        <f t="shared" si="60"/>
        <v>1.9525557406280399E-3</v>
      </c>
      <c r="J177">
        <f t="shared" si="61"/>
        <v>1.9525557406280398</v>
      </c>
      <c r="K177">
        <f t="shared" si="62"/>
        <v>32.630240259800232</v>
      </c>
      <c r="L177">
        <f t="shared" si="63"/>
        <v>425.452</v>
      </c>
      <c r="M177">
        <f t="shared" si="64"/>
        <v>89.14070077218399</v>
      </c>
      <c r="N177">
        <f t="shared" si="65"/>
        <v>8.8414582195743368</v>
      </c>
      <c r="O177">
        <f t="shared" si="66"/>
        <v>42.198637096738402</v>
      </c>
      <c r="P177">
        <f t="shared" si="67"/>
        <v>0.16354326332037172</v>
      </c>
      <c r="Q177">
        <f t="shared" si="68"/>
        <v>2.0671731040276016</v>
      </c>
      <c r="R177">
        <f t="shared" si="69"/>
        <v>0.15668017404664028</v>
      </c>
      <c r="S177">
        <f t="shared" si="70"/>
        <v>9.851772985880361E-2</v>
      </c>
      <c r="T177">
        <f t="shared" si="71"/>
        <v>276.11442388799998</v>
      </c>
      <c r="U177">
        <f t="shared" si="72"/>
        <v>28.368318800560512</v>
      </c>
      <c r="V177">
        <f t="shared" si="73"/>
        <v>28.368318800560512</v>
      </c>
      <c r="W177">
        <f t="shared" si="74"/>
        <v>3.8770886477885318</v>
      </c>
      <c r="X177">
        <f t="shared" si="75"/>
        <v>75.708872263719769</v>
      </c>
      <c r="Y177">
        <f t="shared" si="76"/>
        <v>2.6819044405710604</v>
      </c>
      <c r="Z177">
        <f t="shared" si="77"/>
        <v>3.5423912156940798</v>
      </c>
      <c r="AA177">
        <f t="shared" si="78"/>
        <v>1.1951842072174714</v>
      </c>
      <c r="AB177">
        <f t="shared" si="79"/>
        <v>-86.107708161696564</v>
      </c>
      <c r="AC177">
        <f t="shared" si="80"/>
        <v>-172.07384901408537</v>
      </c>
      <c r="AD177">
        <f t="shared" si="81"/>
        <v>-18.07186744788741</v>
      </c>
      <c r="AE177">
        <f t="shared" si="82"/>
        <v>-0.13900073566938431</v>
      </c>
      <c r="AF177">
        <v>43</v>
      </c>
      <c r="AG177">
        <v>14</v>
      </c>
      <c r="AH177">
        <f t="shared" si="83"/>
        <v>1</v>
      </c>
      <c r="AI177">
        <f t="shared" si="84"/>
        <v>0</v>
      </c>
      <c r="AJ177">
        <f t="shared" si="85"/>
        <v>52559.517235945808</v>
      </c>
      <c r="AK177">
        <f t="shared" si="86"/>
        <v>1800</v>
      </c>
      <c r="AL177">
        <f t="shared" si="87"/>
        <v>1499.1111558</v>
      </c>
      <c r="AM177">
        <f t="shared" si="88"/>
        <v>0.83283953099999997</v>
      </c>
      <c r="AN177">
        <f t="shared" si="89"/>
        <v>0.15339690215999999</v>
      </c>
      <c r="AO177">
        <v>33.6</v>
      </c>
      <c r="AP177">
        <v>0.5</v>
      </c>
      <c r="AQ177" t="s">
        <v>331</v>
      </c>
      <c r="AR177">
        <v>2</v>
      </c>
      <c r="AS177">
        <v>1690216894.5999999</v>
      </c>
      <c r="AT177">
        <v>425.452</v>
      </c>
      <c r="AU177">
        <v>800</v>
      </c>
      <c r="AV177">
        <v>27.039300000000001</v>
      </c>
      <c r="AW177">
        <v>5.7741800000000003</v>
      </c>
      <c r="AX177">
        <v>425.577</v>
      </c>
      <c r="AY177">
        <v>26.846699999999998</v>
      </c>
      <c r="AZ177">
        <v>300.17200000000003</v>
      </c>
      <c r="BA177">
        <v>99.085499999999996</v>
      </c>
      <c r="BB177">
        <v>9.9924200000000005E-2</v>
      </c>
      <c r="BC177">
        <v>26.824300000000001</v>
      </c>
      <c r="BD177">
        <v>26.984999999999999</v>
      </c>
      <c r="BE177">
        <v>28.3062</v>
      </c>
      <c r="BF177">
        <v>0</v>
      </c>
      <c r="BG177">
        <v>0</v>
      </c>
      <c r="BH177">
        <v>10026.9</v>
      </c>
      <c r="BI177">
        <v>1077.08</v>
      </c>
      <c r="BJ177">
        <v>1.8221499999999999</v>
      </c>
      <c r="BK177">
        <v>-374.548</v>
      </c>
      <c r="BL177">
        <v>437.27600000000001</v>
      </c>
      <c r="BM177">
        <v>804.64599999999996</v>
      </c>
      <c r="BN177">
        <v>21.2651</v>
      </c>
      <c r="BO177">
        <v>800</v>
      </c>
      <c r="BP177">
        <v>5.7741800000000003</v>
      </c>
      <c r="BQ177">
        <v>2.6791999999999998</v>
      </c>
      <c r="BR177">
        <v>0.57213700000000001</v>
      </c>
      <c r="BS177">
        <v>22.158100000000001</v>
      </c>
      <c r="BT177">
        <v>-0.960561</v>
      </c>
      <c r="BU177">
        <v>1800</v>
      </c>
      <c r="BV177">
        <v>0.91000700000000001</v>
      </c>
      <c r="BW177">
        <v>3.4007999999999997E-2</v>
      </c>
      <c r="BX177">
        <v>2.1992299999999999E-2</v>
      </c>
      <c r="BY177">
        <v>3.3993000000000002E-2</v>
      </c>
      <c r="BZ177">
        <v>26</v>
      </c>
      <c r="CA177">
        <v>33528.5</v>
      </c>
      <c r="CB177">
        <v>1690214843</v>
      </c>
      <c r="CC177" t="s">
        <v>332</v>
      </c>
      <c r="CD177">
        <v>1690214842</v>
      </c>
      <c r="CE177">
        <v>1690214843</v>
      </c>
      <c r="CF177">
        <v>8</v>
      </c>
      <c r="CG177">
        <v>-6.3E-2</v>
      </c>
      <c r="CH177">
        <v>1E-3</v>
      </c>
      <c r="CI177">
        <v>-0.38900000000000001</v>
      </c>
      <c r="CJ177">
        <v>-6.6000000000000003E-2</v>
      </c>
      <c r="CK177">
        <v>800</v>
      </c>
      <c r="CL177">
        <v>6</v>
      </c>
      <c r="CM177">
        <v>0.23</v>
      </c>
      <c r="CN177">
        <v>0.02</v>
      </c>
      <c r="CO177">
        <v>-372.88159999999999</v>
      </c>
      <c r="CP177">
        <v>-9.0507467166962545</v>
      </c>
      <c r="CQ177">
        <v>0.87390971501637416</v>
      </c>
      <c r="CR177">
        <v>-1</v>
      </c>
      <c r="CS177">
        <v>21.199545000000001</v>
      </c>
      <c r="CT177">
        <v>0.37359174484043728</v>
      </c>
      <c r="CU177">
        <v>3.5966664774482703E-2</v>
      </c>
      <c r="CV177">
        <v>-1</v>
      </c>
      <c r="CW177">
        <v>0</v>
      </c>
      <c r="CX177">
        <v>0</v>
      </c>
      <c r="CY177" t="s">
        <v>333</v>
      </c>
      <c r="CZ177">
        <v>2.3645299999999998</v>
      </c>
      <c r="DA177">
        <v>2.71374</v>
      </c>
      <c r="DB177">
        <v>9.3810099999999993E-2</v>
      </c>
      <c r="DC177">
        <v>0.146094</v>
      </c>
      <c r="DD177">
        <v>0.12382899999999999</v>
      </c>
      <c r="DE177">
        <v>3.8235400000000003E-2</v>
      </c>
      <c r="DF177">
        <v>33081.5</v>
      </c>
      <c r="DG177">
        <v>27511.200000000001</v>
      </c>
      <c r="DH177">
        <v>31165.3</v>
      </c>
      <c r="DI177">
        <v>28073.8</v>
      </c>
      <c r="DJ177">
        <v>37061.199999999997</v>
      </c>
      <c r="DK177">
        <v>38393.800000000003</v>
      </c>
      <c r="DL177">
        <v>44350.400000000001</v>
      </c>
      <c r="DM177">
        <v>42546.400000000001</v>
      </c>
      <c r="DN177">
        <v>1.36398</v>
      </c>
      <c r="DO177">
        <v>2.0347</v>
      </c>
      <c r="DP177">
        <v>8.3707299999999998E-2</v>
      </c>
      <c r="DQ177">
        <v>0.178345</v>
      </c>
      <c r="DR177">
        <v>25.6145</v>
      </c>
      <c r="DS177">
        <v>25.3888</v>
      </c>
      <c r="DT177">
        <v>17</v>
      </c>
      <c r="DU177">
        <v>29.8</v>
      </c>
      <c r="DV177">
        <v>7.2261899999999999</v>
      </c>
      <c r="DW177">
        <v>61.778500000000001</v>
      </c>
      <c r="DX177">
        <v>36.794899999999998</v>
      </c>
      <c r="DY177">
        <v>1</v>
      </c>
      <c r="DZ177">
        <v>-9.2446600000000004E-2</v>
      </c>
      <c r="EA177">
        <v>-0.28775299999999998</v>
      </c>
      <c r="EB177">
        <v>20.189499999999999</v>
      </c>
      <c r="EC177">
        <v>5.2416999999999998</v>
      </c>
      <c r="ED177">
        <v>12.039899999999999</v>
      </c>
      <c r="EE177">
        <v>5.0169499999999996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1.8689199999999999</v>
      </c>
      <c r="EL177">
        <v>1.8646799999999999</v>
      </c>
      <c r="EM177">
        <v>1.8692</v>
      </c>
      <c r="EN177">
        <v>1.86724</v>
      </c>
      <c r="EO177">
        <v>1.8633999999999999</v>
      </c>
      <c r="EP177">
        <v>1.8646100000000001</v>
      </c>
      <c r="EQ177">
        <v>1.8702399999999999</v>
      </c>
      <c r="ER177">
        <v>1.8694900000000001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-0.125</v>
      </c>
      <c r="FG177">
        <v>0.19259999999999999</v>
      </c>
      <c r="FH177">
        <v>0.16202357103534001</v>
      </c>
      <c r="FI177">
        <v>-6.1462078757559423E-4</v>
      </c>
      <c r="FJ177">
        <v>-1.8861989874597051E-7</v>
      </c>
      <c r="FK177">
        <v>1.1980462299894961E-10</v>
      </c>
      <c r="FL177">
        <v>0.19260234566371101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34.200000000000003</v>
      </c>
      <c r="FU177">
        <v>34.200000000000003</v>
      </c>
      <c r="FV177">
        <v>1.7785599999999999</v>
      </c>
      <c r="FW177">
        <v>2.5830099999999998</v>
      </c>
      <c r="FX177">
        <v>1.5490699999999999</v>
      </c>
      <c r="FY177">
        <v>2.3290999999999999</v>
      </c>
      <c r="FZ177">
        <v>1.50146</v>
      </c>
      <c r="GA177">
        <v>2.3718300000000001</v>
      </c>
      <c r="GB177">
        <v>33.850900000000003</v>
      </c>
      <c r="GC177">
        <v>23.982399999999998</v>
      </c>
      <c r="GD177">
        <v>19</v>
      </c>
      <c r="GE177">
        <v>237.93899999999999</v>
      </c>
      <c r="GF177">
        <v>581.76199999999994</v>
      </c>
      <c r="GG177">
        <v>25.401199999999999</v>
      </c>
      <c r="GH177">
        <v>26.224399999999999</v>
      </c>
      <c r="GI177">
        <v>30.0001</v>
      </c>
      <c r="GJ177">
        <v>26.3659</v>
      </c>
      <c r="GK177">
        <v>26.3369</v>
      </c>
      <c r="GL177">
        <v>35.563000000000002</v>
      </c>
      <c r="GM177">
        <v>-30</v>
      </c>
      <c r="GN177">
        <v>-30</v>
      </c>
      <c r="GO177">
        <v>25.410499999999999</v>
      </c>
      <c r="GP177">
        <v>800</v>
      </c>
      <c r="GQ177">
        <v>12.5298</v>
      </c>
      <c r="GR177">
        <v>99.714600000000004</v>
      </c>
      <c r="GS177">
        <v>99.534300000000002</v>
      </c>
    </row>
    <row r="178" spans="1:201" x14ac:dyDescent="0.25">
      <c r="A178">
        <v>162</v>
      </c>
      <c r="B178">
        <v>1690216904.5999999</v>
      </c>
      <c r="C178">
        <v>1959.099999904633</v>
      </c>
      <c r="D178" t="s">
        <v>657</v>
      </c>
      <c r="E178" t="s">
        <v>658</v>
      </c>
      <c r="F178" t="s">
        <v>330</v>
      </c>
      <c r="H178">
        <v>1690216904.5999999</v>
      </c>
      <c r="I178">
        <f t="shared" si="60"/>
        <v>1.9574445392488331E-3</v>
      </c>
      <c r="J178">
        <f t="shared" si="61"/>
        <v>1.9574445392488331</v>
      </c>
      <c r="K178">
        <f t="shared" si="62"/>
        <v>32.775905110814989</v>
      </c>
      <c r="L178">
        <f t="shared" si="63"/>
        <v>423.87299999999999</v>
      </c>
      <c r="M178">
        <f t="shared" si="64"/>
        <v>88.222788275398827</v>
      </c>
      <c r="N178">
        <f t="shared" si="65"/>
        <v>8.7509033275819199</v>
      </c>
      <c r="O178">
        <f t="shared" si="66"/>
        <v>42.044371059699003</v>
      </c>
      <c r="P178">
        <f t="shared" si="67"/>
        <v>0.16462474897087712</v>
      </c>
      <c r="Q178">
        <f t="shared" si="68"/>
        <v>2.0652475080372832</v>
      </c>
      <c r="R178">
        <f t="shared" si="69"/>
        <v>0.15766647735676986</v>
      </c>
      <c r="S178">
        <f t="shared" si="70"/>
        <v>9.914221263856865E-2</v>
      </c>
      <c r="T178">
        <f t="shared" si="71"/>
        <v>276.11430260399999</v>
      </c>
      <c r="U178">
        <f t="shared" si="72"/>
        <v>28.369765229317046</v>
      </c>
      <c r="V178">
        <f t="shared" si="73"/>
        <v>28.369765229317046</v>
      </c>
      <c r="W178">
        <f t="shared" si="74"/>
        <v>3.8774146894320953</v>
      </c>
      <c r="X178">
        <f t="shared" si="75"/>
        <v>75.835671208459019</v>
      </c>
      <c r="Y178">
        <f t="shared" si="76"/>
        <v>2.6866963429143</v>
      </c>
      <c r="Z178">
        <f t="shared" si="77"/>
        <v>3.5427870553542551</v>
      </c>
      <c r="AA178">
        <f t="shared" si="78"/>
        <v>1.1907183465177953</v>
      </c>
      <c r="AB178">
        <f t="shared" si="79"/>
        <v>-86.323304180873535</v>
      </c>
      <c r="AC178">
        <f t="shared" si="80"/>
        <v>-171.86305884694758</v>
      </c>
      <c r="AD178">
        <f t="shared" si="81"/>
        <v>-18.066860275755179</v>
      </c>
      <c r="AE178">
        <f t="shared" si="82"/>
        <v>-0.13892069957631747</v>
      </c>
      <c r="AF178">
        <v>43</v>
      </c>
      <c r="AG178">
        <v>14</v>
      </c>
      <c r="AH178">
        <f t="shared" si="83"/>
        <v>1</v>
      </c>
      <c r="AI178">
        <f t="shared" si="84"/>
        <v>0</v>
      </c>
      <c r="AJ178">
        <f t="shared" si="85"/>
        <v>52471.081902218088</v>
      </c>
      <c r="AK178">
        <f t="shared" si="86"/>
        <v>1800</v>
      </c>
      <c r="AL178">
        <f t="shared" si="87"/>
        <v>1499.1099353999998</v>
      </c>
      <c r="AM178">
        <f t="shared" si="88"/>
        <v>0.83283885299999993</v>
      </c>
      <c r="AN178">
        <f t="shared" si="89"/>
        <v>0.15339683477999999</v>
      </c>
      <c r="AO178">
        <v>33.6</v>
      </c>
      <c r="AP178">
        <v>0.5</v>
      </c>
      <c r="AQ178" t="s">
        <v>331</v>
      </c>
      <c r="AR178">
        <v>2</v>
      </c>
      <c r="AS178">
        <v>1690216904.5999999</v>
      </c>
      <c r="AT178">
        <v>423.87299999999999</v>
      </c>
      <c r="AU178">
        <v>799.95500000000004</v>
      </c>
      <c r="AV178">
        <v>27.086099999999998</v>
      </c>
      <c r="AW178">
        <v>5.7735900000000004</v>
      </c>
      <c r="AX178">
        <v>423.99700000000001</v>
      </c>
      <c r="AY178">
        <v>26.8935</v>
      </c>
      <c r="AZ178">
        <v>300.24</v>
      </c>
      <c r="BA178">
        <v>99.090900000000005</v>
      </c>
      <c r="BB178">
        <v>0.100063</v>
      </c>
      <c r="BC178">
        <v>26.8262</v>
      </c>
      <c r="BD178">
        <v>26.9894</v>
      </c>
      <c r="BE178">
        <v>28.303599999999999</v>
      </c>
      <c r="BF178">
        <v>0</v>
      </c>
      <c r="BG178">
        <v>0</v>
      </c>
      <c r="BH178">
        <v>10008.799999999999</v>
      </c>
      <c r="BI178">
        <v>1077.1500000000001</v>
      </c>
      <c r="BJ178">
        <v>1.8501799999999999</v>
      </c>
      <c r="BK178">
        <v>-376.08199999999999</v>
      </c>
      <c r="BL178">
        <v>435.67399999999998</v>
      </c>
      <c r="BM178">
        <v>804.6</v>
      </c>
      <c r="BN178">
        <v>21.3125</v>
      </c>
      <c r="BO178">
        <v>799.95500000000004</v>
      </c>
      <c r="BP178">
        <v>5.7735900000000004</v>
      </c>
      <c r="BQ178">
        <v>2.6839900000000001</v>
      </c>
      <c r="BR178">
        <v>0.57211000000000001</v>
      </c>
      <c r="BS178">
        <v>22.1874</v>
      </c>
      <c r="BT178">
        <v>-0.96120899999999998</v>
      </c>
      <c r="BU178">
        <v>1800</v>
      </c>
      <c r="BV178">
        <v>0.91000300000000001</v>
      </c>
      <c r="BW178">
        <v>3.40074E-2</v>
      </c>
      <c r="BX178">
        <v>2.1991900000000002E-2</v>
      </c>
      <c r="BY178">
        <v>3.3997600000000003E-2</v>
      </c>
      <c r="BZ178">
        <v>26</v>
      </c>
      <c r="CA178">
        <v>33528.5</v>
      </c>
      <c r="CB178">
        <v>1690214843</v>
      </c>
      <c r="CC178" t="s">
        <v>332</v>
      </c>
      <c r="CD178">
        <v>1690214842</v>
      </c>
      <c r="CE178">
        <v>1690214843</v>
      </c>
      <c r="CF178">
        <v>8</v>
      </c>
      <c r="CG178">
        <v>-6.3E-2</v>
      </c>
      <c r="CH178">
        <v>1E-3</v>
      </c>
      <c r="CI178">
        <v>-0.38900000000000001</v>
      </c>
      <c r="CJ178">
        <v>-6.6000000000000003E-2</v>
      </c>
      <c r="CK178">
        <v>800</v>
      </c>
      <c r="CL178">
        <v>6</v>
      </c>
      <c r="CM178">
        <v>0.23</v>
      </c>
      <c r="CN178">
        <v>0.02</v>
      </c>
      <c r="CO178">
        <v>-374.39036585365858</v>
      </c>
      <c r="CP178">
        <v>-9.0798397212538671</v>
      </c>
      <c r="CQ178">
        <v>0.896892487672731</v>
      </c>
      <c r="CR178">
        <v>-1</v>
      </c>
      <c r="CS178">
        <v>21.258134146341469</v>
      </c>
      <c r="CT178">
        <v>0.30775400696867938</v>
      </c>
      <c r="CU178">
        <v>3.0383031285981191E-2</v>
      </c>
      <c r="CV178">
        <v>-1</v>
      </c>
      <c r="CW178">
        <v>0</v>
      </c>
      <c r="CX178">
        <v>0</v>
      </c>
      <c r="CY178" t="s">
        <v>333</v>
      </c>
      <c r="CZ178">
        <v>2.3647499999999999</v>
      </c>
      <c r="DA178">
        <v>2.7138599999999999</v>
      </c>
      <c r="DB178">
        <v>9.3552499999999997E-2</v>
      </c>
      <c r="DC178">
        <v>0.146097</v>
      </c>
      <c r="DD178">
        <v>0.123985</v>
      </c>
      <c r="DE178">
        <v>3.8234299999999999E-2</v>
      </c>
      <c r="DF178">
        <v>33091.5</v>
      </c>
      <c r="DG178">
        <v>27511.3</v>
      </c>
      <c r="DH178">
        <v>31165.8</v>
      </c>
      <c r="DI178">
        <v>28074</v>
      </c>
      <c r="DJ178">
        <v>37054.9</v>
      </c>
      <c r="DK178">
        <v>38394.1</v>
      </c>
      <c r="DL178">
        <v>44351</v>
      </c>
      <c r="DM178">
        <v>42546.7</v>
      </c>
      <c r="DN178">
        <v>1.3641000000000001</v>
      </c>
      <c r="DO178">
        <v>2.0347200000000001</v>
      </c>
      <c r="DP178">
        <v>8.3878599999999998E-2</v>
      </c>
      <c r="DQ178">
        <v>0.17818800000000001</v>
      </c>
      <c r="DR178">
        <v>25.616099999999999</v>
      </c>
      <c r="DS178">
        <v>25.3888</v>
      </c>
      <c r="DT178">
        <v>17</v>
      </c>
      <c r="DU178">
        <v>29.8</v>
      </c>
      <c r="DV178">
        <v>7.2257100000000003</v>
      </c>
      <c r="DW178">
        <v>61.408499999999997</v>
      </c>
      <c r="DX178">
        <v>36.610599999999998</v>
      </c>
      <c r="DY178">
        <v>1</v>
      </c>
      <c r="DZ178">
        <v>-9.2718499999999995E-2</v>
      </c>
      <c r="EA178">
        <v>-0.30312600000000001</v>
      </c>
      <c r="EB178">
        <v>20.189299999999999</v>
      </c>
      <c r="EC178">
        <v>5.2411000000000003</v>
      </c>
      <c r="ED178">
        <v>12.039899999999999</v>
      </c>
      <c r="EE178">
        <v>5.0169499999999996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1.8689199999999999</v>
      </c>
      <c r="EL178">
        <v>1.8646499999999999</v>
      </c>
      <c r="EM178">
        <v>1.8691899999999999</v>
      </c>
      <c r="EN178">
        <v>1.86724</v>
      </c>
      <c r="EO178">
        <v>1.8633999999999999</v>
      </c>
      <c r="EP178">
        <v>1.86459</v>
      </c>
      <c r="EQ178">
        <v>1.8701700000000001</v>
      </c>
      <c r="ER178">
        <v>1.86947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-0.124</v>
      </c>
      <c r="FG178">
        <v>0.19259999999999999</v>
      </c>
      <c r="FH178">
        <v>0.16202357103534001</v>
      </c>
      <c r="FI178">
        <v>-6.1462078757559423E-4</v>
      </c>
      <c r="FJ178">
        <v>-1.8861989874597051E-7</v>
      </c>
      <c r="FK178">
        <v>1.1980462299894961E-10</v>
      </c>
      <c r="FL178">
        <v>0.19260234566371101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34.4</v>
      </c>
      <c r="FU178">
        <v>34.4</v>
      </c>
      <c r="FV178">
        <v>1.7785599999999999</v>
      </c>
      <c r="FW178">
        <v>2.5854499999999998</v>
      </c>
      <c r="FX178">
        <v>1.5490699999999999</v>
      </c>
      <c r="FY178">
        <v>2.3290999999999999</v>
      </c>
      <c r="FZ178">
        <v>1.50146</v>
      </c>
      <c r="GA178">
        <v>2.3791500000000001</v>
      </c>
      <c r="GB178">
        <v>33.8735</v>
      </c>
      <c r="GC178">
        <v>23.982399999999998</v>
      </c>
      <c r="GD178">
        <v>19</v>
      </c>
      <c r="GE178">
        <v>237.97800000000001</v>
      </c>
      <c r="GF178">
        <v>581.77700000000004</v>
      </c>
      <c r="GG178">
        <v>25.420100000000001</v>
      </c>
      <c r="GH178">
        <v>26.224399999999999</v>
      </c>
      <c r="GI178">
        <v>29.9999</v>
      </c>
      <c r="GJ178">
        <v>26.363700000000001</v>
      </c>
      <c r="GK178">
        <v>26.336300000000001</v>
      </c>
      <c r="GL178">
        <v>35.563699999999997</v>
      </c>
      <c r="GM178">
        <v>-30</v>
      </c>
      <c r="GN178">
        <v>-30</v>
      </c>
      <c r="GO178">
        <v>25.4254</v>
      </c>
      <c r="GP178">
        <v>800</v>
      </c>
      <c r="GQ178">
        <v>12.5298</v>
      </c>
      <c r="GR178">
        <v>99.716200000000001</v>
      </c>
      <c r="GS178">
        <v>99.534999999999997</v>
      </c>
    </row>
    <row r="179" spans="1:201" x14ac:dyDescent="0.25">
      <c r="A179">
        <v>163</v>
      </c>
      <c r="B179">
        <v>1690216914.5999999</v>
      </c>
      <c r="C179">
        <v>1969.099999904633</v>
      </c>
      <c r="D179" t="s">
        <v>659</v>
      </c>
      <c r="E179" t="s">
        <v>660</v>
      </c>
      <c r="F179" t="s">
        <v>330</v>
      </c>
      <c r="H179">
        <v>1690216914.5999999</v>
      </c>
      <c r="I179">
        <f t="shared" si="60"/>
        <v>1.9626881590227001E-3</v>
      </c>
      <c r="J179">
        <f t="shared" si="61"/>
        <v>1.9626881590227001</v>
      </c>
      <c r="K179">
        <f t="shared" si="62"/>
        <v>32.889183848704164</v>
      </c>
      <c r="L179">
        <f t="shared" si="63"/>
        <v>422.52499999999998</v>
      </c>
      <c r="M179">
        <f t="shared" si="64"/>
        <v>88.053204669298751</v>
      </c>
      <c r="N179">
        <f t="shared" si="65"/>
        <v>8.7339639109299689</v>
      </c>
      <c r="O179">
        <f t="shared" si="66"/>
        <v>41.910094190499997</v>
      </c>
      <c r="P179">
        <f t="shared" si="67"/>
        <v>0.16582451500923301</v>
      </c>
      <c r="Q179">
        <f t="shared" si="68"/>
        <v>2.060413924086324</v>
      </c>
      <c r="R179">
        <f t="shared" si="69"/>
        <v>0.15875099141749824</v>
      </c>
      <c r="S179">
        <f t="shared" si="70"/>
        <v>9.982975310061673E-2</v>
      </c>
      <c r="T179">
        <f t="shared" si="71"/>
        <v>276.11437244399997</v>
      </c>
      <c r="U179">
        <f t="shared" si="72"/>
        <v>28.373755614516867</v>
      </c>
      <c r="V179">
        <f t="shared" si="73"/>
        <v>28.373755614516867</v>
      </c>
      <c r="W179">
        <f t="shared" si="74"/>
        <v>3.878314292062135</v>
      </c>
      <c r="X179">
        <f t="shared" si="75"/>
        <v>75.99129009901705</v>
      </c>
      <c r="Y179">
        <f t="shared" si="76"/>
        <v>2.6926212624439998</v>
      </c>
      <c r="Z179">
        <f t="shared" si="77"/>
        <v>3.5433287932544637</v>
      </c>
      <c r="AA179">
        <f t="shared" si="78"/>
        <v>1.1856930296181352</v>
      </c>
      <c r="AB179">
        <f t="shared" si="79"/>
        <v>-86.554547812901077</v>
      </c>
      <c r="AC179">
        <f t="shared" si="80"/>
        <v>-171.6152694239766</v>
      </c>
      <c r="AD179">
        <f t="shared" si="81"/>
        <v>-18.083729127898724</v>
      </c>
      <c r="AE179">
        <f t="shared" si="82"/>
        <v>-0.13917392077644308</v>
      </c>
      <c r="AF179">
        <v>43</v>
      </c>
      <c r="AG179">
        <v>14</v>
      </c>
      <c r="AH179">
        <f t="shared" si="83"/>
        <v>1</v>
      </c>
      <c r="AI179">
        <f t="shared" si="84"/>
        <v>0</v>
      </c>
      <c r="AJ179">
        <f t="shared" si="85"/>
        <v>52249.615084052959</v>
      </c>
      <c r="AK179">
        <f t="shared" si="86"/>
        <v>1800</v>
      </c>
      <c r="AL179">
        <f t="shared" si="87"/>
        <v>1499.1090263999999</v>
      </c>
      <c r="AM179">
        <f t="shared" si="88"/>
        <v>0.83283834800000001</v>
      </c>
      <c r="AN179">
        <f t="shared" si="89"/>
        <v>0.15339687357999998</v>
      </c>
      <c r="AO179">
        <v>33.6</v>
      </c>
      <c r="AP179">
        <v>0.5</v>
      </c>
      <c r="AQ179" t="s">
        <v>331</v>
      </c>
      <c r="AR179">
        <v>2</v>
      </c>
      <c r="AS179">
        <v>1690216914.5999999</v>
      </c>
      <c r="AT179">
        <v>422.52499999999998</v>
      </c>
      <c r="AU179">
        <v>799.96299999999997</v>
      </c>
      <c r="AV179">
        <v>27.1462</v>
      </c>
      <c r="AW179">
        <v>5.7726499999999996</v>
      </c>
      <c r="AX179">
        <v>422.64699999999999</v>
      </c>
      <c r="AY179">
        <v>26.953600000000002</v>
      </c>
      <c r="AZ179">
        <v>300.166</v>
      </c>
      <c r="BA179">
        <v>99.089600000000004</v>
      </c>
      <c r="BB179">
        <v>0.10002</v>
      </c>
      <c r="BC179">
        <v>26.828800000000001</v>
      </c>
      <c r="BD179">
        <v>26.991299999999999</v>
      </c>
      <c r="BE179">
        <v>28.283100000000001</v>
      </c>
      <c r="BF179">
        <v>0</v>
      </c>
      <c r="BG179">
        <v>0</v>
      </c>
      <c r="BH179">
        <v>9965</v>
      </c>
      <c r="BI179">
        <v>1077.08</v>
      </c>
      <c r="BJ179">
        <v>1.8501799999999999</v>
      </c>
      <c r="BK179">
        <v>-377.43799999999999</v>
      </c>
      <c r="BL179">
        <v>434.315</v>
      </c>
      <c r="BM179">
        <v>804.60799999999995</v>
      </c>
      <c r="BN179">
        <v>21.3736</v>
      </c>
      <c r="BO179">
        <v>799.96299999999997</v>
      </c>
      <c r="BP179">
        <v>5.7726499999999996</v>
      </c>
      <c r="BQ179">
        <v>2.6899099999999998</v>
      </c>
      <c r="BR179">
        <v>0.57201000000000002</v>
      </c>
      <c r="BS179">
        <v>22.223600000000001</v>
      </c>
      <c r="BT179">
        <v>-0.96360400000000002</v>
      </c>
      <c r="BU179">
        <v>1800</v>
      </c>
      <c r="BV179">
        <v>0.90999600000000003</v>
      </c>
      <c r="BW179">
        <v>3.4006700000000001E-2</v>
      </c>
      <c r="BX179">
        <v>2.1991400000000001E-2</v>
      </c>
      <c r="BY179">
        <v>3.4006000000000002E-2</v>
      </c>
      <c r="BZ179">
        <v>26</v>
      </c>
      <c r="CA179">
        <v>33528.5</v>
      </c>
      <c r="CB179">
        <v>1690214843</v>
      </c>
      <c r="CC179" t="s">
        <v>332</v>
      </c>
      <c r="CD179">
        <v>1690214842</v>
      </c>
      <c r="CE179">
        <v>1690214843</v>
      </c>
      <c r="CF179">
        <v>8</v>
      </c>
      <c r="CG179">
        <v>-6.3E-2</v>
      </c>
      <c r="CH179">
        <v>1E-3</v>
      </c>
      <c r="CI179">
        <v>-0.38900000000000001</v>
      </c>
      <c r="CJ179">
        <v>-6.6000000000000003E-2</v>
      </c>
      <c r="CK179">
        <v>800</v>
      </c>
      <c r="CL179">
        <v>6</v>
      </c>
      <c r="CM179">
        <v>0.23</v>
      </c>
      <c r="CN179">
        <v>0.02</v>
      </c>
      <c r="CO179">
        <v>-375.85600000000011</v>
      </c>
      <c r="CP179">
        <v>-9.1230168855526514</v>
      </c>
      <c r="CQ179">
        <v>0.87837093531149835</v>
      </c>
      <c r="CR179">
        <v>-1</v>
      </c>
      <c r="CS179">
        <v>21.309539999999998</v>
      </c>
      <c r="CT179">
        <v>0.32545666041273058</v>
      </c>
      <c r="CU179">
        <v>3.1405372151910679E-2</v>
      </c>
      <c r="CV179">
        <v>-1</v>
      </c>
      <c r="CW179">
        <v>0</v>
      </c>
      <c r="CX179">
        <v>0</v>
      </c>
      <c r="CY179" t="s">
        <v>333</v>
      </c>
      <c r="CZ179">
        <v>2.3645</v>
      </c>
      <c r="DA179">
        <v>2.7137799999999999</v>
      </c>
      <c r="DB179">
        <v>9.3326500000000007E-2</v>
      </c>
      <c r="DC179">
        <v>0.146096</v>
      </c>
      <c r="DD179">
        <v>0.12417499999999999</v>
      </c>
      <c r="DE179">
        <v>3.8228900000000003E-2</v>
      </c>
      <c r="DF179">
        <v>33099.699999999997</v>
      </c>
      <c r="DG179">
        <v>27511.599999999999</v>
      </c>
      <c r="DH179">
        <v>31165.7</v>
      </c>
      <c r="DI179">
        <v>28074.2</v>
      </c>
      <c r="DJ179">
        <v>37046.699999999997</v>
      </c>
      <c r="DK179">
        <v>38394.6</v>
      </c>
      <c r="DL179">
        <v>44350.9</v>
      </c>
      <c r="DM179">
        <v>42547</v>
      </c>
      <c r="DN179">
        <v>1.3636999999999999</v>
      </c>
      <c r="DO179">
        <v>2.0345200000000001</v>
      </c>
      <c r="DP179">
        <v>8.3826499999999998E-2</v>
      </c>
      <c r="DQ179">
        <v>0.176929</v>
      </c>
      <c r="DR179">
        <v>25.6188</v>
      </c>
      <c r="DS179">
        <v>25.3888</v>
      </c>
      <c r="DT179">
        <v>17</v>
      </c>
      <c r="DU179">
        <v>29.8</v>
      </c>
      <c r="DV179">
        <v>7.2262199999999996</v>
      </c>
      <c r="DW179">
        <v>61.878500000000003</v>
      </c>
      <c r="DX179">
        <v>36.678699999999999</v>
      </c>
      <c r="DY179">
        <v>1</v>
      </c>
      <c r="DZ179">
        <v>-9.3018299999999998E-2</v>
      </c>
      <c r="EA179">
        <v>-0.30148399999999997</v>
      </c>
      <c r="EB179">
        <v>20.1891</v>
      </c>
      <c r="EC179">
        <v>5.2415500000000002</v>
      </c>
      <c r="ED179">
        <v>12.039899999999999</v>
      </c>
      <c r="EE179">
        <v>5.0168999999999997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1.86894</v>
      </c>
      <c r="EL179">
        <v>1.8646499999999999</v>
      </c>
      <c r="EM179">
        <v>1.8692</v>
      </c>
      <c r="EN179">
        <v>1.86727</v>
      </c>
      <c r="EO179">
        <v>1.8633999999999999</v>
      </c>
      <c r="EP179">
        <v>1.8646</v>
      </c>
      <c r="EQ179">
        <v>1.8702000000000001</v>
      </c>
      <c r="ER179">
        <v>1.86947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-0.122</v>
      </c>
      <c r="FG179">
        <v>0.19259999999999999</v>
      </c>
      <c r="FH179">
        <v>0.16202357103534001</v>
      </c>
      <c r="FI179">
        <v>-6.1462078757559423E-4</v>
      </c>
      <c r="FJ179">
        <v>-1.8861989874597051E-7</v>
      </c>
      <c r="FK179">
        <v>1.1980462299894961E-10</v>
      </c>
      <c r="FL179">
        <v>0.19260234566371101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34.5</v>
      </c>
      <c r="FU179">
        <v>34.5</v>
      </c>
      <c r="FV179">
        <v>1.7785599999999999</v>
      </c>
      <c r="FW179">
        <v>2.5842299999999998</v>
      </c>
      <c r="FX179">
        <v>1.5490699999999999</v>
      </c>
      <c r="FY179">
        <v>2.3290999999999999</v>
      </c>
      <c r="FZ179">
        <v>1.50146</v>
      </c>
      <c r="GA179">
        <v>2.3791500000000001</v>
      </c>
      <c r="GB179">
        <v>33.850900000000003</v>
      </c>
      <c r="GC179">
        <v>23.982399999999998</v>
      </c>
      <c r="GD179">
        <v>19</v>
      </c>
      <c r="GE179">
        <v>237.827</v>
      </c>
      <c r="GF179">
        <v>581.59400000000005</v>
      </c>
      <c r="GG179">
        <v>25.434000000000001</v>
      </c>
      <c r="GH179">
        <v>26.222200000000001</v>
      </c>
      <c r="GI179">
        <v>30.0001</v>
      </c>
      <c r="GJ179">
        <v>26.363700000000001</v>
      </c>
      <c r="GK179">
        <v>26.334700000000002</v>
      </c>
      <c r="GL179">
        <v>35.5625</v>
      </c>
      <c r="GM179">
        <v>-30</v>
      </c>
      <c r="GN179">
        <v>-30</v>
      </c>
      <c r="GO179">
        <v>25.438099999999999</v>
      </c>
      <c r="GP179">
        <v>800</v>
      </c>
      <c r="GQ179">
        <v>12.5298</v>
      </c>
      <c r="GR179">
        <v>99.715900000000005</v>
      </c>
      <c r="GS179">
        <v>99.535799999999995</v>
      </c>
    </row>
    <row r="180" spans="1:201" x14ac:dyDescent="0.25">
      <c r="A180">
        <v>164</v>
      </c>
      <c r="B180">
        <v>1690216924.5999999</v>
      </c>
      <c r="C180">
        <v>1979.099999904633</v>
      </c>
      <c r="D180" t="s">
        <v>661</v>
      </c>
      <c r="E180" t="s">
        <v>662</v>
      </c>
      <c r="F180" t="s">
        <v>330</v>
      </c>
      <c r="H180">
        <v>1690216924.5999999</v>
      </c>
      <c r="I180">
        <f t="shared" si="60"/>
        <v>1.9683540676859396E-3</v>
      </c>
      <c r="J180">
        <f t="shared" si="61"/>
        <v>1.9683540676859397</v>
      </c>
      <c r="K180">
        <f t="shared" si="62"/>
        <v>33.016906902243164</v>
      </c>
      <c r="L180">
        <f t="shared" si="63"/>
        <v>421.15899999999999</v>
      </c>
      <c r="M180">
        <f t="shared" si="64"/>
        <v>88.051492599292729</v>
      </c>
      <c r="N180">
        <f t="shared" si="65"/>
        <v>8.7334724392541929</v>
      </c>
      <c r="O180">
        <f t="shared" si="66"/>
        <v>41.773062675752996</v>
      </c>
      <c r="P180">
        <f t="shared" si="67"/>
        <v>0.16718828960980536</v>
      </c>
      <c r="Q180">
        <f t="shared" si="68"/>
        <v>2.0614749708610911</v>
      </c>
      <c r="R180">
        <f t="shared" si="69"/>
        <v>0.16000417881901624</v>
      </c>
      <c r="S180">
        <f t="shared" si="70"/>
        <v>0.10062234993140262</v>
      </c>
      <c r="T180">
        <f t="shared" si="71"/>
        <v>276.11443474199996</v>
      </c>
      <c r="U180">
        <f t="shared" si="72"/>
        <v>28.37209904411187</v>
      </c>
      <c r="V180">
        <f t="shared" si="73"/>
        <v>28.37209904411187</v>
      </c>
      <c r="W180">
        <f t="shared" si="74"/>
        <v>3.8779408085001323</v>
      </c>
      <c r="X180">
        <f t="shared" si="75"/>
        <v>76.144241546910891</v>
      </c>
      <c r="Y180">
        <f t="shared" si="76"/>
        <v>2.6982153718812003</v>
      </c>
      <c r="Z180">
        <f t="shared" si="77"/>
        <v>3.5435580118279666</v>
      </c>
      <c r="AA180">
        <f t="shared" si="78"/>
        <v>1.179725436618932</v>
      </c>
      <c r="AB180">
        <f t="shared" si="79"/>
        <v>-86.804414384949936</v>
      </c>
      <c r="AC180">
        <f t="shared" si="80"/>
        <v>-171.39728537801827</v>
      </c>
      <c r="AD180">
        <f t="shared" si="81"/>
        <v>-18.051412870284121</v>
      </c>
      <c r="AE180">
        <f t="shared" si="82"/>
        <v>-0.13867789125239938</v>
      </c>
      <c r="AF180">
        <v>43</v>
      </c>
      <c r="AG180">
        <v>14</v>
      </c>
      <c r="AH180">
        <f t="shared" si="83"/>
        <v>1</v>
      </c>
      <c r="AI180">
        <f t="shared" si="84"/>
        <v>0</v>
      </c>
      <c r="AJ180">
        <f t="shared" si="85"/>
        <v>52297.797317466619</v>
      </c>
      <c r="AK180">
        <f t="shared" si="86"/>
        <v>1800</v>
      </c>
      <c r="AL180">
        <f t="shared" si="87"/>
        <v>1499.1098112</v>
      </c>
      <c r="AM180">
        <f t="shared" si="88"/>
        <v>0.832838784</v>
      </c>
      <c r="AN180">
        <f t="shared" si="89"/>
        <v>0.15339690818999999</v>
      </c>
      <c r="AO180">
        <v>33.6</v>
      </c>
      <c r="AP180">
        <v>0.5</v>
      </c>
      <c r="AQ180" t="s">
        <v>331</v>
      </c>
      <c r="AR180">
        <v>2</v>
      </c>
      <c r="AS180">
        <v>1690216924.5999999</v>
      </c>
      <c r="AT180">
        <v>421.15899999999999</v>
      </c>
      <c r="AU180">
        <v>799.95399999999995</v>
      </c>
      <c r="AV180">
        <v>27.203600000000002</v>
      </c>
      <c r="AW180">
        <v>5.7735399999999997</v>
      </c>
      <c r="AX180">
        <v>421.28100000000001</v>
      </c>
      <c r="AY180">
        <v>27.010999999999999</v>
      </c>
      <c r="AZ180">
        <v>300.221</v>
      </c>
      <c r="BA180">
        <v>99.085899999999995</v>
      </c>
      <c r="BB180">
        <v>0.100067</v>
      </c>
      <c r="BC180">
        <v>26.829899999999999</v>
      </c>
      <c r="BD180">
        <v>26.994700000000002</v>
      </c>
      <c r="BE180">
        <v>28.287400000000002</v>
      </c>
      <c r="BF180">
        <v>0</v>
      </c>
      <c r="BG180">
        <v>0</v>
      </c>
      <c r="BH180">
        <v>9975</v>
      </c>
      <c r="BI180">
        <v>1077.1500000000001</v>
      </c>
      <c r="BJ180">
        <v>1.8501799999999999</v>
      </c>
      <c r="BK180">
        <v>-378.79500000000002</v>
      </c>
      <c r="BL180">
        <v>432.93700000000001</v>
      </c>
      <c r="BM180">
        <v>804.6</v>
      </c>
      <c r="BN180">
        <v>21.430099999999999</v>
      </c>
      <c r="BO180">
        <v>799.95399999999995</v>
      </c>
      <c r="BP180">
        <v>5.7735399999999997</v>
      </c>
      <c r="BQ180">
        <v>2.6955</v>
      </c>
      <c r="BR180">
        <v>0.57207699999999995</v>
      </c>
      <c r="BS180">
        <v>22.2577</v>
      </c>
      <c r="BT180">
        <v>-0.962005</v>
      </c>
      <c r="BU180">
        <v>1800</v>
      </c>
      <c r="BV180">
        <v>0.909999</v>
      </c>
      <c r="BW180">
        <v>3.4007099999999998E-2</v>
      </c>
      <c r="BX180">
        <v>2.1991699999999999E-2</v>
      </c>
      <c r="BY180">
        <v>3.4002499999999998E-2</v>
      </c>
      <c r="BZ180">
        <v>26</v>
      </c>
      <c r="CA180">
        <v>33528.5</v>
      </c>
      <c r="CB180">
        <v>1690214843</v>
      </c>
      <c r="CC180" t="s">
        <v>332</v>
      </c>
      <c r="CD180">
        <v>1690214842</v>
      </c>
      <c r="CE180">
        <v>1690214843</v>
      </c>
      <c r="CF180">
        <v>8</v>
      </c>
      <c r="CG180">
        <v>-6.3E-2</v>
      </c>
      <c r="CH180">
        <v>1E-3</v>
      </c>
      <c r="CI180">
        <v>-0.38900000000000001</v>
      </c>
      <c r="CJ180">
        <v>-6.6000000000000003E-2</v>
      </c>
      <c r="CK180">
        <v>800</v>
      </c>
      <c r="CL180">
        <v>6</v>
      </c>
      <c r="CM180">
        <v>0.23</v>
      </c>
      <c r="CN180">
        <v>0.02</v>
      </c>
      <c r="CO180">
        <v>-377.34352499999989</v>
      </c>
      <c r="CP180">
        <v>-8.8673133208245929</v>
      </c>
      <c r="CQ180">
        <v>0.854742241482779</v>
      </c>
      <c r="CR180">
        <v>-1</v>
      </c>
      <c r="CS180">
        <v>21.365485</v>
      </c>
      <c r="CT180">
        <v>0.35156172607879721</v>
      </c>
      <c r="CU180">
        <v>3.3841310184447512E-2</v>
      </c>
      <c r="CV180">
        <v>-1</v>
      </c>
      <c r="CW180">
        <v>0</v>
      </c>
      <c r="CX180">
        <v>0</v>
      </c>
      <c r="CY180" t="s">
        <v>333</v>
      </c>
      <c r="CZ180">
        <v>2.3646600000000002</v>
      </c>
      <c r="DA180">
        <v>2.7138399999999998</v>
      </c>
      <c r="DB180">
        <v>9.3095600000000001E-2</v>
      </c>
      <c r="DC180">
        <v>0.14609</v>
      </c>
      <c r="DD180">
        <v>0.12435400000000001</v>
      </c>
      <c r="DE180">
        <v>3.8232299999999997E-2</v>
      </c>
      <c r="DF180">
        <v>33108.6</v>
      </c>
      <c r="DG180">
        <v>27512.3</v>
      </c>
      <c r="DH180">
        <v>31166.2</v>
      </c>
      <c r="DI180">
        <v>28074.7</v>
      </c>
      <c r="DJ180">
        <v>37039.599999999999</v>
      </c>
      <c r="DK180">
        <v>38395</v>
      </c>
      <c r="DL180">
        <v>44351.7</v>
      </c>
      <c r="DM180">
        <v>42547.6</v>
      </c>
      <c r="DN180">
        <v>1.3637999999999999</v>
      </c>
      <c r="DO180">
        <v>2.0346500000000001</v>
      </c>
      <c r="DP180">
        <v>8.4035100000000001E-2</v>
      </c>
      <c r="DQ180">
        <v>0.177264</v>
      </c>
      <c r="DR180">
        <v>25.6188</v>
      </c>
      <c r="DS180">
        <v>25.387699999999999</v>
      </c>
      <c r="DT180">
        <v>17</v>
      </c>
      <c r="DU180">
        <v>29.8</v>
      </c>
      <c r="DV180">
        <v>7.2262399999999998</v>
      </c>
      <c r="DW180">
        <v>62.078499999999998</v>
      </c>
      <c r="DX180">
        <v>36.402200000000001</v>
      </c>
      <c r="DY180">
        <v>1</v>
      </c>
      <c r="DZ180">
        <v>-9.3302800000000005E-2</v>
      </c>
      <c r="EA180">
        <v>-0.31353799999999998</v>
      </c>
      <c r="EB180">
        <v>20.1889</v>
      </c>
      <c r="EC180">
        <v>5.2408000000000001</v>
      </c>
      <c r="ED180">
        <v>12.039899999999999</v>
      </c>
      <c r="EE180">
        <v>5.0161499999999997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1.8689100000000001</v>
      </c>
      <c r="EL180">
        <v>1.86466</v>
      </c>
      <c r="EM180">
        <v>1.8691899999999999</v>
      </c>
      <c r="EN180">
        <v>1.8672599999999999</v>
      </c>
      <c r="EO180">
        <v>1.8633999999999999</v>
      </c>
      <c r="EP180">
        <v>1.86459</v>
      </c>
      <c r="EQ180">
        <v>1.8701700000000001</v>
      </c>
      <c r="ER180">
        <v>1.86948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-0.122</v>
      </c>
      <c r="FG180">
        <v>0.19259999999999999</v>
      </c>
      <c r="FH180">
        <v>0.16202357103534001</v>
      </c>
      <c r="FI180">
        <v>-6.1462078757559423E-4</v>
      </c>
      <c r="FJ180">
        <v>-1.8861989874597051E-7</v>
      </c>
      <c r="FK180">
        <v>1.1980462299894961E-10</v>
      </c>
      <c r="FL180">
        <v>0.19260234566371101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34.700000000000003</v>
      </c>
      <c r="FU180">
        <v>34.700000000000003</v>
      </c>
      <c r="FV180">
        <v>1.7785599999999999</v>
      </c>
      <c r="FW180">
        <v>2.5817899999999998</v>
      </c>
      <c r="FX180">
        <v>1.5490699999999999</v>
      </c>
      <c r="FY180">
        <v>2.3290999999999999</v>
      </c>
      <c r="FZ180">
        <v>1.50146</v>
      </c>
      <c r="GA180">
        <v>2.3791500000000001</v>
      </c>
      <c r="GB180">
        <v>33.850900000000003</v>
      </c>
      <c r="GC180">
        <v>23.982399999999998</v>
      </c>
      <c r="GD180">
        <v>19</v>
      </c>
      <c r="GE180">
        <v>237.858</v>
      </c>
      <c r="GF180">
        <v>581.697</v>
      </c>
      <c r="GG180">
        <v>25.445900000000002</v>
      </c>
      <c r="GH180">
        <v>26.222100000000001</v>
      </c>
      <c r="GI180">
        <v>29.9999</v>
      </c>
      <c r="GJ180">
        <v>26.361499999999999</v>
      </c>
      <c r="GK180">
        <v>26.334700000000002</v>
      </c>
      <c r="GL180">
        <v>35.561999999999998</v>
      </c>
      <c r="GM180">
        <v>-30</v>
      </c>
      <c r="GN180">
        <v>-30</v>
      </c>
      <c r="GO180">
        <v>25.450399999999998</v>
      </c>
      <c r="GP180">
        <v>800</v>
      </c>
      <c r="GQ180">
        <v>12.5298</v>
      </c>
      <c r="GR180">
        <v>99.717500000000001</v>
      </c>
      <c r="GS180">
        <v>99.537400000000005</v>
      </c>
    </row>
    <row r="181" spans="1:201" x14ac:dyDescent="0.25">
      <c r="A181">
        <v>165</v>
      </c>
      <c r="B181">
        <v>1690216934.5999999</v>
      </c>
      <c r="C181">
        <v>1989.099999904633</v>
      </c>
      <c r="D181" t="s">
        <v>663</v>
      </c>
      <c r="E181" t="s">
        <v>664</v>
      </c>
      <c r="F181" t="s">
        <v>330</v>
      </c>
      <c r="H181">
        <v>1690216934.5999999</v>
      </c>
      <c r="I181">
        <f t="shared" si="60"/>
        <v>1.9739077904972657E-3</v>
      </c>
      <c r="J181">
        <f t="shared" si="61"/>
        <v>1.9739077904972659</v>
      </c>
      <c r="K181">
        <f t="shared" si="62"/>
        <v>33.168012204463558</v>
      </c>
      <c r="L181">
        <f t="shared" si="63"/>
        <v>419.56099999999998</v>
      </c>
      <c r="M181">
        <f t="shared" si="64"/>
        <v>87.680081938594412</v>
      </c>
      <c r="N181">
        <f t="shared" si="65"/>
        <v>8.6967304248491004</v>
      </c>
      <c r="O181">
        <f t="shared" si="66"/>
        <v>41.615026276270001</v>
      </c>
      <c r="P181">
        <f t="shared" si="67"/>
        <v>0.16860588663100234</v>
      </c>
      <c r="Q181">
        <f t="shared" si="68"/>
        <v>2.0637562678387269</v>
      </c>
      <c r="R181">
        <f t="shared" si="69"/>
        <v>0.16130998915304307</v>
      </c>
      <c r="S181">
        <f t="shared" si="70"/>
        <v>0.10144794091440809</v>
      </c>
      <c r="T181">
        <f t="shared" si="71"/>
        <v>276.11427094199996</v>
      </c>
      <c r="U181">
        <f t="shared" si="72"/>
        <v>28.369559421012347</v>
      </c>
      <c r="V181">
        <f t="shared" si="73"/>
        <v>28.369559421012347</v>
      </c>
      <c r="W181">
        <f t="shared" si="74"/>
        <v>3.877368296418648</v>
      </c>
      <c r="X181">
        <f t="shared" si="75"/>
        <v>76.300428730728385</v>
      </c>
      <c r="Y181">
        <f t="shared" si="76"/>
        <v>2.703908959149</v>
      </c>
      <c r="Z181">
        <f t="shared" si="77"/>
        <v>3.5437664035825498</v>
      </c>
      <c r="AA181">
        <f t="shared" si="78"/>
        <v>1.173459337269648</v>
      </c>
      <c r="AB181">
        <f t="shared" si="79"/>
        <v>-87.049333560929412</v>
      </c>
      <c r="AC181">
        <f t="shared" si="80"/>
        <v>-171.1931365197722</v>
      </c>
      <c r="AD181">
        <f t="shared" si="81"/>
        <v>-18.009842735602206</v>
      </c>
      <c r="AE181">
        <f t="shared" si="82"/>
        <v>-0.13804187430386605</v>
      </c>
      <c r="AF181">
        <v>43</v>
      </c>
      <c r="AG181">
        <v>14</v>
      </c>
      <c r="AH181">
        <f t="shared" si="83"/>
        <v>1</v>
      </c>
      <c r="AI181">
        <f t="shared" si="84"/>
        <v>0</v>
      </c>
      <c r="AJ181">
        <f t="shared" si="85"/>
        <v>52401.927873764413</v>
      </c>
      <c r="AK181">
        <f t="shared" si="86"/>
        <v>1800</v>
      </c>
      <c r="AL181">
        <f t="shared" si="87"/>
        <v>1499.1094512</v>
      </c>
      <c r="AM181">
        <f t="shared" si="88"/>
        <v>0.83283858399999999</v>
      </c>
      <c r="AN181">
        <f t="shared" si="89"/>
        <v>0.15339681718999998</v>
      </c>
      <c r="AO181">
        <v>33.6</v>
      </c>
      <c r="AP181">
        <v>0.5</v>
      </c>
      <c r="AQ181" t="s">
        <v>331</v>
      </c>
      <c r="AR181">
        <v>2</v>
      </c>
      <c r="AS181">
        <v>1690216934.5999999</v>
      </c>
      <c r="AT181">
        <v>419.56099999999998</v>
      </c>
      <c r="AU181">
        <v>800.01900000000001</v>
      </c>
      <c r="AV181">
        <v>27.2607</v>
      </c>
      <c r="AW181">
        <v>5.7725099999999996</v>
      </c>
      <c r="AX181">
        <v>419.68200000000002</v>
      </c>
      <c r="AY181">
        <v>27.068100000000001</v>
      </c>
      <c r="AZ181">
        <v>300.23599999999999</v>
      </c>
      <c r="BA181">
        <v>99.087000000000003</v>
      </c>
      <c r="BB181">
        <v>0.10007000000000001</v>
      </c>
      <c r="BC181">
        <v>26.8309</v>
      </c>
      <c r="BD181">
        <v>26.9892</v>
      </c>
      <c r="BE181">
        <v>28.288399999999999</v>
      </c>
      <c r="BF181">
        <v>0</v>
      </c>
      <c r="BG181">
        <v>0</v>
      </c>
      <c r="BH181">
        <v>9995.6200000000008</v>
      </c>
      <c r="BI181">
        <v>1077.31</v>
      </c>
      <c r="BJ181">
        <v>1.80813</v>
      </c>
      <c r="BK181">
        <v>-380.45800000000003</v>
      </c>
      <c r="BL181">
        <v>431.32</v>
      </c>
      <c r="BM181">
        <v>804.66399999999999</v>
      </c>
      <c r="BN181">
        <v>21.488199999999999</v>
      </c>
      <c r="BO181">
        <v>800.01900000000001</v>
      </c>
      <c r="BP181">
        <v>5.7725099999999996</v>
      </c>
      <c r="BQ181">
        <v>2.7011799999999999</v>
      </c>
      <c r="BR181">
        <v>0.57198099999999996</v>
      </c>
      <c r="BS181">
        <v>22.292300000000001</v>
      </c>
      <c r="BT181">
        <v>-0.96429600000000004</v>
      </c>
      <c r="BU181">
        <v>1800</v>
      </c>
      <c r="BV181">
        <v>0.91000099999999995</v>
      </c>
      <c r="BW181">
        <v>3.4007200000000001E-2</v>
      </c>
      <c r="BX181">
        <v>2.1991699999999999E-2</v>
      </c>
      <c r="BY181">
        <v>3.39999E-2</v>
      </c>
      <c r="BZ181">
        <v>26</v>
      </c>
      <c r="CA181">
        <v>33528.5</v>
      </c>
      <c r="CB181">
        <v>1690214843</v>
      </c>
      <c r="CC181" t="s">
        <v>332</v>
      </c>
      <c r="CD181">
        <v>1690214842</v>
      </c>
      <c r="CE181">
        <v>1690214843</v>
      </c>
      <c r="CF181">
        <v>8</v>
      </c>
      <c r="CG181">
        <v>-6.3E-2</v>
      </c>
      <c r="CH181">
        <v>1E-3</v>
      </c>
      <c r="CI181">
        <v>-0.38900000000000001</v>
      </c>
      <c r="CJ181">
        <v>-6.6000000000000003E-2</v>
      </c>
      <c r="CK181">
        <v>800</v>
      </c>
      <c r="CL181">
        <v>6</v>
      </c>
      <c r="CM181">
        <v>0.23</v>
      </c>
      <c r="CN181">
        <v>0.02</v>
      </c>
      <c r="CO181">
        <v>-378.80900000000003</v>
      </c>
      <c r="CP181">
        <v>-8.8430383275262088</v>
      </c>
      <c r="CQ181">
        <v>0.87651480028688411</v>
      </c>
      <c r="CR181">
        <v>-1</v>
      </c>
      <c r="CS181">
        <v>21.424063414634151</v>
      </c>
      <c r="CT181">
        <v>0.3389560975609478</v>
      </c>
      <c r="CU181">
        <v>3.3427663117708208E-2</v>
      </c>
      <c r="CV181">
        <v>-1</v>
      </c>
      <c r="CW181">
        <v>0</v>
      </c>
      <c r="CX181">
        <v>0</v>
      </c>
      <c r="CY181" t="s">
        <v>333</v>
      </c>
      <c r="CZ181">
        <v>2.3647200000000002</v>
      </c>
      <c r="DA181">
        <v>2.7138599999999999</v>
      </c>
      <c r="DB181">
        <v>9.2829200000000001E-2</v>
      </c>
      <c r="DC181">
        <v>0.14610000000000001</v>
      </c>
      <c r="DD181">
        <v>0.12453699999999999</v>
      </c>
      <c r="DE181">
        <v>3.8227400000000002E-2</v>
      </c>
      <c r="DF181">
        <v>33118.199999999997</v>
      </c>
      <c r="DG181">
        <v>27511.4</v>
      </c>
      <c r="DH181">
        <v>31166.1</v>
      </c>
      <c r="DI181">
        <v>28074.1</v>
      </c>
      <c r="DJ181">
        <v>37031.5</v>
      </c>
      <c r="DK181">
        <v>38394.400000000001</v>
      </c>
      <c r="DL181">
        <v>44351.4</v>
      </c>
      <c r="DM181">
        <v>42546.7</v>
      </c>
      <c r="DN181">
        <v>1.36395</v>
      </c>
      <c r="DO181">
        <v>2.03478</v>
      </c>
      <c r="DP181">
        <v>8.3699800000000005E-2</v>
      </c>
      <c r="DQ181">
        <v>0.17748800000000001</v>
      </c>
      <c r="DR181">
        <v>25.6188</v>
      </c>
      <c r="DS181">
        <v>25.385000000000002</v>
      </c>
      <c r="DT181">
        <v>17</v>
      </c>
      <c r="DU181">
        <v>29.8</v>
      </c>
      <c r="DV181">
        <v>7.2254399999999999</v>
      </c>
      <c r="DW181">
        <v>61.828499999999998</v>
      </c>
      <c r="DX181">
        <v>36.222000000000001</v>
      </c>
      <c r="DY181">
        <v>1</v>
      </c>
      <c r="DZ181">
        <v>-9.3056399999999997E-2</v>
      </c>
      <c r="EA181">
        <v>-0.30751899999999999</v>
      </c>
      <c r="EB181">
        <v>20.189299999999999</v>
      </c>
      <c r="EC181">
        <v>5.2408000000000001</v>
      </c>
      <c r="ED181">
        <v>12.039899999999999</v>
      </c>
      <c r="EE181">
        <v>5.0167999999999999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1.86896</v>
      </c>
      <c r="EL181">
        <v>1.86467</v>
      </c>
      <c r="EM181">
        <v>1.8692</v>
      </c>
      <c r="EN181">
        <v>1.8672800000000001</v>
      </c>
      <c r="EO181">
        <v>1.8633999999999999</v>
      </c>
      <c r="EP181">
        <v>1.8645799999999999</v>
      </c>
      <c r="EQ181">
        <v>1.87018</v>
      </c>
      <c r="ER181">
        <v>1.86948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-0.121</v>
      </c>
      <c r="FG181">
        <v>0.19259999999999999</v>
      </c>
      <c r="FH181">
        <v>0.16202357103534001</v>
      </c>
      <c r="FI181">
        <v>-6.1462078757559423E-4</v>
      </c>
      <c r="FJ181">
        <v>-1.8861989874597051E-7</v>
      </c>
      <c r="FK181">
        <v>1.1980462299894961E-10</v>
      </c>
      <c r="FL181">
        <v>0.19260234566371101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34.9</v>
      </c>
      <c r="FU181">
        <v>34.9</v>
      </c>
      <c r="FV181">
        <v>1.7785599999999999</v>
      </c>
      <c r="FW181">
        <v>2.5793499999999998</v>
      </c>
      <c r="FX181">
        <v>1.5490699999999999</v>
      </c>
      <c r="FY181">
        <v>2.3290999999999999</v>
      </c>
      <c r="FZ181">
        <v>1.50146</v>
      </c>
      <c r="GA181">
        <v>2.3840300000000001</v>
      </c>
      <c r="GB181">
        <v>33.850900000000003</v>
      </c>
      <c r="GC181">
        <v>23.991199999999999</v>
      </c>
      <c r="GD181">
        <v>19</v>
      </c>
      <c r="GE181">
        <v>237.91399999999999</v>
      </c>
      <c r="GF181">
        <v>581.774</v>
      </c>
      <c r="GG181">
        <v>25.456700000000001</v>
      </c>
      <c r="GH181">
        <v>26.219899999999999</v>
      </c>
      <c r="GI181">
        <v>30.0001</v>
      </c>
      <c r="GJ181">
        <v>26.361499999999999</v>
      </c>
      <c r="GK181">
        <v>26.3324</v>
      </c>
      <c r="GL181">
        <v>35.563200000000002</v>
      </c>
      <c r="GM181">
        <v>-30</v>
      </c>
      <c r="GN181">
        <v>-30</v>
      </c>
      <c r="GO181">
        <v>25.460899999999999</v>
      </c>
      <c r="GP181">
        <v>800</v>
      </c>
      <c r="GQ181">
        <v>12.5298</v>
      </c>
      <c r="GR181">
        <v>99.716999999999999</v>
      </c>
      <c r="GS181">
        <v>99.535200000000003</v>
      </c>
    </row>
    <row r="182" spans="1:201" x14ac:dyDescent="0.25">
      <c r="A182">
        <v>166</v>
      </c>
      <c r="B182">
        <v>1690216944.5999999</v>
      </c>
      <c r="C182">
        <v>1999.099999904633</v>
      </c>
      <c r="D182" t="s">
        <v>665</v>
      </c>
      <c r="E182" t="s">
        <v>666</v>
      </c>
      <c r="F182" t="s">
        <v>330</v>
      </c>
      <c r="H182">
        <v>1690216944.5999999</v>
      </c>
      <c r="I182">
        <f t="shared" si="60"/>
        <v>1.9789273404817371E-3</v>
      </c>
      <c r="J182">
        <f t="shared" si="61"/>
        <v>1.9789273404817371</v>
      </c>
      <c r="K182">
        <f t="shared" si="62"/>
        <v>33.280139413432167</v>
      </c>
      <c r="L182">
        <f t="shared" si="63"/>
        <v>418.26400000000001</v>
      </c>
      <c r="M182">
        <f t="shared" si="64"/>
        <v>87.838099371096902</v>
      </c>
      <c r="N182">
        <f t="shared" si="65"/>
        <v>8.7123583865286687</v>
      </c>
      <c r="O182">
        <f t="shared" si="66"/>
        <v>41.486164822256001</v>
      </c>
      <c r="P182">
        <f t="shared" si="67"/>
        <v>0.16995933124322643</v>
      </c>
      <c r="Q182">
        <f t="shared" si="68"/>
        <v>2.0651987123178288</v>
      </c>
      <c r="R182">
        <f t="shared" si="69"/>
        <v>0.16255353220236812</v>
      </c>
      <c r="S182">
        <f t="shared" si="70"/>
        <v>0.10223444648224289</v>
      </c>
      <c r="T182">
        <f t="shared" si="71"/>
        <v>276.11444213999999</v>
      </c>
      <c r="U182">
        <f t="shared" si="72"/>
        <v>28.367286565414421</v>
      </c>
      <c r="V182">
        <f t="shared" si="73"/>
        <v>28.367286565414421</v>
      </c>
      <c r="W182">
        <f t="shared" si="74"/>
        <v>3.8768559847618005</v>
      </c>
      <c r="X182">
        <f t="shared" si="75"/>
        <v>76.454522267190285</v>
      </c>
      <c r="Y182">
        <f t="shared" si="76"/>
        <v>2.7094493396518002</v>
      </c>
      <c r="Z182">
        <f t="shared" si="77"/>
        <v>3.5438706034718552</v>
      </c>
      <c r="AA182">
        <f t="shared" si="78"/>
        <v>1.1674066451100003</v>
      </c>
      <c r="AB182">
        <f t="shared" si="79"/>
        <v>-87.270695715244599</v>
      </c>
      <c r="AC182">
        <f t="shared" si="80"/>
        <v>-171.00406352241629</v>
      </c>
      <c r="AD182">
        <f t="shared" si="81"/>
        <v>-17.977227298380392</v>
      </c>
      <c r="AE182">
        <f t="shared" si="82"/>
        <v>-0.13754439604127811</v>
      </c>
      <c r="AF182">
        <v>43</v>
      </c>
      <c r="AG182">
        <v>14</v>
      </c>
      <c r="AH182">
        <f t="shared" si="83"/>
        <v>1</v>
      </c>
      <c r="AI182">
        <f t="shared" si="84"/>
        <v>0</v>
      </c>
      <c r="AJ182">
        <f t="shared" si="85"/>
        <v>52467.842023642552</v>
      </c>
      <c r="AK182">
        <f t="shared" si="86"/>
        <v>1800</v>
      </c>
      <c r="AL182">
        <f t="shared" si="87"/>
        <v>1499.1093089999999</v>
      </c>
      <c r="AM182">
        <f t="shared" si="88"/>
        <v>0.83283850500000001</v>
      </c>
      <c r="AN182">
        <f t="shared" si="89"/>
        <v>0.15339691229999999</v>
      </c>
      <c r="AO182">
        <v>33.6</v>
      </c>
      <c r="AP182">
        <v>0.5</v>
      </c>
      <c r="AQ182" t="s">
        <v>331</v>
      </c>
      <c r="AR182">
        <v>2</v>
      </c>
      <c r="AS182">
        <v>1690216944.5999999</v>
      </c>
      <c r="AT182">
        <v>418.26400000000001</v>
      </c>
      <c r="AU182">
        <v>800.02</v>
      </c>
      <c r="AV182">
        <v>27.316700000000001</v>
      </c>
      <c r="AW182">
        <v>5.7723800000000001</v>
      </c>
      <c r="AX182">
        <v>418.38400000000001</v>
      </c>
      <c r="AY182">
        <v>27.124099999999999</v>
      </c>
      <c r="AZ182">
        <v>300.19799999999998</v>
      </c>
      <c r="BA182">
        <v>99.086500000000001</v>
      </c>
      <c r="BB182">
        <v>0.100054</v>
      </c>
      <c r="BC182">
        <v>26.831399999999999</v>
      </c>
      <c r="BD182">
        <v>27.003499999999999</v>
      </c>
      <c r="BE182">
        <v>28.277200000000001</v>
      </c>
      <c r="BF182">
        <v>0</v>
      </c>
      <c r="BG182">
        <v>0</v>
      </c>
      <c r="BH182">
        <v>10008.799999999999</v>
      </c>
      <c r="BI182">
        <v>1077.31</v>
      </c>
      <c r="BJ182">
        <v>1.68198</v>
      </c>
      <c r="BK182">
        <v>-381.755</v>
      </c>
      <c r="BL182">
        <v>430.01100000000002</v>
      </c>
      <c r="BM182">
        <v>804.66499999999996</v>
      </c>
      <c r="BN182">
        <v>21.5443</v>
      </c>
      <c r="BO182">
        <v>800.02</v>
      </c>
      <c r="BP182">
        <v>5.7723800000000001</v>
      </c>
      <c r="BQ182">
        <v>2.7067199999999998</v>
      </c>
      <c r="BR182">
        <v>0.57196499999999995</v>
      </c>
      <c r="BS182">
        <v>22.326000000000001</v>
      </c>
      <c r="BT182">
        <v>-0.964669</v>
      </c>
      <c r="BU182">
        <v>1800</v>
      </c>
      <c r="BV182">
        <v>0.90999600000000003</v>
      </c>
      <c r="BW182">
        <v>3.4006799999999997E-2</v>
      </c>
      <c r="BX182">
        <v>2.1991500000000001E-2</v>
      </c>
      <c r="BY182">
        <v>3.4006000000000002E-2</v>
      </c>
      <c r="BZ182">
        <v>26</v>
      </c>
      <c r="CA182">
        <v>33528.5</v>
      </c>
      <c r="CB182">
        <v>1690214843</v>
      </c>
      <c r="CC182" t="s">
        <v>332</v>
      </c>
      <c r="CD182">
        <v>1690214842</v>
      </c>
      <c r="CE182">
        <v>1690214843</v>
      </c>
      <c r="CF182">
        <v>8</v>
      </c>
      <c r="CG182">
        <v>-6.3E-2</v>
      </c>
      <c r="CH182">
        <v>1E-3</v>
      </c>
      <c r="CI182">
        <v>-0.38900000000000001</v>
      </c>
      <c r="CJ182">
        <v>-6.6000000000000003E-2</v>
      </c>
      <c r="CK182">
        <v>800</v>
      </c>
      <c r="CL182">
        <v>6</v>
      </c>
      <c r="CM182">
        <v>0.23</v>
      </c>
      <c r="CN182">
        <v>0.02</v>
      </c>
      <c r="CO182">
        <v>-380.23251219512201</v>
      </c>
      <c r="CP182">
        <v>-8.7561951219510323</v>
      </c>
      <c r="CQ182">
        <v>0.86749471417384993</v>
      </c>
      <c r="CR182">
        <v>-1</v>
      </c>
      <c r="CS182">
        <v>21.481999999999999</v>
      </c>
      <c r="CT182">
        <v>0.35202857142859822</v>
      </c>
      <c r="CU182">
        <v>3.4731598040387307E-2</v>
      </c>
      <c r="CV182">
        <v>-1</v>
      </c>
      <c r="CW182">
        <v>0</v>
      </c>
      <c r="CX182">
        <v>0</v>
      </c>
      <c r="CY182" t="s">
        <v>333</v>
      </c>
      <c r="CZ182">
        <v>2.3645999999999998</v>
      </c>
      <c r="DA182">
        <v>2.7138499999999999</v>
      </c>
      <c r="DB182">
        <v>9.2612E-2</v>
      </c>
      <c r="DC182">
        <v>0.14610000000000001</v>
      </c>
      <c r="DD182">
        <v>0.12471500000000001</v>
      </c>
      <c r="DE182">
        <v>3.8226499999999997E-2</v>
      </c>
      <c r="DF182">
        <v>33125.9</v>
      </c>
      <c r="DG182">
        <v>27511.8</v>
      </c>
      <c r="DH182">
        <v>31165.8</v>
      </c>
      <c r="DI182">
        <v>28074.5</v>
      </c>
      <c r="DJ182">
        <v>37023.800000000003</v>
      </c>
      <c r="DK182">
        <v>38394.9</v>
      </c>
      <c r="DL182">
        <v>44351.3</v>
      </c>
      <c r="DM182">
        <v>42547.3</v>
      </c>
      <c r="DN182">
        <v>1.3642300000000001</v>
      </c>
      <c r="DO182">
        <v>2.0347200000000001</v>
      </c>
      <c r="DP182">
        <v>8.4705699999999995E-2</v>
      </c>
      <c r="DQ182">
        <v>0.17683199999999999</v>
      </c>
      <c r="DR182">
        <v>25.616700000000002</v>
      </c>
      <c r="DS182">
        <v>25.384499999999999</v>
      </c>
      <c r="DT182">
        <v>17</v>
      </c>
      <c r="DU182">
        <v>29.8</v>
      </c>
      <c r="DV182">
        <v>7.2258199999999997</v>
      </c>
      <c r="DW182">
        <v>61.698500000000003</v>
      </c>
      <c r="DX182">
        <v>36.354199999999999</v>
      </c>
      <c r="DY182">
        <v>1</v>
      </c>
      <c r="DZ182">
        <v>-9.3216499999999994E-2</v>
      </c>
      <c r="EA182">
        <v>-0.30604799999999999</v>
      </c>
      <c r="EB182">
        <v>20.189399999999999</v>
      </c>
      <c r="EC182">
        <v>5.2408000000000001</v>
      </c>
      <c r="ED182">
        <v>12.039899999999999</v>
      </c>
      <c r="EE182">
        <v>5.0166000000000004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1.8689499999999999</v>
      </c>
      <c r="EL182">
        <v>1.8646400000000001</v>
      </c>
      <c r="EM182">
        <v>1.8691899999999999</v>
      </c>
      <c r="EN182">
        <v>1.86727</v>
      </c>
      <c r="EO182">
        <v>1.8633999999999999</v>
      </c>
      <c r="EP182">
        <v>1.8645799999999999</v>
      </c>
      <c r="EQ182">
        <v>1.8701700000000001</v>
      </c>
      <c r="ER182">
        <v>1.8694299999999999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-0.12</v>
      </c>
      <c r="FG182">
        <v>0.19259999999999999</v>
      </c>
      <c r="FH182">
        <v>0.16202357103534001</v>
      </c>
      <c r="FI182">
        <v>-6.1462078757559423E-4</v>
      </c>
      <c r="FJ182">
        <v>-1.8861989874597051E-7</v>
      </c>
      <c r="FK182">
        <v>1.1980462299894961E-10</v>
      </c>
      <c r="FL182">
        <v>0.19260234566371101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35</v>
      </c>
      <c r="FU182">
        <v>35</v>
      </c>
      <c r="FV182">
        <v>1.7785599999999999</v>
      </c>
      <c r="FW182">
        <v>2.5805699999999998</v>
      </c>
      <c r="FX182">
        <v>1.5490699999999999</v>
      </c>
      <c r="FY182">
        <v>2.3290999999999999</v>
      </c>
      <c r="FZ182">
        <v>1.50146</v>
      </c>
      <c r="GA182">
        <v>2.4047900000000002</v>
      </c>
      <c r="GB182">
        <v>33.850900000000003</v>
      </c>
      <c r="GC182">
        <v>23.991199999999999</v>
      </c>
      <c r="GD182">
        <v>19</v>
      </c>
      <c r="GE182">
        <v>238.00899999999999</v>
      </c>
      <c r="GF182">
        <v>581.73299999999995</v>
      </c>
      <c r="GG182">
        <v>25.465299999999999</v>
      </c>
      <c r="GH182">
        <v>26.217700000000001</v>
      </c>
      <c r="GI182">
        <v>30</v>
      </c>
      <c r="GJ182">
        <v>26.359300000000001</v>
      </c>
      <c r="GK182">
        <v>26.3324</v>
      </c>
      <c r="GL182">
        <v>35.5623</v>
      </c>
      <c r="GM182">
        <v>-30</v>
      </c>
      <c r="GN182">
        <v>-30</v>
      </c>
      <c r="GO182">
        <v>25.4651</v>
      </c>
      <c r="GP182">
        <v>800</v>
      </c>
      <c r="GQ182">
        <v>12.5298</v>
      </c>
      <c r="GR182">
        <v>99.716499999999996</v>
      </c>
      <c r="GS182">
        <v>99.536500000000004</v>
      </c>
    </row>
    <row r="183" spans="1:201" x14ac:dyDescent="0.25">
      <c r="A183">
        <v>167</v>
      </c>
      <c r="B183">
        <v>1690216954.5999999</v>
      </c>
      <c r="C183">
        <v>2009.099999904633</v>
      </c>
      <c r="D183" t="s">
        <v>667</v>
      </c>
      <c r="E183" t="s">
        <v>668</v>
      </c>
      <c r="F183" t="s">
        <v>330</v>
      </c>
      <c r="H183">
        <v>1690216954.5999999</v>
      </c>
      <c r="I183">
        <f t="shared" si="60"/>
        <v>1.9833821633298706E-3</v>
      </c>
      <c r="J183">
        <f t="shared" si="61"/>
        <v>1.9833821633298707</v>
      </c>
      <c r="K183">
        <f t="shared" si="62"/>
        <v>33.413664285141323</v>
      </c>
      <c r="L183">
        <f t="shared" si="63"/>
        <v>416.71499999999997</v>
      </c>
      <c r="M183">
        <f t="shared" si="64"/>
        <v>87.299613463015973</v>
      </c>
      <c r="N183">
        <f t="shared" si="65"/>
        <v>8.6589351577546481</v>
      </c>
      <c r="O183">
        <f t="shared" si="66"/>
        <v>41.332464384763504</v>
      </c>
      <c r="P183">
        <f t="shared" si="67"/>
        <v>0.17120160203114831</v>
      </c>
      <c r="Q183">
        <f t="shared" si="68"/>
        <v>2.0636143975672447</v>
      </c>
      <c r="R183">
        <f t="shared" si="69"/>
        <v>0.1636842229305169</v>
      </c>
      <c r="S183">
        <f t="shared" si="70"/>
        <v>0.10295053743196624</v>
      </c>
      <c r="T183">
        <f t="shared" si="71"/>
        <v>276.11431000200002</v>
      </c>
      <c r="U183">
        <f t="shared" si="72"/>
        <v>28.366554546171876</v>
      </c>
      <c r="V183">
        <f t="shared" si="73"/>
        <v>28.366554546171876</v>
      </c>
      <c r="W183">
        <f t="shared" si="74"/>
        <v>3.8766909969733989</v>
      </c>
      <c r="X183">
        <f t="shared" si="75"/>
        <v>76.605607804252685</v>
      </c>
      <c r="Y183">
        <f t="shared" si="76"/>
        <v>2.7147716861565598</v>
      </c>
      <c r="Z183">
        <f t="shared" si="77"/>
        <v>3.5438289231951656</v>
      </c>
      <c r="AA183">
        <f t="shared" si="78"/>
        <v>1.1619193108168391</v>
      </c>
      <c r="AB183">
        <f t="shared" si="79"/>
        <v>-87.467153402847288</v>
      </c>
      <c r="AC183">
        <f t="shared" si="80"/>
        <v>-170.81368891221004</v>
      </c>
      <c r="AD183">
        <f t="shared" si="81"/>
        <v>-17.970916465344981</v>
      </c>
      <c r="AE183">
        <f t="shared" si="82"/>
        <v>-0.13744877840230174</v>
      </c>
      <c r="AF183">
        <v>43</v>
      </c>
      <c r="AG183">
        <v>14</v>
      </c>
      <c r="AH183">
        <f t="shared" si="83"/>
        <v>1</v>
      </c>
      <c r="AI183">
        <f t="shared" si="84"/>
        <v>0</v>
      </c>
      <c r="AJ183">
        <f t="shared" si="85"/>
        <v>52395.375272224897</v>
      </c>
      <c r="AK183">
        <f t="shared" si="86"/>
        <v>1800</v>
      </c>
      <c r="AL183">
        <f t="shared" si="87"/>
        <v>1499.1094331999998</v>
      </c>
      <c r="AM183">
        <f t="shared" si="88"/>
        <v>0.83283857399999994</v>
      </c>
      <c r="AN183">
        <f t="shared" si="89"/>
        <v>0.15339683889</v>
      </c>
      <c r="AO183">
        <v>33.6</v>
      </c>
      <c r="AP183">
        <v>0.5</v>
      </c>
      <c r="AQ183" t="s">
        <v>331</v>
      </c>
      <c r="AR183">
        <v>2</v>
      </c>
      <c r="AS183">
        <v>1690216954.5999999</v>
      </c>
      <c r="AT183">
        <v>416.71499999999997</v>
      </c>
      <c r="AU183">
        <v>800.072</v>
      </c>
      <c r="AV183">
        <v>27.3704</v>
      </c>
      <c r="AW183">
        <v>5.7720099999999999</v>
      </c>
      <c r="AX183">
        <v>416.83300000000003</v>
      </c>
      <c r="AY183">
        <v>27.177800000000001</v>
      </c>
      <c r="AZ183">
        <v>300.10399999999998</v>
      </c>
      <c r="BA183">
        <v>99.086500000000001</v>
      </c>
      <c r="BB183">
        <v>9.9908899999999995E-2</v>
      </c>
      <c r="BC183">
        <v>26.831199999999999</v>
      </c>
      <c r="BD183">
        <v>26.996700000000001</v>
      </c>
      <c r="BE183">
        <v>28.2971</v>
      </c>
      <c r="BF183">
        <v>0</v>
      </c>
      <c r="BG183">
        <v>0</v>
      </c>
      <c r="BH183">
        <v>9994.3799999999992</v>
      </c>
      <c r="BI183">
        <v>1077.3499999999999</v>
      </c>
      <c r="BJ183">
        <v>1.72403</v>
      </c>
      <c r="BK183">
        <v>-383.35700000000003</v>
      </c>
      <c r="BL183">
        <v>428.44200000000001</v>
      </c>
      <c r="BM183">
        <v>804.71699999999998</v>
      </c>
      <c r="BN183">
        <v>21.598400000000002</v>
      </c>
      <c r="BO183">
        <v>800.072</v>
      </c>
      <c r="BP183">
        <v>5.7720099999999999</v>
      </c>
      <c r="BQ183">
        <v>2.71204</v>
      </c>
      <c r="BR183">
        <v>0.57192900000000002</v>
      </c>
      <c r="BS183">
        <v>22.3582</v>
      </c>
      <c r="BT183">
        <v>-0.96553900000000004</v>
      </c>
      <c r="BU183">
        <v>1800</v>
      </c>
      <c r="BV183">
        <v>0.91</v>
      </c>
      <c r="BW183">
        <v>3.4007099999999998E-2</v>
      </c>
      <c r="BX183">
        <v>2.1991699999999999E-2</v>
      </c>
      <c r="BY183">
        <v>3.4001099999999999E-2</v>
      </c>
      <c r="BZ183">
        <v>26</v>
      </c>
      <c r="CA183">
        <v>33528.5</v>
      </c>
      <c r="CB183">
        <v>1690214843</v>
      </c>
      <c r="CC183" t="s">
        <v>332</v>
      </c>
      <c r="CD183">
        <v>1690214842</v>
      </c>
      <c r="CE183">
        <v>1690214843</v>
      </c>
      <c r="CF183">
        <v>8</v>
      </c>
      <c r="CG183">
        <v>-6.3E-2</v>
      </c>
      <c r="CH183">
        <v>1E-3</v>
      </c>
      <c r="CI183">
        <v>-0.38900000000000001</v>
      </c>
      <c r="CJ183">
        <v>-6.6000000000000003E-2</v>
      </c>
      <c r="CK183">
        <v>800</v>
      </c>
      <c r="CL183">
        <v>6</v>
      </c>
      <c r="CM183">
        <v>0.23</v>
      </c>
      <c r="CN183">
        <v>0.02</v>
      </c>
      <c r="CO183">
        <v>-381.78542499999998</v>
      </c>
      <c r="CP183">
        <v>-8.69003752345062</v>
      </c>
      <c r="CQ183">
        <v>0.83773008443949137</v>
      </c>
      <c r="CR183">
        <v>-1</v>
      </c>
      <c r="CS183">
        <v>21.542210000000001</v>
      </c>
      <c r="CT183">
        <v>0.31500337711068682</v>
      </c>
      <c r="CU183">
        <v>3.0318985800979411E-2</v>
      </c>
      <c r="CV183">
        <v>-1</v>
      </c>
      <c r="CW183">
        <v>0</v>
      </c>
      <c r="CX183">
        <v>0</v>
      </c>
      <c r="CY183" t="s">
        <v>333</v>
      </c>
      <c r="CZ183">
        <v>2.36429</v>
      </c>
      <c r="DA183">
        <v>2.7136900000000002</v>
      </c>
      <c r="DB183">
        <v>9.2352000000000004E-2</v>
      </c>
      <c r="DC183">
        <v>0.14610699999999999</v>
      </c>
      <c r="DD183">
        <v>0.124885</v>
      </c>
      <c r="DE183">
        <v>3.82247E-2</v>
      </c>
      <c r="DF183">
        <v>33135.300000000003</v>
      </c>
      <c r="DG183">
        <v>27512</v>
      </c>
      <c r="DH183">
        <v>31165.7</v>
      </c>
      <c r="DI183">
        <v>28074.9</v>
      </c>
      <c r="DJ183">
        <v>37016.400000000001</v>
      </c>
      <c r="DK183">
        <v>38395.599999999999</v>
      </c>
      <c r="DL183">
        <v>44351.199999999997</v>
      </c>
      <c r="DM183">
        <v>42547.9</v>
      </c>
      <c r="DN183">
        <v>1.3632500000000001</v>
      </c>
      <c r="DO183">
        <v>2.0347499999999998</v>
      </c>
      <c r="DP183">
        <v>8.4288399999999999E-2</v>
      </c>
      <c r="DQ183">
        <v>0.17805399999999999</v>
      </c>
      <c r="DR183">
        <v>25.616700000000002</v>
      </c>
      <c r="DS183">
        <v>25.384499999999999</v>
      </c>
      <c r="DT183">
        <v>17.100000000000001</v>
      </c>
      <c r="DU183">
        <v>29.8</v>
      </c>
      <c r="DV183">
        <v>7.2689000000000004</v>
      </c>
      <c r="DW183">
        <v>61.628500000000003</v>
      </c>
      <c r="DX183">
        <v>36.262</v>
      </c>
      <c r="DY183">
        <v>1</v>
      </c>
      <c r="DZ183">
        <v>-9.3640799999999996E-2</v>
      </c>
      <c r="EA183">
        <v>-0.15668000000000001</v>
      </c>
      <c r="EB183">
        <v>20.189699999999998</v>
      </c>
      <c r="EC183">
        <v>5.2408000000000001</v>
      </c>
      <c r="ED183">
        <v>12.039899999999999</v>
      </c>
      <c r="EE183">
        <v>5.0168499999999998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1.8689199999999999</v>
      </c>
      <c r="EL183">
        <v>1.8646499999999999</v>
      </c>
      <c r="EM183">
        <v>1.8692</v>
      </c>
      <c r="EN183">
        <v>1.86724</v>
      </c>
      <c r="EO183">
        <v>1.8633999999999999</v>
      </c>
      <c r="EP183">
        <v>1.8645799999999999</v>
      </c>
      <c r="EQ183">
        <v>1.87019</v>
      </c>
      <c r="ER183">
        <v>1.86944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-0.11799999999999999</v>
      </c>
      <c r="FG183">
        <v>0.19259999999999999</v>
      </c>
      <c r="FH183">
        <v>0.16202357103534001</v>
      </c>
      <c r="FI183">
        <v>-6.1462078757559423E-4</v>
      </c>
      <c r="FJ183">
        <v>-1.8861989874597051E-7</v>
      </c>
      <c r="FK183">
        <v>1.1980462299894961E-10</v>
      </c>
      <c r="FL183">
        <v>0.19260234566371101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35.200000000000003</v>
      </c>
      <c r="FU183">
        <v>35.200000000000003</v>
      </c>
      <c r="FV183">
        <v>1.7785599999999999</v>
      </c>
      <c r="FW183">
        <v>2.5781200000000002</v>
      </c>
      <c r="FX183">
        <v>1.5490699999999999</v>
      </c>
      <c r="FY183">
        <v>2.3290999999999999</v>
      </c>
      <c r="FZ183">
        <v>1.50146</v>
      </c>
      <c r="GA183">
        <v>2.3840300000000001</v>
      </c>
      <c r="GB183">
        <v>33.8735</v>
      </c>
      <c r="GC183">
        <v>23.991199999999999</v>
      </c>
      <c r="GD183">
        <v>19</v>
      </c>
      <c r="GE183">
        <v>237.643</v>
      </c>
      <c r="GF183">
        <v>581.72900000000004</v>
      </c>
      <c r="GG183">
        <v>25.435600000000001</v>
      </c>
      <c r="GH183">
        <v>26.217700000000001</v>
      </c>
      <c r="GI183">
        <v>30.0001</v>
      </c>
      <c r="GJ183">
        <v>26.359300000000001</v>
      </c>
      <c r="GK183">
        <v>26.330200000000001</v>
      </c>
      <c r="GL183">
        <v>35.561199999999999</v>
      </c>
      <c r="GM183">
        <v>-30</v>
      </c>
      <c r="GN183">
        <v>-30</v>
      </c>
      <c r="GO183">
        <v>25.418600000000001</v>
      </c>
      <c r="GP183">
        <v>800</v>
      </c>
      <c r="GQ183">
        <v>12.5298</v>
      </c>
      <c r="GR183">
        <v>99.716300000000004</v>
      </c>
      <c r="GS183">
        <v>99.5381</v>
      </c>
    </row>
    <row r="184" spans="1:201" x14ac:dyDescent="0.25">
      <c r="A184">
        <v>168</v>
      </c>
      <c r="B184">
        <v>1690216964.5999999</v>
      </c>
      <c r="C184">
        <v>2019.099999904633</v>
      </c>
      <c r="D184" t="s">
        <v>669</v>
      </c>
      <c r="E184" t="s">
        <v>670</v>
      </c>
      <c r="F184" t="s">
        <v>330</v>
      </c>
      <c r="H184">
        <v>1690216964.5999999</v>
      </c>
      <c r="I184">
        <f t="shared" si="60"/>
        <v>1.9879991879090081E-3</v>
      </c>
      <c r="J184">
        <f t="shared" si="61"/>
        <v>1.987999187909008</v>
      </c>
      <c r="K184">
        <f t="shared" si="62"/>
        <v>33.512925901576963</v>
      </c>
      <c r="L184">
        <f t="shared" si="63"/>
        <v>415.54199999999997</v>
      </c>
      <c r="M184">
        <f t="shared" si="64"/>
        <v>87.300891117851748</v>
      </c>
      <c r="N184">
        <f t="shared" si="65"/>
        <v>8.6597114111096278</v>
      </c>
      <c r="O184">
        <f t="shared" si="66"/>
        <v>41.219210401157994</v>
      </c>
      <c r="P184">
        <f t="shared" si="67"/>
        <v>0.17235438490714919</v>
      </c>
      <c r="Q184">
        <f t="shared" si="68"/>
        <v>2.0656199722267141</v>
      </c>
      <c r="R184">
        <f t="shared" si="69"/>
        <v>0.16474489354036698</v>
      </c>
      <c r="S184">
        <f t="shared" si="70"/>
        <v>0.10362124246717362</v>
      </c>
      <c r="T184">
        <f t="shared" si="71"/>
        <v>276.11446883399998</v>
      </c>
      <c r="U184">
        <f t="shared" si="72"/>
        <v>28.367444582895402</v>
      </c>
      <c r="V184">
        <f t="shared" si="73"/>
        <v>28.367444582895402</v>
      </c>
      <c r="W184">
        <f t="shared" si="74"/>
        <v>3.8768916006876819</v>
      </c>
      <c r="X184">
        <f t="shared" si="75"/>
        <v>76.727270369517072</v>
      </c>
      <c r="Y184">
        <f t="shared" si="76"/>
        <v>2.7197068712668999</v>
      </c>
      <c r="Z184">
        <f t="shared" si="77"/>
        <v>3.5446417657878917</v>
      </c>
      <c r="AA184">
        <f t="shared" si="78"/>
        <v>1.157184729420782</v>
      </c>
      <c r="AB184">
        <f t="shared" si="79"/>
        <v>-87.670764186787252</v>
      </c>
      <c r="AC184">
        <f t="shared" si="80"/>
        <v>-170.6445037785773</v>
      </c>
      <c r="AD184">
        <f t="shared" si="81"/>
        <v>-17.936113896530827</v>
      </c>
      <c r="AE184">
        <f t="shared" si="82"/>
        <v>-0.13691302789538895</v>
      </c>
      <c r="AF184">
        <v>43</v>
      </c>
      <c r="AG184">
        <v>14</v>
      </c>
      <c r="AH184">
        <f t="shared" si="83"/>
        <v>1</v>
      </c>
      <c r="AI184">
        <f t="shared" si="84"/>
        <v>0</v>
      </c>
      <c r="AJ184">
        <f t="shared" si="85"/>
        <v>52486.643308294573</v>
      </c>
      <c r="AK184">
        <f t="shared" si="86"/>
        <v>1800</v>
      </c>
      <c r="AL184">
        <f t="shared" si="87"/>
        <v>1499.1092693999999</v>
      </c>
      <c r="AM184">
        <f t="shared" si="88"/>
        <v>0.83283848299999996</v>
      </c>
      <c r="AN184">
        <f t="shared" si="89"/>
        <v>0.15339692713</v>
      </c>
      <c r="AO184">
        <v>33.6</v>
      </c>
      <c r="AP184">
        <v>0.5</v>
      </c>
      <c r="AQ184" t="s">
        <v>331</v>
      </c>
      <c r="AR184">
        <v>2</v>
      </c>
      <c r="AS184">
        <v>1690216964.5999999</v>
      </c>
      <c r="AT184">
        <v>415.54199999999997</v>
      </c>
      <c r="AU184">
        <v>799.98400000000004</v>
      </c>
      <c r="AV184">
        <v>27.418099999999999</v>
      </c>
      <c r="AW184">
        <v>5.7717200000000002</v>
      </c>
      <c r="AX184">
        <v>415.66</v>
      </c>
      <c r="AY184">
        <v>27.2255</v>
      </c>
      <c r="AZ184">
        <v>300.12099999999998</v>
      </c>
      <c r="BA184">
        <v>99.093800000000002</v>
      </c>
      <c r="BB184">
        <v>0.100049</v>
      </c>
      <c r="BC184">
        <v>26.835100000000001</v>
      </c>
      <c r="BD184">
        <v>27.000599999999999</v>
      </c>
      <c r="BE184">
        <v>28.296800000000001</v>
      </c>
      <c r="BF184">
        <v>0</v>
      </c>
      <c r="BG184">
        <v>0</v>
      </c>
      <c r="BH184">
        <v>10011.9</v>
      </c>
      <c r="BI184">
        <v>1077.3499999999999</v>
      </c>
      <c r="BJ184">
        <v>1.7941199999999999</v>
      </c>
      <c r="BK184">
        <v>-384.44200000000001</v>
      </c>
      <c r="BL184">
        <v>427.25700000000001</v>
      </c>
      <c r="BM184">
        <v>804.62800000000004</v>
      </c>
      <c r="BN184">
        <v>21.6464</v>
      </c>
      <c r="BO184">
        <v>799.98400000000004</v>
      </c>
      <c r="BP184">
        <v>5.7717200000000002</v>
      </c>
      <c r="BQ184">
        <v>2.7169599999999998</v>
      </c>
      <c r="BR184">
        <v>0.57194199999999995</v>
      </c>
      <c r="BS184">
        <v>22.388100000000001</v>
      </c>
      <c r="BT184">
        <v>-0.96522699999999995</v>
      </c>
      <c r="BU184">
        <v>1800</v>
      </c>
      <c r="BV184">
        <v>0.909995</v>
      </c>
      <c r="BW184">
        <v>3.4006700000000001E-2</v>
      </c>
      <c r="BX184">
        <v>2.1991400000000001E-2</v>
      </c>
      <c r="BY184">
        <v>3.4007299999999997E-2</v>
      </c>
      <c r="BZ184">
        <v>26</v>
      </c>
      <c r="CA184">
        <v>33528.5</v>
      </c>
      <c r="CB184">
        <v>1690214843</v>
      </c>
      <c r="CC184" t="s">
        <v>332</v>
      </c>
      <c r="CD184">
        <v>1690214842</v>
      </c>
      <c r="CE184">
        <v>1690214843</v>
      </c>
      <c r="CF184">
        <v>8</v>
      </c>
      <c r="CG184">
        <v>-6.3E-2</v>
      </c>
      <c r="CH184">
        <v>1E-3</v>
      </c>
      <c r="CI184">
        <v>-0.38900000000000001</v>
      </c>
      <c r="CJ184">
        <v>-6.6000000000000003E-2</v>
      </c>
      <c r="CK184">
        <v>800</v>
      </c>
      <c r="CL184">
        <v>6</v>
      </c>
      <c r="CM184">
        <v>0.23</v>
      </c>
      <c r="CN184">
        <v>0.02</v>
      </c>
      <c r="CO184">
        <v>-383.14344999999997</v>
      </c>
      <c r="CP184">
        <v>-7.6802251407119746</v>
      </c>
      <c r="CQ184">
        <v>0.74304955924890959</v>
      </c>
      <c r="CR184">
        <v>-1</v>
      </c>
      <c r="CS184">
        <v>21.5954075</v>
      </c>
      <c r="CT184">
        <v>0.31831181988737173</v>
      </c>
      <c r="CU184">
        <v>3.0657604174984109E-2</v>
      </c>
      <c r="CV184">
        <v>-1</v>
      </c>
      <c r="CW184">
        <v>0</v>
      </c>
      <c r="CX184">
        <v>0</v>
      </c>
      <c r="CY184" t="s">
        <v>333</v>
      </c>
      <c r="CZ184">
        <v>2.36436</v>
      </c>
      <c r="DA184">
        <v>2.7138499999999999</v>
      </c>
      <c r="DB184">
        <v>9.2162099999999997E-2</v>
      </c>
      <c r="DC184">
        <v>0.14610699999999999</v>
      </c>
      <c r="DD184">
        <v>0.12504599999999999</v>
      </c>
      <c r="DE184">
        <v>3.82259E-2</v>
      </c>
      <c r="DF184">
        <v>33142.400000000001</v>
      </c>
      <c r="DG184">
        <v>27511.9</v>
      </c>
      <c r="DH184">
        <v>31165.9</v>
      </c>
      <c r="DI184">
        <v>28074.799999999999</v>
      </c>
      <c r="DJ184">
        <v>37009.5</v>
      </c>
      <c r="DK184">
        <v>38395.599999999999</v>
      </c>
      <c r="DL184">
        <v>44351.3</v>
      </c>
      <c r="DM184">
        <v>42548</v>
      </c>
      <c r="DN184">
        <v>1.3641000000000001</v>
      </c>
      <c r="DO184">
        <v>2.0346500000000001</v>
      </c>
      <c r="DP184">
        <v>8.4526799999999999E-2</v>
      </c>
      <c r="DQ184">
        <v>0.17816599999999999</v>
      </c>
      <c r="DR184">
        <v>25.616700000000002</v>
      </c>
      <c r="DS184">
        <v>25.382300000000001</v>
      </c>
      <c r="DT184">
        <v>17</v>
      </c>
      <c r="DU184">
        <v>29.8</v>
      </c>
      <c r="DV184">
        <v>7.2248400000000004</v>
      </c>
      <c r="DW184">
        <v>61.738599999999998</v>
      </c>
      <c r="DX184">
        <v>36.286099999999998</v>
      </c>
      <c r="DY184">
        <v>1</v>
      </c>
      <c r="DZ184">
        <v>-9.33562E-2</v>
      </c>
      <c r="EA184">
        <v>-0.22233900000000001</v>
      </c>
      <c r="EB184">
        <v>20.189599999999999</v>
      </c>
      <c r="EC184">
        <v>5.2415500000000002</v>
      </c>
      <c r="ED184">
        <v>12.039899999999999</v>
      </c>
      <c r="EE184">
        <v>5.0168999999999997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1.8689199999999999</v>
      </c>
      <c r="EL184">
        <v>1.8646499999999999</v>
      </c>
      <c r="EM184">
        <v>1.8691899999999999</v>
      </c>
      <c r="EN184">
        <v>1.86727</v>
      </c>
      <c r="EO184">
        <v>1.8633999999999999</v>
      </c>
      <c r="EP184">
        <v>1.8645799999999999</v>
      </c>
      <c r="EQ184">
        <v>1.87018</v>
      </c>
      <c r="ER184">
        <v>1.8694500000000001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-0.11799999999999999</v>
      </c>
      <c r="FG184">
        <v>0.19259999999999999</v>
      </c>
      <c r="FH184">
        <v>0.16202357103534001</v>
      </c>
      <c r="FI184">
        <v>-6.1462078757559423E-4</v>
      </c>
      <c r="FJ184">
        <v>-1.8861989874597051E-7</v>
      </c>
      <c r="FK184">
        <v>1.1980462299894961E-10</v>
      </c>
      <c r="FL184">
        <v>0.19260234566371101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35.4</v>
      </c>
      <c r="FU184">
        <v>35.4</v>
      </c>
      <c r="FV184">
        <v>1.7785599999999999</v>
      </c>
      <c r="FW184">
        <v>2.5805699999999998</v>
      </c>
      <c r="FX184">
        <v>1.5490699999999999</v>
      </c>
      <c r="FY184">
        <v>2.3290999999999999</v>
      </c>
      <c r="FZ184">
        <v>1.50146</v>
      </c>
      <c r="GA184">
        <v>2.4047900000000002</v>
      </c>
      <c r="GB184">
        <v>33.8735</v>
      </c>
      <c r="GC184">
        <v>23.991199999999999</v>
      </c>
      <c r="GD184">
        <v>19</v>
      </c>
      <c r="GE184">
        <v>237.95400000000001</v>
      </c>
      <c r="GF184">
        <v>581.64700000000005</v>
      </c>
      <c r="GG184">
        <v>25.407399999999999</v>
      </c>
      <c r="GH184">
        <v>26.215499999999999</v>
      </c>
      <c r="GI184">
        <v>30.0001</v>
      </c>
      <c r="GJ184">
        <v>26.357099999999999</v>
      </c>
      <c r="GK184">
        <v>26.330200000000001</v>
      </c>
      <c r="GL184">
        <v>35.561900000000001</v>
      </c>
      <c r="GM184">
        <v>-30</v>
      </c>
      <c r="GN184">
        <v>-30</v>
      </c>
      <c r="GO184">
        <v>25.409500000000001</v>
      </c>
      <c r="GP184">
        <v>800</v>
      </c>
      <c r="GQ184">
        <v>12.5298</v>
      </c>
      <c r="GR184">
        <v>99.716499999999996</v>
      </c>
      <c r="GS184">
        <v>99.537999999999997</v>
      </c>
    </row>
    <row r="185" spans="1:201" x14ac:dyDescent="0.25">
      <c r="A185">
        <v>169</v>
      </c>
      <c r="B185">
        <v>1690216974.5999999</v>
      </c>
      <c r="C185">
        <v>2029.099999904633</v>
      </c>
      <c r="D185" t="s">
        <v>671</v>
      </c>
      <c r="E185" t="s">
        <v>672</v>
      </c>
      <c r="F185" t="s">
        <v>330</v>
      </c>
      <c r="H185">
        <v>1690216974.5999999</v>
      </c>
      <c r="I185">
        <f t="shared" si="60"/>
        <v>1.9929184596631073E-3</v>
      </c>
      <c r="J185">
        <f t="shared" si="61"/>
        <v>1.9929184596631073</v>
      </c>
      <c r="K185">
        <f t="shared" si="62"/>
        <v>33.643464218336284</v>
      </c>
      <c r="L185">
        <f t="shared" si="63"/>
        <v>414.17599999999999</v>
      </c>
      <c r="M185">
        <f t="shared" si="64"/>
        <v>87.072813273925163</v>
      </c>
      <c r="N185">
        <f t="shared" si="65"/>
        <v>8.6367265750879074</v>
      </c>
      <c r="O185">
        <f t="shared" si="66"/>
        <v>41.081994843903992</v>
      </c>
      <c r="P185">
        <f t="shared" si="67"/>
        <v>0.17367453870460853</v>
      </c>
      <c r="Q185">
        <f t="shared" si="68"/>
        <v>2.0631000176480736</v>
      </c>
      <c r="R185">
        <f t="shared" si="69"/>
        <v>0.16594185562855629</v>
      </c>
      <c r="S185">
        <f t="shared" si="70"/>
        <v>0.10437971750289743</v>
      </c>
      <c r="T185">
        <f t="shared" si="71"/>
        <v>276.114545298</v>
      </c>
      <c r="U185">
        <f t="shared" si="72"/>
        <v>28.363279821344829</v>
      </c>
      <c r="V185">
        <f t="shared" si="73"/>
        <v>28.363279821344829</v>
      </c>
      <c r="W185">
        <f t="shared" si="74"/>
        <v>3.8759529908017702</v>
      </c>
      <c r="X185">
        <f t="shared" si="75"/>
        <v>76.876635728599069</v>
      </c>
      <c r="Y185">
        <f t="shared" si="76"/>
        <v>2.724344410064</v>
      </c>
      <c r="Z185">
        <f t="shared" si="77"/>
        <v>3.5437872433464328</v>
      </c>
      <c r="AA185">
        <f t="shared" si="78"/>
        <v>1.1516085807377703</v>
      </c>
      <c r="AB185">
        <f t="shared" si="79"/>
        <v>-87.887704071143034</v>
      </c>
      <c r="AC185">
        <f t="shared" si="80"/>
        <v>-170.42912273442013</v>
      </c>
      <c r="AD185">
        <f t="shared" si="81"/>
        <v>-17.934616190524451</v>
      </c>
      <c r="AE185">
        <f t="shared" si="82"/>
        <v>-0.13689769808760843</v>
      </c>
      <c r="AF185">
        <v>43</v>
      </c>
      <c r="AG185">
        <v>14</v>
      </c>
      <c r="AH185">
        <f t="shared" si="83"/>
        <v>1</v>
      </c>
      <c r="AI185">
        <f t="shared" si="84"/>
        <v>0</v>
      </c>
      <c r="AJ185">
        <f t="shared" si="85"/>
        <v>52371.955074146223</v>
      </c>
      <c r="AK185">
        <f t="shared" si="86"/>
        <v>1800</v>
      </c>
      <c r="AL185">
        <f t="shared" si="87"/>
        <v>1499.1090588</v>
      </c>
      <c r="AM185">
        <f t="shared" si="88"/>
        <v>0.83283836599999994</v>
      </c>
      <c r="AN185">
        <f t="shared" si="89"/>
        <v>0.15339696960999999</v>
      </c>
      <c r="AO185">
        <v>33.6</v>
      </c>
      <c r="AP185">
        <v>0.5</v>
      </c>
      <c r="AQ185" t="s">
        <v>331</v>
      </c>
      <c r="AR185">
        <v>2</v>
      </c>
      <c r="AS185">
        <v>1690216974.5999999</v>
      </c>
      <c r="AT185">
        <v>414.17599999999999</v>
      </c>
      <c r="AU185">
        <v>799.99599999999998</v>
      </c>
      <c r="AV185">
        <v>27.466000000000001</v>
      </c>
      <c r="AW185">
        <v>5.7713900000000002</v>
      </c>
      <c r="AX185">
        <v>414.29199999999997</v>
      </c>
      <c r="AY185">
        <v>27.273399999999999</v>
      </c>
      <c r="AZ185">
        <v>300.18</v>
      </c>
      <c r="BA185">
        <v>99.089699999999993</v>
      </c>
      <c r="BB185">
        <v>0.100004</v>
      </c>
      <c r="BC185">
        <v>26.831</v>
      </c>
      <c r="BD185">
        <v>27.001100000000001</v>
      </c>
      <c r="BE185">
        <v>28.287600000000001</v>
      </c>
      <c r="BF185">
        <v>0</v>
      </c>
      <c r="BG185">
        <v>0</v>
      </c>
      <c r="BH185">
        <v>9989.3799999999992</v>
      </c>
      <c r="BI185">
        <v>1077.3699999999999</v>
      </c>
      <c r="BJ185">
        <v>1.7941199999999999</v>
      </c>
      <c r="BK185">
        <v>-385.82</v>
      </c>
      <c r="BL185">
        <v>425.87299999999999</v>
      </c>
      <c r="BM185">
        <v>804.64</v>
      </c>
      <c r="BN185">
        <v>21.694600000000001</v>
      </c>
      <c r="BO185">
        <v>799.99599999999998</v>
      </c>
      <c r="BP185">
        <v>5.7713900000000002</v>
      </c>
      <c r="BQ185">
        <v>2.7216</v>
      </c>
      <c r="BR185">
        <v>0.57188499999999998</v>
      </c>
      <c r="BS185">
        <v>22.4161</v>
      </c>
      <c r="BT185">
        <v>-0.96657899999999997</v>
      </c>
      <c r="BU185">
        <v>1800</v>
      </c>
      <c r="BV185">
        <v>0.90999200000000002</v>
      </c>
      <c r="BW185">
        <v>3.4006399999999999E-2</v>
      </c>
      <c r="BX185">
        <v>2.1991299999999998E-2</v>
      </c>
      <c r="BY185">
        <v>3.4010899999999997E-2</v>
      </c>
      <c r="BZ185">
        <v>26</v>
      </c>
      <c r="CA185">
        <v>33528.5</v>
      </c>
      <c r="CB185">
        <v>1690214843</v>
      </c>
      <c r="CC185" t="s">
        <v>332</v>
      </c>
      <c r="CD185">
        <v>1690214842</v>
      </c>
      <c r="CE185">
        <v>1690214843</v>
      </c>
      <c r="CF185">
        <v>8</v>
      </c>
      <c r="CG185">
        <v>-6.3E-2</v>
      </c>
      <c r="CH185">
        <v>1E-3</v>
      </c>
      <c r="CI185">
        <v>-0.38900000000000001</v>
      </c>
      <c r="CJ185">
        <v>-6.6000000000000003E-2</v>
      </c>
      <c r="CK185">
        <v>800</v>
      </c>
      <c r="CL185">
        <v>6</v>
      </c>
      <c r="CM185">
        <v>0.23</v>
      </c>
      <c r="CN185">
        <v>0.02</v>
      </c>
      <c r="CO185">
        <v>-384.44414999999998</v>
      </c>
      <c r="CP185">
        <v>-8.1036697936197513</v>
      </c>
      <c r="CQ185">
        <v>0.78237630172443129</v>
      </c>
      <c r="CR185">
        <v>-1</v>
      </c>
      <c r="CS185">
        <v>21.646437500000001</v>
      </c>
      <c r="CT185">
        <v>0.28755759849904572</v>
      </c>
      <c r="CU185">
        <v>2.7669998983556179E-2</v>
      </c>
      <c r="CV185">
        <v>-1</v>
      </c>
      <c r="CW185">
        <v>0</v>
      </c>
      <c r="CX185">
        <v>0</v>
      </c>
      <c r="CY185" t="s">
        <v>333</v>
      </c>
      <c r="CZ185">
        <v>2.3645399999999999</v>
      </c>
      <c r="DA185">
        <v>2.7137899999999999</v>
      </c>
      <c r="DB185">
        <v>9.1928300000000004E-2</v>
      </c>
      <c r="DC185">
        <v>0.14610300000000001</v>
      </c>
      <c r="DD185">
        <v>0.125193</v>
      </c>
      <c r="DE185">
        <v>3.8222699999999998E-2</v>
      </c>
      <c r="DF185">
        <v>33151.4</v>
      </c>
      <c r="DG185">
        <v>27511.9</v>
      </c>
      <c r="DH185">
        <v>31166.3</v>
      </c>
      <c r="DI185">
        <v>28074.799999999999</v>
      </c>
      <c r="DJ185">
        <v>37003.9</v>
      </c>
      <c r="DK185">
        <v>38395.800000000003</v>
      </c>
      <c r="DL185">
        <v>44352</v>
      </c>
      <c r="DM185">
        <v>42548.1</v>
      </c>
      <c r="DN185">
        <v>1.36425</v>
      </c>
      <c r="DO185">
        <v>2.0347499999999998</v>
      </c>
      <c r="DP185">
        <v>8.4660899999999997E-2</v>
      </c>
      <c r="DQ185">
        <v>0.177734</v>
      </c>
      <c r="DR185">
        <v>25.614999999999998</v>
      </c>
      <c r="DS185">
        <v>25.380199999999999</v>
      </c>
      <c r="DT185">
        <v>17</v>
      </c>
      <c r="DU185">
        <v>29.8</v>
      </c>
      <c r="DV185">
        <v>7.2262599999999999</v>
      </c>
      <c r="DW185">
        <v>61.938600000000001</v>
      </c>
      <c r="DX185">
        <v>36.165900000000001</v>
      </c>
      <c r="DY185">
        <v>1</v>
      </c>
      <c r="DZ185">
        <v>-9.3686500000000006E-2</v>
      </c>
      <c r="EA185">
        <v>-0.27050400000000002</v>
      </c>
      <c r="EB185">
        <v>20.189499999999999</v>
      </c>
      <c r="EC185">
        <v>5.2413999999999996</v>
      </c>
      <c r="ED185">
        <v>12.039899999999999</v>
      </c>
      <c r="EE185">
        <v>5.0168999999999997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1.86893</v>
      </c>
      <c r="EL185">
        <v>1.8646400000000001</v>
      </c>
      <c r="EM185">
        <v>1.8691899999999999</v>
      </c>
      <c r="EN185">
        <v>1.8672599999999999</v>
      </c>
      <c r="EO185">
        <v>1.8633999999999999</v>
      </c>
      <c r="EP185">
        <v>1.86459</v>
      </c>
      <c r="EQ185">
        <v>1.87018</v>
      </c>
      <c r="ER185">
        <v>1.86947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-0.11600000000000001</v>
      </c>
      <c r="FG185">
        <v>0.19259999999999999</v>
      </c>
      <c r="FH185">
        <v>0.16202357103534001</v>
      </c>
      <c r="FI185">
        <v>-6.1462078757559423E-4</v>
      </c>
      <c r="FJ185">
        <v>-1.8861989874597051E-7</v>
      </c>
      <c r="FK185">
        <v>1.1980462299894961E-10</v>
      </c>
      <c r="FL185">
        <v>0.19260234566371101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35.5</v>
      </c>
      <c r="FU185">
        <v>35.5</v>
      </c>
      <c r="FV185">
        <v>1.7785599999999999</v>
      </c>
      <c r="FW185">
        <v>2.5781200000000002</v>
      </c>
      <c r="FX185">
        <v>1.5490699999999999</v>
      </c>
      <c r="FY185">
        <v>2.3290999999999999</v>
      </c>
      <c r="FZ185">
        <v>1.50146</v>
      </c>
      <c r="GA185">
        <v>2.4182100000000002</v>
      </c>
      <c r="GB185">
        <v>33.850900000000003</v>
      </c>
      <c r="GC185">
        <v>23.991199999999999</v>
      </c>
      <c r="GD185">
        <v>19</v>
      </c>
      <c r="GE185">
        <v>238.011</v>
      </c>
      <c r="GF185">
        <v>581.70500000000004</v>
      </c>
      <c r="GG185">
        <v>25.410299999999999</v>
      </c>
      <c r="GH185">
        <v>26.215499999999999</v>
      </c>
      <c r="GI185">
        <v>30.0001</v>
      </c>
      <c r="GJ185">
        <v>26.357099999999999</v>
      </c>
      <c r="GK185">
        <v>26.328099999999999</v>
      </c>
      <c r="GL185">
        <v>35.562100000000001</v>
      </c>
      <c r="GM185">
        <v>-30</v>
      </c>
      <c r="GN185">
        <v>-30</v>
      </c>
      <c r="GO185">
        <v>25.411999999999999</v>
      </c>
      <c r="GP185">
        <v>800</v>
      </c>
      <c r="GQ185">
        <v>12.5298</v>
      </c>
      <c r="GR185">
        <v>99.718199999999996</v>
      </c>
      <c r="GS185">
        <v>99.537999999999997</v>
      </c>
    </row>
    <row r="186" spans="1:201" x14ac:dyDescent="0.25">
      <c r="A186">
        <v>170</v>
      </c>
      <c r="B186">
        <v>1690216984.5999999</v>
      </c>
      <c r="C186">
        <v>2039.099999904633</v>
      </c>
      <c r="D186" t="s">
        <v>673</v>
      </c>
      <c r="E186" t="s">
        <v>674</v>
      </c>
      <c r="F186" t="s">
        <v>330</v>
      </c>
      <c r="H186">
        <v>1690216984.5999999</v>
      </c>
      <c r="I186">
        <f t="shared" si="60"/>
        <v>1.9974696090865642E-3</v>
      </c>
      <c r="J186">
        <f t="shared" si="61"/>
        <v>1.997469609086564</v>
      </c>
      <c r="K186">
        <f t="shared" si="62"/>
        <v>33.765692267007466</v>
      </c>
      <c r="L186">
        <f t="shared" si="63"/>
        <v>412.89699999999999</v>
      </c>
      <c r="M186">
        <f t="shared" si="64"/>
        <v>87.144342030154633</v>
      </c>
      <c r="N186">
        <f t="shared" si="65"/>
        <v>8.6437501113152386</v>
      </c>
      <c r="O186">
        <f t="shared" si="66"/>
        <v>40.954793008555292</v>
      </c>
      <c r="P186">
        <f t="shared" si="67"/>
        <v>0.17506177379796464</v>
      </c>
      <c r="Q186">
        <f t="shared" si="68"/>
        <v>2.0662459321236657</v>
      </c>
      <c r="R186">
        <f t="shared" si="69"/>
        <v>0.16721945075923303</v>
      </c>
      <c r="S186">
        <f t="shared" si="70"/>
        <v>0.10518747927507441</v>
      </c>
      <c r="T186">
        <f t="shared" si="71"/>
        <v>276.11449324199998</v>
      </c>
      <c r="U186">
        <f t="shared" si="72"/>
        <v>28.356539467029254</v>
      </c>
      <c r="V186">
        <f t="shared" si="73"/>
        <v>28.356539467029254</v>
      </c>
      <c r="W186">
        <f t="shared" si="74"/>
        <v>3.8744343410661068</v>
      </c>
      <c r="X186">
        <f t="shared" si="75"/>
        <v>77.02281828765814</v>
      </c>
      <c r="Y186">
        <f t="shared" si="76"/>
        <v>2.72904330358464</v>
      </c>
      <c r="Z186">
        <f t="shared" si="77"/>
        <v>3.5431620969677402</v>
      </c>
      <c r="AA186">
        <f t="shared" si="78"/>
        <v>1.1453910374814669</v>
      </c>
      <c r="AB186">
        <f t="shared" si="79"/>
        <v>-88.088409760717482</v>
      </c>
      <c r="AC186">
        <f t="shared" si="80"/>
        <v>-170.27234283122849</v>
      </c>
      <c r="AD186">
        <f t="shared" si="81"/>
        <v>-17.889966965243826</v>
      </c>
      <c r="AE186">
        <f t="shared" si="82"/>
        <v>-0.13622631518981621</v>
      </c>
      <c r="AF186">
        <v>43</v>
      </c>
      <c r="AG186">
        <v>14</v>
      </c>
      <c r="AH186">
        <f t="shared" si="83"/>
        <v>1</v>
      </c>
      <c r="AI186">
        <f t="shared" si="84"/>
        <v>0</v>
      </c>
      <c r="AJ186">
        <f t="shared" si="85"/>
        <v>52516.452402454779</v>
      </c>
      <c r="AK186">
        <f t="shared" si="86"/>
        <v>1800</v>
      </c>
      <c r="AL186">
        <f t="shared" si="87"/>
        <v>1499.1079841999999</v>
      </c>
      <c r="AM186">
        <f t="shared" si="88"/>
        <v>0.83283776899999995</v>
      </c>
      <c r="AN186">
        <f t="shared" si="89"/>
        <v>0.15339694068999998</v>
      </c>
      <c r="AO186">
        <v>33.6</v>
      </c>
      <c r="AP186">
        <v>0.5</v>
      </c>
      <c r="AQ186" t="s">
        <v>331</v>
      </c>
      <c r="AR186">
        <v>2</v>
      </c>
      <c r="AS186">
        <v>1690216984.5999999</v>
      </c>
      <c r="AT186">
        <v>412.89699999999999</v>
      </c>
      <c r="AU186">
        <v>800.05700000000002</v>
      </c>
      <c r="AV186">
        <v>27.5136</v>
      </c>
      <c r="AW186">
        <v>5.7716700000000003</v>
      </c>
      <c r="AX186">
        <v>413.01299999999998</v>
      </c>
      <c r="AY186">
        <v>27.321000000000002</v>
      </c>
      <c r="AZ186">
        <v>300.19600000000003</v>
      </c>
      <c r="BA186">
        <v>99.088899999999995</v>
      </c>
      <c r="BB186">
        <v>9.9984900000000002E-2</v>
      </c>
      <c r="BC186">
        <v>26.827999999999999</v>
      </c>
      <c r="BD186">
        <v>27.000399999999999</v>
      </c>
      <c r="BE186">
        <v>28.288</v>
      </c>
      <c r="BF186">
        <v>0</v>
      </c>
      <c r="BG186">
        <v>0</v>
      </c>
      <c r="BH186">
        <v>10018.1</v>
      </c>
      <c r="BI186">
        <v>1077.3599999999999</v>
      </c>
      <c r="BJ186">
        <v>1.7380500000000001</v>
      </c>
      <c r="BK186">
        <v>-387.16</v>
      </c>
      <c r="BL186">
        <v>424.57900000000001</v>
      </c>
      <c r="BM186">
        <v>804.70100000000002</v>
      </c>
      <c r="BN186">
        <v>21.741900000000001</v>
      </c>
      <c r="BO186">
        <v>800.05700000000002</v>
      </c>
      <c r="BP186">
        <v>5.7716700000000003</v>
      </c>
      <c r="BQ186">
        <v>2.7262900000000001</v>
      </c>
      <c r="BR186">
        <v>0.57190799999999997</v>
      </c>
      <c r="BS186">
        <v>22.444500000000001</v>
      </c>
      <c r="BT186">
        <v>-0.96601999999999999</v>
      </c>
      <c r="BU186">
        <v>1800</v>
      </c>
      <c r="BV186">
        <v>0.90998800000000002</v>
      </c>
      <c r="BW186">
        <v>3.4006399999999999E-2</v>
      </c>
      <c r="BX186">
        <v>2.1991199999999999E-2</v>
      </c>
      <c r="BY186">
        <v>3.4014700000000002E-2</v>
      </c>
      <c r="BZ186">
        <v>26</v>
      </c>
      <c r="CA186">
        <v>33528.5</v>
      </c>
      <c r="CB186">
        <v>1690214843</v>
      </c>
      <c r="CC186" t="s">
        <v>332</v>
      </c>
      <c r="CD186">
        <v>1690214842</v>
      </c>
      <c r="CE186">
        <v>1690214843</v>
      </c>
      <c r="CF186">
        <v>8</v>
      </c>
      <c r="CG186">
        <v>-6.3E-2</v>
      </c>
      <c r="CH186">
        <v>1E-3</v>
      </c>
      <c r="CI186">
        <v>-0.38900000000000001</v>
      </c>
      <c r="CJ186">
        <v>-6.6000000000000003E-2</v>
      </c>
      <c r="CK186">
        <v>800</v>
      </c>
      <c r="CL186">
        <v>6</v>
      </c>
      <c r="CM186">
        <v>0.23</v>
      </c>
      <c r="CN186">
        <v>0.02</v>
      </c>
      <c r="CO186">
        <v>-385.64087499999999</v>
      </c>
      <c r="CP186">
        <v>-7.9754409005624156</v>
      </c>
      <c r="CQ186">
        <v>0.76852508701733724</v>
      </c>
      <c r="CR186">
        <v>-1</v>
      </c>
      <c r="CS186">
        <v>21.688622500000001</v>
      </c>
      <c r="CT186">
        <v>0.27808367729826772</v>
      </c>
      <c r="CU186">
        <v>2.676194581397268E-2</v>
      </c>
      <c r="CV186">
        <v>-1</v>
      </c>
      <c r="CW186">
        <v>0</v>
      </c>
      <c r="CX186">
        <v>0</v>
      </c>
      <c r="CY186" t="s">
        <v>333</v>
      </c>
      <c r="CZ186">
        <v>2.3645800000000001</v>
      </c>
      <c r="DA186">
        <v>2.7137899999999999</v>
      </c>
      <c r="DB186">
        <v>9.1712500000000002E-2</v>
      </c>
      <c r="DC186">
        <v>0.14610899999999999</v>
      </c>
      <c r="DD186">
        <v>0.12534400000000001</v>
      </c>
      <c r="DE186">
        <v>3.8224000000000001E-2</v>
      </c>
      <c r="DF186">
        <v>33159.1</v>
      </c>
      <c r="DG186">
        <v>27511.7</v>
      </c>
      <c r="DH186">
        <v>31166.2</v>
      </c>
      <c r="DI186">
        <v>28074.7</v>
      </c>
      <c r="DJ186">
        <v>36997.199999999997</v>
      </c>
      <c r="DK186">
        <v>38395.5</v>
      </c>
      <c r="DL186">
        <v>44351.8</v>
      </c>
      <c r="DM186">
        <v>42547.8</v>
      </c>
      <c r="DN186">
        <v>1.3645499999999999</v>
      </c>
      <c r="DO186">
        <v>2.0348799999999998</v>
      </c>
      <c r="DP186">
        <v>8.47802E-2</v>
      </c>
      <c r="DQ186">
        <v>0.177756</v>
      </c>
      <c r="DR186">
        <v>25.612300000000001</v>
      </c>
      <c r="DS186">
        <v>25.380199999999999</v>
      </c>
      <c r="DT186">
        <v>17</v>
      </c>
      <c r="DU186">
        <v>29.8</v>
      </c>
      <c r="DV186">
        <v>7.2267000000000001</v>
      </c>
      <c r="DW186">
        <v>61.808500000000002</v>
      </c>
      <c r="DX186">
        <v>36.085700000000003</v>
      </c>
      <c r="DY186">
        <v>1</v>
      </c>
      <c r="DZ186">
        <v>-9.35391E-2</v>
      </c>
      <c r="EA186">
        <v>-0.26101000000000002</v>
      </c>
      <c r="EB186">
        <v>20.189499999999999</v>
      </c>
      <c r="EC186">
        <v>5.2409499999999998</v>
      </c>
      <c r="ED186">
        <v>12.039899999999999</v>
      </c>
      <c r="EE186">
        <v>5.0168999999999997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1.86893</v>
      </c>
      <c r="EL186">
        <v>1.86463</v>
      </c>
      <c r="EM186">
        <v>1.8692</v>
      </c>
      <c r="EN186">
        <v>1.86724</v>
      </c>
      <c r="EO186">
        <v>1.8633999999999999</v>
      </c>
      <c r="EP186">
        <v>1.86459</v>
      </c>
      <c r="EQ186">
        <v>1.8701700000000001</v>
      </c>
      <c r="ER186">
        <v>1.8694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-0.11600000000000001</v>
      </c>
      <c r="FG186">
        <v>0.19259999999999999</v>
      </c>
      <c r="FH186">
        <v>0.16202357103534001</v>
      </c>
      <c r="FI186">
        <v>-6.1462078757559423E-4</v>
      </c>
      <c r="FJ186">
        <v>-1.8861989874597051E-7</v>
      </c>
      <c r="FK186">
        <v>1.1980462299894961E-10</v>
      </c>
      <c r="FL186">
        <v>0.19260234566371101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35.700000000000003</v>
      </c>
      <c r="FU186">
        <v>35.700000000000003</v>
      </c>
      <c r="FV186">
        <v>1.7785599999999999</v>
      </c>
      <c r="FW186">
        <v>2.5793499999999998</v>
      </c>
      <c r="FX186">
        <v>1.5490699999999999</v>
      </c>
      <c r="FY186">
        <v>2.3290999999999999</v>
      </c>
      <c r="FZ186">
        <v>1.50146</v>
      </c>
      <c r="GA186">
        <v>2.4072300000000002</v>
      </c>
      <c r="GB186">
        <v>33.850900000000003</v>
      </c>
      <c r="GC186">
        <v>23.991199999999999</v>
      </c>
      <c r="GD186">
        <v>19</v>
      </c>
      <c r="GE186">
        <v>238.11699999999999</v>
      </c>
      <c r="GF186">
        <v>581.80799999999999</v>
      </c>
      <c r="GG186">
        <v>25.411899999999999</v>
      </c>
      <c r="GH186">
        <v>26.214300000000001</v>
      </c>
      <c r="GI186">
        <v>30</v>
      </c>
      <c r="GJ186">
        <v>26.354900000000001</v>
      </c>
      <c r="GK186">
        <v>26.328099999999999</v>
      </c>
      <c r="GL186">
        <v>35.5608</v>
      </c>
      <c r="GM186">
        <v>-30</v>
      </c>
      <c r="GN186">
        <v>-30</v>
      </c>
      <c r="GO186">
        <v>25.416899999999998</v>
      </c>
      <c r="GP186">
        <v>800</v>
      </c>
      <c r="GQ186">
        <v>12.5298</v>
      </c>
      <c r="GR186">
        <v>99.717699999999994</v>
      </c>
      <c r="GS186">
        <v>99.537499999999994</v>
      </c>
    </row>
    <row r="187" spans="1:201" x14ac:dyDescent="0.25">
      <c r="A187">
        <v>171</v>
      </c>
      <c r="B187">
        <v>1690216994.5999999</v>
      </c>
      <c r="C187">
        <v>2049.099999904633</v>
      </c>
      <c r="D187" t="s">
        <v>675</v>
      </c>
      <c r="E187" t="s">
        <v>676</v>
      </c>
      <c r="F187" t="s">
        <v>330</v>
      </c>
      <c r="H187">
        <v>1690216994.5999999</v>
      </c>
      <c r="I187">
        <f t="shared" si="60"/>
        <v>2.001479254882308E-3</v>
      </c>
      <c r="J187">
        <f t="shared" si="61"/>
        <v>2.0014792548823079</v>
      </c>
      <c r="K187">
        <f t="shared" si="62"/>
        <v>33.868982560183838</v>
      </c>
      <c r="L187">
        <f t="shared" si="63"/>
        <v>411.64100000000002</v>
      </c>
      <c r="M187">
        <f t="shared" si="64"/>
        <v>86.922119123187599</v>
      </c>
      <c r="N187">
        <f t="shared" si="65"/>
        <v>8.6219549364844656</v>
      </c>
      <c r="O187">
        <f t="shared" si="66"/>
        <v>40.831380870725006</v>
      </c>
      <c r="P187">
        <f t="shared" si="67"/>
        <v>0.17618328974188635</v>
      </c>
      <c r="Q187">
        <f t="shared" si="68"/>
        <v>2.0681292599890129</v>
      </c>
      <c r="R187">
        <f t="shared" si="69"/>
        <v>0.16824949325849967</v>
      </c>
      <c r="S187">
        <f t="shared" si="70"/>
        <v>0.10583897781819815</v>
      </c>
      <c r="T187">
        <f t="shared" si="71"/>
        <v>276.11436621600001</v>
      </c>
      <c r="U187">
        <f t="shared" si="72"/>
        <v>28.355838623758551</v>
      </c>
      <c r="V187">
        <f t="shared" si="73"/>
        <v>28.355838623758551</v>
      </c>
      <c r="W187">
        <f t="shared" si="74"/>
        <v>3.8742764658892428</v>
      </c>
      <c r="X187">
        <f t="shared" si="75"/>
        <v>77.142488603783221</v>
      </c>
      <c r="Y187">
        <f t="shared" si="76"/>
        <v>2.73360491093</v>
      </c>
      <c r="Z187">
        <f t="shared" si="77"/>
        <v>3.5435788505219916</v>
      </c>
      <c r="AA187">
        <f t="shared" si="78"/>
        <v>1.1406715549592428</v>
      </c>
      <c r="AB187">
        <f t="shared" si="79"/>
        <v>-88.265235140309784</v>
      </c>
      <c r="AC187">
        <f t="shared" si="80"/>
        <v>-170.12640563375135</v>
      </c>
      <c r="AD187">
        <f t="shared" si="81"/>
        <v>-17.858471767368311</v>
      </c>
      <c r="AE187">
        <f t="shared" si="82"/>
        <v>-0.13574632542943732</v>
      </c>
      <c r="AF187">
        <v>43</v>
      </c>
      <c r="AG187">
        <v>14</v>
      </c>
      <c r="AH187">
        <f t="shared" si="83"/>
        <v>1</v>
      </c>
      <c r="AI187">
        <f t="shared" si="84"/>
        <v>0</v>
      </c>
      <c r="AJ187">
        <f t="shared" si="85"/>
        <v>52602.499830082736</v>
      </c>
      <c r="AK187">
        <f t="shared" si="86"/>
        <v>1800</v>
      </c>
      <c r="AL187">
        <f t="shared" si="87"/>
        <v>1499.1074405999998</v>
      </c>
      <c r="AM187">
        <f t="shared" si="88"/>
        <v>0.83283746699999994</v>
      </c>
      <c r="AN187">
        <f t="shared" si="89"/>
        <v>0.15339687012</v>
      </c>
      <c r="AO187">
        <v>33.6</v>
      </c>
      <c r="AP187">
        <v>0.5</v>
      </c>
      <c r="AQ187" t="s">
        <v>331</v>
      </c>
      <c r="AR187">
        <v>2</v>
      </c>
      <c r="AS187">
        <v>1690216994.5999999</v>
      </c>
      <c r="AT187">
        <v>411.64100000000002</v>
      </c>
      <c r="AU187">
        <v>800.00699999999995</v>
      </c>
      <c r="AV187">
        <v>27.558800000000002</v>
      </c>
      <c r="AW187">
        <v>5.7709000000000001</v>
      </c>
      <c r="AX187">
        <v>411.75599999999997</v>
      </c>
      <c r="AY187">
        <v>27.366199999999999</v>
      </c>
      <c r="AZ187">
        <v>300.14999999999998</v>
      </c>
      <c r="BA187">
        <v>99.091700000000003</v>
      </c>
      <c r="BB187">
        <v>0.100025</v>
      </c>
      <c r="BC187">
        <v>26.83</v>
      </c>
      <c r="BD187">
        <v>27.008500000000002</v>
      </c>
      <c r="BE187">
        <v>28.275600000000001</v>
      </c>
      <c r="BF187">
        <v>0</v>
      </c>
      <c r="BG187">
        <v>0</v>
      </c>
      <c r="BH187">
        <v>10035</v>
      </c>
      <c r="BI187">
        <v>1077.3</v>
      </c>
      <c r="BJ187">
        <v>1.7941199999999999</v>
      </c>
      <c r="BK187">
        <v>-388.36599999999999</v>
      </c>
      <c r="BL187">
        <v>423.30700000000002</v>
      </c>
      <c r="BM187">
        <v>804.65</v>
      </c>
      <c r="BN187">
        <v>21.7879</v>
      </c>
      <c r="BO187">
        <v>800.00699999999995</v>
      </c>
      <c r="BP187">
        <v>5.7709000000000001</v>
      </c>
      <c r="BQ187">
        <v>2.7308500000000002</v>
      </c>
      <c r="BR187">
        <v>0.57184800000000002</v>
      </c>
      <c r="BS187">
        <v>22.472000000000001</v>
      </c>
      <c r="BT187">
        <v>-0.96746100000000002</v>
      </c>
      <c r="BU187">
        <v>1800</v>
      </c>
      <c r="BV187">
        <v>0.90998800000000002</v>
      </c>
      <c r="BW187">
        <v>3.40062E-2</v>
      </c>
      <c r="BX187">
        <v>2.19911E-2</v>
      </c>
      <c r="BY187">
        <v>3.4014599999999999E-2</v>
      </c>
      <c r="BZ187">
        <v>26</v>
      </c>
      <c r="CA187">
        <v>33528.5</v>
      </c>
      <c r="CB187">
        <v>1690214843</v>
      </c>
      <c r="CC187" t="s">
        <v>332</v>
      </c>
      <c r="CD187">
        <v>1690214842</v>
      </c>
      <c r="CE187">
        <v>1690214843</v>
      </c>
      <c r="CF187">
        <v>8</v>
      </c>
      <c r="CG187">
        <v>-6.3E-2</v>
      </c>
      <c r="CH187">
        <v>1E-3</v>
      </c>
      <c r="CI187">
        <v>-0.38900000000000001</v>
      </c>
      <c r="CJ187">
        <v>-6.6000000000000003E-2</v>
      </c>
      <c r="CK187">
        <v>800</v>
      </c>
      <c r="CL187">
        <v>6</v>
      </c>
      <c r="CM187">
        <v>0.23</v>
      </c>
      <c r="CN187">
        <v>0.02</v>
      </c>
      <c r="CO187">
        <v>-386.9766341463415</v>
      </c>
      <c r="CP187">
        <v>-7.6581533101036676</v>
      </c>
      <c r="CQ187">
        <v>0.75551454784455074</v>
      </c>
      <c r="CR187">
        <v>-1</v>
      </c>
      <c r="CS187">
        <v>21.7374756097561</v>
      </c>
      <c r="CT187">
        <v>0.29101463414636142</v>
      </c>
      <c r="CU187">
        <v>2.8718395400584039E-2</v>
      </c>
      <c r="CV187">
        <v>-1</v>
      </c>
      <c r="CW187">
        <v>0</v>
      </c>
      <c r="CX187">
        <v>0</v>
      </c>
      <c r="CY187" t="s">
        <v>333</v>
      </c>
      <c r="CZ187">
        <v>2.3644400000000001</v>
      </c>
      <c r="DA187">
        <v>2.7138499999999999</v>
      </c>
      <c r="DB187">
        <v>9.1503000000000001E-2</v>
      </c>
      <c r="DC187">
        <v>0.14610699999999999</v>
      </c>
      <c r="DD187">
        <v>0.12548999999999999</v>
      </c>
      <c r="DE187">
        <v>3.8220799999999999E-2</v>
      </c>
      <c r="DF187">
        <v>33166.699999999997</v>
      </c>
      <c r="DG187">
        <v>27511.599999999999</v>
      </c>
      <c r="DH187">
        <v>31166.1</v>
      </c>
      <c r="DI187">
        <v>28074.6</v>
      </c>
      <c r="DJ187">
        <v>36990.800000000003</v>
      </c>
      <c r="DK187">
        <v>38395.599999999999</v>
      </c>
      <c r="DL187">
        <v>44351.7</v>
      </c>
      <c r="DM187">
        <v>42547.7</v>
      </c>
      <c r="DN187">
        <v>1.3643700000000001</v>
      </c>
      <c r="DO187">
        <v>2.0350000000000001</v>
      </c>
      <c r="DP187">
        <v>8.5473099999999996E-2</v>
      </c>
      <c r="DQ187">
        <v>0.17699599999999999</v>
      </c>
      <c r="DR187">
        <v>25.609100000000002</v>
      </c>
      <c r="DS187">
        <v>25.380199999999999</v>
      </c>
      <c r="DT187">
        <v>17</v>
      </c>
      <c r="DU187">
        <v>29.8</v>
      </c>
      <c r="DV187">
        <v>7.2252000000000001</v>
      </c>
      <c r="DW187">
        <v>61.588500000000003</v>
      </c>
      <c r="DX187">
        <v>36.193899999999999</v>
      </c>
      <c r="DY187">
        <v>1</v>
      </c>
      <c r="DZ187">
        <v>-9.3384099999999998E-2</v>
      </c>
      <c r="EA187">
        <v>-0.26871499999999998</v>
      </c>
      <c r="EB187">
        <v>20.189499999999999</v>
      </c>
      <c r="EC187">
        <v>5.2409499999999998</v>
      </c>
      <c r="ED187">
        <v>12.039899999999999</v>
      </c>
      <c r="EE187">
        <v>5.0168999999999997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1.8689199999999999</v>
      </c>
      <c r="EL187">
        <v>1.8646499999999999</v>
      </c>
      <c r="EM187">
        <v>1.8692</v>
      </c>
      <c r="EN187">
        <v>1.86724</v>
      </c>
      <c r="EO187">
        <v>1.8633999999999999</v>
      </c>
      <c r="EP187">
        <v>1.8645799999999999</v>
      </c>
      <c r="EQ187">
        <v>1.87019</v>
      </c>
      <c r="ER187">
        <v>1.86944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-0.115</v>
      </c>
      <c r="FG187">
        <v>0.19259999999999999</v>
      </c>
      <c r="FH187">
        <v>0.16202357103534001</v>
      </c>
      <c r="FI187">
        <v>-6.1462078757559423E-4</v>
      </c>
      <c r="FJ187">
        <v>-1.8861989874597051E-7</v>
      </c>
      <c r="FK187">
        <v>1.1980462299894961E-10</v>
      </c>
      <c r="FL187">
        <v>0.19260234566371101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35.9</v>
      </c>
      <c r="FU187">
        <v>35.9</v>
      </c>
      <c r="FV187">
        <v>1.7785599999999999</v>
      </c>
      <c r="FW187">
        <v>2.5805699999999998</v>
      </c>
      <c r="FX187">
        <v>1.5490699999999999</v>
      </c>
      <c r="FY187">
        <v>2.3290999999999999</v>
      </c>
      <c r="FZ187">
        <v>1.50146</v>
      </c>
      <c r="GA187">
        <v>2.3852500000000001</v>
      </c>
      <c r="GB187">
        <v>33.850900000000003</v>
      </c>
      <c r="GC187">
        <v>23.982399999999998</v>
      </c>
      <c r="GD187">
        <v>19</v>
      </c>
      <c r="GE187">
        <v>238.05</v>
      </c>
      <c r="GF187">
        <v>581.91099999999994</v>
      </c>
      <c r="GG187">
        <v>25.418399999999998</v>
      </c>
      <c r="GH187">
        <v>26.2133</v>
      </c>
      <c r="GI187">
        <v>30.0002</v>
      </c>
      <c r="GJ187">
        <v>26.354900000000001</v>
      </c>
      <c r="GK187">
        <v>26.328099999999999</v>
      </c>
      <c r="GL187">
        <v>35.561599999999999</v>
      </c>
      <c r="GM187">
        <v>-30</v>
      </c>
      <c r="GN187">
        <v>-30</v>
      </c>
      <c r="GO187">
        <v>25.420200000000001</v>
      </c>
      <c r="GP187">
        <v>800</v>
      </c>
      <c r="GQ187">
        <v>12.5298</v>
      </c>
      <c r="GR187">
        <v>99.717399999999998</v>
      </c>
      <c r="GS187">
        <v>99.537199999999999</v>
      </c>
    </row>
    <row r="188" spans="1:201" x14ac:dyDescent="0.25">
      <c r="A188">
        <v>172</v>
      </c>
      <c r="B188">
        <v>1690217004.5999999</v>
      </c>
      <c r="C188">
        <v>2059.099999904633</v>
      </c>
      <c r="D188" t="s">
        <v>677</v>
      </c>
      <c r="E188" t="s">
        <v>678</v>
      </c>
      <c r="F188" t="s">
        <v>330</v>
      </c>
      <c r="H188">
        <v>1690217004.5999999</v>
      </c>
      <c r="I188">
        <f t="shared" si="60"/>
        <v>2.0061678133783544E-3</v>
      </c>
      <c r="J188">
        <f t="shared" si="61"/>
        <v>2.0061678133783545</v>
      </c>
      <c r="K188">
        <f t="shared" si="62"/>
        <v>33.974724152562587</v>
      </c>
      <c r="L188">
        <f t="shared" si="63"/>
        <v>410.51900000000001</v>
      </c>
      <c r="M188">
        <f t="shared" si="64"/>
        <v>86.759024473297131</v>
      </c>
      <c r="N188">
        <f t="shared" si="65"/>
        <v>8.6056553136351503</v>
      </c>
      <c r="O188">
        <f t="shared" si="66"/>
        <v>40.719510565561002</v>
      </c>
      <c r="P188">
        <f t="shared" si="67"/>
        <v>0.17730067474847128</v>
      </c>
      <c r="Q188">
        <f t="shared" si="68"/>
        <v>2.0654384627438636</v>
      </c>
      <c r="R188">
        <f t="shared" si="69"/>
        <v>0.16925843560511222</v>
      </c>
      <c r="S188">
        <f t="shared" si="70"/>
        <v>0.10647868279573258</v>
      </c>
      <c r="T188">
        <f t="shared" si="71"/>
        <v>276.11427729600001</v>
      </c>
      <c r="U188">
        <f t="shared" si="72"/>
        <v>28.358153314711192</v>
      </c>
      <c r="V188">
        <f t="shared" si="73"/>
        <v>28.358153314711192</v>
      </c>
      <c r="W188">
        <f t="shared" si="74"/>
        <v>3.8747979051529375</v>
      </c>
      <c r="X188">
        <f t="shared" si="75"/>
        <v>77.265477912431408</v>
      </c>
      <c r="Y188">
        <f t="shared" si="76"/>
        <v>2.7383173795373001</v>
      </c>
      <c r="Z188">
        <f t="shared" si="77"/>
        <v>3.5440373288582561</v>
      </c>
      <c r="AA188">
        <f t="shared" si="78"/>
        <v>1.1364805256156374</v>
      </c>
      <c r="AB188">
        <f t="shared" si="79"/>
        <v>-88.472000569985425</v>
      </c>
      <c r="AC188">
        <f t="shared" si="80"/>
        <v>-169.91782898719035</v>
      </c>
      <c r="AD188">
        <f t="shared" si="81"/>
        <v>-17.860216495593566</v>
      </c>
      <c r="AE188">
        <f t="shared" si="82"/>
        <v>-0.13576875676935174</v>
      </c>
      <c r="AF188">
        <v>43</v>
      </c>
      <c r="AG188">
        <v>14</v>
      </c>
      <c r="AH188">
        <f t="shared" si="83"/>
        <v>1</v>
      </c>
      <c r="AI188">
        <f t="shared" si="84"/>
        <v>0</v>
      </c>
      <c r="AJ188">
        <f t="shared" si="85"/>
        <v>52478.762508461245</v>
      </c>
      <c r="AK188">
        <f t="shared" si="86"/>
        <v>1800</v>
      </c>
      <c r="AL188">
        <f t="shared" si="87"/>
        <v>1499.1077195999999</v>
      </c>
      <c r="AM188">
        <f t="shared" si="88"/>
        <v>0.83283762199999989</v>
      </c>
      <c r="AN188">
        <f t="shared" si="89"/>
        <v>0.15339682071999999</v>
      </c>
      <c r="AO188">
        <v>33.6</v>
      </c>
      <c r="AP188">
        <v>0.5</v>
      </c>
      <c r="AQ188" t="s">
        <v>331</v>
      </c>
      <c r="AR188">
        <v>2</v>
      </c>
      <c r="AS188">
        <v>1690217004.5999999</v>
      </c>
      <c r="AT188">
        <v>410.51900000000001</v>
      </c>
      <c r="AU188">
        <v>800.02099999999996</v>
      </c>
      <c r="AV188">
        <v>27.6067</v>
      </c>
      <c r="AW188">
        <v>5.7713099999999997</v>
      </c>
      <c r="AX188">
        <v>410.63299999999998</v>
      </c>
      <c r="AY188">
        <v>27.414100000000001</v>
      </c>
      <c r="AZ188">
        <v>300.18400000000003</v>
      </c>
      <c r="BA188">
        <v>99.090299999999999</v>
      </c>
      <c r="BB188">
        <v>0.100019</v>
      </c>
      <c r="BC188">
        <v>26.8322</v>
      </c>
      <c r="BD188">
        <v>27.000699999999998</v>
      </c>
      <c r="BE188">
        <v>28.285799999999998</v>
      </c>
      <c r="BF188">
        <v>0</v>
      </c>
      <c r="BG188">
        <v>0</v>
      </c>
      <c r="BH188">
        <v>10010.6</v>
      </c>
      <c r="BI188">
        <v>1077.32</v>
      </c>
      <c r="BJ188">
        <v>1.8501799999999999</v>
      </c>
      <c r="BK188">
        <v>-389.50200000000001</v>
      </c>
      <c r="BL188">
        <v>422.17399999999998</v>
      </c>
      <c r="BM188">
        <v>804.66499999999996</v>
      </c>
      <c r="BN188">
        <v>21.8354</v>
      </c>
      <c r="BO188">
        <v>800.02099999999996</v>
      </c>
      <c r="BP188">
        <v>5.7713099999999997</v>
      </c>
      <c r="BQ188">
        <v>2.73556</v>
      </c>
      <c r="BR188">
        <v>0.57188099999999997</v>
      </c>
      <c r="BS188">
        <v>22.500299999999999</v>
      </c>
      <c r="BT188">
        <v>-0.96668100000000001</v>
      </c>
      <c r="BU188">
        <v>1800</v>
      </c>
      <c r="BV188">
        <v>0.90998999999999997</v>
      </c>
      <c r="BW188">
        <v>3.4005500000000001E-2</v>
      </c>
      <c r="BX188">
        <v>2.1990599999999999E-2</v>
      </c>
      <c r="BY188">
        <v>3.4013799999999997E-2</v>
      </c>
      <c r="BZ188">
        <v>26</v>
      </c>
      <c r="CA188">
        <v>33528.5</v>
      </c>
      <c r="CB188">
        <v>1690214843</v>
      </c>
      <c r="CC188" t="s">
        <v>332</v>
      </c>
      <c r="CD188">
        <v>1690214842</v>
      </c>
      <c r="CE188">
        <v>1690214843</v>
      </c>
      <c r="CF188">
        <v>8</v>
      </c>
      <c r="CG188">
        <v>-6.3E-2</v>
      </c>
      <c r="CH188">
        <v>1E-3</v>
      </c>
      <c r="CI188">
        <v>-0.38900000000000001</v>
      </c>
      <c r="CJ188">
        <v>-6.6000000000000003E-2</v>
      </c>
      <c r="CK188">
        <v>800</v>
      </c>
      <c r="CL188">
        <v>6</v>
      </c>
      <c r="CM188">
        <v>0.23</v>
      </c>
      <c r="CN188">
        <v>0.02</v>
      </c>
      <c r="CO188">
        <v>-388.31072499999999</v>
      </c>
      <c r="CP188">
        <v>-7.1581801125702524</v>
      </c>
      <c r="CQ188">
        <v>0.68895525934199653</v>
      </c>
      <c r="CR188">
        <v>-1</v>
      </c>
      <c r="CS188">
        <v>21.7878325</v>
      </c>
      <c r="CT188">
        <v>0.26978048780481079</v>
      </c>
      <c r="CU188">
        <v>2.5987596921416171E-2</v>
      </c>
      <c r="CV188">
        <v>-1</v>
      </c>
      <c r="CW188">
        <v>0</v>
      </c>
      <c r="CX188">
        <v>0</v>
      </c>
      <c r="CY188" t="s">
        <v>333</v>
      </c>
      <c r="CZ188">
        <v>2.3645800000000001</v>
      </c>
      <c r="DA188">
        <v>2.7138200000000001</v>
      </c>
      <c r="DB188">
        <v>9.1312400000000002E-2</v>
      </c>
      <c r="DC188">
        <v>0.14610699999999999</v>
      </c>
      <c r="DD188">
        <v>0.12564</v>
      </c>
      <c r="DE188">
        <v>3.8222800000000001E-2</v>
      </c>
      <c r="DF188">
        <v>33173.9</v>
      </c>
      <c r="DG188">
        <v>27511.9</v>
      </c>
      <c r="DH188">
        <v>31166.3</v>
      </c>
      <c r="DI188">
        <v>28074.9</v>
      </c>
      <c r="DJ188">
        <v>36984.6</v>
      </c>
      <c r="DK188">
        <v>38396</v>
      </c>
      <c r="DL188">
        <v>44351.9</v>
      </c>
      <c r="DM188">
        <v>42548.3</v>
      </c>
      <c r="DN188">
        <v>1.3649500000000001</v>
      </c>
      <c r="DO188">
        <v>2.0350700000000002</v>
      </c>
      <c r="DP188">
        <v>8.5227200000000003E-2</v>
      </c>
      <c r="DQ188">
        <v>0.177622</v>
      </c>
      <c r="DR188">
        <v>25.6053</v>
      </c>
      <c r="DS188">
        <v>25.380199999999999</v>
      </c>
      <c r="DT188">
        <v>17</v>
      </c>
      <c r="DU188">
        <v>29.8</v>
      </c>
      <c r="DV188">
        <v>7.2261199999999999</v>
      </c>
      <c r="DW188">
        <v>61.548499999999997</v>
      </c>
      <c r="DX188">
        <v>36.021599999999999</v>
      </c>
      <c r="DY188">
        <v>1</v>
      </c>
      <c r="DZ188">
        <v>-9.3793199999999993E-2</v>
      </c>
      <c r="EA188">
        <v>-0.25086599999999998</v>
      </c>
      <c r="EB188">
        <v>20.189499999999999</v>
      </c>
      <c r="EC188">
        <v>5.2415500000000002</v>
      </c>
      <c r="ED188">
        <v>12.039899999999999</v>
      </c>
      <c r="EE188">
        <v>5.0170500000000002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1.8689100000000001</v>
      </c>
      <c r="EL188">
        <v>1.8646400000000001</v>
      </c>
      <c r="EM188">
        <v>1.8691899999999999</v>
      </c>
      <c r="EN188">
        <v>1.8672299999999999</v>
      </c>
      <c r="EO188">
        <v>1.8633999999999999</v>
      </c>
      <c r="EP188">
        <v>1.8645700000000001</v>
      </c>
      <c r="EQ188">
        <v>1.87018</v>
      </c>
      <c r="ER188">
        <v>1.8694299999999999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-0.114</v>
      </c>
      <c r="FG188">
        <v>0.19259999999999999</v>
      </c>
      <c r="FH188">
        <v>0.16202357103534001</v>
      </c>
      <c r="FI188">
        <v>-6.1462078757559423E-4</v>
      </c>
      <c r="FJ188">
        <v>-1.8861989874597051E-7</v>
      </c>
      <c r="FK188">
        <v>1.1980462299894961E-10</v>
      </c>
      <c r="FL188">
        <v>0.19260234566371101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36</v>
      </c>
      <c r="FU188">
        <v>36</v>
      </c>
      <c r="FV188">
        <v>1.7785599999999999</v>
      </c>
      <c r="FW188">
        <v>2.5805699999999998</v>
      </c>
      <c r="FX188">
        <v>1.5490699999999999</v>
      </c>
      <c r="FY188">
        <v>2.3290999999999999</v>
      </c>
      <c r="FZ188">
        <v>1.50146</v>
      </c>
      <c r="GA188">
        <v>2.3986800000000001</v>
      </c>
      <c r="GB188">
        <v>33.850900000000003</v>
      </c>
      <c r="GC188">
        <v>23.991199999999999</v>
      </c>
      <c r="GD188">
        <v>19</v>
      </c>
      <c r="GE188">
        <v>238.26300000000001</v>
      </c>
      <c r="GF188">
        <v>581.94799999999998</v>
      </c>
      <c r="GG188">
        <v>25.417999999999999</v>
      </c>
      <c r="GH188">
        <v>26.2133</v>
      </c>
      <c r="GI188">
        <v>30</v>
      </c>
      <c r="GJ188">
        <v>26.3536</v>
      </c>
      <c r="GK188">
        <v>26.325900000000001</v>
      </c>
      <c r="GL188">
        <v>35.561599999999999</v>
      </c>
      <c r="GM188">
        <v>-30</v>
      </c>
      <c r="GN188">
        <v>-30</v>
      </c>
      <c r="GO188">
        <v>25.417300000000001</v>
      </c>
      <c r="GP188">
        <v>800</v>
      </c>
      <c r="GQ188">
        <v>12.5298</v>
      </c>
      <c r="GR188">
        <v>99.718000000000004</v>
      </c>
      <c r="GS188">
        <v>99.538600000000002</v>
      </c>
    </row>
    <row r="189" spans="1:201" x14ac:dyDescent="0.25">
      <c r="A189">
        <v>173</v>
      </c>
      <c r="B189">
        <v>1690217014.5999999</v>
      </c>
      <c r="C189">
        <v>2069.099999904633</v>
      </c>
      <c r="D189" t="s">
        <v>679</v>
      </c>
      <c r="E189" t="s">
        <v>680</v>
      </c>
      <c r="F189" t="s">
        <v>330</v>
      </c>
      <c r="H189">
        <v>1690217014.5999999</v>
      </c>
      <c r="I189">
        <f t="shared" si="60"/>
        <v>2.0099087885537383E-3</v>
      </c>
      <c r="J189">
        <f t="shared" si="61"/>
        <v>2.0099087885537381</v>
      </c>
      <c r="K189">
        <f t="shared" si="62"/>
        <v>34.106143261516891</v>
      </c>
      <c r="L189">
        <f t="shared" si="63"/>
        <v>409.07400000000001</v>
      </c>
      <c r="M189">
        <f t="shared" si="64"/>
        <v>86.277940411412473</v>
      </c>
      <c r="N189">
        <f t="shared" si="65"/>
        <v>8.5580437618288663</v>
      </c>
      <c r="O189">
        <f t="shared" si="66"/>
        <v>40.576689442662008</v>
      </c>
      <c r="P189">
        <f t="shared" si="67"/>
        <v>0.17856749388658968</v>
      </c>
      <c r="Q189">
        <f t="shared" si="68"/>
        <v>2.0610544909604633</v>
      </c>
      <c r="R189">
        <f t="shared" si="69"/>
        <v>0.17039626803089439</v>
      </c>
      <c r="S189">
        <f t="shared" si="70"/>
        <v>0.10720065608870999</v>
      </c>
      <c r="T189">
        <f t="shared" si="71"/>
        <v>276.11288846098648</v>
      </c>
      <c r="U189">
        <f t="shared" si="72"/>
        <v>28.351747953225694</v>
      </c>
      <c r="V189">
        <f t="shared" si="73"/>
        <v>28.351747953225694</v>
      </c>
      <c r="W189">
        <f t="shared" si="74"/>
        <v>3.8733550945978701</v>
      </c>
      <c r="X189">
        <f t="shared" si="75"/>
        <v>77.415932407933411</v>
      </c>
      <c r="Y189">
        <f t="shared" si="76"/>
        <v>2.7423590614173001</v>
      </c>
      <c r="Z189">
        <f t="shared" si="77"/>
        <v>3.5423703830973552</v>
      </c>
      <c r="AA189">
        <f t="shared" si="78"/>
        <v>1.13099603318057</v>
      </c>
      <c r="AB189">
        <f t="shared" si="79"/>
        <v>-88.636977575219859</v>
      </c>
      <c r="AC189">
        <f t="shared" si="80"/>
        <v>-169.73436109219151</v>
      </c>
      <c r="AD189">
        <f t="shared" si="81"/>
        <v>-17.877595692560192</v>
      </c>
      <c r="AE189">
        <f t="shared" si="82"/>
        <v>-0.13604589898508834</v>
      </c>
      <c r="AF189">
        <v>43</v>
      </c>
      <c r="AG189">
        <v>14</v>
      </c>
      <c r="AH189">
        <f t="shared" si="83"/>
        <v>1</v>
      </c>
      <c r="AI189">
        <f t="shared" si="84"/>
        <v>0</v>
      </c>
      <c r="AJ189">
        <f t="shared" si="85"/>
        <v>52279.705140686536</v>
      </c>
      <c r="AK189">
        <f t="shared" si="86"/>
        <v>1799.99</v>
      </c>
      <c r="AL189">
        <f t="shared" si="87"/>
        <v>1499.1003596184</v>
      </c>
      <c r="AM189">
        <f t="shared" si="88"/>
        <v>0.83283815999999999</v>
      </c>
      <c r="AN189">
        <f t="shared" si="89"/>
        <v>0.15339690135</v>
      </c>
      <c r="AO189">
        <v>33.6</v>
      </c>
      <c r="AP189">
        <v>0.5</v>
      </c>
      <c r="AQ189" t="s">
        <v>331</v>
      </c>
      <c r="AR189">
        <v>2</v>
      </c>
      <c r="AS189">
        <v>1690217014.5999999</v>
      </c>
      <c r="AT189">
        <v>409.07400000000001</v>
      </c>
      <c r="AU189">
        <v>800.04600000000005</v>
      </c>
      <c r="AV189">
        <v>27.647099999999998</v>
      </c>
      <c r="AW189">
        <v>5.7710999999999997</v>
      </c>
      <c r="AX189">
        <v>409.18700000000001</v>
      </c>
      <c r="AY189">
        <v>27.454499999999999</v>
      </c>
      <c r="AZ189">
        <v>300.173</v>
      </c>
      <c r="BA189">
        <v>99.091499999999996</v>
      </c>
      <c r="BB189">
        <v>0.100063</v>
      </c>
      <c r="BC189">
        <v>26.824200000000001</v>
      </c>
      <c r="BD189">
        <v>26.994499999999999</v>
      </c>
      <c r="BE189">
        <v>28.290299999999998</v>
      </c>
      <c r="BF189">
        <v>0</v>
      </c>
      <c r="BG189">
        <v>0</v>
      </c>
      <c r="BH189">
        <v>9970.6200000000008</v>
      </c>
      <c r="BI189">
        <v>1077.3800000000001</v>
      </c>
      <c r="BJ189">
        <v>1.8501799999999999</v>
      </c>
      <c r="BK189">
        <v>-390.97199999999998</v>
      </c>
      <c r="BL189">
        <v>420.70600000000002</v>
      </c>
      <c r="BM189">
        <v>804.69</v>
      </c>
      <c r="BN189">
        <v>21.876000000000001</v>
      </c>
      <c r="BO189">
        <v>800.04600000000005</v>
      </c>
      <c r="BP189">
        <v>5.7710999999999997</v>
      </c>
      <c r="BQ189">
        <v>2.7395900000000002</v>
      </c>
      <c r="BR189">
        <v>0.57186700000000001</v>
      </c>
      <c r="BS189">
        <v>22.5245</v>
      </c>
      <c r="BT189">
        <v>-0.96699900000000005</v>
      </c>
      <c r="BU189">
        <v>1799.99</v>
      </c>
      <c r="BV189">
        <v>0.90999099999999999</v>
      </c>
      <c r="BW189">
        <v>3.4005300000000002E-2</v>
      </c>
      <c r="BX189">
        <v>2.19905E-2</v>
      </c>
      <c r="BY189">
        <v>3.4013700000000001E-2</v>
      </c>
      <c r="BZ189">
        <v>26</v>
      </c>
      <c r="CA189">
        <v>33528.400000000001</v>
      </c>
      <c r="CB189">
        <v>1690214843</v>
      </c>
      <c r="CC189" t="s">
        <v>332</v>
      </c>
      <c r="CD189">
        <v>1690214842</v>
      </c>
      <c r="CE189">
        <v>1690214843</v>
      </c>
      <c r="CF189">
        <v>8</v>
      </c>
      <c r="CG189">
        <v>-6.3E-2</v>
      </c>
      <c r="CH189">
        <v>1E-3</v>
      </c>
      <c r="CI189">
        <v>-0.38900000000000001</v>
      </c>
      <c r="CJ189">
        <v>-6.6000000000000003E-2</v>
      </c>
      <c r="CK189">
        <v>800</v>
      </c>
      <c r="CL189">
        <v>6</v>
      </c>
      <c r="CM189">
        <v>0.23</v>
      </c>
      <c r="CN189">
        <v>0.02</v>
      </c>
      <c r="CO189">
        <v>-389.40069999999997</v>
      </c>
      <c r="CP189">
        <v>-7.3006604127581394</v>
      </c>
      <c r="CQ189">
        <v>0.70292660356540959</v>
      </c>
      <c r="CR189">
        <v>-1</v>
      </c>
      <c r="CS189">
        <v>21.827570000000001</v>
      </c>
      <c r="CT189">
        <v>0.2679962476546971</v>
      </c>
      <c r="CU189">
        <v>2.5817157085937899E-2</v>
      </c>
      <c r="CV189">
        <v>-1</v>
      </c>
      <c r="CW189">
        <v>0</v>
      </c>
      <c r="CX189">
        <v>0</v>
      </c>
      <c r="CY189" t="s">
        <v>333</v>
      </c>
      <c r="CZ189">
        <v>2.3645200000000002</v>
      </c>
      <c r="DA189">
        <v>2.7138300000000002</v>
      </c>
      <c r="DB189">
        <v>9.10691E-2</v>
      </c>
      <c r="DC189">
        <v>0.14611199999999999</v>
      </c>
      <c r="DD189">
        <v>0.12576999999999999</v>
      </c>
      <c r="DE189">
        <v>3.8222100000000002E-2</v>
      </c>
      <c r="DF189">
        <v>33182.9</v>
      </c>
      <c r="DG189">
        <v>27511.9</v>
      </c>
      <c r="DH189">
        <v>31166.400000000001</v>
      </c>
      <c r="DI189">
        <v>28075.1</v>
      </c>
      <c r="DJ189">
        <v>36978.9</v>
      </c>
      <c r="DK189">
        <v>38396.1</v>
      </c>
      <c r="DL189">
        <v>44351.9</v>
      </c>
      <c r="DM189">
        <v>42548.4</v>
      </c>
      <c r="DN189">
        <v>1.3643700000000001</v>
      </c>
      <c r="DO189">
        <v>2.0348000000000002</v>
      </c>
      <c r="DP189">
        <v>8.4944099999999995E-2</v>
      </c>
      <c r="DQ189">
        <v>0.177898</v>
      </c>
      <c r="DR189">
        <v>25.6037</v>
      </c>
      <c r="DS189">
        <v>25.380199999999999</v>
      </c>
      <c r="DT189">
        <v>17</v>
      </c>
      <c r="DU189">
        <v>29.8</v>
      </c>
      <c r="DV189">
        <v>7.2259700000000002</v>
      </c>
      <c r="DW189">
        <v>61.928600000000003</v>
      </c>
      <c r="DX189">
        <v>36.366199999999999</v>
      </c>
      <c r="DY189">
        <v>1</v>
      </c>
      <c r="DZ189">
        <v>-9.3785599999999997E-2</v>
      </c>
      <c r="EA189">
        <v>-0.258826</v>
      </c>
      <c r="EB189">
        <v>20.189599999999999</v>
      </c>
      <c r="EC189">
        <v>5.24125</v>
      </c>
      <c r="ED189">
        <v>12.039899999999999</v>
      </c>
      <c r="EE189">
        <v>5.0168499999999998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1.86893</v>
      </c>
      <c r="EL189">
        <v>1.8646400000000001</v>
      </c>
      <c r="EM189">
        <v>1.8692</v>
      </c>
      <c r="EN189">
        <v>1.8672299999999999</v>
      </c>
      <c r="EO189">
        <v>1.8633999999999999</v>
      </c>
      <c r="EP189">
        <v>1.86459</v>
      </c>
      <c r="EQ189">
        <v>1.87022</v>
      </c>
      <c r="ER189">
        <v>1.8694599999999999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-0.113</v>
      </c>
      <c r="FG189">
        <v>0.19259999999999999</v>
      </c>
      <c r="FH189">
        <v>0.16202357103534001</v>
      </c>
      <c r="FI189">
        <v>-6.1462078757559423E-4</v>
      </c>
      <c r="FJ189">
        <v>-1.8861989874597051E-7</v>
      </c>
      <c r="FK189">
        <v>1.1980462299894961E-10</v>
      </c>
      <c r="FL189">
        <v>0.19260234566371101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36.200000000000003</v>
      </c>
      <c r="FU189">
        <v>36.200000000000003</v>
      </c>
      <c r="FV189">
        <v>1.7785599999999999</v>
      </c>
      <c r="FW189">
        <v>2.5744600000000002</v>
      </c>
      <c r="FX189">
        <v>1.5490699999999999</v>
      </c>
      <c r="FY189">
        <v>2.3290999999999999</v>
      </c>
      <c r="FZ189">
        <v>1.50146</v>
      </c>
      <c r="GA189">
        <v>2.3974600000000001</v>
      </c>
      <c r="GB189">
        <v>33.850900000000003</v>
      </c>
      <c r="GC189">
        <v>23.982399999999998</v>
      </c>
      <c r="GD189">
        <v>19</v>
      </c>
      <c r="GE189">
        <v>238.042</v>
      </c>
      <c r="GF189">
        <v>581.721</v>
      </c>
      <c r="GG189">
        <v>25.417100000000001</v>
      </c>
      <c r="GH189">
        <v>26.213200000000001</v>
      </c>
      <c r="GI189">
        <v>30</v>
      </c>
      <c r="GJ189">
        <v>26.352599999999999</v>
      </c>
      <c r="GK189">
        <v>26.325900000000001</v>
      </c>
      <c r="GL189">
        <v>35.559899999999999</v>
      </c>
      <c r="GM189">
        <v>-30</v>
      </c>
      <c r="GN189">
        <v>-30</v>
      </c>
      <c r="GO189">
        <v>25.417200000000001</v>
      </c>
      <c r="GP189">
        <v>800</v>
      </c>
      <c r="GQ189">
        <v>12.5298</v>
      </c>
      <c r="GR189">
        <v>99.718100000000007</v>
      </c>
      <c r="GS189">
        <v>99.538899999999998</v>
      </c>
    </row>
    <row r="190" spans="1:201" x14ac:dyDescent="0.25">
      <c r="A190">
        <v>174</v>
      </c>
      <c r="B190">
        <v>1690217024.5999999</v>
      </c>
      <c r="C190">
        <v>2079.099999904633</v>
      </c>
      <c r="D190" t="s">
        <v>681</v>
      </c>
      <c r="E190" t="s">
        <v>682</v>
      </c>
      <c r="F190" t="s">
        <v>330</v>
      </c>
      <c r="H190">
        <v>1690217024.5999999</v>
      </c>
      <c r="I190">
        <f t="shared" si="60"/>
        <v>2.0141612708491036E-3</v>
      </c>
      <c r="J190">
        <f t="shared" si="61"/>
        <v>2.0141612708491037</v>
      </c>
      <c r="K190">
        <f t="shared" si="62"/>
        <v>34.184617615112707</v>
      </c>
      <c r="L190">
        <f t="shared" si="63"/>
        <v>408.06400000000002</v>
      </c>
      <c r="M190">
        <f t="shared" si="64"/>
        <v>86.341514148577119</v>
      </c>
      <c r="N190">
        <f t="shared" si="65"/>
        <v>8.5643697455128081</v>
      </c>
      <c r="O190">
        <f t="shared" si="66"/>
        <v>40.476600512460806</v>
      </c>
      <c r="P190">
        <f t="shared" si="67"/>
        <v>0.1796090009759557</v>
      </c>
      <c r="Q190">
        <f t="shared" si="68"/>
        <v>2.0617474662662438</v>
      </c>
      <c r="R190">
        <f t="shared" si="69"/>
        <v>0.17134718969900187</v>
      </c>
      <c r="S190">
        <f t="shared" si="70"/>
        <v>0.10780261050971693</v>
      </c>
      <c r="T190">
        <f t="shared" si="71"/>
        <v>276.1158197602544</v>
      </c>
      <c r="U190">
        <f t="shared" si="72"/>
        <v>28.355870608157808</v>
      </c>
      <c r="V190">
        <f t="shared" si="73"/>
        <v>28.355870608157808</v>
      </c>
      <c r="W190">
        <f t="shared" si="74"/>
        <v>3.8742836707198447</v>
      </c>
      <c r="X190">
        <f t="shared" si="75"/>
        <v>77.525225080727168</v>
      </c>
      <c r="Y190">
        <f t="shared" si="76"/>
        <v>2.7472159460112002</v>
      </c>
      <c r="Z190">
        <f t="shared" si="77"/>
        <v>3.5436413672459754</v>
      </c>
      <c r="AA190">
        <f t="shared" si="78"/>
        <v>1.1270677247086445</v>
      </c>
      <c r="AB190">
        <f t="shared" si="79"/>
        <v>-88.82451204444547</v>
      </c>
      <c r="AC190">
        <f t="shared" si="80"/>
        <v>-169.57164210533281</v>
      </c>
      <c r="AD190">
        <f t="shared" si="81"/>
        <v>-17.855364442338573</v>
      </c>
      <c r="AE190">
        <f t="shared" si="82"/>
        <v>-0.13569883186244169</v>
      </c>
      <c r="AF190">
        <v>43</v>
      </c>
      <c r="AG190">
        <v>14</v>
      </c>
      <c r="AH190">
        <f t="shared" si="83"/>
        <v>1</v>
      </c>
      <c r="AI190">
        <f t="shared" si="84"/>
        <v>0</v>
      </c>
      <c r="AJ190">
        <f t="shared" si="85"/>
        <v>52310.301572385244</v>
      </c>
      <c r="AK190">
        <f t="shared" si="86"/>
        <v>1800.01</v>
      </c>
      <c r="AL190">
        <f t="shared" si="87"/>
        <v>1499.1167535801401</v>
      </c>
      <c r="AM190">
        <f t="shared" si="88"/>
        <v>0.83283801400000002</v>
      </c>
      <c r="AN190">
        <f t="shared" si="89"/>
        <v>0.15339682544</v>
      </c>
      <c r="AO190">
        <v>33.6</v>
      </c>
      <c r="AP190">
        <v>0.5</v>
      </c>
      <c r="AQ190" t="s">
        <v>331</v>
      </c>
      <c r="AR190">
        <v>2</v>
      </c>
      <c r="AS190">
        <v>1690217024.5999999</v>
      </c>
      <c r="AT190">
        <v>408.06400000000002</v>
      </c>
      <c r="AU190">
        <v>799.97900000000004</v>
      </c>
      <c r="AV190">
        <v>27.696000000000002</v>
      </c>
      <c r="AW190">
        <v>5.77102</v>
      </c>
      <c r="AX190">
        <v>408.17599999999999</v>
      </c>
      <c r="AY190">
        <v>27.503399999999999</v>
      </c>
      <c r="AZ190">
        <v>300.12099999999998</v>
      </c>
      <c r="BA190">
        <v>99.091800000000006</v>
      </c>
      <c r="BB190">
        <v>9.9994700000000006E-2</v>
      </c>
      <c r="BC190">
        <v>26.830300000000001</v>
      </c>
      <c r="BD190">
        <v>27.000900000000001</v>
      </c>
      <c r="BE190">
        <v>28.286300000000001</v>
      </c>
      <c r="BF190">
        <v>0</v>
      </c>
      <c r="BG190">
        <v>0</v>
      </c>
      <c r="BH190">
        <v>9976.8799999999992</v>
      </c>
      <c r="BI190">
        <v>1077.3800000000001</v>
      </c>
      <c r="BJ190">
        <v>1.8501799999999999</v>
      </c>
      <c r="BK190">
        <v>-391.91500000000002</v>
      </c>
      <c r="BL190">
        <v>419.68799999999999</v>
      </c>
      <c r="BM190">
        <v>804.62199999999996</v>
      </c>
      <c r="BN190">
        <v>21.925000000000001</v>
      </c>
      <c r="BO190">
        <v>799.97900000000004</v>
      </c>
      <c r="BP190">
        <v>5.77102</v>
      </c>
      <c r="BQ190">
        <v>2.74444</v>
      </c>
      <c r="BR190">
        <v>0.57186099999999995</v>
      </c>
      <c r="BS190">
        <v>22.553699999999999</v>
      </c>
      <c r="BT190">
        <v>-0.96715499999999999</v>
      </c>
      <c r="BU190">
        <v>1800.01</v>
      </c>
      <c r="BV190">
        <v>0.90999200000000002</v>
      </c>
      <c r="BW190">
        <v>3.4004800000000002E-2</v>
      </c>
      <c r="BX190">
        <v>2.1990200000000001E-2</v>
      </c>
      <c r="BY190">
        <v>3.40132E-2</v>
      </c>
      <c r="BZ190">
        <v>26</v>
      </c>
      <c r="CA190">
        <v>33528.6</v>
      </c>
      <c r="CB190">
        <v>1690214843</v>
      </c>
      <c r="CC190" t="s">
        <v>332</v>
      </c>
      <c r="CD190">
        <v>1690214842</v>
      </c>
      <c r="CE190">
        <v>1690214843</v>
      </c>
      <c r="CF190">
        <v>8</v>
      </c>
      <c r="CG190">
        <v>-6.3E-2</v>
      </c>
      <c r="CH190">
        <v>1E-3</v>
      </c>
      <c r="CI190">
        <v>-0.38900000000000001</v>
      </c>
      <c r="CJ190">
        <v>-6.6000000000000003E-2</v>
      </c>
      <c r="CK190">
        <v>800</v>
      </c>
      <c r="CL190">
        <v>6</v>
      </c>
      <c r="CM190">
        <v>0.23</v>
      </c>
      <c r="CN190">
        <v>0.02</v>
      </c>
      <c r="CO190">
        <v>-390.70507317073168</v>
      </c>
      <c r="CP190">
        <v>-7.7068432055748808</v>
      </c>
      <c r="CQ190">
        <v>0.76366128330671135</v>
      </c>
      <c r="CR190">
        <v>-1</v>
      </c>
      <c r="CS190">
        <v>21.873373170731711</v>
      </c>
      <c r="CT190">
        <v>0.26881463414635759</v>
      </c>
      <c r="CU190">
        <v>2.653502999387276E-2</v>
      </c>
      <c r="CV190">
        <v>-1</v>
      </c>
      <c r="CW190">
        <v>0</v>
      </c>
      <c r="CX190">
        <v>0</v>
      </c>
      <c r="CY190" t="s">
        <v>333</v>
      </c>
      <c r="CZ190">
        <v>2.3643700000000001</v>
      </c>
      <c r="DA190">
        <v>2.7137600000000002</v>
      </c>
      <c r="DB190">
        <v>9.0898199999999998E-2</v>
      </c>
      <c r="DC190">
        <v>0.14610500000000001</v>
      </c>
      <c r="DD190">
        <v>0.12592500000000001</v>
      </c>
      <c r="DE190">
        <v>3.8221999999999999E-2</v>
      </c>
      <c r="DF190">
        <v>33189.300000000003</v>
      </c>
      <c r="DG190">
        <v>27511.8</v>
      </c>
      <c r="DH190">
        <v>31166.6</v>
      </c>
      <c r="DI190">
        <v>28074.6</v>
      </c>
      <c r="DJ190">
        <v>36972.6</v>
      </c>
      <c r="DK190">
        <v>38395.699999999997</v>
      </c>
      <c r="DL190">
        <v>44352.2</v>
      </c>
      <c r="DM190">
        <v>42547.9</v>
      </c>
      <c r="DN190">
        <v>1.3638999999999999</v>
      </c>
      <c r="DO190">
        <v>2.0350299999999999</v>
      </c>
      <c r="DP190">
        <v>8.5338999999999998E-2</v>
      </c>
      <c r="DQ190">
        <v>0.177652</v>
      </c>
      <c r="DR190">
        <v>25.6037</v>
      </c>
      <c r="DS190">
        <v>25.380199999999999</v>
      </c>
      <c r="DT190">
        <v>17</v>
      </c>
      <c r="DU190">
        <v>29.8</v>
      </c>
      <c r="DV190">
        <v>7.2269899999999998</v>
      </c>
      <c r="DW190">
        <v>61.7986</v>
      </c>
      <c r="DX190">
        <v>36.510399999999997</v>
      </c>
      <c r="DY190">
        <v>1</v>
      </c>
      <c r="DZ190">
        <v>-9.3785599999999997E-2</v>
      </c>
      <c r="EA190">
        <v>-0.27671800000000002</v>
      </c>
      <c r="EB190">
        <v>20.189399999999999</v>
      </c>
      <c r="EC190">
        <v>5.2408000000000001</v>
      </c>
      <c r="ED190">
        <v>12.039899999999999</v>
      </c>
      <c r="EE190">
        <v>5.01675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1.86893</v>
      </c>
      <c r="EL190">
        <v>1.8646400000000001</v>
      </c>
      <c r="EM190">
        <v>1.8692</v>
      </c>
      <c r="EN190">
        <v>1.86724</v>
      </c>
      <c r="EO190">
        <v>1.8633999999999999</v>
      </c>
      <c r="EP190">
        <v>1.8645499999999999</v>
      </c>
      <c r="EQ190">
        <v>1.87022</v>
      </c>
      <c r="ER190">
        <v>1.8694500000000001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-0.112</v>
      </c>
      <c r="FG190">
        <v>0.19259999999999999</v>
      </c>
      <c r="FH190">
        <v>0.16202357103534001</v>
      </c>
      <c r="FI190">
        <v>-6.1462078757559423E-4</v>
      </c>
      <c r="FJ190">
        <v>-1.8861989874597051E-7</v>
      </c>
      <c r="FK190">
        <v>1.1980462299894961E-10</v>
      </c>
      <c r="FL190">
        <v>0.19260234566371101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36.4</v>
      </c>
      <c r="FU190">
        <v>36.4</v>
      </c>
      <c r="FV190">
        <v>1.7785599999999999</v>
      </c>
      <c r="FW190">
        <v>2.5781200000000002</v>
      </c>
      <c r="FX190">
        <v>1.5490699999999999</v>
      </c>
      <c r="FY190">
        <v>2.3290999999999999</v>
      </c>
      <c r="FZ190">
        <v>1.50024</v>
      </c>
      <c r="GA190">
        <v>2.3559600000000001</v>
      </c>
      <c r="GB190">
        <v>33.850900000000003</v>
      </c>
      <c r="GC190">
        <v>23.991199999999999</v>
      </c>
      <c r="GD190">
        <v>19</v>
      </c>
      <c r="GE190">
        <v>237.863</v>
      </c>
      <c r="GF190">
        <v>581.88199999999995</v>
      </c>
      <c r="GG190">
        <v>25.4209</v>
      </c>
      <c r="GH190">
        <v>26.211099999999998</v>
      </c>
      <c r="GI190">
        <v>30</v>
      </c>
      <c r="GJ190">
        <v>26.352599999999999</v>
      </c>
      <c r="GK190">
        <v>26.323599999999999</v>
      </c>
      <c r="GL190">
        <v>35.561300000000003</v>
      </c>
      <c r="GM190">
        <v>-30</v>
      </c>
      <c r="GN190">
        <v>-30</v>
      </c>
      <c r="GO190">
        <v>25.425999999999998</v>
      </c>
      <c r="GP190">
        <v>800</v>
      </c>
      <c r="GQ190">
        <v>12.5298</v>
      </c>
      <c r="GR190">
        <v>99.718800000000002</v>
      </c>
      <c r="GS190">
        <v>99.537599999999998</v>
      </c>
    </row>
    <row r="191" spans="1:201" x14ac:dyDescent="0.25">
      <c r="A191">
        <v>175</v>
      </c>
      <c r="B191">
        <v>1690217034.5999999</v>
      </c>
      <c r="C191">
        <v>2089.099999904633</v>
      </c>
      <c r="D191" t="s">
        <v>683</v>
      </c>
      <c r="E191" t="s">
        <v>684</v>
      </c>
      <c r="F191" t="s">
        <v>330</v>
      </c>
      <c r="H191">
        <v>1690217034.5999999</v>
      </c>
      <c r="I191">
        <f t="shared" si="60"/>
        <v>2.0178514787739816E-3</v>
      </c>
      <c r="J191">
        <f t="shared" si="61"/>
        <v>2.0178514787739816</v>
      </c>
      <c r="K191">
        <f t="shared" si="62"/>
        <v>34.314808883282218</v>
      </c>
      <c r="L191">
        <f t="shared" si="63"/>
        <v>406.68900000000002</v>
      </c>
      <c r="M191">
        <f t="shared" si="64"/>
        <v>85.534057355795696</v>
      </c>
      <c r="N191">
        <f t="shared" si="65"/>
        <v>8.4847610621211356</v>
      </c>
      <c r="O191">
        <f t="shared" si="66"/>
        <v>40.342514996562002</v>
      </c>
      <c r="P191">
        <f t="shared" si="67"/>
        <v>0.18062750940845276</v>
      </c>
      <c r="Q191">
        <f t="shared" si="68"/>
        <v>2.0640782514502054</v>
      </c>
      <c r="R191">
        <f t="shared" si="69"/>
        <v>0.17228303818565041</v>
      </c>
      <c r="S191">
        <f t="shared" si="70"/>
        <v>0.10839448743572515</v>
      </c>
      <c r="T191">
        <f t="shared" si="71"/>
        <v>276.11424831599999</v>
      </c>
      <c r="U191">
        <f t="shared" si="72"/>
        <v>28.35417199695944</v>
      </c>
      <c r="V191">
        <f t="shared" si="73"/>
        <v>28.35417199695944</v>
      </c>
      <c r="W191">
        <f t="shared" si="74"/>
        <v>3.8739010564135481</v>
      </c>
      <c r="X191">
        <f t="shared" si="75"/>
        <v>77.622429219132698</v>
      </c>
      <c r="Y191">
        <f t="shared" si="76"/>
        <v>2.7508546275438004</v>
      </c>
      <c r="Z191">
        <f t="shared" si="77"/>
        <v>3.5438914437706854</v>
      </c>
      <c r="AA191">
        <f t="shared" si="78"/>
        <v>1.1230464288697477</v>
      </c>
      <c r="AB191">
        <f t="shared" si="79"/>
        <v>-88.987250213932583</v>
      </c>
      <c r="AC191">
        <f t="shared" si="80"/>
        <v>-169.4407878174114</v>
      </c>
      <c r="AD191">
        <f t="shared" si="81"/>
        <v>-17.821394155757552</v>
      </c>
      <c r="AE191">
        <f t="shared" si="82"/>
        <v>-0.13518387110156027</v>
      </c>
      <c r="AF191">
        <v>43</v>
      </c>
      <c r="AG191">
        <v>14</v>
      </c>
      <c r="AH191">
        <f t="shared" si="83"/>
        <v>1</v>
      </c>
      <c r="AI191">
        <f t="shared" si="84"/>
        <v>0</v>
      </c>
      <c r="AJ191">
        <f t="shared" si="85"/>
        <v>52416.77781197882</v>
      </c>
      <c r="AK191">
        <f t="shared" si="86"/>
        <v>1800</v>
      </c>
      <c r="AL191">
        <f t="shared" si="87"/>
        <v>1499.1075935999997</v>
      </c>
      <c r="AM191">
        <f t="shared" si="88"/>
        <v>0.83283755199999987</v>
      </c>
      <c r="AN191">
        <f t="shared" si="89"/>
        <v>0.15339680461999999</v>
      </c>
      <c r="AO191">
        <v>33.6</v>
      </c>
      <c r="AP191">
        <v>0.5</v>
      </c>
      <c r="AQ191" t="s">
        <v>331</v>
      </c>
      <c r="AR191">
        <v>2</v>
      </c>
      <c r="AS191">
        <v>1690217034.5999999</v>
      </c>
      <c r="AT191">
        <v>406.68900000000002</v>
      </c>
      <c r="AU191">
        <v>799.99099999999999</v>
      </c>
      <c r="AV191">
        <v>27.731100000000001</v>
      </c>
      <c r="AW191">
        <v>5.7698900000000002</v>
      </c>
      <c r="AX191">
        <v>406.8</v>
      </c>
      <c r="AY191">
        <v>27.538499999999999</v>
      </c>
      <c r="AZ191">
        <v>300.16399999999999</v>
      </c>
      <c r="BA191">
        <v>99.097399999999993</v>
      </c>
      <c r="BB191">
        <v>0.10005799999999999</v>
      </c>
      <c r="BC191">
        <v>26.831499999999998</v>
      </c>
      <c r="BD191">
        <v>27.001899999999999</v>
      </c>
      <c r="BE191">
        <v>28.267600000000002</v>
      </c>
      <c r="BF191">
        <v>0</v>
      </c>
      <c r="BG191">
        <v>0</v>
      </c>
      <c r="BH191">
        <v>9997.5</v>
      </c>
      <c r="BI191">
        <v>1077.3699999999999</v>
      </c>
      <c r="BJ191">
        <v>1.8501799999999999</v>
      </c>
      <c r="BK191">
        <v>-393.30200000000002</v>
      </c>
      <c r="BL191">
        <v>418.28800000000001</v>
      </c>
      <c r="BM191">
        <v>804.63300000000004</v>
      </c>
      <c r="BN191">
        <v>21.961200000000002</v>
      </c>
      <c r="BO191">
        <v>799.99099999999999</v>
      </c>
      <c r="BP191">
        <v>5.7698900000000002</v>
      </c>
      <c r="BQ191">
        <v>2.7480799999999999</v>
      </c>
      <c r="BR191">
        <v>0.57178200000000001</v>
      </c>
      <c r="BS191">
        <v>22.575500000000002</v>
      </c>
      <c r="BT191">
        <v>-0.96904999999999997</v>
      </c>
      <c r="BU191">
        <v>1800</v>
      </c>
      <c r="BV191">
        <v>0.90998999999999997</v>
      </c>
      <c r="BW191">
        <v>3.4005399999999998E-2</v>
      </c>
      <c r="BX191">
        <v>2.1990599999999999E-2</v>
      </c>
      <c r="BY191">
        <v>3.4013799999999997E-2</v>
      </c>
      <c r="BZ191">
        <v>26</v>
      </c>
      <c r="CA191">
        <v>33528.5</v>
      </c>
      <c r="CB191">
        <v>1690214843</v>
      </c>
      <c r="CC191" t="s">
        <v>332</v>
      </c>
      <c r="CD191">
        <v>1690214842</v>
      </c>
      <c r="CE191">
        <v>1690214843</v>
      </c>
      <c r="CF191">
        <v>8</v>
      </c>
      <c r="CG191">
        <v>-6.3E-2</v>
      </c>
      <c r="CH191">
        <v>1E-3</v>
      </c>
      <c r="CI191">
        <v>-0.38900000000000001</v>
      </c>
      <c r="CJ191">
        <v>-6.6000000000000003E-2</v>
      </c>
      <c r="CK191">
        <v>800</v>
      </c>
      <c r="CL191">
        <v>6</v>
      </c>
      <c r="CM191">
        <v>0.23</v>
      </c>
      <c r="CN191">
        <v>0.02</v>
      </c>
      <c r="CO191">
        <v>-391.87731707317079</v>
      </c>
      <c r="CP191">
        <v>-6.2291289198611128</v>
      </c>
      <c r="CQ191">
        <v>0.61748057889966457</v>
      </c>
      <c r="CR191">
        <v>-1</v>
      </c>
      <c r="CS191">
        <v>21.917629268292679</v>
      </c>
      <c r="CT191">
        <v>0.25987526132405703</v>
      </c>
      <c r="CU191">
        <v>2.5729543083185209E-2</v>
      </c>
      <c r="CV191">
        <v>-1</v>
      </c>
      <c r="CW191">
        <v>0</v>
      </c>
      <c r="CX191">
        <v>0</v>
      </c>
      <c r="CY191" t="s">
        <v>333</v>
      </c>
      <c r="CZ191">
        <v>2.3645200000000002</v>
      </c>
      <c r="DA191">
        <v>2.7138499999999999</v>
      </c>
      <c r="DB191">
        <v>9.0670100000000003E-2</v>
      </c>
      <c r="DC191">
        <v>0.14611499999999999</v>
      </c>
      <c r="DD191">
        <v>0.12604299999999999</v>
      </c>
      <c r="DE191">
        <v>3.8218000000000002E-2</v>
      </c>
      <c r="DF191">
        <v>33197.699999999997</v>
      </c>
      <c r="DG191">
        <v>27511.4</v>
      </c>
      <c r="DH191">
        <v>31166.6</v>
      </c>
      <c r="DI191">
        <v>28074.6</v>
      </c>
      <c r="DJ191">
        <v>36967.800000000003</v>
      </c>
      <c r="DK191">
        <v>38395.599999999999</v>
      </c>
      <c r="DL191">
        <v>44352.6</v>
      </c>
      <c r="DM191">
        <v>42547.6</v>
      </c>
      <c r="DN191">
        <v>1.3641799999999999</v>
      </c>
      <c r="DO191">
        <v>2.03485</v>
      </c>
      <c r="DP191">
        <v>8.5398600000000005E-2</v>
      </c>
      <c r="DQ191">
        <v>0.17637800000000001</v>
      </c>
      <c r="DR191">
        <v>25.6037</v>
      </c>
      <c r="DS191">
        <v>25.382300000000001</v>
      </c>
      <c r="DT191">
        <v>17</v>
      </c>
      <c r="DU191">
        <v>29.8</v>
      </c>
      <c r="DV191">
        <v>7.2247700000000004</v>
      </c>
      <c r="DW191">
        <v>61.698599999999999</v>
      </c>
      <c r="DX191">
        <v>36.682699999999997</v>
      </c>
      <c r="DY191">
        <v>1</v>
      </c>
      <c r="DZ191">
        <v>-9.3643299999999999E-2</v>
      </c>
      <c r="EA191">
        <v>-0.25145200000000001</v>
      </c>
      <c r="EB191">
        <v>20.189499999999999</v>
      </c>
      <c r="EC191">
        <v>5.2413999999999996</v>
      </c>
      <c r="ED191">
        <v>12.039899999999999</v>
      </c>
      <c r="EE191">
        <v>5.0169499999999996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1.8689100000000001</v>
      </c>
      <c r="EL191">
        <v>1.8646400000000001</v>
      </c>
      <c r="EM191">
        <v>1.8691800000000001</v>
      </c>
      <c r="EN191">
        <v>1.8672299999999999</v>
      </c>
      <c r="EO191">
        <v>1.8633999999999999</v>
      </c>
      <c r="EP191">
        <v>1.8645499999999999</v>
      </c>
      <c r="EQ191">
        <v>1.8702000000000001</v>
      </c>
      <c r="ER191">
        <v>1.86944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-0.111</v>
      </c>
      <c r="FG191">
        <v>0.19259999999999999</v>
      </c>
      <c r="FH191">
        <v>0.16202357103534001</v>
      </c>
      <c r="FI191">
        <v>-6.1462078757559423E-4</v>
      </c>
      <c r="FJ191">
        <v>-1.8861989874597051E-7</v>
      </c>
      <c r="FK191">
        <v>1.1980462299894961E-10</v>
      </c>
      <c r="FL191">
        <v>0.19260234566371101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36.5</v>
      </c>
      <c r="FU191">
        <v>36.5</v>
      </c>
      <c r="FV191">
        <v>1.7785599999999999</v>
      </c>
      <c r="FW191">
        <v>2.5793499999999998</v>
      </c>
      <c r="FX191">
        <v>1.5490699999999999</v>
      </c>
      <c r="FY191">
        <v>2.3290999999999999</v>
      </c>
      <c r="FZ191">
        <v>1.50146</v>
      </c>
      <c r="GA191">
        <v>2.3315399999999999</v>
      </c>
      <c r="GB191">
        <v>33.850900000000003</v>
      </c>
      <c r="GC191">
        <v>23.982399999999998</v>
      </c>
      <c r="GD191">
        <v>19</v>
      </c>
      <c r="GE191">
        <v>237.959</v>
      </c>
      <c r="GF191">
        <v>581.73699999999997</v>
      </c>
      <c r="GG191">
        <v>25.423300000000001</v>
      </c>
      <c r="GH191">
        <v>26.211099999999998</v>
      </c>
      <c r="GI191">
        <v>30.0002</v>
      </c>
      <c r="GJ191">
        <v>26.3504</v>
      </c>
      <c r="GK191">
        <v>26.323599999999999</v>
      </c>
      <c r="GL191">
        <v>35.561599999999999</v>
      </c>
      <c r="GM191">
        <v>-30</v>
      </c>
      <c r="GN191">
        <v>-30</v>
      </c>
      <c r="GO191">
        <v>25.418900000000001</v>
      </c>
      <c r="GP191">
        <v>800</v>
      </c>
      <c r="GQ191">
        <v>12.5298</v>
      </c>
      <c r="GR191">
        <v>99.719300000000004</v>
      </c>
      <c r="GS191">
        <v>99.537099999999995</v>
      </c>
    </row>
    <row r="192" spans="1:201" x14ac:dyDescent="0.25">
      <c r="A192">
        <v>176</v>
      </c>
      <c r="B192">
        <v>1690217044.5999999</v>
      </c>
      <c r="C192">
        <v>2099.099999904633</v>
      </c>
      <c r="D192" t="s">
        <v>685</v>
      </c>
      <c r="E192" t="s">
        <v>686</v>
      </c>
      <c r="F192" t="s">
        <v>330</v>
      </c>
      <c r="H192">
        <v>1690217044.5999999</v>
      </c>
      <c r="I192">
        <f t="shared" si="60"/>
        <v>2.0220637595237847E-3</v>
      </c>
      <c r="J192">
        <f t="shared" si="61"/>
        <v>2.0220637595237849</v>
      </c>
      <c r="K192">
        <f t="shared" si="62"/>
        <v>34.40123368847982</v>
      </c>
      <c r="L192">
        <f t="shared" si="63"/>
        <v>405.75799999999998</v>
      </c>
      <c r="M192">
        <f t="shared" si="64"/>
        <v>85.904873351474663</v>
      </c>
      <c r="N192">
        <f t="shared" si="65"/>
        <v>8.5209529325767033</v>
      </c>
      <c r="O192">
        <f t="shared" si="66"/>
        <v>40.247365313845798</v>
      </c>
      <c r="P192">
        <f t="shared" si="67"/>
        <v>0.18187093163946</v>
      </c>
      <c r="Q192">
        <f t="shared" si="68"/>
        <v>2.0624211873564033</v>
      </c>
      <c r="R192">
        <f t="shared" si="69"/>
        <v>0.17340761522861198</v>
      </c>
      <c r="S192">
        <f t="shared" si="70"/>
        <v>0.1091073296459658</v>
      </c>
      <c r="T192">
        <f t="shared" si="71"/>
        <v>276.114140658</v>
      </c>
      <c r="U192">
        <f t="shared" si="72"/>
        <v>28.351569315020512</v>
      </c>
      <c r="V192">
        <f t="shared" si="73"/>
        <v>28.351569315020512</v>
      </c>
      <c r="W192">
        <f t="shared" si="74"/>
        <v>3.8733148629797078</v>
      </c>
      <c r="X192">
        <f t="shared" si="75"/>
        <v>77.75864396111082</v>
      </c>
      <c r="Y192">
        <f t="shared" si="76"/>
        <v>2.75532543640431</v>
      </c>
      <c r="Z192">
        <f t="shared" si="77"/>
        <v>3.5434329819104384</v>
      </c>
      <c r="AA192">
        <f t="shared" si="78"/>
        <v>1.1179894265753978</v>
      </c>
      <c r="AB192">
        <f t="shared" si="79"/>
        <v>-89.173011794998914</v>
      </c>
      <c r="AC192">
        <f t="shared" si="80"/>
        <v>-169.25998503772638</v>
      </c>
      <c r="AD192">
        <f t="shared" si="81"/>
        <v>-17.816254104799441</v>
      </c>
      <c r="AE192">
        <f t="shared" si="82"/>
        <v>-0.13511027952472432</v>
      </c>
      <c r="AF192">
        <v>43</v>
      </c>
      <c r="AG192">
        <v>14</v>
      </c>
      <c r="AH192">
        <f t="shared" si="83"/>
        <v>1</v>
      </c>
      <c r="AI192">
        <f t="shared" si="84"/>
        <v>0</v>
      </c>
      <c r="AJ192">
        <f t="shared" si="85"/>
        <v>52341.23768999429</v>
      </c>
      <c r="AK192">
        <f t="shared" si="86"/>
        <v>1800</v>
      </c>
      <c r="AL192">
        <f t="shared" si="87"/>
        <v>1499.1074567999999</v>
      </c>
      <c r="AM192">
        <f t="shared" si="88"/>
        <v>0.83283747599999991</v>
      </c>
      <c r="AN192">
        <f t="shared" si="89"/>
        <v>0.15339674481000001</v>
      </c>
      <c r="AO192">
        <v>33.6</v>
      </c>
      <c r="AP192">
        <v>0.5</v>
      </c>
      <c r="AQ192" t="s">
        <v>331</v>
      </c>
      <c r="AR192">
        <v>2</v>
      </c>
      <c r="AS192">
        <v>1690217044.5999999</v>
      </c>
      <c r="AT192">
        <v>405.75799999999998</v>
      </c>
      <c r="AU192">
        <v>800.06100000000004</v>
      </c>
      <c r="AV192">
        <v>27.778099999999998</v>
      </c>
      <c r="AW192">
        <v>5.77013</v>
      </c>
      <c r="AX192">
        <v>405.86799999999999</v>
      </c>
      <c r="AY192">
        <v>27.5855</v>
      </c>
      <c r="AZ192">
        <v>300.137</v>
      </c>
      <c r="BA192">
        <v>99.090599999999995</v>
      </c>
      <c r="BB192">
        <v>9.9965100000000001E-2</v>
      </c>
      <c r="BC192">
        <v>26.8293</v>
      </c>
      <c r="BD192">
        <v>26.999199999999998</v>
      </c>
      <c r="BE192">
        <v>28.299600000000002</v>
      </c>
      <c r="BF192">
        <v>0</v>
      </c>
      <c r="BG192">
        <v>0</v>
      </c>
      <c r="BH192">
        <v>9983.1200000000008</v>
      </c>
      <c r="BI192">
        <v>1077.43</v>
      </c>
      <c r="BJ192">
        <v>1.8501799999999999</v>
      </c>
      <c r="BK192">
        <v>-394.303</v>
      </c>
      <c r="BL192">
        <v>417.351</v>
      </c>
      <c r="BM192">
        <v>804.70399999999995</v>
      </c>
      <c r="BN192">
        <v>22.007999999999999</v>
      </c>
      <c r="BO192">
        <v>800.06100000000004</v>
      </c>
      <c r="BP192">
        <v>5.77013</v>
      </c>
      <c r="BQ192">
        <v>2.7525499999999998</v>
      </c>
      <c r="BR192">
        <v>0.571766</v>
      </c>
      <c r="BS192">
        <v>22.6023</v>
      </c>
      <c r="BT192">
        <v>-0.96942200000000001</v>
      </c>
      <c r="BU192">
        <v>1800</v>
      </c>
      <c r="BV192">
        <v>0.90999099999999999</v>
      </c>
      <c r="BW192">
        <v>3.4005000000000001E-2</v>
      </c>
      <c r="BX192">
        <v>2.1990300000000001E-2</v>
      </c>
      <c r="BY192">
        <v>3.4013300000000003E-2</v>
      </c>
      <c r="BZ192">
        <v>26</v>
      </c>
      <c r="CA192">
        <v>33528.5</v>
      </c>
      <c r="CB192">
        <v>1690214843</v>
      </c>
      <c r="CC192" t="s">
        <v>332</v>
      </c>
      <c r="CD192">
        <v>1690214842</v>
      </c>
      <c r="CE192">
        <v>1690214843</v>
      </c>
      <c r="CF192">
        <v>8</v>
      </c>
      <c r="CG192">
        <v>-6.3E-2</v>
      </c>
      <c r="CH192">
        <v>1E-3</v>
      </c>
      <c r="CI192">
        <v>-0.38900000000000001</v>
      </c>
      <c r="CJ192">
        <v>-6.6000000000000003E-2</v>
      </c>
      <c r="CK192">
        <v>800</v>
      </c>
      <c r="CL192">
        <v>6</v>
      </c>
      <c r="CM192">
        <v>0.23</v>
      </c>
      <c r="CN192">
        <v>0.02</v>
      </c>
      <c r="CO192">
        <v>-393.09404999999998</v>
      </c>
      <c r="CP192">
        <v>-7.2991069418381009</v>
      </c>
      <c r="CQ192">
        <v>0.70604730542648109</v>
      </c>
      <c r="CR192">
        <v>-1</v>
      </c>
      <c r="CS192">
        <v>21.9618875</v>
      </c>
      <c r="CT192">
        <v>0.23325365853649449</v>
      </c>
      <c r="CU192">
        <v>2.2514963774121169E-2</v>
      </c>
      <c r="CV192">
        <v>-1</v>
      </c>
      <c r="CW192">
        <v>0</v>
      </c>
      <c r="CX192">
        <v>0</v>
      </c>
      <c r="CY192" t="s">
        <v>333</v>
      </c>
      <c r="CZ192">
        <v>2.3643999999999998</v>
      </c>
      <c r="DA192">
        <v>2.71374</v>
      </c>
      <c r="DB192">
        <v>9.0506000000000003E-2</v>
      </c>
      <c r="DC192">
        <v>0.14611299999999999</v>
      </c>
      <c r="DD192">
        <v>0.12618299999999999</v>
      </c>
      <c r="DE192">
        <v>3.8216699999999999E-2</v>
      </c>
      <c r="DF192">
        <v>33203.699999999997</v>
      </c>
      <c r="DG192">
        <v>27511.8</v>
      </c>
      <c r="DH192">
        <v>31166.7</v>
      </c>
      <c r="DI192">
        <v>28075</v>
      </c>
      <c r="DJ192">
        <v>36961.800000000003</v>
      </c>
      <c r="DK192">
        <v>38396.199999999997</v>
      </c>
      <c r="DL192">
        <v>44352.6</v>
      </c>
      <c r="DM192">
        <v>42548.2</v>
      </c>
      <c r="DN192">
        <v>1.36425</v>
      </c>
      <c r="DO192">
        <v>2.0350700000000002</v>
      </c>
      <c r="DP192">
        <v>8.5234599999999994E-2</v>
      </c>
      <c r="DQ192">
        <v>0.17846400000000001</v>
      </c>
      <c r="DR192">
        <v>25.6037</v>
      </c>
      <c r="DS192">
        <v>25.380199999999999</v>
      </c>
      <c r="DT192">
        <v>17</v>
      </c>
      <c r="DU192">
        <v>29.8</v>
      </c>
      <c r="DV192">
        <v>7.2265699999999997</v>
      </c>
      <c r="DW192">
        <v>61.808599999999998</v>
      </c>
      <c r="DX192">
        <v>37.011200000000002</v>
      </c>
      <c r="DY192">
        <v>1</v>
      </c>
      <c r="DZ192">
        <v>-9.3396800000000002E-2</v>
      </c>
      <c r="EA192">
        <v>-0.260855</v>
      </c>
      <c r="EB192">
        <v>20.189399999999999</v>
      </c>
      <c r="EC192">
        <v>5.2411000000000003</v>
      </c>
      <c r="ED192">
        <v>12.039899999999999</v>
      </c>
      <c r="EE192">
        <v>5.0170500000000002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1.8689199999999999</v>
      </c>
      <c r="EL192">
        <v>1.8646499999999999</v>
      </c>
      <c r="EM192">
        <v>1.8692</v>
      </c>
      <c r="EN192">
        <v>1.8672299999999999</v>
      </c>
      <c r="EO192">
        <v>1.86341</v>
      </c>
      <c r="EP192">
        <v>1.86459</v>
      </c>
      <c r="EQ192">
        <v>1.8702099999999999</v>
      </c>
      <c r="ER192">
        <v>1.8694500000000001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-0.11</v>
      </c>
      <c r="FG192">
        <v>0.19259999999999999</v>
      </c>
      <c r="FH192">
        <v>0.16202357103534001</v>
      </c>
      <c r="FI192">
        <v>-6.1462078757559423E-4</v>
      </c>
      <c r="FJ192">
        <v>-1.8861989874597051E-7</v>
      </c>
      <c r="FK192">
        <v>1.1980462299894961E-10</v>
      </c>
      <c r="FL192">
        <v>0.19260234566371101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36.700000000000003</v>
      </c>
      <c r="FU192">
        <v>36.700000000000003</v>
      </c>
      <c r="FV192">
        <v>1.7785599999999999</v>
      </c>
      <c r="FW192">
        <v>2.5805699999999998</v>
      </c>
      <c r="FX192">
        <v>1.5490699999999999</v>
      </c>
      <c r="FY192">
        <v>2.3290999999999999</v>
      </c>
      <c r="FZ192">
        <v>1.50024</v>
      </c>
      <c r="GA192">
        <v>2.34131</v>
      </c>
      <c r="GB192">
        <v>33.850900000000003</v>
      </c>
      <c r="GC192">
        <v>23.982399999999998</v>
      </c>
      <c r="GD192">
        <v>19</v>
      </c>
      <c r="GE192">
        <v>237.988</v>
      </c>
      <c r="GF192">
        <v>581.923</v>
      </c>
      <c r="GG192">
        <v>25.419899999999998</v>
      </c>
      <c r="GH192">
        <v>26.211099999999998</v>
      </c>
      <c r="GI192">
        <v>30.000299999999999</v>
      </c>
      <c r="GJ192">
        <v>26.3504</v>
      </c>
      <c r="GK192">
        <v>26.323599999999999</v>
      </c>
      <c r="GL192">
        <v>35.558999999999997</v>
      </c>
      <c r="GM192">
        <v>-30</v>
      </c>
      <c r="GN192">
        <v>-30</v>
      </c>
      <c r="GO192">
        <v>25.421600000000002</v>
      </c>
      <c r="GP192">
        <v>800</v>
      </c>
      <c r="GQ192">
        <v>12.5298</v>
      </c>
      <c r="GR192">
        <v>99.719300000000004</v>
      </c>
      <c r="GS192">
        <v>99.538600000000002</v>
      </c>
    </row>
    <row r="193" spans="1:201" x14ac:dyDescent="0.25">
      <c r="A193">
        <v>177</v>
      </c>
      <c r="B193">
        <v>1690217054.5999999</v>
      </c>
      <c r="C193">
        <v>2109.099999904633</v>
      </c>
      <c r="D193" t="s">
        <v>687</v>
      </c>
      <c r="E193" t="s">
        <v>688</v>
      </c>
      <c r="F193" t="s">
        <v>330</v>
      </c>
      <c r="H193">
        <v>1690217054.5999999</v>
      </c>
      <c r="I193">
        <f t="shared" si="60"/>
        <v>2.0265568541872852E-3</v>
      </c>
      <c r="J193">
        <f t="shared" si="61"/>
        <v>2.0265568541872852</v>
      </c>
      <c r="K193">
        <f t="shared" si="62"/>
        <v>34.511419212735795</v>
      </c>
      <c r="L193">
        <f t="shared" si="63"/>
        <v>404.524</v>
      </c>
      <c r="M193">
        <f t="shared" si="64"/>
        <v>85.965793011418398</v>
      </c>
      <c r="N193">
        <f t="shared" si="65"/>
        <v>8.5272643085445967</v>
      </c>
      <c r="O193">
        <f t="shared" si="66"/>
        <v>40.126228658084003</v>
      </c>
      <c r="P193">
        <f t="shared" si="67"/>
        <v>0.1832370859334361</v>
      </c>
      <c r="Q193">
        <f t="shared" si="68"/>
        <v>2.0636260814702752</v>
      </c>
      <c r="R193">
        <f t="shared" si="69"/>
        <v>0.17465413232496935</v>
      </c>
      <c r="S193">
        <f t="shared" si="70"/>
        <v>0.10989646843397362</v>
      </c>
      <c r="T193">
        <f t="shared" si="71"/>
        <v>276.114140658</v>
      </c>
      <c r="U193">
        <f t="shared" si="72"/>
        <v>28.346755320989047</v>
      </c>
      <c r="V193">
        <f t="shared" si="73"/>
        <v>28.346755320989047</v>
      </c>
      <c r="W193">
        <f t="shared" si="74"/>
        <v>3.8722308269514429</v>
      </c>
      <c r="X193">
        <f t="shared" si="75"/>
        <v>77.894139973938721</v>
      </c>
      <c r="Y193">
        <f t="shared" si="76"/>
        <v>2.7597371128947001</v>
      </c>
      <c r="Z193">
        <f t="shared" si="77"/>
        <v>3.5429329007522692</v>
      </c>
      <c r="AA193">
        <f t="shared" si="78"/>
        <v>1.1124937140567428</v>
      </c>
      <c r="AB193">
        <f t="shared" si="79"/>
        <v>-89.371157269659278</v>
      </c>
      <c r="AC193">
        <f t="shared" si="80"/>
        <v>-169.09030199345636</v>
      </c>
      <c r="AD193">
        <f t="shared" si="81"/>
        <v>-17.787360627304729</v>
      </c>
      <c r="AE193">
        <f t="shared" si="82"/>
        <v>-0.13467923242038182</v>
      </c>
      <c r="AF193">
        <v>43</v>
      </c>
      <c r="AG193">
        <v>14</v>
      </c>
      <c r="AH193">
        <f t="shared" si="83"/>
        <v>1</v>
      </c>
      <c r="AI193">
        <f t="shared" si="84"/>
        <v>0</v>
      </c>
      <c r="AJ193">
        <f t="shared" si="85"/>
        <v>52396.818359288976</v>
      </c>
      <c r="AK193">
        <f t="shared" si="86"/>
        <v>1800</v>
      </c>
      <c r="AL193">
        <f t="shared" si="87"/>
        <v>1499.1074567999999</v>
      </c>
      <c r="AM193">
        <f t="shared" si="88"/>
        <v>0.83283747599999991</v>
      </c>
      <c r="AN193">
        <f t="shared" si="89"/>
        <v>0.15339674481000001</v>
      </c>
      <c r="AO193">
        <v>33.6</v>
      </c>
      <c r="AP193">
        <v>0.5</v>
      </c>
      <c r="AQ193" t="s">
        <v>331</v>
      </c>
      <c r="AR193">
        <v>2</v>
      </c>
      <c r="AS193">
        <v>1690217054.5999999</v>
      </c>
      <c r="AT193">
        <v>404.524</v>
      </c>
      <c r="AU193">
        <v>799.99099999999999</v>
      </c>
      <c r="AV193">
        <v>27.8217</v>
      </c>
      <c r="AW193">
        <v>5.7692699999999997</v>
      </c>
      <c r="AX193">
        <v>404.63400000000001</v>
      </c>
      <c r="AY193">
        <v>27.629100000000001</v>
      </c>
      <c r="AZ193">
        <v>300.18400000000003</v>
      </c>
      <c r="BA193">
        <v>99.093800000000002</v>
      </c>
      <c r="BB193">
        <v>9.9890999999999994E-2</v>
      </c>
      <c r="BC193">
        <v>26.826899999999998</v>
      </c>
      <c r="BD193">
        <v>27.007400000000001</v>
      </c>
      <c r="BE193">
        <v>28.2895</v>
      </c>
      <c r="BF193">
        <v>0</v>
      </c>
      <c r="BG193">
        <v>0</v>
      </c>
      <c r="BH193">
        <v>9993.75</v>
      </c>
      <c r="BI193">
        <v>1077.3699999999999</v>
      </c>
      <c r="BJ193">
        <v>1.7380500000000001</v>
      </c>
      <c r="BK193">
        <v>-395.46699999999998</v>
      </c>
      <c r="BL193">
        <v>416.101</v>
      </c>
      <c r="BM193">
        <v>804.63300000000004</v>
      </c>
      <c r="BN193">
        <v>22.052499999999998</v>
      </c>
      <c r="BO193">
        <v>799.99099999999999</v>
      </c>
      <c r="BP193">
        <v>5.7692699999999997</v>
      </c>
      <c r="BQ193">
        <v>2.7569599999999999</v>
      </c>
      <c r="BR193">
        <v>0.57169899999999996</v>
      </c>
      <c r="BS193">
        <v>22.628599999999999</v>
      </c>
      <c r="BT193">
        <v>-0.97103399999999995</v>
      </c>
      <c r="BU193">
        <v>1800</v>
      </c>
      <c r="BV193">
        <v>0.90999099999999999</v>
      </c>
      <c r="BW193">
        <v>3.4005000000000001E-2</v>
      </c>
      <c r="BX193">
        <v>2.1990300000000001E-2</v>
      </c>
      <c r="BY193">
        <v>3.4013300000000003E-2</v>
      </c>
      <c r="BZ193">
        <v>26</v>
      </c>
      <c r="CA193">
        <v>33528.400000000001</v>
      </c>
      <c r="CB193">
        <v>1690214843</v>
      </c>
      <c r="CC193" t="s">
        <v>332</v>
      </c>
      <c r="CD193">
        <v>1690214842</v>
      </c>
      <c r="CE193">
        <v>1690214843</v>
      </c>
      <c r="CF193">
        <v>8</v>
      </c>
      <c r="CG193">
        <v>-6.3E-2</v>
      </c>
      <c r="CH193">
        <v>1E-3</v>
      </c>
      <c r="CI193">
        <v>-0.38900000000000001</v>
      </c>
      <c r="CJ193">
        <v>-6.6000000000000003E-2</v>
      </c>
      <c r="CK193">
        <v>800</v>
      </c>
      <c r="CL193">
        <v>6</v>
      </c>
      <c r="CM193">
        <v>0.23</v>
      </c>
      <c r="CN193">
        <v>0.02</v>
      </c>
      <c r="CO193">
        <v>-394.2611</v>
      </c>
      <c r="CP193">
        <v>-6.574333958724436</v>
      </c>
      <c r="CQ193">
        <v>0.6351772902111702</v>
      </c>
      <c r="CR193">
        <v>-1</v>
      </c>
      <c r="CS193">
        <v>22.0055075</v>
      </c>
      <c r="CT193">
        <v>0.28227354596619181</v>
      </c>
      <c r="CU193">
        <v>2.7203569503835422E-2</v>
      </c>
      <c r="CV193">
        <v>-1</v>
      </c>
      <c r="CW193">
        <v>0</v>
      </c>
      <c r="CX193">
        <v>0</v>
      </c>
      <c r="CY193" t="s">
        <v>333</v>
      </c>
      <c r="CZ193">
        <v>2.3645800000000001</v>
      </c>
      <c r="DA193">
        <v>2.7136800000000001</v>
      </c>
      <c r="DB193">
        <v>9.0298900000000001E-2</v>
      </c>
      <c r="DC193">
        <v>0.14610999999999999</v>
      </c>
      <c r="DD193">
        <v>0.12632499999999999</v>
      </c>
      <c r="DE193">
        <v>3.8213499999999997E-2</v>
      </c>
      <c r="DF193">
        <v>33210.9</v>
      </c>
      <c r="DG193">
        <v>27512</v>
      </c>
      <c r="DH193">
        <v>31166.3</v>
      </c>
      <c r="DI193">
        <v>28075</v>
      </c>
      <c r="DJ193">
        <v>36955.199999999997</v>
      </c>
      <c r="DK193">
        <v>38396.199999999997</v>
      </c>
      <c r="DL193">
        <v>44352</v>
      </c>
      <c r="DM193">
        <v>42548.1</v>
      </c>
      <c r="DN193">
        <v>1.36453</v>
      </c>
      <c r="DO193">
        <v>2.0348799999999998</v>
      </c>
      <c r="DP193">
        <v>8.5867899999999997E-2</v>
      </c>
      <c r="DQ193">
        <v>0.17771899999999999</v>
      </c>
      <c r="DR193">
        <v>25.601500000000001</v>
      </c>
      <c r="DS193">
        <v>25.382300000000001</v>
      </c>
      <c r="DT193">
        <v>17</v>
      </c>
      <c r="DU193">
        <v>29.8</v>
      </c>
      <c r="DV193">
        <v>7.2250800000000002</v>
      </c>
      <c r="DW193">
        <v>61.618600000000001</v>
      </c>
      <c r="DX193">
        <v>37.103400000000001</v>
      </c>
      <c r="DY193">
        <v>1</v>
      </c>
      <c r="DZ193">
        <v>-9.3828800000000004E-2</v>
      </c>
      <c r="EA193">
        <v>-0.25918600000000003</v>
      </c>
      <c r="EB193">
        <v>20.189499999999999</v>
      </c>
      <c r="EC193">
        <v>5.2411000000000003</v>
      </c>
      <c r="ED193">
        <v>12.039899999999999</v>
      </c>
      <c r="EE193">
        <v>5.0169499999999996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1.8689100000000001</v>
      </c>
      <c r="EL193">
        <v>1.8646499999999999</v>
      </c>
      <c r="EM193">
        <v>1.8692</v>
      </c>
      <c r="EN193">
        <v>1.8672299999999999</v>
      </c>
      <c r="EO193">
        <v>1.86341</v>
      </c>
      <c r="EP193">
        <v>1.8645799999999999</v>
      </c>
      <c r="EQ193">
        <v>1.87019</v>
      </c>
      <c r="ER193">
        <v>1.8694200000000001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-0.11</v>
      </c>
      <c r="FG193">
        <v>0.19259999999999999</v>
      </c>
      <c r="FH193">
        <v>0.16202357103534001</v>
      </c>
      <c r="FI193">
        <v>-6.1462078757559423E-4</v>
      </c>
      <c r="FJ193">
        <v>-1.8861989874597051E-7</v>
      </c>
      <c r="FK193">
        <v>1.1980462299894961E-10</v>
      </c>
      <c r="FL193">
        <v>0.19260234566371101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36.9</v>
      </c>
      <c r="FU193">
        <v>36.9</v>
      </c>
      <c r="FV193">
        <v>1.7785599999999999</v>
      </c>
      <c r="FW193">
        <v>2.5830099999999998</v>
      </c>
      <c r="FX193">
        <v>1.5490699999999999</v>
      </c>
      <c r="FY193">
        <v>2.3290999999999999</v>
      </c>
      <c r="FZ193">
        <v>1.50146</v>
      </c>
      <c r="GA193">
        <v>2.33643</v>
      </c>
      <c r="GB193">
        <v>33.850900000000003</v>
      </c>
      <c r="GC193">
        <v>23.982399999999998</v>
      </c>
      <c r="GD193">
        <v>19</v>
      </c>
      <c r="GE193">
        <v>238.09200000000001</v>
      </c>
      <c r="GF193">
        <v>581.73400000000004</v>
      </c>
      <c r="GG193">
        <v>25.4209</v>
      </c>
      <c r="GH193">
        <v>26.211099999999998</v>
      </c>
      <c r="GI193">
        <v>29.9999</v>
      </c>
      <c r="GJ193">
        <v>26.3504</v>
      </c>
      <c r="GK193">
        <v>26.321400000000001</v>
      </c>
      <c r="GL193">
        <v>35.562600000000003</v>
      </c>
      <c r="GM193">
        <v>-30</v>
      </c>
      <c r="GN193">
        <v>-30</v>
      </c>
      <c r="GO193">
        <v>25.4209</v>
      </c>
      <c r="GP193">
        <v>800</v>
      </c>
      <c r="GQ193">
        <v>12.5298</v>
      </c>
      <c r="GR193">
        <v>99.718100000000007</v>
      </c>
      <c r="GS193">
        <v>99.538499999999999</v>
      </c>
    </row>
    <row r="194" spans="1:201" x14ac:dyDescent="0.25">
      <c r="A194">
        <v>178</v>
      </c>
      <c r="B194">
        <v>1690217064.5999999</v>
      </c>
      <c r="C194">
        <v>2119.099999904633</v>
      </c>
      <c r="D194" t="s">
        <v>689</v>
      </c>
      <c r="E194" t="s">
        <v>690</v>
      </c>
      <c r="F194" t="s">
        <v>330</v>
      </c>
      <c r="H194">
        <v>1690217064.5999999</v>
      </c>
      <c r="I194">
        <f t="shared" si="60"/>
        <v>2.0300166869634696E-3</v>
      </c>
      <c r="J194">
        <f t="shared" si="61"/>
        <v>2.0300166869634695</v>
      </c>
      <c r="K194">
        <f t="shared" si="62"/>
        <v>34.602900737630144</v>
      </c>
      <c r="L194">
        <f t="shared" si="63"/>
        <v>403.45800000000003</v>
      </c>
      <c r="M194">
        <f t="shared" si="64"/>
        <v>85.981977047597809</v>
      </c>
      <c r="N194">
        <f t="shared" si="65"/>
        <v>8.5289505116815274</v>
      </c>
      <c r="O194">
        <f t="shared" si="66"/>
        <v>40.020867555035402</v>
      </c>
      <c r="P194">
        <f t="shared" si="67"/>
        <v>0.18437902915170779</v>
      </c>
      <c r="Q194">
        <f t="shared" si="68"/>
        <v>2.065904316928147</v>
      </c>
      <c r="R194">
        <f t="shared" si="69"/>
        <v>0.17570058439542274</v>
      </c>
      <c r="S194">
        <f t="shared" si="70"/>
        <v>0.11055854256820304</v>
      </c>
      <c r="T194">
        <f t="shared" si="71"/>
        <v>276.11414915400002</v>
      </c>
      <c r="U194">
        <f t="shared" si="72"/>
        <v>28.343198191703653</v>
      </c>
      <c r="V194">
        <f t="shared" si="73"/>
        <v>28.343198191703653</v>
      </c>
      <c r="W194">
        <f t="shared" si="74"/>
        <v>3.871429987202085</v>
      </c>
      <c r="X194">
        <f t="shared" si="75"/>
        <v>78.009140016294623</v>
      </c>
      <c r="Y194">
        <f t="shared" si="76"/>
        <v>2.7636814615755596</v>
      </c>
      <c r="Z194">
        <f t="shared" si="77"/>
        <v>3.5427662207252628</v>
      </c>
      <c r="AA194">
        <f t="shared" si="78"/>
        <v>1.1077485256265254</v>
      </c>
      <c r="AB194">
        <f t="shared" si="79"/>
        <v>-89.523735895089004</v>
      </c>
      <c r="AC194">
        <f t="shared" si="80"/>
        <v>-168.96989617209783</v>
      </c>
      <c r="AD194">
        <f t="shared" si="81"/>
        <v>-17.754706589542494</v>
      </c>
      <c r="AE194">
        <f t="shared" si="82"/>
        <v>-0.13418950272929919</v>
      </c>
      <c r="AF194">
        <v>43</v>
      </c>
      <c r="AG194">
        <v>14</v>
      </c>
      <c r="AH194">
        <f t="shared" si="83"/>
        <v>1</v>
      </c>
      <c r="AI194">
        <f t="shared" si="84"/>
        <v>0</v>
      </c>
      <c r="AJ194">
        <f t="shared" si="85"/>
        <v>52501.262199303659</v>
      </c>
      <c r="AK194">
        <f t="shared" si="86"/>
        <v>1800</v>
      </c>
      <c r="AL194">
        <f t="shared" si="87"/>
        <v>1499.1081624000001</v>
      </c>
      <c r="AM194">
        <f t="shared" si="88"/>
        <v>0.83283786800000004</v>
      </c>
      <c r="AN194">
        <f t="shared" si="89"/>
        <v>0.15339674953000002</v>
      </c>
      <c r="AO194">
        <v>33.6</v>
      </c>
      <c r="AP194">
        <v>0.5</v>
      </c>
      <c r="AQ194" t="s">
        <v>331</v>
      </c>
      <c r="AR194">
        <v>2</v>
      </c>
      <c r="AS194">
        <v>1690217064.5999999</v>
      </c>
      <c r="AT194">
        <v>403.45800000000003</v>
      </c>
      <c r="AU194">
        <v>799.98400000000004</v>
      </c>
      <c r="AV194">
        <v>27.8612</v>
      </c>
      <c r="AW194">
        <v>5.76959</v>
      </c>
      <c r="AX194">
        <v>403.56700000000001</v>
      </c>
      <c r="AY194">
        <v>27.668600000000001</v>
      </c>
      <c r="AZ194">
        <v>300.15100000000001</v>
      </c>
      <c r="BA194">
        <v>99.094700000000003</v>
      </c>
      <c r="BB194">
        <v>9.9931300000000001E-2</v>
      </c>
      <c r="BC194">
        <v>26.8261</v>
      </c>
      <c r="BD194">
        <v>26.998100000000001</v>
      </c>
      <c r="BE194">
        <v>28.2804</v>
      </c>
      <c r="BF194">
        <v>0</v>
      </c>
      <c r="BG194">
        <v>0</v>
      </c>
      <c r="BH194">
        <v>10014.4</v>
      </c>
      <c r="BI194">
        <v>1077.3800000000001</v>
      </c>
      <c r="BJ194">
        <v>1.68198</v>
      </c>
      <c r="BK194">
        <v>-396.52699999999999</v>
      </c>
      <c r="BL194">
        <v>415.02100000000002</v>
      </c>
      <c r="BM194">
        <v>804.62699999999995</v>
      </c>
      <c r="BN194">
        <v>22.0916</v>
      </c>
      <c r="BO194">
        <v>799.98400000000004</v>
      </c>
      <c r="BP194">
        <v>5.76959</v>
      </c>
      <c r="BQ194">
        <v>2.7608999999999999</v>
      </c>
      <c r="BR194">
        <v>0.57173600000000002</v>
      </c>
      <c r="BS194">
        <v>22.652100000000001</v>
      </c>
      <c r="BT194">
        <v>-0.97012900000000002</v>
      </c>
      <c r="BU194">
        <v>1800</v>
      </c>
      <c r="BV194">
        <v>0.90999300000000005</v>
      </c>
      <c r="BW194">
        <v>3.4004300000000001E-2</v>
      </c>
      <c r="BX194">
        <v>2.19899E-2</v>
      </c>
      <c r="BY194">
        <v>3.40127E-2</v>
      </c>
      <c r="BZ194">
        <v>26</v>
      </c>
      <c r="CA194">
        <v>33528.5</v>
      </c>
      <c r="CB194">
        <v>1690214843</v>
      </c>
      <c r="CC194" t="s">
        <v>332</v>
      </c>
      <c r="CD194">
        <v>1690214842</v>
      </c>
      <c r="CE194">
        <v>1690214843</v>
      </c>
      <c r="CF194">
        <v>8</v>
      </c>
      <c r="CG194">
        <v>-6.3E-2</v>
      </c>
      <c r="CH194">
        <v>1E-3</v>
      </c>
      <c r="CI194">
        <v>-0.38900000000000001</v>
      </c>
      <c r="CJ194">
        <v>-6.6000000000000003E-2</v>
      </c>
      <c r="CK194">
        <v>800</v>
      </c>
      <c r="CL194">
        <v>6</v>
      </c>
      <c r="CM194">
        <v>0.23</v>
      </c>
      <c r="CN194">
        <v>0.02</v>
      </c>
      <c r="CO194">
        <v>-395.29637500000001</v>
      </c>
      <c r="CP194">
        <v>-7.1710806754210346</v>
      </c>
      <c r="CQ194">
        <v>0.6913254185801363</v>
      </c>
      <c r="CR194">
        <v>-1</v>
      </c>
      <c r="CS194">
        <v>22.046690000000002</v>
      </c>
      <c r="CT194">
        <v>0.25732908067537091</v>
      </c>
      <c r="CU194">
        <v>2.477749785591753E-2</v>
      </c>
      <c r="CV194">
        <v>-1</v>
      </c>
      <c r="CW194">
        <v>0</v>
      </c>
      <c r="CX194">
        <v>0</v>
      </c>
      <c r="CY194" t="s">
        <v>333</v>
      </c>
      <c r="CZ194">
        <v>2.3644799999999999</v>
      </c>
      <c r="DA194">
        <v>2.71373</v>
      </c>
      <c r="DB194">
        <v>9.0118299999999998E-2</v>
      </c>
      <c r="DC194">
        <v>0.14611099999999999</v>
      </c>
      <c r="DD194">
        <v>0.12645100000000001</v>
      </c>
      <c r="DE194">
        <v>3.8215600000000002E-2</v>
      </c>
      <c r="DF194">
        <v>33218</v>
      </c>
      <c r="DG194">
        <v>27511.9</v>
      </c>
      <c r="DH194">
        <v>31166.799999999999</v>
      </c>
      <c r="DI194">
        <v>28074.9</v>
      </c>
      <c r="DJ194">
        <v>36950.5</v>
      </c>
      <c r="DK194">
        <v>38396.1</v>
      </c>
      <c r="DL194">
        <v>44352.800000000003</v>
      </c>
      <c r="DM194">
        <v>42548.1</v>
      </c>
      <c r="DN194">
        <v>1.3646199999999999</v>
      </c>
      <c r="DO194">
        <v>2.0348000000000002</v>
      </c>
      <c r="DP194">
        <v>8.5428400000000002E-2</v>
      </c>
      <c r="DQ194">
        <v>0.177287</v>
      </c>
      <c r="DR194">
        <v>25.599399999999999</v>
      </c>
      <c r="DS194">
        <v>25.380199999999999</v>
      </c>
      <c r="DT194">
        <v>17</v>
      </c>
      <c r="DU194">
        <v>29.8</v>
      </c>
      <c r="DV194">
        <v>7.2244200000000003</v>
      </c>
      <c r="DW194">
        <v>61.578600000000002</v>
      </c>
      <c r="DX194">
        <v>37.291699999999999</v>
      </c>
      <c r="DY194">
        <v>1</v>
      </c>
      <c r="DZ194">
        <v>-9.3775399999999995E-2</v>
      </c>
      <c r="EA194">
        <v>-0.25709399999999999</v>
      </c>
      <c r="EB194">
        <v>20.189399999999999</v>
      </c>
      <c r="EC194">
        <v>5.2411000000000003</v>
      </c>
      <c r="ED194">
        <v>12.039899999999999</v>
      </c>
      <c r="EE194">
        <v>5.0171000000000001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1.8689100000000001</v>
      </c>
      <c r="EL194">
        <v>1.8646400000000001</v>
      </c>
      <c r="EM194">
        <v>1.8691899999999999</v>
      </c>
      <c r="EN194">
        <v>1.8672299999999999</v>
      </c>
      <c r="EO194">
        <v>1.8633999999999999</v>
      </c>
      <c r="EP194">
        <v>1.86456</v>
      </c>
      <c r="EQ194">
        <v>1.87019</v>
      </c>
      <c r="ER194">
        <v>1.8694500000000001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-0.109</v>
      </c>
      <c r="FG194">
        <v>0.19259999999999999</v>
      </c>
      <c r="FH194">
        <v>0.16202357103534001</v>
      </c>
      <c r="FI194">
        <v>-6.1462078757559423E-4</v>
      </c>
      <c r="FJ194">
        <v>-1.8861989874597051E-7</v>
      </c>
      <c r="FK194">
        <v>1.1980462299894961E-10</v>
      </c>
      <c r="FL194">
        <v>0.19260234566371101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37</v>
      </c>
      <c r="FU194">
        <v>37</v>
      </c>
      <c r="FV194">
        <v>1.7785599999999999</v>
      </c>
      <c r="FW194">
        <v>2.5878899999999998</v>
      </c>
      <c r="FX194">
        <v>1.5490699999999999</v>
      </c>
      <c r="FY194">
        <v>2.3290999999999999</v>
      </c>
      <c r="FZ194">
        <v>1.50146</v>
      </c>
      <c r="GA194">
        <v>2.2936999999999999</v>
      </c>
      <c r="GB194">
        <v>33.850900000000003</v>
      </c>
      <c r="GC194">
        <v>23.982399999999998</v>
      </c>
      <c r="GD194">
        <v>19</v>
      </c>
      <c r="GE194">
        <v>238.125</v>
      </c>
      <c r="GF194">
        <v>581.67100000000005</v>
      </c>
      <c r="GG194">
        <v>25.420999999999999</v>
      </c>
      <c r="GH194">
        <v>26.209900000000001</v>
      </c>
      <c r="GI194">
        <v>30.0001</v>
      </c>
      <c r="GJ194">
        <v>26.3492</v>
      </c>
      <c r="GK194">
        <v>26.321400000000001</v>
      </c>
      <c r="GL194">
        <v>35.560600000000001</v>
      </c>
      <c r="GM194">
        <v>-30</v>
      </c>
      <c r="GN194">
        <v>-30</v>
      </c>
      <c r="GO194">
        <v>25.418700000000001</v>
      </c>
      <c r="GP194">
        <v>800</v>
      </c>
      <c r="GQ194">
        <v>12.5298</v>
      </c>
      <c r="GR194">
        <v>99.719800000000006</v>
      </c>
      <c r="GS194">
        <v>99.538300000000007</v>
      </c>
    </row>
    <row r="195" spans="1:201" x14ac:dyDescent="0.25">
      <c r="A195">
        <v>179</v>
      </c>
      <c r="B195">
        <v>1690217074.5999999</v>
      </c>
      <c r="C195">
        <v>2129.099999904633</v>
      </c>
      <c r="D195" t="s">
        <v>691</v>
      </c>
      <c r="E195" t="s">
        <v>692</v>
      </c>
      <c r="F195" t="s">
        <v>330</v>
      </c>
      <c r="H195">
        <v>1690217074.5999999</v>
      </c>
      <c r="I195">
        <f t="shared" si="60"/>
        <v>2.033936957000979E-3</v>
      </c>
      <c r="J195">
        <f t="shared" si="61"/>
        <v>2.0339369570009791</v>
      </c>
      <c r="K195">
        <f t="shared" si="62"/>
        <v>34.710009742236871</v>
      </c>
      <c r="L195">
        <f t="shared" si="63"/>
        <v>402.40899999999999</v>
      </c>
      <c r="M195">
        <f t="shared" si="64"/>
        <v>85.290088364288764</v>
      </c>
      <c r="N195">
        <f t="shared" si="65"/>
        <v>8.4600923127783219</v>
      </c>
      <c r="O195">
        <f t="shared" si="66"/>
        <v>39.915743467775002</v>
      </c>
      <c r="P195">
        <f t="shared" si="67"/>
        <v>0.18518819636992748</v>
      </c>
      <c r="Q195">
        <f t="shared" si="68"/>
        <v>2.0632608057566442</v>
      </c>
      <c r="R195">
        <f t="shared" si="69"/>
        <v>0.17642471059707546</v>
      </c>
      <c r="S195">
        <f t="shared" si="70"/>
        <v>0.11101824284304898</v>
      </c>
      <c r="T195">
        <f t="shared" si="71"/>
        <v>276.11405110800001</v>
      </c>
      <c r="U195">
        <f t="shared" si="72"/>
        <v>28.348443055121606</v>
      </c>
      <c r="V195">
        <f t="shared" si="73"/>
        <v>28.348443055121606</v>
      </c>
      <c r="W195">
        <f t="shared" si="74"/>
        <v>3.8726108481034625</v>
      </c>
      <c r="X195">
        <f t="shared" si="75"/>
        <v>78.089819791686381</v>
      </c>
      <c r="Y195">
        <f t="shared" si="76"/>
        <v>2.7673370721300001</v>
      </c>
      <c r="Z195">
        <f t="shared" si="77"/>
        <v>3.5437872433464328</v>
      </c>
      <c r="AA195">
        <f t="shared" si="78"/>
        <v>1.1052737759734623</v>
      </c>
      <c r="AB195">
        <f t="shared" si="79"/>
        <v>-89.696619803743175</v>
      </c>
      <c r="AC195">
        <f t="shared" si="80"/>
        <v>-168.79204464370886</v>
      </c>
      <c r="AD195">
        <f t="shared" si="81"/>
        <v>-17.759641661095728</v>
      </c>
      <c r="AE195">
        <f t="shared" si="82"/>
        <v>-0.1342550005477392</v>
      </c>
      <c r="AF195">
        <v>43</v>
      </c>
      <c r="AG195">
        <v>14</v>
      </c>
      <c r="AH195">
        <f t="shared" si="83"/>
        <v>1</v>
      </c>
      <c r="AI195">
        <f t="shared" si="84"/>
        <v>0</v>
      </c>
      <c r="AJ195">
        <f t="shared" si="85"/>
        <v>52379.354842733956</v>
      </c>
      <c r="AK195">
        <f t="shared" si="86"/>
        <v>1800</v>
      </c>
      <c r="AL195">
        <f t="shared" si="87"/>
        <v>1499.1077448000003</v>
      </c>
      <c r="AM195">
        <f t="shared" si="88"/>
        <v>0.83283763600000016</v>
      </c>
      <c r="AN195">
        <f t="shared" si="89"/>
        <v>0.15339669506</v>
      </c>
      <c r="AO195">
        <v>33.6</v>
      </c>
      <c r="AP195">
        <v>0.5</v>
      </c>
      <c r="AQ195" t="s">
        <v>331</v>
      </c>
      <c r="AR195">
        <v>2</v>
      </c>
      <c r="AS195">
        <v>1690217074.5999999</v>
      </c>
      <c r="AT195">
        <v>402.40899999999999</v>
      </c>
      <c r="AU195">
        <v>800.05100000000004</v>
      </c>
      <c r="AV195">
        <v>27.898800000000001</v>
      </c>
      <c r="AW195">
        <v>5.76966</v>
      </c>
      <c r="AX195">
        <v>402.51799999999997</v>
      </c>
      <c r="AY195">
        <v>27.706199999999999</v>
      </c>
      <c r="AZ195">
        <v>300.209</v>
      </c>
      <c r="BA195">
        <v>99.091899999999995</v>
      </c>
      <c r="BB195">
        <v>0.100075</v>
      </c>
      <c r="BC195">
        <v>26.831</v>
      </c>
      <c r="BD195">
        <v>26.998999999999999</v>
      </c>
      <c r="BE195">
        <v>28.276599999999998</v>
      </c>
      <c r="BF195">
        <v>0</v>
      </c>
      <c r="BG195">
        <v>0</v>
      </c>
      <c r="BH195">
        <v>9990.6200000000008</v>
      </c>
      <c r="BI195">
        <v>1077.47</v>
      </c>
      <c r="BJ195">
        <v>1.68198</v>
      </c>
      <c r="BK195">
        <v>-397.642</v>
      </c>
      <c r="BL195">
        <v>413.95800000000003</v>
      </c>
      <c r="BM195">
        <v>804.69399999999996</v>
      </c>
      <c r="BN195">
        <v>22.129100000000001</v>
      </c>
      <c r="BO195">
        <v>800.05100000000004</v>
      </c>
      <c r="BP195">
        <v>5.76966</v>
      </c>
      <c r="BQ195">
        <v>2.7645400000000002</v>
      </c>
      <c r="BR195">
        <v>0.57172599999999996</v>
      </c>
      <c r="BS195">
        <v>22.6739</v>
      </c>
      <c r="BT195">
        <v>-0.97036699999999998</v>
      </c>
      <c r="BU195">
        <v>1800</v>
      </c>
      <c r="BV195">
        <v>0.90999300000000005</v>
      </c>
      <c r="BW195">
        <v>3.4004199999999998E-2</v>
      </c>
      <c r="BX195">
        <v>2.19898E-2</v>
      </c>
      <c r="BY195">
        <v>3.4012599999999997E-2</v>
      </c>
      <c r="BZ195">
        <v>26</v>
      </c>
      <c r="CA195">
        <v>33528.5</v>
      </c>
      <c r="CB195">
        <v>1690214843</v>
      </c>
      <c r="CC195" t="s">
        <v>332</v>
      </c>
      <c r="CD195">
        <v>1690214842</v>
      </c>
      <c r="CE195">
        <v>1690214843</v>
      </c>
      <c r="CF195">
        <v>8</v>
      </c>
      <c r="CG195">
        <v>-6.3E-2</v>
      </c>
      <c r="CH195">
        <v>1E-3</v>
      </c>
      <c r="CI195">
        <v>-0.38900000000000001</v>
      </c>
      <c r="CJ195">
        <v>-6.6000000000000003E-2</v>
      </c>
      <c r="CK195">
        <v>800</v>
      </c>
      <c r="CL195">
        <v>6</v>
      </c>
      <c r="CM195">
        <v>0.23</v>
      </c>
      <c r="CN195">
        <v>0.02</v>
      </c>
      <c r="CO195">
        <v>-396.42348780487811</v>
      </c>
      <c r="CP195">
        <v>-6.2761672473874679</v>
      </c>
      <c r="CQ195">
        <v>0.62229344195488645</v>
      </c>
      <c r="CR195">
        <v>-1</v>
      </c>
      <c r="CS195">
        <v>22.0887243902439</v>
      </c>
      <c r="CT195">
        <v>0.23536306620215119</v>
      </c>
      <c r="CU195">
        <v>2.3226569946022391E-2</v>
      </c>
      <c r="CV195">
        <v>-1</v>
      </c>
      <c r="CW195">
        <v>0</v>
      </c>
      <c r="CX195">
        <v>0</v>
      </c>
      <c r="CY195" t="s">
        <v>333</v>
      </c>
      <c r="CZ195">
        <v>2.3646600000000002</v>
      </c>
      <c r="DA195">
        <v>2.7138599999999999</v>
      </c>
      <c r="DB195">
        <v>8.9937100000000006E-2</v>
      </c>
      <c r="DC195">
        <v>0.14611499999999999</v>
      </c>
      <c r="DD195">
        <v>0.12656600000000001</v>
      </c>
      <c r="DE195">
        <v>3.8214900000000003E-2</v>
      </c>
      <c r="DF195">
        <v>33224.800000000003</v>
      </c>
      <c r="DG195">
        <v>27512</v>
      </c>
      <c r="DH195">
        <v>31166.9</v>
      </c>
      <c r="DI195">
        <v>28075.200000000001</v>
      </c>
      <c r="DJ195">
        <v>36945.5</v>
      </c>
      <c r="DK195">
        <v>38396.5</v>
      </c>
      <c r="DL195">
        <v>44352.7</v>
      </c>
      <c r="DM195">
        <v>42548.5</v>
      </c>
      <c r="DN195">
        <v>1.3649</v>
      </c>
      <c r="DO195">
        <v>2.03485</v>
      </c>
      <c r="DP195">
        <v>8.5487999999999995E-2</v>
      </c>
      <c r="DQ195">
        <v>0.176929</v>
      </c>
      <c r="DR195">
        <v>25.599399999999999</v>
      </c>
      <c r="DS195">
        <v>25.382300000000001</v>
      </c>
      <c r="DT195">
        <v>17</v>
      </c>
      <c r="DU195">
        <v>29.8</v>
      </c>
      <c r="DV195">
        <v>7.2242699999999997</v>
      </c>
      <c r="DW195">
        <v>61.6586</v>
      </c>
      <c r="DX195">
        <v>37.263599999999997</v>
      </c>
      <c r="DY195">
        <v>1</v>
      </c>
      <c r="DZ195">
        <v>-9.3905000000000002E-2</v>
      </c>
      <c r="EA195">
        <v>-0.25839299999999998</v>
      </c>
      <c r="EB195">
        <v>20.189499999999999</v>
      </c>
      <c r="EC195">
        <v>5.2409499999999998</v>
      </c>
      <c r="ED195">
        <v>12.039899999999999</v>
      </c>
      <c r="EE195">
        <v>5.0170500000000002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1.8689100000000001</v>
      </c>
      <c r="EL195">
        <v>1.8646799999999999</v>
      </c>
      <c r="EM195">
        <v>1.8691899999999999</v>
      </c>
      <c r="EN195">
        <v>1.8672500000000001</v>
      </c>
      <c r="EO195">
        <v>1.8633999999999999</v>
      </c>
      <c r="EP195">
        <v>1.8645700000000001</v>
      </c>
      <c r="EQ195">
        <v>1.8701700000000001</v>
      </c>
      <c r="ER195">
        <v>1.8694599999999999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-0.109</v>
      </c>
      <c r="FG195">
        <v>0.19259999999999999</v>
      </c>
      <c r="FH195">
        <v>0.16202357103534001</v>
      </c>
      <c r="FI195">
        <v>-6.1462078757559423E-4</v>
      </c>
      <c r="FJ195">
        <v>-1.8861989874597051E-7</v>
      </c>
      <c r="FK195">
        <v>1.1980462299894961E-10</v>
      </c>
      <c r="FL195">
        <v>0.19260234566371101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37.200000000000003</v>
      </c>
      <c r="FU195">
        <v>37.200000000000003</v>
      </c>
      <c r="FV195">
        <v>1.7785599999999999</v>
      </c>
      <c r="FW195">
        <v>2.5854499999999998</v>
      </c>
      <c r="FX195">
        <v>1.5490699999999999</v>
      </c>
      <c r="FY195">
        <v>2.3290999999999999</v>
      </c>
      <c r="FZ195">
        <v>1.50146</v>
      </c>
      <c r="GA195">
        <v>2.2875999999999999</v>
      </c>
      <c r="GB195">
        <v>33.850900000000003</v>
      </c>
      <c r="GC195">
        <v>23.982399999999998</v>
      </c>
      <c r="GD195">
        <v>19</v>
      </c>
      <c r="GE195">
        <v>238.22399999999999</v>
      </c>
      <c r="GF195">
        <v>581.71199999999999</v>
      </c>
      <c r="GG195">
        <v>25.419699999999999</v>
      </c>
      <c r="GH195">
        <v>26.2089</v>
      </c>
      <c r="GI195">
        <v>30.0002</v>
      </c>
      <c r="GJ195">
        <v>26.348199999999999</v>
      </c>
      <c r="GK195">
        <v>26.321400000000001</v>
      </c>
      <c r="GL195">
        <v>35.561100000000003</v>
      </c>
      <c r="GM195">
        <v>-30</v>
      </c>
      <c r="GN195">
        <v>-30</v>
      </c>
      <c r="GO195">
        <v>25.419899999999998</v>
      </c>
      <c r="GP195">
        <v>800</v>
      </c>
      <c r="GQ195">
        <v>12.5298</v>
      </c>
      <c r="GR195">
        <v>99.719899999999996</v>
      </c>
      <c r="GS195">
        <v>99.539199999999994</v>
      </c>
    </row>
    <row r="196" spans="1:201" x14ac:dyDescent="0.25">
      <c r="A196">
        <v>180</v>
      </c>
      <c r="B196">
        <v>1690217084.5999999</v>
      </c>
      <c r="C196">
        <v>2139.099999904633</v>
      </c>
      <c r="D196" t="s">
        <v>693</v>
      </c>
      <c r="E196" t="s">
        <v>694</v>
      </c>
      <c r="F196" t="s">
        <v>330</v>
      </c>
      <c r="H196">
        <v>1690217084.5999999</v>
      </c>
      <c r="I196">
        <f t="shared" si="60"/>
        <v>2.0378999287258581E-3</v>
      </c>
      <c r="J196">
        <f t="shared" si="61"/>
        <v>2.0378999287258579</v>
      </c>
      <c r="K196">
        <f t="shared" si="62"/>
        <v>34.813554485629886</v>
      </c>
      <c r="L196">
        <f t="shared" si="63"/>
        <v>401.286</v>
      </c>
      <c r="M196">
        <f t="shared" si="64"/>
        <v>85.234905535415507</v>
      </c>
      <c r="N196">
        <f t="shared" si="65"/>
        <v>8.4545151438209754</v>
      </c>
      <c r="O196">
        <f t="shared" si="66"/>
        <v>39.803863718645999</v>
      </c>
      <c r="P196">
        <f t="shared" si="67"/>
        <v>0.18640758725525031</v>
      </c>
      <c r="Q196">
        <f t="shared" si="68"/>
        <v>2.0636609736498968</v>
      </c>
      <c r="R196">
        <f t="shared" si="69"/>
        <v>0.17753291850517769</v>
      </c>
      <c r="S196">
        <f t="shared" si="70"/>
        <v>0.11172021095134554</v>
      </c>
      <c r="T196">
        <f t="shared" si="71"/>
        <v>276.11458414200001</v>
      </c>
      <c r="U196">
        <f t="shared" si="72"/>
        <v>28.34446189779522</v>
      </c>
      <c r="V196">
        <f t="shared" si="73"/>
        <v>28.34446189779522</v>
      </c>
      <c r="W196">
        <f t="shared" si="74"/>
        <v>3.871714477060892</v>
      </c>
      <c r="X196">
        <f t="shared" si="75"/>
        <v>78.210282359218326</v>
      </c>
      <c r="Y196">
        <f t="shared" si="76"/>
        <v>2.7712311571223998</v>
      </c>
      <c r="Z196">
        <f t="shared" si="77"/>
        <v>3.5433079558442047</v>
      </c>
      <c r="AA196">
        <f t="shared" si="78"/>
        <v>1.1004833199384922</v>
      </c>
      <c r="AB196">
        <f t="shared" si="79"/>
        <v>-89.871386856810346</v>
      </c>
      <c r="AC196">
        <f t="shared" si="80"/>
        <v>-168.6377427432802</v>
      </c>
      <c r="AD196">
        <f t="shared" si="81"/>
        <v>-17.739409676157969</v>
      </c>
      <c r="AE196">
        <f t="shared" si="82"/>
        <v>-0.13395513424848104</v>
      </c>
      <c r="AF196">
        <v>43</v>
      </c>
      <c r="AG196">
        <v>14</v>
      </c>
      <c r="AH196">
        <f t="shared" si="83"/>
        <v>1</v>
      </c>
      <c r="AI196">
        <f t="shared" si="84"/>
        <v>0</v>
      </c>
      <c r="AJ196">
        <f t="shared" si="85"/>
        <v>52398.033061951988</v>
      </c>
      <c r="AK196">
        <f t="shared" si="86"/>
        <v>1800</v>
      </c>
      <c r="AL196">
        <f t="shared" si="87"/>
        <v>1499.1092081999998</v>
      </c>
      <c r="AM196">
        <f t="shared" si="88"/>
        <v>0.83283844899999993</v>
      </c>
      <c r="AN196">
        <f t="shared" si="89"/>
        <v>0.15339699119</v>
      </c>
      <c r="AO196">
        <v>33.6</v>
      </c>
      <c r="AP196">
        <v>0.5</v>
      </c>
      <c r="AQ196" t="s">
        <v>331</v>
      </c>
      <c r="AR196">
        <v>2</v>
      </c>
      <c r="AS196">
        <v>1690217084.5999999</v>
      </c>
      <c r="AT196">
        <v>401.286</v>
      </c>
      <c r="AU196">
        <v>800.02599999999995</v>
      </c>
      <c r="AV196">
        <v>27.938400000000001</v>
      </c>
      <c r="AW196">
        <v>5.77</v>
      </c>
      <c r="AX196">
        <v>401.39299999999997</v>
      </c>
      <c r="AY196">
        <v>27.745799999999999</v>
      </c>
      <c r="AZ196">
        <v>300.24900000000002</v>
      </c>
      <c r="BA196">
        <v>99.090699999999998</v>
      </c>
      <c r="BB196">
        <v>0.100061</v>
      </c>
      <c r="BC196">
        <v>26.828700000000001</v>
      </c>
      <c r="BD196">
        <v>26.987100000000002</v>
      </c>
      <c r="BE196">
        <v>28.269500000000001</v>
      </c>
      <c r="BF196">
        <v>0</v>
      </c>
      <c r="BG196">
        <v>0</v>
      </c>
      <c r="BH196">
        <v>9994.3799999999992</v>
      </c>
      <c r="BI196">
        <v>1077.3399999999999</v>
      </c>
      <c r="BJ196">
        <v>1.68198</v>
      </c>
      <c r="BK196">
        <v>-398.74</v>
      </c>
      <c r="BL196">
        <v>412.81900000000002</v>
      </c>
      <c r="BM196">
        <v>804.66800000000001</v>
      </c>
      <c r="BN196">
        <v>22.168399999999998</v>
      </c>
      <c r="BO196">
        <v>800.02599999999995</v>
      </c>
      <c r="BP196">
        <v>5.77</v>
      </c>
      <c r="BQ196">
        <v>2.76844</v>
      </c>
      <c r="BR196">
        <v>0.57175299999999996</v>
      </c>
      <c r="BS196">
        <v>22.697099999999999</v>
      </c>
      <c r="BT196">
        <v>-0.96972599999999998</v>
      </c>
      <c r="BU196">
        <v>1800</v>
      </c>
      <c r="BV196">
        <v>0.90999200000000002</v>
      </c>
      <c r="BW196">
        <v>3.4003899999999997E-2</v>
      </c>
      <c r="BX196">
        <v>2.19922E-2</v>
      </c>
      <c r="BY196">
        <v>3.4012300000000002E-2</v>
      </c>
      <c r="BZ196">
        <v>26</v>
      </c>
      <c r="CA196">
        <v>33528.400000000001</v>
      </c>
      <c r="CB196">
        <v>1690214843</v>
      </c>
      <c r="CC196" t="s">
        <v>332</v>
      </c>
      <c r="CD196">
        <v>1690214842</v>
      </c>
      <c r="CE196">
        <v>1690214843</v>
      </c>
      <c r="CF196">
        <v>8</v>
      </c>
      <c r="CG196">
        <v>-6.3E-2</v>
      </c>
      <c r="CH196">
        <v>1E-3</v>
      </c>
      <c r="CI196">
        <v>-0.38900000000000001</v>
      </c>
      <c r="CJ196">
        <v>-6.6000000000000003E-2</v>
      </c>
      <c r="CK196">
        <v>800</v>
      </c>
      <c r="CL196">
        <v>6</v>
      </c>
      <c r="CM196">
        <v>0.23</v>
      </c>
      <c r="CN196">
        <v>0.02</v>
      </c>
      <c r="CO196">
        <v>-397.48155000000003</v>
      </c>
      <c r="CP196">
        <v>-6.8814258911814159</v>
      </c>
      <c r="CQ196">
        <v>0.66369141737708359</v>
      </c>
      <c r="CR196">
        <v>-1</v>
      </c>
      <c r="CS196">
        <v>22.1242825</v>
      </c>
      <c r="CT196">
        <v>0.21164465290802381</v>
      </c>
      <c r="CU196">
        <v>2.0452577924310811E-2</v>
      </c>
      <c r="CV196">
        <v>-1</v>
      </c>
      <c r="CW196">
        <v>0</v>
      </c>
      <c r="CX196">
        <v>0</v>
      </c>
      <c r="CY196" t="s">
        <v>333</v>
      </c>
      <c r="CZ196">
        <v>2.3647499999999999</v>
      </c>
      <c r="DA196">
        <v>2.7138499999999999</v>
      </c>
      <c r="DB196">
        <v>8.9744199999999996E-2</v>
      </c>
      <c r="DC196">
        <v>0.14611099999999999</v>
      </c>
      <c r="DD196">
        <v>0.126689</v>
      </c>
      <c r="DE196">
        <v>3.82165E-2</v>
      </c>
      <c r="DF196">
        <v>33231.4</v>
      </c>
      <c r="DG196">
        <v>27512.3</v>
      </c>
      <c r="DH196">
        <v>31166.5</v>
      </c>
      <c r="DI196">
        <v>28075.3</v>
      </c>
      <c r="DJ196">
        <v>36939.9</v>
      </c>
      <c r="DK196">
        <v>38396.6</v>
      </c>
      <c r="DL196">
        <v>44352.4</v>
      </c>
      <c r="DM196">
        <v>42548.6</v>
      </c>
      <c r="DN196">
        <v>1.36483</v>
      </c>
      <c r="DO196">
        <v>2.0346299999999999</v>
      </c>
      <c r="DP196">
        <v>8.4757799999999994E-2</v>
      </c>
      <c r="DQ196">
        <v>0.17636299999999999</v>
      </c>
      <c r="DR196">
        <v>25.599399999999999</v>
      </c>
      <c r="DS196">
        <v>25.384499999999999</v>
      </c>
      <c r="DT196">
        <v>17</v>
      </c>
      <c r="DU196">
        <v>29.8</v>
      </c>
      <c r="DV196">
        <v>7.2258100000000001</v>
      </c>
      <c r="DW196">
        <v>61.828600000000002</v>
      </c>
      <c r="DX196">
        <v>37.183500000000002</v>
      </c>
      <c r="DY196">
        <v>1</v>
      </c>
      <c r="DZ196">
        <v>-9.3861799999999995E-2</v>
      </c>
      <c r="EA196">
        <v>-0.260071</v>
      </c>
      <c r="EB196">
        <v>20.189599999999999</v>
      </c>
      <c r="EC196">
        <v>5.2409499999999998</v>
      </c>
      <c r="ED196">
        <v>12.039899999999999</v>
      </c>
      <c r="EE196">
        <v>5.0168499999999998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1.8689100000000001</v>
      </c>
      <c r="EL196">
        <v>1.86467</v>
      </c>
      <c r="EM196">
        <v>1.8692</v>
      </c>
      <c r="EN196">
        <v>1.86724</v>
      </c>
      <c r="EO196">
        <v>1.8633999999999999</v>
      </c>
      <c r="EP196">
        <v>1.8646100000000001</v>
      </c>
      <c r="EQ196">
        <v>1.8701700000000001</v>
      </c>
      <c r="ER196">
        <v>1.8694500000000001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-0.107</v>
      </c>
      <c r="FG196">
        <v>0.19259999999999999</v>
      </c>
      <c r="FH196">
        <v>0.16202357103534001</v>
      </c>
      <c r="FI196">
        <v>-6.1462078757559423E-4</v>
      </c>
      <c r="FJ196">
        <v>-1.8861989874597051E-7</v>
      </c>
      <c r="FK196">
        <v>1.1980462299894961E-10</v>
      </c>
      <c r="FL196">
        <v>0.19260234566371101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37.4</v>
      </c>
      <c r="FU196">
        <v>37.4</v>
      </c>
      <c r="FV196">
        <v>1.7785599999999999</v>
      </c>
      <c r="FW196">
        <v>2.5903299999999998</v>
      </c>
      <c r="FX196">
        <v>1.5490699999999999</v>
      </c>
      <c r="FY196">
        <v>2.3290999999999999</v>
      </c>
      <c r="FZ196">
        <v>1.50146</v>
      </c>
      <c r="GA196">
        <v>2.2961399999999998</v>
      </c>
      <c r="GB196">
        <v>33.850900000000003</v>
      </c>
      <c r="GC196">
        <v>23.982399999999998</v>
      </c>
      <c r="GD196">
        <v>19</v>
      </c>
      <c r="GE196">
        <v>238.196</v>
      </c>
      <c r="GF196">
        <v>581.50300000000004</v>
      </c>
      <c r="GG196">
        <v>25.419799999999999</v>
      </c>
      <c r="GH196">
        <v>26.2089</v>
      </c>
      <c r="GI196">
        <v>30.000299999999999</v>
      </c>
      <c r="GJ196">
        <v>26.348199999999999</v>
      </c>
      <c r="GK196">
        <v>26.319199999999999</v>
      </c>
      <c r="GL196">
        <v>35.558199999999999</v>
      </c>
      <c r="GM196">
        <v>-30</v>
      </c>
      <c r="GN196">
        <v>-30</v>
      </c>
      <c r="GO196">
        <v>25.426300000000001</v>
      </c>
      <c r="GP196">
        <v>800</v>
      </c>
      <c r="GQ196">
        <v>12.5298</v>
      </c>
      <c r="GR196">
        <v>99.718999999999994</v>
      </c>
      <c r="GS196">
        <v>99.539599999999993</v>
      </c>
    </row>
    <row r="197" spans="1:201" x14ac:dyDescent="0.25">
      <c r="A197">
        <v>181</v>
      </c>
      <c r="B197">
        <v>1690217094.5999999</v>
      </c>
      <c r="C197">
        <v>2149.099999904633</v>
      </c>
      <c r="D197" t="s">
        <v>695</v>
      </c>
      <c r="E197" t="s">
        <v>696</v>
      </c>
      <c r="F197" t="s">
        <v>330</v>
      </c>
      <c r="H197">
        <v>1690217094.5999999</v>
      </c>
      <c r="I197">
        <f t="shared" si="60"/>
        <v>2.0418055757261398E-3</v>
      </c>
      <c r="J197">
        <f t="shared" si="61"/>
        <v>2.0418055757261397</v>
      </c>
      <c r="K197">
        <f t="shared" si="62"/>
        <v>34.910640034767184</v>
      </c>
      <c r="L197">
        <f t="shared" si="63"/>
        <v>400.09300000000002</v>
      </c>
      <c r="M197">
        <f t="shared" si="64"/>
        <v>85.05685283378736</v>
      </c>
      <c r="N197">
        <f t="shared" si="65"/>
        <v>8.4373337665552093</v>
      </c>
      <c r="O197">
        <f t="shared" si="66"/>
        <v>39.687786065386007</v>
      </c>
      <c r="P197">
        <f t="shared" si="67"/>
        <v>0.18756854835376965</v>
      </c>
      <c r="Q197">
        <f t="shared" si="68"/>
        <v>2.0634481717602</v>
      </c>
      <c r="R197">
        <f t="shared" si="69"/>
        <v>0.17858497430384662</v>
      </c>
      <c r="S197">
        <f t="shared" si="70"/>
        <v>0.11238688382440265</v>
      </c>
      <c r="T197">
        <f t="shared" si="71"/>
        <v>276.11406984600001</v>
      </c>
      <c r="U197">
        <f t="shared" si="72"/>
        <v>28.34549403973103</v>
      </c>
      <c r="V197">
        <f t="shared" si="73"/>
        <v>28.34549403973103</v>
      </c>
      <c r="W197">
        <f t="shared" si="74"/>
        <v>3.8719468499303682</v>
      </c>
      <c r="X197">
        <f t="shared" si="75"/>
        <v>78.328994563024978</v>
      </c>
      <c r="Y197">
        <f t="shared" si="76"/>
        <v>2.7758129171660002</v>
      </c>
      <c r="Z197">
        <f t="shared" si="77"/>
        <v>3.5437872433464328</v>
      </c>
      <c r="AA197">
        <f t="shared" si="78"/>
        <v>1.096133932764368</v>
      </c>
      <c r="AB197">
        <f t="shared" si="79"/>
        <v>-90.043625889522758</v>
      </c>
      <c r="AC197">
        <f t="shared" si="80"/>
        <v>-168.47931066468118</v>
      </c>
      <c r="AD197">
        <f t="shared" si="81"/>
        <v>-17.724866097981501</v>
      </c>
      <c r="AE197">
        <f t="shared" si="82"/>
        <v>-0.13373280618540662</v>
      </c>
      <c r="AF197">
        <v>43</v>
      </c>
      <c r="AG197">
        <v>14</v>
      </c>
      <c r="AH197">
        <f t="shared" si="83"/>
        <v>1</v>
      </c>
      <c r="AI197">
        <f t="shared" si="84"/>
        <v>0</v>
      </c>
      <c r="AJ197">
        <f t="shared" si="85"/>
        <v>52388.018302858596</v>
      </c>
      <c r="AK197">
        <f t="shared" si="86"/>
        <v>1800</v>
      </c>
      <c r="AL197">
        <f t="shared" si="87"/>
        <v>1499.1081606</v>
      </c>
      <c r="AM197">
        <f t="shared" si="88"/>
        <v>0.83283786699999995</v>
      </c>
      <c r="AN197">
        <f t="shared" si="89"/>
        <v>0.15339670547000001</v>
      </c>
      <c r="AO197">
        <v>33.6</v>
      </c>
      <c r="AP197">
        <v>0.5</v>
      </c>
      <c r="AQ197" t="s">
        <v>331</v>
      </c>
      <c r="AR197">
        <v>2</v>
      </c>
      <c r="AS197">
        <v>1690217094.5999999</v>
      </c>
      <c r="AT197">
        <v>400.09300000000002</v>
      </c>
      <c r="AU197">
        <v>799.971</v>
      </c>
      <c r="AV197">
        <v>27.983000000000001</v>
      </c>
      <c r="AW197">
        <v>5.76973</v>
      </c>
      <c r="AX197">
        <v>400.2</v>
      </c>
      <c r="AY197">
        <v>27.790400000000002</v>
      </c>
      <c r="AZ197">
        <v>300.20299999999997</v>
      </c>
      <c r="BA197">
        <v>99.096299999999999</v>
      </c>
      <c r="BB197">
        <v>0.100102</v>
      </c>
      <c r="BC197">
        <v>26.831</v>
      </c>
      <c r="BD197">
        <v>26.990400000000001</v>
      </c>
      <c r="BE197">
        <v>28.2957</v>
      </c>
      <c r="BF197">
        <v>0</v>
      </c>
      <c r="BG197">
        <v>0</v>
      </c>
      <c r="BH197">
        <v>9991.8799999999992</v>
      </c>
      <c r="BI197">
        <v>1077.46</v>
      </c>
      <c r="BJ197">
        <v>1.68198</v>
      </c>
      <c r="BK197">
        <v>-399.87799999999999</v>
      </c>
      <c r="BL197">
        <v>411.61099999999999</v>
      </c>
      <c r="BM197">
        <v>804.61300000000006</v>
      </c>
      <c r="BN197">
        <v>22.2133</v>
      </c>
      <c r="BO197">
        <v>799.971</v>
      </c>
      <c r="BP197">
        <v>5.76973</v>
      </c>
      <c r="BQ197">
        <v>2.7730100000000002</v>
      </c>
      <c r="BR197">
        <v>0.57175900000000002</v>
      </c>
      <c r="BS197">
        <v>22.724299999999999</v>
      </c>
      <c r="BT197">
        <v>-0.96959099999999998</v>
      </c>
      <c r="BU197">
        <v>1800</v>
      </c>
      <c r="BV197">
        <v>0.90999399999999997</v>
      </c>
      <c r="BW197">
        <v>3.4003899999999997E-2</v>
      </c>
      <c r="BX197">
        <v>2.1989600000000002E-2</v>
      </c>
      <c r="BY197">
        <v>3.4012300000000002E-2</v>
      </c>
      <c r="BZ197">
        <v>26</v>
      </c>
      <c r="CA197">
        <v>33528.5</v>
      </c>
      <c r="CB197">
        <v>1690214843</v>
      </c>
      <c r="CC197" t="s">
        <v>332</v>
      </c>
      <c r="CD197">
        <v>1690214842</v>
      </c>
      <c r="CE197">
        <v>1690214843</v>
      </c>
      <c r="CF197">
        <v>8</v>
      </c>
      <c r="CG197">
        <v>-6.3E-2</v>
      </c>
      <c r="CH197">
        <v>1E-3</v>
      </c>
      <c r="CI197">
        <v>-0.38900000000000001</v>
      </c>
      <c r="CJ197">
        <v>-6.6000000000000003E-2</v>
      </c>
      <c r="CK197">
        <v>800</v>
      </c>
      <c r="CL197">
        <v>6</v>
      </c>
      <c r="CM197">
        <v>0.23</v>
      </c>
      <c r="CN197">
        <v>0.02</v>
      </c>
      <c r="CO197">
        <v>-398.64307317073172</v>
      </c>
      <c r="CP197">
        <v>-6.6156167247384268</v>
      </c>
      <c r="CQ197">
        <v>0.65341602891355854</v>
      </c>
      <c r="CR197">
        <v>-1</v>
      </c>
      <c r="CS197">
        <v>22.164241463414641</v>
      </c>
      <c r="CT197">
        <v>0.26056933797913617</v>
      </c>
      <c r="CU197">
        <v>2.5777462037173331E-2</v>
      </c>
      <c r="CV197">
        <v>-1</v>
      </c>
      <c r="CW197">
        <v>0</v>
      </c>
      <c r="CX197">
        <v>0</v>
      </c>
      <c r="CY197" t="s">
        <v>333</v>
      </c>
      <c r="CZ197">
        <v>2.3646400000000001</v>
      </c>
      <c r="DA197">
        <v>2.7138900000000001</v>
      </c>
      <c r="DB197">
        <v>8.9545200000000005E-2</v>
      </c>
      <c r="DC197">
        <v>0.14611199999999999</v>
      </c>
      <c r="DD197">
        <v>0.126836</v>
      </c>
      <c r="DE197">
        <v>3.8217099999999997E-2</v>
      </c>
      <c r="DF197">
        <v>33239</v>
      </c>
      <c r="DG197">
        <v>27512.6</v>
      </c>
      <c r="DH197">
        <v>31166.799999999999</v>
      </c>
      <c r="DI197">
        <v>28075.7</v>
      </c>
      <c r="DJ197">
        <v>36933.9</v>
      </c>
      <c r="DK197">
        <v>38397</v>
      </c>
      <c r="DL197">
        <v>44352.800000000003</v>
      </c>
      <c r="DM197">
        <v>42549.1</v>
      </c>
      <c r="DN197">
        <v>1.3648</v>
      </c>
      <c r="DO197">
        <v>2.0347</v>
      </c>
      <c r="DP197">
        <v>8.4959000000000007E-2</v>
      </c>
      <c r="DQ197">
        <v>0.17793500000000001</v>
      </c>
      <c r="DR197">
        <v>25.599399999999999</v>
      </c>
      <c r="DS197">
        <v>25.385000000000002</v>
      </c>
      <c r="DT197">
        <v>17</v>
      </c>
      <c r="DU197">
        <v>29.8</v>
      </c>
      <c r="DV197">
        <v>7.2255700000000003</v>
      </c>
      <c r="DW197">
        <v>61.518599999999999</v>
      </c>
      <c r="DX197">
        <v>37.1554</v>
      </c>
      <c r="DY197">
        <v>1</v>
      </c>
      <c r="DZ197">
        <v>-9.3823699999999996E-2</v>
      </c>
      <c r="EA197">
        <v>-0.29755199999999998</v>
      </c>
      <c r="EB197">
        <v>20.189299999999999</v>
      </c>
      <c r="EC197">
        <v>5.2411000000000003</v>
      </c>
      <c r="ED197">
        <v>12.039899999999999</v>
      </c>
      <c r="EE197">
        <v>5.0171000000000001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1.86893</v>
      </c>
      <c r="EL197">
        <v>1.86466</v>
      </c>
      <c r="EM197">
        <v>1.8692</v>
      </c>
      <c r="EN197">
        <v>1.8672500000000001</v>
      </c>
      <c r="EO197">
        <v>1.8633999999999999</v>
      </c>
      <c r="EP197">
        <v>1.86459</v>
      </c>
      <c r="EQ197">
        <v>1.8702000000000001</v>
      </c>
      <c r="ER197">
        <v>1.8694599999999999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-0.107</v>
      </c>
      <c r="FG197">
        <v>0.19259999999999999</v>
      </c>
      <c r="FH197">
        <v>0.16202357103534001</v>
      </c>
      <c r="FI197">
        <v>-6.1462078757559423E-4</v>
      </c>
      <c r="FJ197">
        <v>-1.8861989874597051E-7</v>
      </c>
      <c r="FK197">
        <v>1.1980462299894961E-10</v>
      </c>
      <c r="FL197">
        <v>0.19260234566371101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37.5</v>
      </c>
      <c r="FU197">
        <v>37.5</v>
      </c>
      <c r="FV197">
        <v>1.7785599999999999</v>
      </c>
      <c r="FW197">
        <v>2.5805699999999998</v>
      </c>
      <c r="FX197">
        <v>1.5490699999999999</v>
      </c>
      <c r="FY197">
        <v>2.3290999999999999</v>
      </c>
      <c r="FZ197">
        <v>1.50146</v>
      </c>
      <c r="GA197">
        <v>2.3278799999999999</v>
      </c>
      <c r="GB197">
        <v>33.850900000000003</v>
      </c>
      <c r="GC197">
        <v>23.982399999999998</v>
      </c>
      <c r="GD197">
        <v>19</v>
      </c>
      <c r="GE197">
        <v>238.18700000000001</v>
      </c>
      <c r="GF197">
        <v>581.56399999999996</v>
      </c>
      <c r="GG197">
        <v>25.434000000000001</v>
      </c>
      <c r="GH197">
        <v>26.2089</v>
      </c>
      <c r="GI197">
        <v>30</v>
      </c>
      <c r="GJ197">
        <v>26.348199999999999</v>
      </c>
      <c r="GK197">
        <v>26.319199999999999</v>
      </c>
      <c r="GL197">
        <v>35.560699999999997</v>
      </c>
      <c r="GM197">
        <v>-30</v>
      </c>
      <c r="GN197">
        <v>-30</v>
      </c>
      <c r="GO197">
        <v>25.442499999999999</v>
      </c>
      <c r="GP197">
        <v>800</v>
      </c>
      <c r="GQ197">
        <v>12.5298</v>
      </c>
      <c r="GR197">
        <v>99.719899999999996</v>
      </c>
      <c r="GS197">
        <v>99.540800000000004</v>
      </c>
    </row>
    <row r="198" spans="1:201" x14ac:dyDescent="0.25">
      <c r="A198">
        <v>182</v>
      </c>
      <c r="B198">
        <v>1690217104.5999999</v>
      </c>
      <c r="C198">
        <v>2159.099999904633</v>
      </c>
      <c r="D198" t="s">
        <v>697</v>
      </c>
      <c r="E198" t="s">
        <v>698</v>
      </c>
      <c r="F198" t="s">
        <v>330</v>
      </c>
      <c r="H198">
        <v>1690217104.5999999</v>
      </c>
      <c r="I198">
        <f t="shared" si="60"/>
        <v>2.044730499293536E-3</v>
      </c>
      <c r="J198">
        <f t="shared" si="61"/>
        <v>2.0447304992935362</v>
      </c>
      <c r="K198">
        <f t="shared" si="62"/>
        <v>34.997129579029078</v>
      </c>
      <c r="L198">
        <f t="shared" si="63"/>
        <v>399.18299999999999</v>
      </c>
      <c r="M198">
        <f t="shared" si="64"/>
        <v>84.95373943219775</v>
      </c>
      <c r="N198">
        <f t="shared" si="65"/>
        <v>8.4269397982351251</v>
      </c>
      <c r="O198">
        <f t="shared" si="66"/>
        <v>39.596739731081996</v>
      </c>
      <c r="P198">
        <f t="shared" si="67"/>
        <v>0.18853578178449568</v>
      </c>
      <c r="Q198">
        <f t="shared" si="68"/>
        <v>2.0666469221337187</v>
      </c>
      <c r="R198">
        <f t="shared" si="69"/>
        <v>0.17947504534950776</v>
      </c>
      <c r="S198">
        <f t="shared" si="70"/>
        <v>0.11294967913990178</v>
      </c>
      <c r="T198">
        <f t="shared" si="71"/>
        <v>276.11571447000006</v>
      </c>
      <c r="U198">
        <f t="shared" si="72"/>
        <v>28.342336164130835</v>
      </c>
      <c r="V198">
        <f t="shared" si="73"/>
        <v>28.342336164130835</v>
      </c>
      <c r="W198">
        <f t="shared" si="74"/>
        <v>3.8712359350537588</v>
      </c>
      <c r="X198">
        <f t="shared" si="75"/>
        <v>78.419267115735522</v>
      </c>
      <c r="Y198">
        <f t="shared" si="76"/>
        <v>2.7790119843731995</v>
      </c>
      <c r="Z198">
        <f t="shared" si="77"/>
        <v>3.5437872433464328</v>
      </c>
      <c r="AA198">
        <f t="shared" si="78"/>
        <v>1.0922239506805593</v>
      </c>
      <c r="AB198">
        <f t="shared" si="79"/>
        <v>-90.172615018844937</v>
      </c>
      <c r="AC198">
        <f t="shared" si="80"/>
        <v>-168.38864547875195</v>
      </c>
      <c r="AD198">
        <f t="shared" si="81"/>
        <v>-17.687628732447482</v>
      </c>
      <c r="AE198">
        <f t="shared" si="82"/>
        <v>-0.13317476004431228</v>
      </c>
      <c r="AF198">
        <v>43</v>
      </c>
      <c r="AG198">
        <v>14</v>
      </c>
      <c r="AH198">
        <f t="shared" si="83"/>
        <v>1</v>
      </c>
      <c r="AI198">
        <f t="shared" si="84"/>
        <v>0</v>
      </c>
      <c r="AJ198">
        <f t="shared" si="85"/>
        <v>52534.421282342555</v>
      </c>
      <c r="AK198">
        <f t="shared" si="86"/>
        <v>1800</v>
      </c>
      <c r="AL198">
        <f t="shared" si="87"/>
        <v>1499.110056</v>
      </c>
      <c r="AM198">
        <f t="shared" si="88"/>
        <v>0.83283892000000004</v>
      </c>
      <c r="AN198">
        <f t="shared" si="89"/>
        <v>0.15339761915000003</v>
      </c>
      <c r="AO198">
        <v>33.6</v>
      </c>
      <c r="AP198">
        <v>0.5</v>
      </c>
      <c r="AQ198" t="s">
        <v>331</v>
      </c>
      <c r="AR198">
        <v>2</v>
      </c>
      <c r="AS198">
        <v>1690217104.5999999</v>
      </c>
      <c r="AT198">
        <v>399.18299999999999</v>
      </c>
      <c r="AU198">
        <v>800.04399999999998</v>
      </c>
      <c r="AV198">
        <v>28.015799999999999</v>
      </c>
      <c r="AW198">
        <v>5.7702</v>
      </c>
      <c r="AX198">
        <v>399.28899999999999</v>
      </c>
      <c r="AY198">
        <v>27.8232</v>
      </c>
      <c r="AZ198">
        <v>300.18599999999998</v>
      </c>
      <c r="BA198">
        <v>99.094399999999993</v>
      </c>
      <c r="BB198">
        <v>0.100054</v>
      </c>
      <c r="BC198">
        <v>26.831</v>
      </c>
      <c r="BD198">
        <v>27.0016</v>
      </c>
      <c r="BE198">
        <v>28.283799999999999</v>
      </c>
      <c r="BF198">
        <v>0</v>
      </c>
      <c r="BG198">
        <v>0</v>
      </c>
      <c r="BH198">
        <v>10021.200000000001</v>
      </c>
      <c r="BI198">
        <v>1077.43</v>
      </c>
      <c r="BJ198">
        <v>1.68198</v>
      </c>
      <c r="BK198">
        <v>-400.86099999999999</v>
      </c>
      <c r="BL198">
        <v>410.68900000000002</v>
      </c>
      <c r="BM198">
        <v>804.68700000000001</v>
      </c>
      <c r="BN198">
        <v>22.2456</v>
      </c>
      <c r="BO198">
        <v>800.04399999999998</v>
      </c>
      <c r="BP198">
        <v>5.7702</v>
      </c>
      <c r="BQ198">
        <v>2.7762099999999998</v>
      </c>
      <c r="BR198">
        <v>0.57179400000000002</v>
      </c>
      <c r="BS198">
        <v>22.743300000000001</v>
      </c>
      <c r="BT198">
        <v>-0.96875</v>
      </c>
      <c r="BU198">
        <v>1800</v>
      </c>
      <c r="BV198">
        <v>0.90998500000000004</v>
      </c>
      <c r="BW198">
        <v>3.40033E-2</v>
      </c>
      <c r="BX198">
        <v>2.2000499999999999E-2</v>
      </c>
      <c r="BY198">
        <v>3.4011699999999999E-2</v>
      </c>
      <c r="BZ198">
        <v>26</v>
      </c>
      <c r="CA198">
        <v>33528.300000000003</v>
      </c>
      <c r="CB198">
        <v>1690214843</v>
      </c>
      <c r="CC198" t="s">
        <v>332</v>
      </c>
      <c r="CD198">
        <v>1690214842</v>
      </c>
      <c r="CE198">
        <v>1690214843</v>
      </c>
      <c r="CF198">
        <v>8</v>
      </c>
      <c r="CG198">
        <v>-6.3E-2</v>
      </c>
      <c r="CH198">
        <v>1E-3</v>
      </c>
      <c r="CI198">
        <v>-0.38900000000000001</v>
      </c>
      <c r="CJ198">
        <v>-6.6000000000000003E-2</v>
      </c>
      <c r="CK198">
        <v>800</v>
      </c>
      <c r="CL198">
        <v>6</v>
      </c>
      <c r="CM198">
        <v>0.23</v>
      </c>
      <c r="CN198">
        <v>0.02</v>
      </c>
      <c r="CO198">
        <v>-399.67317500000001</v>
      </c>
      <c r="CP198">
        <v>-6.0619699812383896</v>
      </c>
      <c r="CQ198">
        <v>0.58518120644378135</v>
      </c>
      <c r="CR198">
        <v>-1</v>
      </c>
      <c r="CS198">
        <v>22.204795000000001</v>
      </c>
      <c r="CT198">
        <v>0.2383902439024175</v>
      </c>
      <c r="CU198">
        <v>2.3051214176264181E-2</v>
      </c>
      <c r="CV198">
        <v>-1</v>
      </c>
      <c r="CW198">
        <v>0</v>
      </c>
      <c r="CX198">
        <v>0</v>
      </c>
      <c r="CY198" t="s">
        <v>333</v>
      </c>
      <c r="CZ198">
        <v>2.3645700000000001</v>
      </c>
      <c r="DA198">
        <v>2.7138599999999999</v>
      </c>
      <c r="DB198">
        <v>8.9388099999999998E-2</v>
      </c>
      <c r="DC198">
        <v>0.146118</v>
      </c>
      <c r="DD198">
        <v>0.126938</v>
      </c>
      <c r="DE198">
        <v>3.8219000000000003E-2</v>
      </c>
      <c r="DF198">
        <v>33244.9</v>
      </c>
      <c r="DG198">
        <v>27512.5</v>
      </c>
      <c r="DH198">
        <v>31167</v>
      </c>
      <c r="DI198">
        <v>28075.8</v>
      </c>
      <c r="DJ198">
        <v>36929.599999999999</v>
      </c>
      <c r="DK198">
        <v>38397.199999999997</v>
      </c>
      <c r="DL198">
        <v>44352.9</v>
      </c>
      <c r="DM198">
        <v>42549.4</v>
      </c>
      <c r="DN198">
        <v>1.3645499999999999</v>
      </c>
      <c r="DO198">
        <v>2.0348199999999999</v>
      </c>
      <c r="DP198">
        <v>8.5644399999999996E-2</v>
      </c>
      <c r="DQ198">
        <v>0.17710799999999999</v>
      </c>
      <c r="DR198">
        <v>25.599399999999999</v>
      </c>
      <c r="DS198">
        <v>25.386600000000001</v>
      </c>
      <c r="DT198">
        <v>17</v>
      </c>
      <c r="DU198">
        <v>29.8</v>
      </c>
      <c r="DV198">
        <v>7.2250199999999998</v>
      </c>
      <c r="DW198">
        <v>61.388599999999997</v>
      </c>
      <c r="DX198">
        <v>37.063299999999998</v>
      </c>
      <c r="DY198">
        <v>1</v>
      </c>
      <c r="DZ198">
        <v>-9.4166700000000006E-2</v>
      </c>
      <c r="EA198">
        <v>-0.31410399999999999</v>
      </c>
      <c r="EB198">
        <v>20.1892</v>
      </c>
      <c r="EC198">
        <v>5.2411000000000003</v>
      </c>
      <c r="ED198">
        <v>12.039899999999999</v>
      </c>
      <c r="EE198">
        <v>5.0171000000000001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1.86893</v>
      </c>
      <c r="EL198">
        <v>1.86466</v>
      </c>
      <c r="EM198">
        <v>1.8692</v>
      </c>
      <c r="EN198">
        <v>1.86724</v>
      </c>
      <c r="EO198">
        <v>1.86341</v>
      </c>
      <c r="EP198">
        <v>1.8645799999999999</v>
      </c>
      <c r="EQ198">
        <v>1.8702000000000001</v>
      </c>
      <c r="ER198">
        <v>1.86948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-0.106</v>
      </c>
      <c r="FG198">
        <v>0.19259999999999999</v>
      </c>
      <c r="FH198">
        <v>0.16202357103534001</v>
      </c>
      <c r="FI198">
        <v>-6.1462078757559423E-4</v>
      </c>
      <c r="FJ198">
        <v>-1.8861989874597051E-7</v>
      </c>
      <c r="FK198">
        <v>1.1980462299894961E-10</v>
      </c>
      <c r="FL198">
        <v>0.19260234566371101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37.700000000000003</v>
      </c>
      <c r="FU198">
        <v>37.700000000000003</v>
      </c>
      <c r="FV198">
        <v>1.7785599999999999</v>
      </c>
      <c r="FW198">
        <v>2.5891099999999998</v>
      </c>
      <c r="FX198">
        <v>1.5490699999999999</v>
      </c>
      <c r="FY198">
        <v>2.3290999999999999</v>
      </c>
      <c r="FZ198">
        <v>1.50146</v>
      </c>
      <c r="GA198">
        <v>2.33887</v>
      </c>
      <c r="GB198">
        <v>33.850900000000003</v>
      </c>
      <c r="GC198">
        <v>23.982399999999998</v>
      </c>
      <c r="GD198">
        <v>19</v>
      </c>
      <c r="GE198">
        <v>238.08500000000001</v>
      </c>
      <c r="GF198">
        <v>581.66700000000003</v>
      </c>
      <c r="GG198">
        <v>25.452999999999999</v>
      </c>
      <c r="GH198">
        <v>26.2089</v>
      </c>
      <c r="GI198">
        <v>30</v>
      </c>
      <c r="GJ198">
        <v>26.346</v>
      </c>
      <c r="GK198">
        <v>26.319199999999999</v>
      </c>
      <c r="GL198">
        <v>35.558900000000001</v>
      </c>
      <c r="GM198">
        <v>-30</v>
      </c>
      <c r="GN198">
        <v>-30</v>
      </c>
      <c r="GO198">
        <v>25.4556</v>
      </c>
      <c r="GP198">
        <v>800</v>
      </c>
      <c r="GQ198">
        <v>12.5298</v>
      </c>
      <c r="GR198">
        <v>99.720299999999995</v>
      </c>
      <c r="GS198">
        <v>99.541499999999999</v>
      </c>
    </row>
    <row r="199" spans="1:201" x14ac:dyDescent="0.25">
      <c r="A199">
        <v>183</v>
      </c>
      <c r="B199">
        <v>1690217114.5999999</v>
      </c>
      <c r="C199">
        <v>2169.099999904633</v>
      </c>
      <c r="D199" t="s">
        <v>699</v>
      </c>
      <c r="E199" t="s">
        <v>700</v>
      </c>
      <c r="F199" t="s">
        <v>330</v>
      </c>
      <c r="H199">
        <v>1690217114.5999999</v>
      </c>
      <c r="I199">
        <f t="shared" si="60"/>
        <v>2.04872906888144E-3</v>
      </c>
      <c r="J199">
        <f t="shared" si="61"/>
        <v>2.0487290688814399</v>
      </c>
      <c r="K199">
        <f t="shared" si="62"/>
        <v>35.086257092058183</v>
      </c>
      <c r="L199">
        <f t="shared" si="63"/>
        <v>398.15</v>
      </c>
      <c r="M199">
        <f t="shared" si="64"/>
        <v>84.488872684194618</v>
      </c>
      <c r="N199">
        <f t="shared" si="65"/>
        <v>8.3810158953347518</v>
      </c>
      <c r="O199">
        <f t="shared" si="66"/>
        <v>39.495159217004996</v>
      </c>
      <c r="P199">
        <f t="shared" si="67"/>
        <v>0.18939727794433514</v>
      </c>
      <c r="Q199">
        <f t="shared" si="68"/>
        <v>2.0632458380291547</v>
      </c>
      <c r="R199">
        <f t="shared" si="69"/>
        <v>0.18024141853244083</v>
      </c>
      <c r="S199">
        <f t="shared" si="70"/>
        <v>0.11343661084388831</v>
      </c>
      <c r="T199">
        <f t="shared" si="71"/>
        <v>276.116278572</v>
      </c>
      <c r="U199">
        <f t="shared" si="72"/>
        <v>28.349551962202575</v>
      </c>
      <c r="V199">
        <f t="shared" si="73"/>
        <v>28.349551962202575</v>
      </c>
      <c r="W199">
        <f t="shared" si="74"/>
        <v>3.8728605545154817</v>
      </c>
      <c r="X199">
        <f t="shared" si="75"/>
        <v>78.506803040819776</v>
      </c>
      <c r="Y199">
        <f t="shared" si="76"/>
        <v>2.7831613265138997</v>
      </c>
      <c r="Z199">
        <f t="shared" si="77"/>
        <v>3.5451212107908523</v>
      </c>
      <c r="AA199">
        <f t="shared" si="78"/>
        <v>1.089699228001582</v>
      </c>
      <c r="AB199">
        <f t="shared" si="79"/>
        <v>-90.348951937671501</v>
      </c>
      <c r="AC199">
        <f t="shared" si="80"/>
        <v>-168.20227226469422</v>
      </c>
      <c r="AD199">
        <f t="shared" si="81"/>
        <v>-17.698378863818178</v>
      </c>
      <c r="AE199">
        <f t="shared" si="82"/>
        <v>-0.13332449418388137</v>
      </c>
      <c r="AF199">
        <v>43</v>
      </c>
      <c r="AG199">
        <v>14</v>
      </c>
      <c r="AH199">
        <f t="shared" si="83"/>
        <v>1</v>
      </c>
      <c r="AI199">
        <f t="shared" si="84"/>
        <v>0</v>
      </c>
      <c r="AJ199">
        <f t="shared" si="85"/>
        <v>52377.655449446029</v>
      </c>
      <c r="AK199">
        <f t="shared" si="86"/>
        <v>1800</v>
      </c>
      <c r="AL199">
        <f t="shared" si="87"/>
        <v>1499.1103242000002</v>
      </c>
      <c r="AM199">
        <f t="shared" si="88"/>
        <v>0.83283906900000004</v>
      </c>
      <c r="AN199">
        <f t="shared" si="89"/>
        <v>0.15339793254</v>
      </c>
      <c r="AO199">
        <v>33.6</v>
      </c>
      <c r="AP199">
        <v>0.5</v>
      </c>
      <c r="AQ199" t="s">
        <v>331</v>
      </c>
      <c r="AR199">
        <v>2</v>
      </c>
      <c r="AS199">
        <v>1690217114.5999999</v>
      </c>
      <c r="AT199">
        <v>398.15</v>
      </c>
      <c r="AU199">
        <v>799.97199999999998</v>
      </c>
      <c r="AV199">
        <v>28.056999999999999</v>
      </c>
      <c r="AW199">
        <v>5.7705500000000001</v>
      </c>
      <c r="AX199">
        <v>398.25599999999997</v>
      </c>
      <c r="AY199">
        <v>27.8644</v>
      </c>
      <c r="AZ199">
        <v>300.209</v>
      </c>
      <c r="BA199">
        <v>99.096699999999998</v>
      </c>
      <c r="BB199">
        <v>9.9982699999999994E-2</v>
      </c>
      <c r="BC199">
        <v>26.837399999999999</v>
      </c>
      <c r="BD199">
        <v>27.000499999999999</v>
      </c>
      <c r="BE199">
        <v>28.275700000000001</v>
      </c>
      <c r="BF199">
        <v>0</v>
      </c>
      <c r="BG199">
        <v>0</v>
      </c>
      <c r="BH199">
        <v>9990</v>
      </c>
      <c r="BI199">
        <v>1077.43</v>
      </c>
      <c r="BJ199">
        <v>1.68198</v>
      </c>
      <c r="BK199">
        <v>-401.82100000000003</v>
      </c>
      <c r="BL199">
        <v>409.64400000000001</v>
      </c>
      <c r="BM199">
        <v>804.61500000000001</v>
      </c>
      <c r="BN199">
        <v>22.2865</v>
      </c>
      <c r="BO199">
        <v>799.97199999999998</v>
      </c>
      <c r="BP199">
        <v>5.7705500000000001</v>
      </c>
      <c r="BQ199">
        <v>2.7803599999999999</v>
      </c>
      <c r="BR199">
        <v>0.57184199999999996</v>
      </c>
      <c r="BS199">
        <v>22.768000000000001</v>
      </c>
      <c r="BT199">
        <v>-0.96759700000000004</v>
      </c>
      <c r="BU199">
        <v>1800</v>
      </c>
      <c r="BV199">
        <v>0.90998100000000004</v>
      </c>
      <c r="BW199">
        <v>3.4003199999999997E-2</v>
      </c>
      <c r="BX199">
        <v>2.2004699999999999E-2</v>
      </c>
      <c r="BY199">
        <v>3.4011600000000003E-2</v>
      </c>
      <c r="BZ199">
        <v>26</v>
      </c>
      <c r="CA199">
        <v>33528.199999999997</v>
      </c>
      <c r="CB199">
        <v>1690214843</v>
      </c>
      <c r="CC199" t="s">
        <v>332</v>
      </c>
      <c r="CD199">
        <v>1690214842</v>
      </c>
      <c r="CE199">
        <v>1690214843</v>
      </c>
      <c r="CF199">
        <v>8</v>
      </c>
      <c r="CG199">
        <v>-6.3E-2</v>
      </c>
      <c r="CH199">
        <v>1E-3</v>
      </c>
      <c r="CI199">
        <v>-0.38900000000000001</v>
      </c>
      <c r="CJ199">
        <v>-6.6000000000000003E-2</v>
      </c>
      <c r="CK199">
        <v>800</v>
      </c>
      <c r="CL199">
        <v>6</v>
      </c>
      <c r="CM199">
        <v>0.23</v>
      </c>
      <c r="CN199">
        <v>0.02</v>
      </c>
      <c r="CO199">
        <v>-400.71409756097569</v>
      </c>
      <c r="CP199">
        <v>-5.8993170731704172</v>
      </c>
      <c r="CQ199">
        <v>0.58291282052766169</v>
      </c>
      <c r="CR199">
        <v>-1</v>
      </c>
      <c r="CS199">
        <v>22.243673170731711</v>
      </c>
      <c r="CT199">
        <v>0.21834146341462249</v>
      </c>
      <c r="CU199">
        <v>2.1590162895376571E-2</v>
      </c>
      <c r="CV199">
        <v>-1</v>
      </c>
      <c r="CW199">
        <v>0</v>
      </c>
      <c r="CX199">
        <v>0</v>
      </c>
      <c r="CY199" t="s">
        <v>333</v>
      </c>
      <c r="CZ199">
        <v>2.3646500000000001</v>
      </c>
      <c r="DA199">
        <v>2.7137699999999998</v>
      </c>
      <c r="DB199">
        <v>8.9213299999999995E-2</v>
      </c>
      <c r="DC199">
        <v>0.14611299999999999</v>
      </c>
      <c r="DD199">
        <v>0.12706999999999999</v>
      </c>
      <c r="DE199">
        <v>3.82218E-2</v>
      </c>
      <c r="DF199">
        <v>33251.1</v>
      </c>
      <c r="DG199">
        <v>27512.1</v>
      </c>
      <c r="DH199">
        <v>31166.799999999999</v>
      </c>
      <c r="DI199">
        <v>28075.3</v>
      </c>
      <c r="DJ199">
        <v>36923.599999999999</v>
      </c>
      <c r="DK199">
        <v>38396.5</v>
      </c>
      <c r="DL199">
        <v>44352.5</v>
      </c>
      <c r="DM199">
        <v>42548.800000000003</v>
      </c>
      <c r="DN199">
        <v>1.3645799999999999</v>
      </c>
      <c r="DO199">
        <v>2.0347</v>
      </c>
      <c r="DP199">
        <v>8.5577399999999998E-2</v>
      </c>
      <c r="DQ199">
        <v>0.17660899999999999</v>
      </c>
      <c r="DR199">
        <v>25.599399999999999</v>
      </c>
      <c r="DS199">
        <v>25.386600000000001</v>
      </c>
      <c r="DT199">
        <v>17</v>
      </c>
      <c r="DU199">
        <v>29.8</v>
      </c>
      <c r="DV199">
        <v>7.2261499999999996</v>
      </c>
      <c r="DW199">
        <v>61.888599999999997</v>
      </c>
      <c r="DX199">
        <v>36.850999999999999</v>
      </c>
      <c r="DY199">
        <v>1</v>
      </c>
      <c r="DZ199">
        <v>-9.3871999999999997E-2</v>
      </c>
      <c r="EA199">
        <v>-0.22456699999999999</v>
      </c>
      <c r="EB199">
        <v>20.189299999999999</v>
      </c>
      <c r="EC199">
        <v>5.24125</v>
      </c>
      <c r="ED199">
        <v>12.039899999999999</v>
      </c>
      <c r="EE199">
        <v>5.01715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1.8689100000000001</v>
      </c>
      <c r="EL199">
        <v>1.8646499999999999</v>
      </c>
      <c r="EM199">
        <v>1.8692</v>
      </c>
      <c r="EN199">
        <v>1.8672299999999999</v>
      </c>
      <c r="EO199">
        <v>1.8633999999999999</v>
      </c>
      <c r="EP199">
        <v>1.86459</v>
      </c>
      <c r="EQ199">
        <v>1.87018</v>
      </c>
      <c r="ER199">
        <v>1.8694599999999999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-0.106</v>
      </c>
      <c r="FG199">
        <v>0.19259999999999999</v>
      </c>
      <c r="FH199">
        <v>0.16202357103534001</v>
      </c>
      <c r="FI199">
        <v>-6.1462078757559423E-4</v>
      </c>
      <c r="FJ199">
        <v>-1.8861989874597051E-7</v>
      </c>
      <c r="FK199">
        <v>1.1980462299894961E-10</v>
      </c>
      <c r="FL199">
        <v>0.19260234566371101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37.9</v>
      </c>
      <c r="FU199">
        <v>37.9</v>
      </c>
      <c r="FV199">
        <v>1.7785599999999999</v>
      </c>
      <c r="FW199">
        <v>2.5842299999999998</v>
      </c>
      <c r="FX199">
        <v>1.5490699999999999</v>
      </c>
      <c r="FY199">
        <v>2.3290999999999999</v>
      </c>
      <c r="FZ199">
        <v>1.50146</v>
      </c>
      <c r="GA199">
        <v>2.35107</v>
      </c>
      <c r="GB199">
        <v>33.850900000000003</v>
      </c>
      <c r="GC199">
        <v>23.982399999999998</v>
      </c>
      <c r="GD199">
        <v>19</v>
      </c>
      <c r="GE199">
        <v>238.095</v>
      </c>
      <c r="GF199">
        <v>581.56399999999996</v>
      </c>
      <c r="GG199">
        <v>25.445699999999999</v>
      </c>
      <c r="GH199">
        <v>26.208200000000001</v>
      </c>
      <c r="GI199">
        <v>30</v>
      </c>
      <c r="GJ199">
        <v>26.346</v>
      </c>
      <c r="GK199">
        <v>26.319199999999999</v>
      </c>
      <c r="GL199">
        <v>35.561100000000003</v>
      </c>
      <c r="GM199">
        <v>-30</v>
      </c>
      <c r="GN199">
        <v>-30</v>
      </c>
      <c r="GO199">
        <v>25.434999999999999</v>
      </c>
      <c r="GP199">
        <v>800</v>
      </c>
      <c r="GQ199">
        <v>12.5298</v>
      </c>
      <c r="GR199">
        <v>99.719499999999996</v>
      </c>
      <c r="GS199">
        <v>99.539699999999996</v>
      </c>
    </row>
    <row r="200" spans="1:201" x14ac:dyDescent="0.25">
      <c r="A200">
        <v>184</v>
      </c>
      <c r="B200">
        <v>1690217124.5999999</v>
      </c>
      <c r="C200">
        <v>2179.099999904633</v>
      </c>
      <c r="D200" t="s">
        <v>701</v>
      </c>
      <c r="E200" t="s">
        <v>702</v>
      </c>
      <c r="F200" t="s">
        <v>330</v>
      </c>
      <c r="H200">
        <v>1690217124.5999999</v>
      </c>
      <c r="I200">
        <f t="shared" si="60"/>
        <v>2.0499069481287342E-3</v>
      </c>
      <c r="J200">
        <f t="shared" si="61"/>
        <v>2.0499069481287342</v>
      </c>
      <c r="K200">
        <f t="shared" si="62"/>
        <v>35.146143982845921</v>
      </c>
      <c r="L200">
        <f t="shared" si="63"/>
        <v>397.30900000000003</v>
      </c>
      <c r="M200">
        <f t="shared" si="64"/>
        <v>84.010406893719392</v>
      </c>
      <c r="N200">
        <f t="shared" si="65"/>
        <v>8.3334882992355297</v>
      </c>
      <c r="O200">
        <f t="shared" si="66"/>
        <v>39.411425620990499</v>
      </c>
      <c r="P200">
        <f t="shared" si="67"/>
        <v>0.1899489673539759</v>
      </c>
      <c r="Q200">
        <f t="shared" si="68"/>
        <v>2.0642693453296261</v>
      </c>
      <c r="R200">
        <f t="shared" si="69"/>
        <v>0.18074541151109719</v>
      </c>
      <c r="S200">
        <f t="shared" si="70"/>
        <v>0.1137556145009123</v>
      </c>
      <c r="T200">
        <f t="shared" si="71"/>
        <v>276.11633050199998</v>
      </c>
      <c r="U200">
        <f t="shared" si="72"/>
        <v>28.348950134965598</v>
      </c>
      <c r="V200">
        <f t="shared" si="73"/>
        <v>28.348950134965598</v>
      </c>
      <c r="W200">
        <f t="shared" si="74"/>
        <v>3.8727250318417692</v>
      </c>
      <c r="X200">
        <f t="shared" si="75"/>
        <v>78.56935248762872</v>
      </c>
      <c r="Y200">
        <f t="shared" si="76"/>
        <v>2.7854606767218</v>
      </c>
      <c r="Z200">
        <f t="shared" si="77"/>
        <v>3.5452254454564707</v>
      </c>
      <c r="AA200">
        <f t="shared" si="78"/>
        <v>1.0872643551199692</v>
      </c>
      <c r="AB200">
        <f t="shared" si="79"/>
        <v>-90.400896412477181</v>
      </c>
      <c r="AC200">
        <f t="shared" si="80"/>
        <v>-168.16309066113433</v>
      </c>
      <c r="AD200">
        <f t="shared" si="81"/>
        <v>-17.685473817367416</v>
      </c>
      <c r="AE200">
        <f t="shared" si="82"/>
        <v>-0.13313038897896945</v>
      </c>
      <c r="AF200">
        <v>43</v>
      </c>
      <c r="AG200">
        <v>14</v>
      </c>
      <c r="AH200">
        <f t="shared" si="83"/>
        <v>1</v>
      </c>
      <c r="AI200">
        <f t="shared" si="84"/>
        <v>0</v>
      </c>
      <c r="AJ200">
        <f t="shared" si="85"/>
        <v>52424.372421929518</v>
      </c>
      <c r="AK200">
        <f t="shared" si="86"/>
        <v>1800</v>
      </c>
      <c r="AL200">
        <f t="shared" si="87"/>
        <v>1499.1098562</v>
      </c>
      <c r="AM200">
        <f t="shared" si="88"/>
        <v>0.83283880899999996</v>
      </c>
      <c r="AN200">
        <f t="shared" si="89"/>
        <v>0.15339796139</v>
      </c>
      <c r="AO200">
        <v>33.6</v>
      </c>
      <c r="AP200">
        <v>0.5</v>
      </c>
      <c r="AQ200" t="s">
        <v>331</v>
      </c>
      <c r="AR200">
        <v>2</v>
      </c>
      <c r="AS200">
        <v>1690217124.5999999</v>
      </c>
      <c r="AT200">
        <v>397.30900000000003</v>
      </c>
      <c r="AU200">
        <v>799.97500000000002</v>
      </c>
      <c r="AV200">
        <v>28.080400000000001</v>
      </c>
      <c r="AW200">
        <v>5.7712700000000003</v>
      </c>
      <c r="AX200">
        <v>397.41399999999999</v>
      </c>
      <c r="AY200">
        <v>27.887799999999999</v>
      </c>
      <c r="AZ200">
        <v>300.06900000000002</v>
      </c>
      <c r="BA200">
        <v>99.096000000000004</v>
      </c>
      <c r="BB200">
        <v>9.9904499999999993E-2</v>
      </c>
      <c r="BC200">
        <v>26.837900000000001</v>
      </c>
      <c r="BD200">
        <v>27.009399999999999</v>
      </c>
      <c r="BE200">
        <v>28.295000000000002</v>
      </c>
      <c r="BF200">
        <v>0</v>
      </c>
      <c r="BG200">
        <v>0</v>
      </c>
      <c r="BH200">
        <v>9999.3799999999992</v>
      </c>
      <c r="BI200">
        <v>1077.52</v>
      </c>
      <c r="BJ200">
        <v>1.68198</v>
      </c>
      <c r="BK200">
        <v>-402.666</v>
      </c>
      <c r="BL200">
        <v>408.78800000000001</v>
      </c>
      <c r="BM200">
        <v>804.61900000000003</v>
      </c>
      <c r="BN200">
        <v>22.309200000000001</v>
      </c>
      <c r="BO200">
        <v>799.97500000000002</v>
      </c>
      <c r="BP200">
        <v>5.7712700000000003</v>
      </c>
      <c r="BQ200">
        <v>2.7826599999999999</v>
      </c>
      <c r="BR200">
        <v>0.57191000000000003</v>
      </c>
      <c r="BS200">
        <v>22.781600000000001</v>
      </c>
      <c r="BT200">
        <v>-0.96597999999999995</v>
      </c>
      <c r="BU200">
        <v>1800</v>
      </c>
      <c r="BV200">
        <v>0.90998000000000001</v>
      </c>
      <c r="BW200">
        <v>3.4002699999999997E-2</v>
      </c>
      <c r="BX200">
        <v>2.20062E-2</v>
      </c>
      <c r="BY200">
        <v>3.4011100000000002E-2</v>
      </c>
      <c r="BZ200">
        <v>26</v>
      </c>
      <c r="CA200">
        <v>33528.300000000003</v>
      </c>
      <c r="CB200">
        <v>1690214843</v>
      </c>
      <c r="CC200" t="s">
        <v>332</v>
      </c>
      <c r="CD200">
        <v>1690214842</v>
      </c>
      <c r="CE200">
        <v>1690214843</v>
      </c>
      <c r="CF200">
        <v>8</v>
      </c>
      <c r="CG200">
        <v>-6.3E-2</v>
      </c>
      <c r="CH200">
        <v>1E-3</v>
      </c>
      <c r="CI200">
        <v>-0.38900000000000001</v>
      </c>
      <c r="CJ200">
        <v>-6.6000000000000003E-2</v>
      </c>
      <c r="CK200">
        <v>800</v>
      </c>
      <c r="CL200">
        <v>6</v>
      </c>
      <c r="CM200">
        <v>0.23</v>
      </c>
      <c r="CN200">
        <v>0.02</v>
      </c>
      <c r="CO200">
        <v>-401.71117073170728</v>
      </c>
      <c r="CP200">
        <v>-5.8758188153313604</v>
      </c>
      <c r="CQ200">
        <v>0.58020656130167825</v>
      </c>
      <c r="CR200">
        <v>-1</v>
      </c>
      <c r="CS200">
        <v>22.278902439024389</v>
      </c>
      <c r="CT200">
        <v>0.20318885017426569</v>
      </c>
      <c r="CU200">
        <v>2.0261864790361229E-2</v>
      </c>
      <c r="CV200">
        <v>-1</v>
      </c>
      <c r="CW200">
        <v>0</v>
      </c>
      <c r="CX200">
        <v>0</v>
      </c>
      <c r="CY200" t="s">
        <v>333</v>
      </c>
      <c r="CZ200">
        <v>2.3641800000000002</v>
      </c>
      <c r="DA200">
        <v>2.7136900000000002</v>
      </c>
      <c r="DB200">
        <v>8.9068300000000003E-2</v>
      </c>
      <c r="DC200">
        <v>0.14611299999999999</v>
      </c>
      <c r="DD200">
        <v>0.12714300000000001</v>
      </c>
      <c r="DE200">
        <v>3.8225599999999998E-2</v>
      </c>
      <c r="DF200">
        <v>33256.5</v>
      </c>
      <c r="DG200">
        <v>27512.1</v>
      </c>
      <c r="DH200">
        <v>31166.9</v>
      </c>
      <c r="DI200">
        <v>28075.200000000001</v>
      </c>
      <c r="DJ200">
        <v>36920.800000000003</v>
      </c>
      <c r="DK200">
        <v>38396.199999999997</v>
      </c>
      <c r="DL200">
        <v>44352.9</v>
      </c>
      <c r="DM200">
        <v>42548.7</v>
      </c>
      <c r="DN200">
        <v>1.3644499999999999</v>
      </c>
      <c r="DO200">
        <v>2.0352999999999999</v>
      </c>
      <c r="DP200">
        <v>8.6121299999999998E-2</v>
      </c>
      <c r="DQ200">
        <v>0.17765900000000001</v>
      </c>
      <c r="DR200">
        <v>25.599399999999999</v>
      </c>
      <c r="DS200">
        <v>25.3888</v>
      </c>
      <c r="DT200">
        <v>17</v>
      </c>
      <c r="DU200">
        <v>29.8</v>
      </c>
      <c r="DV200">
        <v>7.2248900000000003</v>
      </c>
      <c r="DW200">
        <v>61.518599999999999</v>
      </c>
      <c r="DX200">
        <v>36.7027</v>
      </c>
      <c r="DY200">
        <v>1</v>
      </c>
      <c r="DZ200">
        <v>-9.4283500000000006E-2</v>
      </c>
      <c r="EA200">
        <v>-0.25917200000000001</v>
      </c>
      <c r="EB200">
        <v>20.1891</v>
      </c>
      <c r="EC200">
        <v>5.24125</v>
      </c>
      <c r="ED200">
        <v>12.039899999999999</v>
      </c>
      <c r="EE200">
        <v>5.0167999999999999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</v>
      </c>
      <c r="EL200">
        <v>1.8646499999999999</v>
      </c>
      <c r="EM200">
        <v>1.8692</v>
      </c>
      <c r="EN200">
        <v>1.86724</v>
      </c>
      <c r="EO200">
        <v>1.8633999999999999</v>
      </c>
      <c r="EP200">
        <v>1.86459</v>
      </c>
      <c r="EQ200">
        <v>1.87019</v>
      </c>
      <c r="ER200">
        <v>1.86944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-0.105</v>
      </c>
      <c r="FG200">
        <v>0.19259999999999999</v>
      </c>
      <c r="FH200">
        <v>0.16202357103534001</v>
      </c>
      <c r="FI200">
        <v>-6.1462078757559423E-4</v>
      </c>
      <c r="FJ200">
        <v>-1.8861989874597051E-7</v>
      </c>
      <c r="FK200">
        <v>1.1980462299894961E-10</v>
      </c>
      <c r="FL200">
        <v>0.19260234566371101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38</v>
      </c>
      <c r="FU200">
        <v>38</v>
      </c>
      <c r="FV200">
        <v>1.7785599999999999</v>
      </c>
      <c r="FW200">
        <v>2.5842299999999998</v>
      </c>
      <c r="FX200">
        <v>1.5490699999999999</v>
      </c>
      <c r="FY200">
        <v>2.3290999999999999</v>
      </c>
      <c r="FZ200">
        <v>1.50146</v>
      </c>
      <c r="GA200">
        <v>2.3754900000000001</v>
      </c>
      <c r="GB200">
        <v>33.850900000000003</v>
      </c>
      <c r="GC200">
        <v>23.991199999999999</v>
      </c>
      <c r="GD200">
        <v>19</v>
      </c>
      <c r="GE200">
        <v>238.048</v>
      </c>
      <c r="GF200">
        <v>582.03499999999997</v>
      </c>
      <c r="GG200">
        <v>25.435400000000001</v>
      </c>
      <c r="GH200">
        <v>26.206700000000001</v>
      </c>
      <c r="GI200">
        <v>30</v>
      </c>
      <c r="GJ200">
        <v>26.346</v>
      </c>
      <c r="GK200">
        <v>26.3171</v>
      </c>
      <c r="GL200">
        <v>35.5623</v>
      </c>
      <c r="GM200">
        <v>-30</v>
      </c>
      <c r="GN200">
        <v>-30</v>
      </c>
      <c r="GO200">
        <v>25.436699999999998</v>
      </c>
      <c r="GP200">
        <v>800</v>
      </c>
      <c r="GQ200">
        <v>12.5298</v>
      </c>
      <c r="GR200">
        <v>99.720100000000002</v>
      </c>
      <c r="GS200">
        <v>99.539500000000004</v>
      </c>
    </row>
    <row r="201" spans="1:201" x14ac:dyDescent="0.25">
      <c r="A201">
        <v>185</v>
      </c>
      <c r="B201">
        <v>1690217134.5999999</v>
      </c>
      <c r="C201">
        <v>2189.099999904633</v>
      </c>
      <c r="D201" t="s">
        <v>703</v>
      </c>
      <c r="E201" t="s">
        <v>704</v>
      </c>
      <c r="F201" t="s">
        <v>330</v>
      </c>
      <c r="H201">
        <v>1690217134.5999999</v>
      </c>
      <c r="I201">
        <f t="shared" si="60"/>
        <v>2.0527356105309019E-3</v>
      </c>
      <c r="J201">
        <f t="shared" si="61"/>
        <v>2.052735610530902</v>
      </c>
      <c r="K201">
        <f t="shared" si="62"/>
        <v>35.27031618515484</v>
      </c>
      <c r="L201">
        <f t="shared" si="63"/>
        <v>396.10399999999998</v>
      </c>
      <c r="M201">
        <f t="shared" si="64"/>
        <v>83.089778547991827</v>
      </c>
      <c r="N201">
        <f t="shared" si="65"/>
        <v>8.2421270594808327</v>
      </c>
      <c r="O201">
        <f t="shared" si="66"/>
        <v>39.291710169656</v>
      </c>
      <c r="P201">
        <f t="shared" si="67"/>
        <v>0.19082738247555509</v>
      </c>
      <c r="Q201">
        <f t="shared" si="68"/>
        <v>2.0604782354120514</v>
      </c>
      <c r="R201">
        <f t="shared" si="69"/>
        <v>0.18152455046344237</v>
      </c>
      <c r="S201">
        <f t="shared" si="70"/>
        <v>0.11425086402159881</v>
      </c>
      <c r="T201">
        <f t="shared" si="71"/>
        <v>276.11689836599999</v>
      </c>
      <c r="U201">
        <f t="shared" si="72"/>
        <v>28.344962995030372</v>
      </c>
      <c r="V201">
        <f t="shared" si="73"/>
        <v>28.344962995030372</v>
      </c>
      <c r="W201">
        <f t="shared" si="74"/>
        <v>3.8718272908418232</v>
      </c>
      <c r="X201">
        <f t="shared" si="75"/>
        <v>78.659333796219826</v>
      </c>
      <c r="Y201">
        <f t="shared" si="76"/>
        <v>2.7877489394803998</v>
      </c>
      <c r="Z201">
        <f t="shared" si="77"/>
        <v>3.5440790112747846</v>
      </c>
      <c r="AA201">
        <f t="shared" si="78"/>
        <v>1.0840783513614234</v>
      </c>
      <c r="AB201">
        <f t="shared" si="79"/>
        <v>-90.525640424412771</v>
      </c>
      <c r="AC201">
        <f t="shared" si="80"/>
        <v>-168.02230799576282</v>
      </c>
      <c r="AD201">
        <f t="shared" si="81"/>
        <v>-17.702342610670399</v>
      </c>
      <c r="AE201">
        <f t="shared" si="82"/>
        <v>-0.13339266484595669</v>
      </c>
      <c r="AF201">
        <v>43</v>
      </c>
      <c r="AG201">
        <v>14</v>
      </c>
      <c r="AH201">
        <f t="shared" si="83"/>
        <v>1</v>
      </c>
      <c r="AI201">
        <f t="shared" si="84"/>
        <v>0</v>
      </c>
      <c r="AJ201">
        <f t="shared" si="85"/>
        <v>52252.046022100229</v>
      </c>
      <c r="AK201">
        <f t="shared" si="86"/>
        <v>1800</v>
      </c>
      <c r="AL201">
        <f t="shared" si="87"/>
        <v>1499.1106446000001</v>
      </c>
      <c r="AM201">
        <f t="shared" si="88"/>
        <v>0.832839247</v>
      </c>
      <c r="AN201">
        <f t="shared" si="89"/>
        <v>0.15339827686999999</v>
      </c>
      <c r="AO201">
        <v>33.6</v>
      </c>
      <c r="AP201">
        <v>0.5</v>
      </c>
      <c r="AQ201" t="s">
        <v>331</v>
      </c>
      <c r="AR201">
        <v>2</v>
      </c>
      <c r="AS201">
        <v>1690217134.5999999</v>
      </c>
      <c r="AT201">
        <v>396.10399999999998</v>
      </c>
      <c r="AU201">
        <v>800.00800000000004</v>
      </c>
      <c r="AV201">
        <v>28.1036</v>
      </c>
      <c r="AW201">
        <v>5.7718100000000003</v>
      </c>
      <c r="AX201">
        <v>396.20800000000003</v>
      </c>
      <c r="AY201">
        <v>27.911000000000001</v>
      </c>
      <c r="AZ201">
        <v>300.17099999999999</v>
      </c>
      <c r="BA201">
        <v>99.095399999999998</v>
      </c>
      <c r="BB201">
        <v>0.100039</v>
      </c>
      <c r="BC201">
        <v>26.8324</v>
      </c>
      <c r="BD201">
        <v>27.016100000000002</v>
      </c>
      <c r="BE201">
        <v>28.283999999999999</v>
      </c>
      <c r="BF201">
        <v>0</v>
      </c>
      <c r="BG201">
        <v>0</v>
      </c>
      <c r="BH201">
        <v>9965</v>
      </c>
      <c r="BI201">
        <v>1077.54</v>
      </c>
      <c r="BJ201">
        <v>1.6119000000000001</v>
      </c>
      <c r="BK201">
        <v>-403.904</v>
      </c>
      <c r="BL201">
        <v>407.55799999999999</v>
      </c>
      <c r="BM201">
        <v>804.65200000000004</v>
      </c>
      <c r="BN201">
        <v>22.331800000000001</v>
      </c>
      <c r="BO201">
        <v>800.00800000000004</v>
      </c>
      <c r="BP201">
        <v>5.7718100000000003</v>
      </c>
      <c r="BQ201">
        <v>2.7849400000000002</v>
      </c>
      <c r="BR201">
        <v>0.57196000000000002</v>
      </c>
      <c r="BS201">
        <v>22.795100000000001</v>
      </c>
      <c r="BT201">
        <v>-0.96479999999999999</v>
      </c>
      <c r="BU201">
        <v>1800</v>
      </c>
      <c r="BV201">
        <v>0.90997700000000004</v>
      </c>
      <c r="BW201">
        <v>3.4002699999999997E-2</v>
      </c>
      <c r="BX201">
        <v>2.2009600000000001E-2</v>
      </c>
      <c r="BY201">
        <v>3.4011100000000002E-2</v>
      </c>
      <c r="BZ201">
        <v>26</v>
      </c>
      <c r="CA201">
        <v>33528.199999999997</v>
      </c>
      <c r="CB201">
        <v>1690214843</v>
      </c>
      <c r="CC201" t="s">
        <v>332</v>
      </c>
      <c r="CD201">
        <v>1690214842</v>
      </c>
      <c r="CE201">
        <v>1690214843</v>
      </c>
      <c r="CF201">
        <v>8</v>
      </c>
      <c r="CG201">
        <v>-6.3E-2</v>
      </c>
      <c r="CH201">
        <v>1E-3</v>
      </c>
      <c r="CI201">
        <v>-0.38900000000000001</v>
      </c>
      <c r="CJ201">
        <v>-6.6000000000000003E-2</v>
      </c>
      <c r="CK201">
        <v>800</v>
      </c>
      <c r="CL201">
        <v>6</v>
      </c>
      <c r="CM201">
        <v>0.23</v>
      </c>
      <c r="CN201">
        <v>0.02</v>
      </c>
      <c r="CO201">
        <v>-402.65777500000002</v>
      </c>
      <c r="CP201">
        <v>-5.8632833020636239</v>
      </c>
      <c r="CQ201">
        <v>0.56593685546622319</v>
      </c>
      <c r="CR201">
        <v>-1</v>
      </c>
      <c r="CS201">
        <v>22.306735</v>
      </c>
      <c r="CT201">
        <v>0.1335647279549679</v>
      </c>
      <c r="CU201">
        <v>1.28709857819826E-2</v>
      </c>
      <c r="CV201">
        <v>-1</v>
      </c>
      <c r="CW201">
        <v>0</v>
      </c>
      <c r="CX201">
        <v>0</v>
      </c>
      <c r="CY201" t="s">
        <v>333</v>
      </c>
      <c r="CZ201">
        <v>2.3645299999999998</v>
      </c>
      <c r="DA201">
        <v>2.7138</v>
      </c>
      <c r="DB201">
        <v>8.8861099999999998E-2</v>
      </c>
      <c r="DC201">
        <v>0.146116</v>
      </c>
      <c r="DD201">
        <v>0.127216</v>
      </c>
      <c r="DE201">
        <v>3.82283E-2</v>
      </c>
      <c r="DF201">
        <v>33263.800000000003</v>
      </c>
      <c r="DG201">
        <v>27512.1</v>
      </c>
      <c r="DH201">
        <v>31166.7</v>
      </c>
      <c r="DI201">
        <v>28075.3</v>
      </c>
      <c r="DJ201">
        <v>36917.300000000003</v>
      </c>
      <c r="DK201">
        <v>38396.400000000001</v>
      </c>
      <c r="DL201">
        <v>44352.5</v>
      </c>
      <c r="DM201">
        <v>42549</v>
      </c>
      <c r="DN201">
        <v>1.3650500000000001</v>
      </c>
      <c r="DO201">
        <v>2.0348000000000002</v>
      </c>
      <c r="DP201">
        <v>8.6530999999999997E-2</v>
      </c>
      <c r="DQ201">
        <v>0.17685400000000001</v>
      </c>
      <c r="DR201">
        <v>25.599399999999999</v>
      </c>
      <c r="DS201">
        <v>25.390899999999998</v>
      </c>
      <c r="DT201">
        <v>17</v>
      </c>
      <c r="DU201">
        <v>29.8</v>
      </c>
      <c r="DV201">
        <v>7.2248799999999997</v>
      </c>
      <c r="DW201">
        <v>61.958599999999997</v>
      </c>
      <c r="DX201">
        <v>36.566499999999998</v>
      </c>
      <c r="DY201">
        <v>1</v>
      </c>
      <c r="DZ201">
        <v>-9.38084E-2</v>
      </c>
      <c r="EA201">
        <v>-0.242726</v>
      </c>
      <c r="EB201">
        <v>20.189299999999999</v>
      </c>
      <c r="EC201">
        <v>5.2409499999999998</v>
      </c>
      <c r="ED201">
        <v>12.039899999999999</v>
      </c>
      <c r="EE201">
        <v>5.0166500000000003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1.8689199999999999</v>
      </c>
      <c r="EL201">
        <v>1.86466</v>
      </c>
      <c r="EM201">
        <v>1.8692</v>
      </c>
      <c r="EN201">
        <v>1.8672299999999999</v>
      </c>
      <c r="EO201">
        <v>1.8633999999999999</v>
      </c>
      <c r="EP201">
        <v>1.8646100000000001</v>
      </c>
      <c r="EQ201">
        <v>1.8702000000000001</v>
      </c>
      <c r="ER201">
        <v>1.8694599999999999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-0.104</v>
      </c>
      <c r="FG201">
        <v>0.19259999999999999</v>
      </c>
      <c r="FH201">
        <v>0.16202357103534001</v>
      </c>
      <c r="FI201">
        <v>-6.1462078757559423E-4</v>
      </c>
      <c r="FJ201">
        <v>-1.8861989874597051E-7</v>
      </c>
      <c r="FK201">
        <v>1.1980462299894961E-10</v>
      </c>
      <c r="FL201">
        <v>0.19260234566371101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38.200000000000003</v>
      </c>
      <c r="FU201">
        <v>38.200000000000003</v>
      </c>
      <c r="FV201">
        <v>1.7785599999999999</v>
      </c>
      <c r="FW201">
        <v>2.5817899999999998</v>
      </c>
      <c r="FX201">
        <v>1.5490699999999999</v>
      </c>
      <c r="FY201">
        <v>2.3290999999999999</v>
      </c>
      <c r="FZ201">
        <v>1.50146</v>
      </c>
      <c r="GA201">
        <v>2.3986800000000001</v>
      </c>
      <c r="GB201">
        <v>33.850900000000003</v>
      </c>
      <c r="GC201">
        <v>23.991199999999999</v>
      </c>
      <c r="GD201">
        <v>19</v>
      </c>
      <c r="GE201">
        <v>238.26499999999999</v>
      </c>
      <c r="GF201">
        <v>581.62199999999996</v>
      </c>
      <c r="GG201">
        <v>25.4312</v>
      </c>
      <c r="GH201">
        <v>26.206700000000001</v>
      </c>
      <c r="GI201">
        <v>30.000299999999999</v>
      </c>
      <c r="GJ201">
        <v>26.343800000000002</v>
      </c>
      <c r="GK201">
        <v>26.3171</v>
      </c>
      <c r="GL201">
        <v>35.560400000000001</v>
      </c>
      <c r="GM201">
        <v>-30</v>
      </c>
      <c r="GN201">
        <v>-30</v>
      </c>
      <c r="GO201">
        <v>25.4224</v>
      </c>
      <c r="GP201">
        <v>800</v>
      </c>
      <c r="GQ201">
        <v>12.5298</v>
      </c>
      <c r="GR201">
        <v>99.719300000000004</v>
      </c>
      <c r="GS201">
        <v>99.540099999999995</v>
      </c>
    </row>
    <row r="202" spans="1:201" x14ac:dyDescent="0.25">
      <c r="A202">
        <v>186</v>
      </c>
      <c r="B202">
        <v>1690217144.5999999</v>
      </c>
      <c r="C202">
        <v>2199.099999904633</v>
      </c>
      <c r="D202" t="s">
        <v>705</v>
      </c>
      <c r="E202" t="s">
        <v>706</v>
      </c>
      <c r="F202" t="s">
        <v>330</v>
      </c>
      <c r="H202">
        <v>1690217144.5999999</v>
      </c>
      <c r="I202">
        <f t="shared" si="60"/>
        <v>2.0558992963334828E-3</v>
      </c>
      <c r="J202">
        <f t="shared" si="61"/>
        <v>2.0558992963334828</v>
      </c>
      <c r="K202">
        <f t="shared" si="62"/>
        <v>35.338838859417699</v>
      </c>
      <c r="L202">
        <f t="shared" si="63"/>
        <v>395.23399999999998</v>
      </c>
      <c r="M202">
        <f t="shared" si="64"/>
        <v>83.190784207159552</v>
      </c>
      <c r="N202">
        <f t="shared" si="65"/>
        <v>8.2519323685292427</v>
      </c>
      <c r="O202">
        <f t="shared" si="66"/>
        <v>39.204393477307796</v>
      </c>
      <c r="P202">
        <f t="shared" si="67"/>
        <v>0.1918290220921367</v>
      </c>
      <c r="Q202">
        <f t="shared" si="68"/>
        <v>2.060726135180678</v>
      </c>
      <c r="R202">
        <f t="shared" si="69"/>
        <v>0.18243192872211303</v>
      </c>
      <c r="S202">
        <f t="shared" si="70"/>
        <v>0.11482587550246559</v>
      </c>
      <c r="T202">
        <f t="shared" si="71"/>
        <v>276.11640280799998</v>
      </c>
      <c r="U202">
        <f t="shared" si="72"/>
        <v>28.344555986405915</v>
      </c>
      <c r="V202">
        <f t="shared" si="73"/>
        <v>28.344555986405915</v>
      </c>
      <c r="W202">
        <f t="shared" si="74"/>
        <v>3.8717356593417116</v>
      </c>
      <c r="X202">
        <f t="shared" si="75"/>
        <v>78.759201357084834</v>
      </c>
      <c r="Y202">
        <f t="shared" si="76"/>
        <v>2.79143605823805</v>
      </c>
      <c r="Z202">
        <f t="shared" si="77"/>
        <v>3.5442665874454611</v>
      </c>
      <c r="AA202">
        <f t="shared" si="78"/>
        <v>1.0802996011036616</v>
      </c>
      <c r="AB202">
        <f t="shared" si="79"/>
        <v>-90.665158968306599</v>
      </c>
      <c r="AC202">
        <f t="shared" si="80"/>
        <v>-167.89731718496989</v>
      </c>
      <c r="AD202">
        <f t="shared" si="81"/>
        <v>-17.68708930087012</v>
      </c>
      <c r="AE202">
        <f t="shared" si="82"/>
        <v>-0.13316264614664419</v>
      </c>
      <c r="AF202">
        <v>43</v>
      </c>
      <c r="AG202">
        <v>14</v>
      </c>
      <c r="AH202">
        <f t="shared" si="83"/>
        <v>1</v>
      </c>
      <c r="AI202">
        <f t="shared" si="84"/>
        <v>0</v>
      </c>
      <c r="AJ202">
        <f t="shared" si="85"/>
        <v>52263.15430967154</v>
      </c>
      <c r="AK202">
        <f t="shared" si="86"/>
        <v>1800</v>
      </c>
      <c r="AL202">
        <f t="shared" si="87"/>
        <v>1499.1100128</v>
      </c>
      <c r="AM202">
        <f t="shared" si="88"/>
        <v>0.83283889600000005</v>
      </c>
      <c r="AN202">
        <f t="shared" si="89"/>
        <v>0.15339800156</v>
      </c>
      <c r="AO202">
        <v>33.6</v>
      </c>
      <c r="AP202">
        <v>0.5</v>
      </c>
      <c r="AQ202" t="s">
        <v>331</v>
      </c>
      <c r="AR202">
        <v>2</v>
      </c>
      <c r="AS202">
        <v>1690217144.5999999</v>
      </c>
      <c r="AT202">
        <v>395.23399999999998</v>
      </c>
      <c r="AU202">
        <v>799.95699999999999</v>
      </c>
      <c r="AV202">
        <v>28.141500000000001</v>
      </c>
      <c r="AW202">
        <v>5.7729600000000003</v>
      </c>
      <c r="AX202">
        <v>395.33699999999999</v>
      </c>
      <c r="AY202">
        <v>27.948899999999998</v>
      </c>
      <c r="AZ202">
        <v>300.12799999999999</v>
      </c>
      <c r="BA202">
        <v>99.0929</v>
      </c>
      <c r="BB202">
        <v>9.9966700000000006E-2</v>
      </c>
      <c r="BC202">
        <v>26.833300000000001</v>
      </c>
      <c r="BD202">
        <v>26.993099999999998</v>
      </c>
      <c r="BE202">
        <v>28.278199999999998</v>
      </c>
      <c r="BF202">
        <v>0</v>
      </c>
      <c r="BG202">
        <v>0</v>
      </c>
      <c r="BH202">
        <v>9967.5</v>
      </c>
      <c r="BI202">
        <v>1077.49</v>
      </c>
      <c r="BJ202">
        <v>1.5137799999999999</v>
      </c>
      <c r="BK202">
        <v>-404.72300000000001</v>
      </c>
      <c r="BL202">
        <v>406.67899999999997</v>
      </c>
      <c r="BM202">
        <v>804.60199999999998</v>
      </c>
      <c r="BN202">
        <v>22.368600000000001</v>
      </c>
      <c r="BO202">
        <v>799.95699999999999</v>
      </c>
      <c r="BP202">
        <v>5.7729600000000003</v>
      </c>
      <c r="BQ202">
        <v>2.7886199999999999</v>
      </c>
      <c r="BR202">
        <v>0.57205899999999998</v>
      </c>
      <c r="BS202">
        <v>22.8169</v>
      </c>
      <c r="BT202">
        <v>-0.96241399999999999</v>
      </c>
      <c r="BU202">
        <v>1800</v>
      </c>
      <c r="BV202">
        <v>0.90998000000000001</v>
      </c>
      <c r="BW202">
        <v>3.4002400000000002E-2</v>
      </c>
      <c r="BX202">
        <v>2.20068E-2</v>
      </c>
      <c r="BY202">
        <v>3.4010800000000001E-2</v>
      </c>
      <c r="BZ202">
        <v>26</v>
      </c>
      <c r="CA202">
        <v>33528.199999999997</v>
      </c>
      <c r="CB202">
        <v>1690214843</v>
      </c>
      <c r="CC202" t="s">
        <v>332</v>
      </c>
      <c r="CD202">
        <v>1690214842</v>
      </c>
      <c r="CE202">
        <v>1690214843</v>
      </c>
      <c r="CF202">
        <v>8</v>
      </c>
      <c r="CG202">
        <v>-6.3E-2</v>
      </c>
      <c r="CH202">
        <v>1E-3</v>
      </c>
      <c r="CI202">
        <v>-0.38900000000000001</v>
      </c>
      <c r="CJ202">
        <v>-6.6000000000000003E-2</v>
      </c>
      <c r="CK202">
        <v>800</v>
      </c>
      <c r="CL202">
        <v>6</v>
      </c>
      <c r="CM202">
        <v>0.23</v>
      </c>
      <c r="CN202">
        <v>0.02</v>
      </c>
      <c r="CO202">
        <v>-403.7955</v>
      </c>
      <c r="CP202">
        <v>-6.3605178236380118</v>
      </c>
      <c r="CQ202">
        <v>0.61644010252416037</v>
      </c>
      <c r="CR202">
        <v>-1</v>
      </c>
      <c r="CS202">
        <v>22.334432499999998</v>
      </c>
      <c r="CT202">
        <v>0.17458424015000981</v>
      </c>
      <c r="CU202">
        <v>1.691363928165646E-2</v>
      </c>
      <c r="CV202">
        <v>-1</v>
      </c>
      <c r="CW202">
        <v>0</v>
      </c>
      <c r="CX202">
        <v>0</v>
      </c>
      <c r="CY202" t="s">
        <v>333</v>
      </c>
      <c r="CZ202">
        <v>2.3643800000000001</v>
      </c>
      <c r="DA202">
        <v>2.71373</v>
      </c>
      <c r="DB202">
        <v>8.8709300000000005E-2</v>
      </c>
      <c r="DC202">
        <v>0.14610600000000001</v>
      </c>
      <c r="DD202">
        <v>0.127331</v>
      </c>
      <c r="DE202">
        <v>3.82336E-2</v>
      </c>
      <c r="DF202">
        <v>33269.5</v>
      </c>
      <c r="DG202">
        <v>27512.3</v>
      </c>
      <c r="DH202">
        <v>31166.799999999999</v>
      </c>
      <c r="DI202">
        <v>28075.200000000001</v>
      </c>
      <c r="DJ202">
        <v>36912.699999999997</v>
      </c>
      <c r="DK202">
        <v>38396</v>
      </c>
      <c r="DL202">
        <v>44352.9</v>
      </c>
      <c r="DM202">
        <v>42548.800000000003</v>
      </c>
      <c r="DN202">
        <v>1.3647</v>
      </c>
      <c r="DO202">
        <v>2.03498</v>
      </c>
      <c r="DP202">
        <v>8.4996199999999994E-2</v>
      </c>
      <c r="DQ202">
        <v>0.17650399999999999</v>
      </c>
      <c r="DR202">
        <v>25.601500000000001</v>
      </c>
      <c r="DS202">
        <v>25.390899999999998</v>
      </c>
      <c r="DT202">
        <v>17</v>
      </c>
      <c r="DU202">
        <v>29.8</v>
      </c>
      <c r="DV202">
        <v>7.2255500000000001</v>
      </c>
      <c r="DW202">
        <v>61.618600000000001</v>
      </c>
      <c r="DX202">
        <v>36.298099999999998</v>
      </c>
      <c r="DY202">
        <v>1</v>
      </c>
      <c r="DZ202">
        <v>-9.3927800000000006E-2</v>
      </c>
      <c r="EA202">
        <v>-0.228017</v>
      </c>
      <c r="EB202">
        <v>20.189299999999999</v>
      </c>
      <c r="EC202">
        <v>5.2411000000000003</v>
      </c>
      <c r="ED202">
        <v>12.039899999999999</v>
      </c>
      <c r="EE202">
        <v>5.0168499999999998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1.8689100000000001</v>
      </c>
      <c r="EL202">
        <v>1.86466</v>
      </c>
      <c r="EM202">
        <v>1.8691899999999999</v>
      </c>
      <c r="EN202">
        <v>1.86724</v>
      </c>
      <c r="EO202">
        <v>1.8633999999999999</v>
      </c>
      <c r="EP202">
        <v>1.86459</v>
      </c>
      <c r="EQ202">
        <v>1.8702000000000001</v>
      </c>
      <c r="ER202">
        <v>1.86948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-0.10299999999999999</v>
      </c>
      <c r="FG202">
        <v>0.19259999999999999</v>
      </c>
      <c r="FH202">
        <v>0.16202357103534001</v>
      </c>
      <c r="FI202">
        <v>-6.1462078757559423E-4</v>
      </c>
      <c r="FJ202">
        <v>-1.8861989874597051E-7</v>
      </c>
      <c r="FK202">
        <v>1.1980462299894961E-10</v>
      </c>
      <c r="FL202">
        <v>0.19260234566371101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38.4</v>
      </c>
      <c r="FU202">
        <v>38.4</v>
      </c>
      <c r="FV202">
        <v>1.7785599999999999</v>
      </c>
      <c r="FW202">
        <v>2.5830099999999998</v>
      </c>
      <c r="FX202">
        <v>1.5490699999999999</v>
      </c>
      <c r="FY202">
        <v>2.3290999999999999</v>
      </c>
      <c r="FZ202">
        <v>1.50146</v>
      </c>
      <c r="GA202">
        <v>2.36694</v>
      </c>
      <c r="GB202">
        <v>33.850900000000003</v>
      </c>
      <c r="GC202">
        <v>23.991199999999999</v>
      </c>
      <c r="GD202">
        <v>19</v>
      </c>
      <c r="GE202">
        <v>238.13399999999999</v>
      </c>
      <c r="GF202">
        <v>581.76599999999996</v>
      </c>
      <c r="GG202">
        <v>25.414300000000001</v>
      </c>
      <c r="GH202">
        <v>26.206700000000001</v>
      </c>
      <c r="GI202">
        <v>29.9999</v>
      </c>
      <c r="GJ202">
        <v>26.343800000000002</v>
      </c>
      <c r="GK202">
        <v>26.3171</v>
      </c>
      <c r="GL202">
        <v>35.561399999999999</v>
      </c>
      <c r="GM202">
        <v>-30</v>
      </c>
      <c r="GN202">
        <v>-30</v>
      </c>
      <c r="GO202">
        <v>25.425999999999998</v>
      </c>
      <c r="GP202">
        <v>800</v>
      </c>
      <c r="GQ202">
        <v>12.5298</v>
      </c>
      <c r="GR202">
        <v>99.72</v>
      </c>
      <c r="GS202">
        <v>99.539599999999993</v>
      </c>
    </row>
    <row r="203" spans="1:201" x14ac:dyDescent="0.25">
      <c r="A203">
        <v>187</v>
      </c>
      <c r="B203">
        <v>1690217154.5999999</v>
      </c>
      <c r="C203">
        <v>2209.099999904633</v>
      </c>
      <c r="D203" t="s">
        <v>707</v>
      </c>
      <c r="E203" t="s">
        <v>708</v>
      </c>
      <c r="F203" t="s">
        <v>330</v>
      </c>
      <c r="H203">
        <v>1690217154.5999999</v>
      </c>
      <c r="I203">
        <f t="shared" si="60"/>
        <v>2.0600401077629942E-3</v>
      </c>
      <c r="J203">
        <f t="shared" si="61"/>
        <v>2.0600401077629944</v>
      </c>
      <c r="K203">
        <f t="shared" si="62"/>
        <v>35.430197172804128</v>
      </c>
      <c r="L203">
        <f t="shared" si="63"/>
        <v>394.22199999999998</v>
      </c>
      <c r="M203">
        <f t="shared" si="64"/>
        <v>84.06159962306215</v>
      </c>
      <c r="N203">
        <f t="shared" si="65"/>
        <v>8.3385814301343615</v>
      </c>
      <c r="O203">
        <f t="shared" si="66"/>
        <v>39.105278311270396</v>
      </c>
      <c r="P203">
        <f t="shared" si="67"/>
        <v>0.19354026351428411</v>
      </c>
      <c r="Q203">
        <f t="shared" si="68"/>
        <v>2.066402560650396</v>
      </c>
      <c r="R203">
        <f t="shared" si="69"/>
        <v>0.18400412839630562</v>
      </c>
      <c r="S203">
        <f t="shared" si="70"/>
        <v>0.11582019764032254</v>
      </c>
      <c r="T203">
        <f t="shared" si="71"/>
        <v>276.11681905799998</v>
      </c>
      <c r="U203">
        <f t="shared" si="72"/>
        <v>28.333124336331899</v>
      </c>
      <c r="V203">
        <f t="shared" si="73"/>
        <v>28.333124336331899</v>
      </c>
      <c r="W203">
        <f t="shared" si="74"/>
        <v>3.869162778232822</v>
      </c>
      <c r="X203">
        <f t="shared" si="75"/>
        <v>78.91422830074481</v>
      </c>
      <c r="Y203">
        <f t="shared" si="76"/>
        <v>2.7959110422502405</v>
      </c>
      <c r="Z203">
        <f t="shared" si="77"/>
        <v>3.5429745718287053</v>
      </c>
      <c r="AA203">
        <f t="shared" si="78"/>
        <v>1.0732517359825815</v>
      </c>
      <c r="AB203">
        <f t="shared" si="79"/>
        <v>-90.847768752348045</v>
      </c>
      <c r="AC203">
        <f t="shared" si="80"/>
        <v>-167.77697680593468</v>
      </c>
      <c r="AD203">
        <f t="shared" si="81"/>
        <v>-17.624308782816726</v>
      </c>
      <c r="AE203">
        <f t="shared" si="82"/>
        <v>-0.13223528309947596</v>
      </c>
      <c r="AF203">
        <v>43</v>
      </c>
      <c r="AG203">
        <v>14</v>
      </c>
      <c r="AH203">
        <f t="shared" si="83"/>
        <v>1</v>
      </c>
      <c r="AI203">
        <f t="shared" si="84"/>
        <v>0</v>
      </c>
      <c r="AJ203">
        <f t="shared" si="85"/>
        <v>52523.944165636138</v>
      </c>
      <c r="AK203">
        <f t="shared" si="86"/>
        <v>1800</v>
      </c>
      <c r="AL203">
        <f t="shared" si="87"/>
        <v>1499.1106428000001</v>
      </c>
      <c r="AM203">
        <f t="shared" si="88"/>
        <v>0.83283924600000003</v>
      </c>
      <c r="AN203">
        <f t="shared" si="89"/>
        <v>0.15339823280999998</v>
      </c>
      <c r="AO203">
        <v>33.6</v>
      </c>
      <c r="AP203">
        <v>0.5</v>
      </c>
      <c r="AQ203" t="s">
        <v>331</v>
      </c>
      <c r="AR203">
        <v>2</v>
      </c>
      <c r="AS203">
        <v>1690217154.5999999</v>
      </c>
      <c r="AT203">
        <v>394.22199999999998</v>
      </c>
      <c r="AU203">
        <v>799.95600000000002</v>
      </c>
      <c r="AV203">
        <v>28.185700000000001</v>
      </c>
      <c r="AW203">
        <v>5.7735000000000003</v>
      </c>
      <c r="AX203">
        <v>394.32400000000001</v>
      </c>
      <c r="AY203">
        <v>27.993099999999998</v>
      </c>
      <c r="AZ203">
        <v>300.13299999999998</v>
      </c>
      <c r="BA203">
        <v>99.096100000000007</v>
      </c>
      <c r="BB203">
        <v>9.9983199999999994E-2</v>
      </c>
      <c r="BC203">
        <v>26.827100000000002</v>
      </c>
      <c r="BD203">
        <v>27.0124</v>
      </c>
      <c r="BE203">
        <v>28.262899999999998</v>
      </c>
      <c r="BF203">
        <v>0</v>
      </c>
      <c r="BG203">
        <v>0</v>
      </c>
      <c r="BH203">
        <v>10018.799999999999</v>
      </c>
      <c r="BI203">
        <v>1077.5</v>
      </c>
      <c r="BJ203">
        <v>1.5137799999999999</v>
      </c>
      <c r="BK203">
        <v>-405.73500000000001</v>
      </c>
      <c r="BL203">
        <v>405.65499999999997</v>
      </c>
      <c r="BM203">
        <v>804.60199999999998</v>
      </c>
      <c r="BN203">
        <v>22.412199999999999</v>
      </c>
      <c r="BO203">
        <v>799.95600000000002</v>
      </c>
      <c r="BP203">
        <v>5.7735000000000003</v>
      </c>
      <c r="BQ203">
        <v>2.7930999999999999</v>
      </c>
      <c r="BR203">
        <v>0.57213099999999995</v>
      </c>
      <c r="BS203">
        <v>22.843299999999999</v>
      </c>
      <c r="BT203">
        <v>-0.96070599999999995</v>
      </c>
      <c r="BU203">
        <v>1800</v>
      </c>
      <c r="BV203">
        <v>0.90997799999999995</v>
      </c>
      <c r="BW203">
        <v>3.4002299999999999E-2</v>
      </c>
      <c r="BX203">
        <v>2.2009299999999999E-2</v>
      </c>
      <c r="BY203">
        <v>3.4010699999999998E-2</v>
      </c>
      <c r="BZ203">
        <v>26</v>
      </c>
      <c r="CA203">
        <v>33528.199999999997</v>
      </c>
      <c r="CB203">
        <v>1690214843</v>
      </c>
      <c r="CC203" t="s">
        <v>332</v>
      </c>
      <c r="CD203">
        <v>1690214842</v>
      </c>
      <c r="CE203">
        <v>1690214843</v>
      </c>
      <c r="CF203">
        <v>8</v>
      </c>
      <c r="CG203">
        <v>-6.3E-2</v>
      </c>
      <c r="CH203">
        <v>1E-3</v>
      </c>
      <c r="CI203">
        <v>-0.38900000000000001</v>
      </c>
      <c r="CJ203">
        <v>-6.6000000000000003E-2</v>
      </c>
      <c r="CK203">
        <v>800</v>
      </c>
      <c r="CL203">
        <v>6</v>
      </c>
      <c r="CM203">
        <v>0.23</v>
      </c>
      <c r="CN203">
        <v>0.02</v>
      </c>
      <c r="CO203">
        <v>-404.79377499999998</v>
      </c>
      <c r="CP203">
        <v>-5.3470806754220046</v>
      </c>
      <c r="CQ203">
        <v>0.5163592977520588</v>
      </c>
      <c r="CR203">
        <v>-1</v>
      </c>
      <c r="CS203">
        <v>22.369927499999999</v>
      </c>
      <c r="CT203">
        <v>0.25092945590986832</v>
      </c>
      <c r="CU203">
        <v>2.417919547358862E-2</v>
      </c>
      <c r="CV203">
        <v>-1</v>
      </c>
      <c r="CW203">
        <v>0</v>
      </c>
      <c r="CX203">
        <v>0</v>
      </c>
      <c r="CY203" t="s">
        <v>333</v>
      </c>
      <c r="CZ203">
        <v>2.3643900000000002</v>
      </c>
      <c r="DA203">
        <v>2.7137899999999999</v>
      </c>
      <c r="DB203">
        <v>8.8537699999999997E-2</v>
      </c>
      <c r="DC203">
        <v>0.14611099999999999</v>
      </c>
      <c r="DD203">
        <v>0.127474</v>
      </c>
      <c r="DE203">
        <v>3.8237800000000002E-2</v>
      </c>
      <c r="DF203">
        <v>33275.800000000003</v>
      </c>
      <c r="DG203">
        <v>27512</v>
      </c>
      <c r="DH203">
        <v>31166.799999999999</v>
      </c>
      <c r="DI203">
        <v>28075.1</v>
      </c>
      <c r="DJ203">
        <v>36906.400000000001</v>
      </c>
      <c r="DK203">
        <v>38395.699999999997</v>
      </c>
      <c r="DL203">
        <v>44352.800000000003</v>
      </c>
      <c r="DM203">
        <v>42548.6</v>
      </c>
      <c r="DN203">
        <v>1.36497</v>
      </c>
      <c r="DO203">
        <v>2.0352000000000001</v>
      </c>
      <c r="DP203">
        <v>8.6039299999999999E-2</v>
      </c>
      <c r="DQ203">
        <v>0.175431</v>
      </c>
      <c r="DR203">
        <v>25.6037</v>
      </c>
      <c r="DS203">
        <v>25.393000000000001</v>
      </c>
      <c r="DT203">
        <v>17</v>
      </c>
      <c r="DU203">
        <v>29.8</v>
      </c>
      <c r="DV203">
        <v>7.22539</v>
      </c>
      <c r="DW203">
        <v>61.788600000000002</v>
      </c>
      <c r="DX203">
        <v>36.177900000000001</v>
      </c>
      <c r="DY203">
        <v>1</v>
      </c>
      <c r="DZ203">
        <v>-9.3871999999999997E-2</v>
      </c>
      <c r="EA203">
        <v>-0.27881499999999998</v>
      </c>
      <c r="EB203">
        <v>20.189</v>
      </c>
      <c r="EC203">
        <v>5.2411000000000003</v>
      </c>
      <c r="ED203">
        <v>12.039899999999999</v>
      </c>
      <c r="EE203">
        <v>5.0169499999999996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1.8689100000000001</v>
      </c>
      <c r="EL203">
        <v>1.8646400000000001</v>
      </c>
      <c r="EM203">
        <v>1.8692</v>
      </c>
      <c r="EN203">
        <v>1.8672299999999999</v>
      </c>
      <c r="EO203">
        <v>1.8633999999999999</v>
      </c>
      <c r="EP203">
        <v>1.8645799999999999</v>
      </c>
      <c r="EQ203">
        <v>1.8701700000000001</v>
      </c>
      <c r="ER203">
        <v>1.8694299999999999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-0.10199999999999999</v>
      </c>
      <c r="FG203">
        <v>0.19259999999999999</v>
      </c>
      <c r="FH203">
        <v>0.16202357103534001</v>
      </c>
      <c r="FI203">
        <v>-6.1462078757559423E-4</v>
      </c>
      <c r="FJ203">
        <v>-1.8861989874597051E-7</v>
      </c>
      <c r="FK203">
        <v>1.1980462299894961E-10</v>
      </c>
      <c r="FL203">
        <v>0.19260234566371101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38.5</v>
      </c>
      <c r="FU203">
        <v>38.5</v>
      </c>
      <c r="FV203">
        <v>1.7785599999999999</v>
      </c>
      <c r="FW203">
        <v>2.5805699999999998</v>
      </c>
      <c r="FX203">
        <v>1.5490699999999999</v>
      </c>
      <c r="FY203">
        <v>2.3290999999999999</v>
      </c>
      <c r="FZ203">
        <v>1.50146</v>
      </c>
      <c r="GA203">
        <v>2.4035600000000001</v>
      </c>
      <c r="GB203">
        <v>33.850900000000003</v>
      </c>
      <c r="GC203">
        <v>23.991199999999999</v>
      </c>
      <c r="GD203">
        <v>19</v>
      </c>
      <c r="GE203">
        <v>238.23699999999999</v>
      </c>
      <c r="GF203">
        <v>581.952</v>
      </c>
      <c r="GG203">
        <v>25.429099999999998</v>
      </c>
      <c r="GH203">
        <v>26.206700000000001</v>
      </c>
      <c r="GI203">
        <v>30</v>
      </c>
      <c r="GJ203">
        <v>26.343800000000002</v>
      </c>
      <c r="GK203">
        <v>26.3171</v>
      </c>
      <c r="GL203">
        <v>35.561999999999998</v>
      </c>
      <c r="GM203">
        <v>-30</v>
      </c>
      <c r="GN203">
        <v>-30</v>
      </c>
      <c r="GO203">
        <v>25.427199999999999</v>
      </c>
      <c r="GP203">
        <v>800</v>
      </c>
      <c r="GQ203">
        <v>12.5298</v>
      </c>
      <c r="GR203">
        <v>99.719800000000006</v>
      </c>
      <c r="GS203">
        <v>99.539199999999994</v>
      </c>
    </row>
    <row r="204" spans="1:201" x14ac:dyDescent="0.25">
      <c r="A204">
        <v>188</v>
      </c>
      <c r="B204">
        <v>1690217164.5999999</v>
      </c>
      <c r="C204">
        <v>2219.099999904633</v>
      </c>
      <c r="D204" t="s">
        <v>709</v>
      </c>
      <c r="E204" t="s">
        <v>710</v>
      </c>
      <c r="F204" t="s">
        <v>330</v>
      </c>
      <c r="H204">
        <v>1690217164.5999999</v>
      </c>
      <c r="I204">
        <f t="shared" si="60"/>
        <v>2.0638710612566461E-3</v>
      </c>
      <c r="J204">
        <f t="shared" si="61"/>
        <v>2.0638710612566462</v>
      </c>
      <c r="K204">
        <f t="shared" si="62"/>
        <v>35.522073554397572</v>
      </c>
      <c r="L204">
        <f t="shared" si="63"/>
        <v>393.363</v>
      </c>
      <c r="M204">
        <f t="shared" si="64"/>
        <v>83.130283099752134</v>
      </c>
      <c r="N204">
        <f t="shared" si="65"/>
        <v>8.2460348617793695</v>
      </c>
      <c r="O204">
        <f t="shared" si="66"/>
        <v>39.019294658744997</v>
      </c>
      <c r="P204">
        <f t="shared" si="67"/>
        <v>0.1940306989307542</v>
      </c>
      <c r="Q204">
        <f t="shared" si="68"/>
        <v>2.0601881343623929</v>
      </c>
      <c r="R204">
        <f t="shared" si="69"/>
        <v>0.18442008944191574</v>
      </c>
      <c r="S204">
        <f t="shared" si="70"/>
        <v>0.1160863504764193</v>
      </c>
      <c r="T204">
        <f t="shared" si="71"/>
        <v>276.11522774599035</v>
      </c>
      <c r="U204">
        <f t="shared" si="72"/>
        <v>28.346531740189565</v>
      </c>
      <c r="V204">
        <f t="shared" si="73"/>
        <v>28.346531740189565</v>
      </c>
      <c r="W204">
        <f t="shared" si="74"/>
        <v>3.8721804864901936</v>
      </c>
      <c r="X204">
        <f t="shared" si="75"/>
        <v>78.963471874628269</v>
      </c>
      <c r="Y204">
        <f t="shared" si="76"/>
        <v>2.7994166358839996</v>
      </c>
      <c r="Z204">
        <f t="shared" si="77"/>
        <v>3.5452045983093092</v>
      </c>
      <c r="AA204">
        <f t="shared" si="78"/>
        <v>1.0727638506061941</v>
      </c>
      <c r="AB204">
        <f t="shared" si="79"/>
        <v>-91.016713801418092</v>
      </c>
      <c r="AC204">
        <f t="shared" si="80"/>
        <v>-167.5731185018625</v>
      </c>
      <c r="AD204">
        <f t="shared" si="81"/>
        <v>-17.658116850881463</v>
      </c>
      <c r="AE204">
        <f t="shared" si="82"/>
        <v>-0.13272140817170452</v>
      </c>
      <c r="AF204">
        <v>42</v>
      </c>
      <c r="AG204">
        <v>14</v>
      </c>
      <c r="AH204">
        <f t="shared" si="83"/>
        <v>1</v>
      </c>
      <c r="AI204">
        <f t="shared" si="84"/>
        <v>0</v>
      </c>
      <c r="AJ204">
        <f t="shared" si="85"/>
        <v>52237.835276334947</v>
      </c>
      <c r="AK204">
        <f t="shared" si="86"/>
        <v>1799.99</v>
      </c>
      <c r="AL204">
        <f t="shared" si="87"/>
        <v>1499.1020534089901</v>
      </c>
      <c r="AM204">
        <f t="shared" si="88"/>
        <v>0.83283910100000003</v>
      </c>
      <c r="AN204">
        <f t="shared" si="89"/>
        <v>0.15339820095999998</v>
      </c>
      <c r="AO204">
        <v>33.6</v>
      </c>
      <c r="AP204">
        <v>0.5</v>
      </c>
      <c r="AQ204" t="s">
        <v>331</v>
      </c>
      <c r="AR204">
        <v>2</v>
      </c>
      <c r="AS204">
        <v>1690217164.5999999</v>
      </c>
      <c r="AT204">
        <v>393.363</v>
      </c>
      <c r="AU204">
        <v>800.02099999999996</v>
      </c>
      <c r="AV204">
        <v>28.221599999999999</v>
      </c>
      <c r="AW204">
        <v>5.7741600000000002</v>
      </c>
      <c r="AX204">
        <v>393.46499999999997</v>
      </c>
      <c r="AY204">
        <v>28.029</v>
      </c>
      <c r="AZ204">
        <v>300.20800000000003</v>
      </c>
      <c r="BA204">
        <v>99.094099999999997</v>
      </c>
      <c r="BB204">
        <v>0.10001500000000001</v>
      </c>
      <c r="BC204">
        <v>26.837800000000001</v>
      </c>
      <c r="BD204">
        <v>27.003699999999998</v>
      </c>
      <c r="BE204">
        <v>28.281099999999999</v>
      </c>
      <c r="BF204">
        <v>0</v>
      </c>
      <c r="BG204">
        <v>0</v>
      </c>
      <c r="BH204">
        <v>9962.5</v>
      </c>
      <c r="BI204">
        <v>1077.47</v>
      </c>
      <c r="BJ204">
        <v>1.56985</v>
      </c>
      <c r="BK204">
        <v>-406.65800000000002</v>
      </c>
      <c r="BL204">
        <v>404.78699999999998</v>
      </c>
      <c r="BM204">
        <v>804.66800000000001</v>
      </c>
      <c r="BN204">
        <v>22.447500000000002</v>
      </c>
      <c r="BO204">
        <v>800.02099999999996</v>
      </c>
      <c r="BP204">
        <v>5.7741600000000002</v>
      </c>
      <c r="BQ204">
        <v>2.7966000000000002</v>
      </c>
      <c r="BR204">
        <v>0.57218500000000005</v>
      </c>
      <c r="BS204">
        <v>22.864000000000001</v>
      </c>
      <c r="BT204">
        <v>-0.95940800000000004</v>
      </c>
      <c r="BU204">
        <v>1799.99</v>
      </c>
      <c r="BV204">
        <v>0.90997799999999995</v>
      </c>
      <c r="BW204">
        <v>3.4002200000000003E-2</v>
      </c>
      <c r="BX204">
        <v>2.2009299999999999E-2</v>
      </c>
      <c r="BY204">
        <v>3.4010600000000002E-2</v>
      </c>
      <c r="BZ204">
        <v>26</v>
      </c>
      <c r="CA204">
        <v>33528.1</v>
      </c>
      <c r="CB204">
        <v>1690214843</v>
      </c>
      <c r="CC204" t="s">
        <v>332</v>
      </c>
      <c r="CD204">
        <v>1690214842</v>
      </c>
      <c r="CE204">
        <v>1690214843</v>
      </c>
      <c r="CF204">
        <v>8</v>
      </c>
      <c r="CG204">
        <v>-6.3E-2</v>
      </c>
      <c r="CH204">
        <v>1E-3</v>
      </c>
      <c r="CI204">
        <v>-0.38900000000000001</v>
      </c>
      <c r="CJ204">
        <v>-6.6000000000000003E-2</v>
      </c>
      <c r="CK204">
        <v>800</v>
      </c>
      <c r="CL204">
        <v>6</v>
      </c>
      <c r="CM204">
        <v>0.23</v>
      </c>
      <c r="CN204">
        <v>0.02</v>
      </c>
      <c r="CO204">
        <v>-405.72427499999998</v>
      </c>
      <c r="CP204">
        <v>-5.7634784240138064</v>
      </c>
      <c r="CQ204">
        <v>0.55582659110103483</v>
      </c>
      <c r="CR204">
        <v>-1</v>
      </c>
      <c r="CS204">
        <v>22.40896</v>
      </c>
      <c r="CT204">
        <v>0.22286454033771411</v>
      </c>
      <c r="CU204">
        <v>2.1542641435070078E-2</v>
      </c>
      <c r="CV204">
        <v>-1</v>
      </c>
      <c r="CW204">
        <v>0</v>
      </c>
      <c r="CX204">
        <v>0</v>
      </c>
      <c r="CY204" t="s">
        <v>333</v>
      </c>
      <c r="CZ204">
        <v>2.36463</v>
      </c>
      <c r="DA204">
        <v>2.7137699999999998</v>
      </c>
      <c r="DB204">
        <v>8.8388099999999997E-2</v>
      </c>
      <c r="DC204">
        <v>0.146116</v>
      </c>
      <c r="DD204">
        <v>0.127584</v>
      </c>
      <c r="DE204">
        <v>3.8240700000000002E-2</v>
      </c>
      <c r="DF204">
        <v>33281</v>
      </c>
      <c r="DG204">
        <v>27511.9</v>
      </c>
      <c r="DH204">
        <v>31166.6</v>
      </c>
      <c r="DI204">
        <v>28075.1</v>
      </c>
      <c r="DJ204">
        <v>36901.4</v>
      </c>
      <c r="DK204">
        <v>38395.699999999997</v>
      </c>
      <c r="DL204">
        <v>44352.4</v>
      </c>
      <c r="DM204">
        <v>42548.7</v>
      </c>
      <c r="DN204">
        <v>1.3655999999999999</v>
      </c>
      <c r="DO204">
        <v>2.03478</v>
      </c>
      <c r="DP204">
        <v>8.5510299999999997E-2</v>
      </c>
      <c r="DQ204">
        <v>0.176288</v>
      </c>
      <c r="DR204">
        <v>25.6037</v>
      </c>
      <c r="DS204">
        <v>25.397300000000001</v>
      </c>
      <c r="DT204">
        <v>17</v>
      </c>
      <c r="DU204">
        <v>29.8</v>
      </c>
      <c r="DV204">
        <v>7.2259099999999998</v>
      </c>
      <c r="DW204">
        <v>62.018599999999999</v>
      </c>
      <c r="DX204">
        <v>36.081699999999998</v>
      </c>
      <c r="DY204">
        <v>1</v>
      </c>
      <c r="DZ204">
        <v>-9.4001500000000002E-2</v>
      </c>
      <c r="EA204">
        <v>-0.19625000000000001</v>
      </c>
      <c r="EB204">
        <v>20.1891</v>
      </c>
      <c r="EC204">
        <v>5.2404999999999999</v>
      </c>
      <c r="ED204">
        <v>12.039899999999999</v>
      </c>
      <c r="EE204">
        <v>5.0168499999999998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</v>
      </c>
      <c r="EL204">
        <v>1.8646499999999999</v>
      </c>
      <c r="EM204">
        <v>1.8692</v>
      </c>
      <c r="EN204">
        <v>1.86724</v>
      </c>
      <c r="EO204">
        <v>1.8633999999999999</v>
      </c>
      <c r="EP204">
        <v>1.8645499999999999</v>
      </c>
      <c r="EQ204">
        <v>1.87018</v>
      </c>
      <c r="ER204">
        <v>1.8694299999999999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-0.10199999999999999</v>
      </c>
      <c r="FG204">
        <v>0.19259999999999999</v>
      </c>
      <c r="FH204">
        <v>0.16202357103534001</v>
      </c>
      <c r="FI204">
        <v>-6.1462078757559423E-4</v>
      </c>
      <c r="FJ204">
        <v>-1.8861989874597051E-7</v>
      </c>
      <c r="FK204">
        <v>1.1980462299894961E-10</v>
      </c>
      <c r="FL204">
        <v>0.19260234566371101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38.700000000000003</v>
      </c>
      <c r="FU204">
        <v>38.700000000000003</v>
      </c>
      <c r="FV204">
        <v>1.7785599999999999</v>
      </c>
      <c r="FW204">
        <v>2.5781200000000002</v>
      </c>
      <c r="FX204">
        <v>1.5490699999999999</v>
      </c>
      <c r="FY204">
        <v>2.3290999999999999</v>
      </c>
      <c r="FZ204">
        <v>1.50024</v>
      </c>
      <c r="GA204">
        <v>2.4084500000000002</v>
      </c>
      <c r="GB204">
        <v>33.850900000000003</v>
      </c>
      <c r="GC204">
        <v>23.991199999999999</v>
      </c>
      <c r="GD204">
        <v>19</v>
      </c>
      <c r="GE204">
        <v>238.47200000000001</v>
      </c>
      <c r="GF204">
        <v>581.596</v>
      </c>
      <c r="GG204">
        <v>25.415600000000001</v>
      </c>
      <c r="GH204">
        <v>26.206700000000001</v>
      </c>
      <c r="GI204">
        <v>29.9999</v>
      </c>
      <c r="GJ204">
        <v>26.343800000000002</v>
      </c>
      <c r="GK204">
        <v>26.316500000000001</v>
      </c>
      <c r="GL204">
        <v>35.561599999999999</v>
      </c>
      <c r="GM204">
        <v>-30</v>
      </c>
      <c r="GN204">
        <v>-30</v>
      </c>
      <c r="GO204">
        <v>25.3979</v>
      </c>
      <c r="GP204">
        <v>800</v>
      </c>
      <c r="GQ204">
        <v>12.5298</v>
      </c>
      <c r="GR204">
        <v>99.718999999999994</v>
      </c>
      <c r="GS204">
        <v>99.539500000000004</v>
      </c>
    </row>
    <row r="205" spans="1:201" x14ac:dyDescent="0.25">
      <c r="A205">
        <v>189</v>
      </c>
      <c r="B205">
        <v>1690217175</v>
      </c>
      <c r="C205">
        <v>2229.5</v>
      </c>
      <c r="D205" t="s">
        <v>711</v>
      </c>
      <c r="E205" t="s">
        <v>712</v>
      </c>
      <c r="F205" t="s">
        <v>330</v>
      </c>
      <c r="H205">
        <v>1690217175</v>
      </c>
      <c r="I205">
        <f t="shared" si="60"/>
        <v>2.0665485871475056E-3</v>
      </c>
      <c r="J205">
        <f t="shared" si="61"/>
        <v>2.0665485871475058</v>
      </c>
      <c r="K205">
        <f t="shared" si="62"/>
        <v>35.603882068396722</v>
      </c>
      <c r="L205">
        <f t="shared" si="63"/>
        <v>392.45600000000002</v>
      </c>
      <c r="M205">
        <f t="shared" si="64"/>
        <v>83.252307675289458</v>
      </c>
      <c r="N205">
        <f t="shared" si="65"/>
        <v>8.2578928877365563</v>
      </c>
      <c r="O205">
        <f t="shared" si="66"/>
        <v>38.928165496504</v>
      </c>
      <c r="P205">
        <f t="shared" si="67"/>
        <v>0.19514005706988191</v>
      </c>
      <c r="Q205">
        <f t="shared" si="68"/>
        <v>2.0664129215154077</v>
      </c>
      <c r="R205">
        <f t="shared" si="69"/>
        <v>0.18544990588738242</v>
      </c>
      <c r="S205">
        <f t="shared" si="70"/>
        <v>0.11673670182454171</v>
      </c>
      <c r="T205">
        <f t="shared" si="71"/>
        <v>276.11666368200002</v>
      </c>
      <c r="U205">
        <f t="shared" si="72"/>
        <v>28.338671848923994</v>
      </c>
      <c r="V205">
        <f t="shared" si="73"/>
        <v>28.338671848923994</v>
      </c>
      <c r="W205">
        <f t="shared" si="74"/>
        <v>3.8704111509750097</v>
      </c>
      <c r="X205">
        <f t="shared" si="75"/>
        <v>79.056672461625524</v>
      </c>
      <c r="Y205">
        <f t="shared" si="76"/>
        <v>2.8022593520249002</v>
      </c>
      <c r="Z205">
        <f t="shared" si="77"/>
        <v>3.5446209216371081</v>
      </c>
      <c r="AA205">
        <f t="shared" si="78"/>
        <v>1.0681517989501095</v>
      </c>
      <c r="AB205">
        <f t="shared" si="79"/>
        <v>-91.134792693205</v>
      </c>
      <c r="AC205">
        <f t="shared" si="80"/>
        <v>-167.51574045954365</v>
      </c>
      <c r="AD205">
        <f t="shared" si="81"/>
        <v>-17.597959264543711</v>
      </c>
      <c r="AE205">
        <f t="shared" si="82"/>
        <v>-0.13182873529231642</v>
      </c>
      <c r="AF205">
        <v>43</v>
      </c>
      <c r="AG205">
        <v>14</v>
      </c>
      <c r="AH205">
        <f t="shared" si="83"/>
        <v>1</v>
      </c>
      <c r="AI205">
        <f t="shared" si="84"/>
        <v>0</v>
      </c>
      <c r="AJ205">
        <f t="shared" si="85"/>
        <v>52522.925468608555</v>
      </c>
      <c r="AK205">
        <f t="shared" si="86"/>
        <v>1800</v>
      </c>
      <c r="AL205">
        <f t="shared" si="87"/>
        <v>1499.1099641999999</v>
      </c>
      <c r="AM205">
        <f t="shared" si="88"/>
        <v>0.83283886899999993</v>
      </c>
      <c r="AN205">
        <f t="shared" si="89"/>
        <v>0.15339814649</v>
      </c>
      <c r="AO205">
        <v>33.6</v>
      </c>
      <c r="AP205">
        <v>0.5</v>
      </c>
      <c r="AQ205" t="s">
        <v>331</v>
      </c>
      <c r="AR205">
        <v>2</v>
      </c>
      <c r="AS205">
        <v>1690217175</v>
      </c>
      <c r="AT205">
        <v>392.45600000000002</v>
      </c>
      <c r="AU205">
        <v>800.01499999999999</v>
      </c>
      <c r="AV205">
        <v>28.251100000000001</v>
      </c>
      <c r="AW205">
        <v>5.7755200000000002</v>
      </c>
      <c r="AX205">
        <v>392.55700000000002</v>
      </c>
      <c r="AY205">
        <v>28.058499999999999</v>
      </c>
      <c r="AZ205">
        <v>300.21199999999999</v>
      </c>
      <c r="BA205">
        <v>99.091099999999997</v>
      </c>
      <c r="BB205">
        <v>0.100059</v>
      </c>
      <c r="BC205">
        <v>26.835000000000001</v>
      </c>
      <c r="BD205">
        <v>27.0123</v>
      </c>
      <c r="BE205">
        <v>28.284600000000001</v>
      </c>
      <c r="BF205">
        <v>0</v>
      </c>
      <c r="BG205">
        <v>0</v>
      </c>
      <c r="BH205">
        <v>10019.4</v>
      </c>
      <c r="BI205">
        <v>1077.4000000000001</v>
      </c>
      <c r="BJ205">
        <v>1.7380500000000001</v>
      </c>
      <c r="BK205">
        <v>-407.56</v>
      </c>
      <c r="BL205">
        <v>403.86500000000001</v>
      </c>
      <c r="BM205">
        <v>804.66300000000001</v>
      </c>
      <c r="BN205">
        <v>22.4756</v>
      </c>
      <c r="BO205">
        <v>800.01499999999999</v>
      </c>
      <c r="BP205">
        <v>5.7755200000000002</v>
      </c>
      <c r="BQ205">
        <v>2.7994400000000002</v>
      </c>
      <c r="BR205">
        <v>0.57230300000000001</v>
      </c>
      <c r="BS205">
        <v>22.880800000000001</v>
      </c>
      <c r="BT205">
        <v>-0.95661099999999999</v>
      </c>
      <c r="BU205">
        <v>1800</v>
      </c>
      <c r="BV205">
        <v>0.90997799999999995</v>
      </c>
      <c r="BW205">
        <v>3.40021E-2</v>
      </c>
      <c r="BX205">
        <v>2.20092E-2</v>
      </c>
      <c r="BY205">
        <v>3.4010499999999999E-2</v>
      </c>
      <c r="BZ205">
        <v>26</v>
      </c>
      <c r="CA205">
        <v>33528.199999999997</v>
      </c>
      <c r="CB205">
        <v>1690214843</v>
      </c>
      <c r="CC205" t="s">
        <v>332</v>
      </c>
      <c r="CD205">
        <v>1690214842</v>
      </c>
      <c r="CE205">
        <v>1690214843</v>
      </c>
      <c r="CF205">
        <v>8</v>
      </c>
      <c r="CG205">
        <v>-6.3E-2</v>
      </c>
      <c r="CH205">
        <v>1E-3</v>
      </c>
      <c r="CI205">
        <v>-0.38900000000000001</v>
      </c>
      <c r="CJ205">
        <v>-6.6000000000000003E-2</v>
      </c>
      <c r="CK205">
        <v>800</v>
      </c>
      <c r="CL205">
        <v>6</v>
      </c>
      <c r="CM205">
        <v>0.23</v>
      </c>
      <c r="CN205">
        <v>0.02</v>
      </c>
      <c r="CO205">
        <v>-406.60770731707311</v>
      </c>
      <c r="CP205">
        <v>-5.6176988262331031</v>
      </c>
      <c r="CQ205">
        <v>0.55312188238735327</v>
      </c>
      <c r="CR205">
        <v>-1</v>
      </c>
      <c r="CS205">
        <v>22.44179512195122</v>
      </c>
      <c r="CT205">
        <v>0.20391548344399971</v>
      </c>
      <c r="CU205">
        <v>2.0077325533917351E-2</v>
      </c>
      <c r="CV205">
        <v>-1</v>
      </c>
      <c r="CW205">
        <v>0</v>
      </c>
      <c r="CX205">
        <v>0</v>
      </c>
      <c r="CY205" t="s">
        <v>333</v>
      </c>
      <c r="CZ205">
        <v>2.3646500000000001</v>
      </c>
      <c r="DA205">
        <v>2.71387</v>
      </c>
      <c r="DB205">
        <v>8.8228899999999999E-2</v>
      </c>
      <c r="DC205">
        <v>0.14611199999999999</v>
      </c>
      <c r="DD205">
        <v>0.12767300000000001</v>
      </c>
      <c r="DE205">
        <v>3.8247099999999999E-2</v>
      </c>
      <c r="DF205">
        <v>33287</v>
      </c>
      <c r="DG205">
        <v>27512.5</v>
      </c>
      <c r="DH205">
        <v>31166.799999999999</v>
      </c>
      <c r="DI205">
        <v>28075.599999999999</v>
      </c>
      <c r="DJ205">
        <v>36897.9</v>
      </c>
      <c r="DK205">
        <v>38395.800000000003</v>
      </c>
      <c r="DL205">
        <v>44352.800000000003</v>
      </c>
      <c r="DM205">
        <v>42549.1</v>
      </c>
      <c r="DN205">
        <v>1.36493</v>
      </c>
      <c r="DO205">
        <v>2.0349200000000001</v>
      </c>
      <c r="DP205">
        <v>8.5819500000000007E-2</v>
      </c>
      <c r="DQ205">
        <v>0.17615800000000001</v>
      </c>
      <c r="DR205">
        <v>25.607199999999999</v>
      </c>
      <c r="DS205">
        <v>25.402899999999999</v>
      </c>
      <c r="DT205">
        <v>17</v>
      </c>
      <c r="DU205">
        <v>29.8</v>
      </c>
      <c r="DV205">
        <v>7.2250199999999998</v>
      </c>
      <c r="DW205">
        <v>61.488599999999998</v>
      </c>
      <c r="DX205">
        <v>36.398200000000003</v>
      </c>
      <c r="DY205">
        <v>1</v>
      </c>
      <c r="DZ205">
        <v>-9.3851599999999993E-2</v>
      </c>
      <c r="EA205">
        <v>-0.197135</v>
      </c>
      <c r="EB205">
        <v>20.189499999999999</v>
      </c>
      <c r="EC205">
        <v>5.2411000000000003</v>
      </c>
      <c r="ED205">
        <v>12.039899999999999</v>
      </c>
      <c r="EE205">
        <v>5.01715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1.8689100000000001</v>
      </c>
      <c r="EL205">
        <v>1.8646400000000001</v>
      </c>
      <c r="EM205">
        <v>1.8692</v>
      </c>
      <c r="EN205">
        <v>1.8672200000000001</v>
      </c>
      <c r="EO205">
        <v>1.8633999999999999</v>
      </c>
      <c r="EP205">
        <v>1.8645799999999999</v>
      </c>
      <c r="EQ205">
        <v>1.87019</v>
      </c>
      <c r="ER205">
        <v>1.86944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-0.10100000000000001</v>
      </c>
      <c r="FG205">
        <v>0.19259999999999999</v>
      </c>
      <c r="FH205">
        <v>0.16202357103534001</v>
      </c>
      <c r="FI205">
        <v>-6.1462078757559423E-4</v>
      </c>
      <c r="FJ205">
        <v>-1.8861989874597051E-7</v>
      </c>
      <c r="FK205">
        <v>1.1980462299894961E-10</v>
      </c>
      <c r="FL205">
        <v>0.19260234566371101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38.9</v>
      </c>
      <c r="FU205">
        <v>38.9</v>
      </c>
      <c r="FV205">
        <v>1.7785599999999999</v>
      </c>
      <c r="FW205">
        <v>2.5842299999999998</v>
      </c>
      <c r="FX205">
        <v>1.5490699999999999</v>
      </c>
      <c r="FY205">
        <v>2.3290999999999999</v>
      </c>
      <c r="FZ205">
        <v>1.50146</v>
      </c>
      <c r="GA205">
        <v>2.36694</v>
      </c>
      <c r="GB205">
        <v>33.850900000000003</v>
      </c>
      <c r="GC205">
        <v>23.982399999999998</v>
      </c>
      <c r="GD205">
        <v>19</v>
      </c>
      <c r="GE205">
        <v>238.21899999999999</v>
      </c>
      <c r="GF205">
        <v>581.69899999999996</v>
      </c>
      <c r="GG205">
        <v>25.392800000000001</v>
      </c>
      <c r="GH205">
        <v>26.206700000000001</v>
      </c>
      <c r="GI205">
        <v>30.0001</v>
      </c>
      <c r="GJ205">
        <v>26.343800000000002</v>
      </c>
      <c r="GK205">
        <v>26.314800000000002</v>
      </c>
      <c r="GL205">
        <v>35.560600000000001</v>
      </c>
      <c r="GM205">
        <v>-30</v>
      </c>
      <c r="GN205">
        <v>-30</v>
      </c>
      <c r="GO205">
        <v>25.385999999999999</v>
      </c>
      <c r="GP205">
        <v>800</v>
      </c>
      <c r="GQ205">
        <v>12.5298</v>
      </c>
      <c r="GR205">
        <v>99.719700000000003</v>
      </c>
      <c r="GS205">
        <v>99.540700000000001</v>
      </c>
    </row>
    <row r="206" spans="1:201" x14ac:dyDescent="0.25">
      <c r="A206">
        <v>190</v>
      </c>
      <c r="B206">
        <v>1690217185</v>
      </c>
      <c r="C206">
        <v>2239.5</v>
      </c>
      <c r="D206" t="s">
        <v>713</v>
      </c>
      <c r="E206" t="s">
        <v>714</v>
      </c>
      <c r="F206" t="s">
        <v>330</v>
      </c>
      <c r="H206">
        <v>1690217185</v>
      </c>
      <c r="I206">
        <f t="shared" si="60"/>
        <v>2.0686210238736245E-3</v>
      </c>
      <c r="J206">
        <f t="shared" si="61"/>
        <v>2.0686210238736247</v>
      </c>
      <c r="K206">
        <f t="shared" si="62"/>
        <v>35.681725014590143</v>
      </c>
      <c r="L206">
        <f t="shared" si="63"/>
        <v>391.52</v>
      </c>
      <c r="M206">
        <f t="shared" si="64"/>
        <v>82.456541314401491</v>
      </c>
      <c r="N206">
        <f t="shared" si="65"/>
        <v>8.1790917151338114</v>
      </c>
      <c r="O206">
        <f t="shared" si="66"/>
        <v>38.835948455551993</v>
      </c>
      <c r="P206">
        <f t="shared" si="67"/>
        <v>0.19566881580284581</v>
      </c>
      <c r="Q206">
        <f t="shared" si="68"/>
        <v>2.0655320487674187</v>
      </c>
      <c r="R206">
        <f t="shared" si="69"/>
        <v>0.18592355592951115</v>
      </c>
      <c r="S206">
        <f t="shared" si="70"/>
        <v>0.11703733623999786</v>
      </c>
      <c r="T206">
        <f t="shared" si="71"/>
        <v>276.11671989600001</v>
      </c>
      <c r="U206">
        <f t="shared" si="72"/>
        <v>28.342803674596023</v>
      </c>
      <c r="V206">
        <f t="shared" si="73"/>
        <v>28.342803674596023</v>
      </c>
      <c r="W206">
        <f t="shared" si="74"/>
        <v>3.8713411758897789</v>
      </c>
      <c r="X206">
        <f t="shared" si="75"/>
        <v>79.109579738162211</v>
      </c>
      <c r="Y206">
        <f t="shared" si="76"/>
        <v>2.8048438488279199</v>
      </c>
      <c r="Z206">
        <f t="shared" si="77"/>
        <v>3.5455173167540823</v>
      </c>
      <c r="AA206">
        <f t="shared" si="78"/>
        <v>1.066497327061859</v>
      </c>
      <c r="AB206">
        <f t="shared" si="79"/>
        <v>-91.226187152826839</v>
      </c>
      <c r="AC206">
        <f t="shared" si="80"/>
        <v>-167.4256042849259</v>
      </c>
      <c r="AD206">
        <f t="shared" si="81"/>
        <v>-17.596731431888703</v>
      </c>
      <c r="AE206">
        <f t="shared" si="82"/>
        <v>-0.13180297364144167</v>
      </c>
      <c r="AF206">
        <v>43</v>
      </c>
      <c r="AG206">
        <v>14</v>
      </c>
      <c r="AH206">
        <f t="shared" si="83"/>
        <v>1</v>
      </c>
      <c r="AI206">
        <f t="shared" si="84"/>
        <v>0</v>
      </c>
      <c r="AJ206">
        <f t="shared" si="85"/>
        <v>52481.859834618066</v>
      </c>
      <c r="AK206">
        <f t="shared" si="86"/>
        <v>1800</v>
      </c>
      <c r="AL206">
        <f t="shared" si="87"/>
        <v>1499.1112116000002</v>
      </c>
      <c r="AM206">
        <f t="shared" si="88"/>
        <v>0.83283956200000009</v>
      </c>
      <c r="AN206">
        <f t="shared" si="89"/>
        <v>0.15339817772</v>
      </c>
      <c r="AO206">
        <v>33.6</v>
      </c>
      <c r="AP206">
        <v>0.5</v>
      </c>
      <c r="AQ206" t="s">
        <v>331</v>
      </c>
      <c r="AR206">
        <v>2</v>
      </c>
      <c r="AS206">
        <v>1690217185</v>
      </c>
      <c r="AT206">
        <v>391.52</v>
      </c>
      <c r="AU206">
        <v>799.98800000000006</v>
      </c>
      <c r="AV206">
        <v>28.276700000000002</v>
      </c>
      <c r="AW206">
        <v>5.7763999999999998</v>
      </c>
      <c r="AX206">
        <v>391.62099999999998</v>
      </c>
      <c r="AY206">
        <v>28.084099999999999</v>
      </c>
      <c r="AZ206">
        <v>300.17500000000001</v>
      </c>
      <c r="BA206">
        <v>99.092799999999997</v>
      </c>
      <c r="BB206">
        <v>9.9957599999999994E-2</v>
      </c>
      <c r="BC206">
        <v>26.839300000000001</v>
      </c>
      <c r="BD206">
        <v>27.001300000000001</v>
      </c>
      <c r="BE206">
        <v>28.285</v>
      </c>
      <c r="BF206">
        <v>0</v>
      </c>
      <c r="BG206">
        <v>0</v>
      </c>
      <c r="BH206">
        <v>10011.200000000001</v>
      </c>
      <c r="BI206">
        <v>1077.3499999999999</v>
      </c>
      <c r="BJ206">
        <v>1.7380500000000001</v>
      </c>
      <c r="BK206">
        <v>-408.46800000000002</v>
      </c>
      <c r="BL206">
        <v>402.91300000000001</v>
      </c>
      <c r="BM206">
        <v>804.63599999999997</v>
      </c>
      <c r="BN206">
        <v>22.500299999999999</v>
      </c>
      <c r="BO206">
        <v>799.98800000000006</v>
      </c>
      <c r="BP206">
        <v>5.7763999999999998</v>
      </c>
      <c r="BQ206">
        <v>2.8020200000000002</v>
      </c>
      <c r="BR206">
        <v>0.57240000000000002</v>
      </c>
      <c r="BS206">
        <v>22.896000000000001</v>
      </c>
      <c r="BT206">
        <v>-0.95428800000000003</v>
      </c>
      <c r="BU206">
        <v>1800</v>
      </c>
      <c r="BV206">
        <v>0.90998100000000004</v>
      </c>
      <c r="BW206">
        <v>3.4001200000000002E-2</v>
      </c>
      <c r="BX206">
        <v>2.20086E-2</v>
      </c>
      <c r="BY206">
        <v>3.4009600000000001E-2</v>
      </c>
      <c r="BZ206">
        <v>26</v>
      </c>
      <c r="CA206">
        <v>33528.199999999997</v>
      </c>
      <c r="CB206">
        <v>1690214843</v>
      </c>
      <c r="CC206" t="s">
        <v>332</v>
      </c>
      <c r="CD206">
        <v>1690214842</v>
      </c>
      <c r="CE206">
        <v>1690214843</v>
      </c>
      <c r="CF206">
        <v>8</v>
      </c>
      <c r="CG206">
        <v>-6.3E-2</v>
      </c>
      <c r="CH206">
        <v>1E-3</v>
      </c>
      <c r="CI206">
        <v>-0.38900000000000001</v>
      </c>
      <c r="CJ206">
        <v>-6.6000000000000003E-2</v>
      </c>
      <c r="CK206">
        <v>800</v>
      </c>
      <c r="CL206">
        <v>6</v>
      </c>
      <c r="CM206">
        <v>0.23</v>
      </c>
      <c r="CN206">
        <v>0.02</v>
      </c>
      <c r="CO206">
        <v>-407.49039024390243</v>
      </c>
      <c r="CP206">
        <v>-5.1736167423048576</v>
      </c>
      <c r="CQ206">
        <v>0.50898358198873783</v>
      </c>
      <c r="CR206">
        <v>-1</v>
      </c>
      <c r="CS206">
        <v>22.471807317073171</v>
      </c>
      <c r="CT206">
        <v>0.15474356984454121</v>
      </c>
      <c r="CU206">
        <v>1.519479034990337E-2</v>
      </c>
      <c r="CV206">
        <v>-1</v>
      </c>
      <c r="CW206">
        <v>0</v>
      </c>
      <c r="CX206">
        <v>0</v>
      </c>
      <c r="CY206" t="s">
        <v>333</v>
      </c>
      <c r="CZ206">
        <v>2.3645399999999999</v>
      </c>
      <c r="DA206">
        <v>2.7137600000000002</v>
      </c>
      <c r="DB206">
        <v>8.8069099999999997E-2</v>
      </c>
      <c r="DC206">
        <v>0.14611099999999999</v>
      </c>
      <c r="DD206">
        <v>0.12775500000000001</v>
      </c>
      <c r="DE206">
        <v>3.8252500000000002E-2</v>
      </c>
      <c r="DF206">
        <v>33292.300000000003</v>
      </c>
      <c r="DG206">
        <v>27512.400000000001</v>
      </c>
      <c r="DH206">
        <v>31166.3</v>
      </c>
      <c r="DI206">
        <v>28075.4</v>
      </c>
      <c r="DJ206">
        <v>36893.699999999997</v>
      </c>
      <c r="DK206">
        <v>38395.4</v>
      </c>
      <c r="DL206">
        <v>44352.1</v>
      </c>
      <c r="DM206">
        <v>42549</v>
      </c>
      <c r="DN206">
        <v>1.3651800000000001</v>
      </c>
      <c r="DO206">
        <v>2.0348000000000002</v>
      </c>
      <c r="DP206">
        <v>8.4884500000000002E-2</v>
      </c>
      <c r="DQ206">
        <v>0.17574400000000001</v>
      </c>
      <c r="DR206">
        <v>25.611499999999999</v>
      </c>
      <c r="DS206">
        <v>25.4102</v>
      </c>
      <c r="DT206">
        <v>17</v>
      </c>
      <c r="DU206">
        <v>29.8</v>
      </c>
      <c r="DV206">
        <v>7.2257100000000003</v>
      </c>
      <c r="DW206">
        <v>61.748600000000003</v>
      </c>
      <c r="DX206">
        <v>36.426299999999998</v>
      </c>
      <c r="DY206">
        <v>1</v>
      </c>
      <c r="DZ206">
        <v>-9.3897400000000006E-2</v>
      </c>
      <c r="EA206">
        <v>-0.23364399999999999</v>
      </c>
      <c r="EB206">
        <v>20.189499999999999</v>
      </c>
      <c r="EC206">
        <v>5.2408000000000001</v>
      </c>
      <c r="ED206">
        <v>12.039899999999999</v>
      </c>
      <c r="EE206">
        <v>5.0168499999999998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1.8689100000000001</v>
      </c>
      <c r="EL206">
        <v>1.8646199999999999</v>
      </c>
      <c r="EM206">
        <v>1.8691899999999999</v>
      </c>
      <c r="EN206">
        <v>1.8672500000000001</v>
      </c>
      <c r="EO206">
        <v>1.8633999999999999</v>
      </c>
      <c r="EP206">
        <v>1.8645400000000001</v>
      </c>
      <c r="EQ206">
        <v>1.8702000000000001</v>
      </c>
      <c r="ER206">
        <v>1.8694299999999999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-0.10100000000000001</v>
      </c>
      <c r="FG206">
        <v>0.19259999999999999</v>
      </c>
      <c r="FH206">
        <v>0.16202357103534001</v>
      </c>
      <c r="FI206">
        <v>-6.1462078757559423E-4</v>
      </c>
      <c r="FJ206">
        <v>-1.8861989874597051E-7</v>
      </c>
      <c r="FK206">
        <v>1.1980462299894961E-10</v>
      </c>
      <c r="FL206">
        <v>0.19260234566371101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39</v>
      </c>
      <c r="FU206">
        <v>39</v>
      </c>
      <c r="FV206">
        <v>1.7785599999999999</v>
      </c>
      <c r="FW206">
        <v>2.5805699999999998</v>
      </c>
      <c r="FX206">
        <v>1.5490699999999999</v>
      </c>
      <c r="FY206">
        <v>2.3290999999999999</v>
      </c>
      <c r="FZ206">
        <v>1.50146</v>
      </c>
      <c r="GA206">
        <v>2.3754900000000001</v>
      </c>
      <c r="GB206">
        <v>33.850900000000003</v>
      </c>
      <c r="GC206">
        <v>23.991199999999999</v>
      </c>
      <c r="GD206">
        <v>19</v>
      </c>
      <c r="GE206">
        <v>238.30699999999999</v>
      </c>
      <c r="GF206">
        <v>581.59699999999998</v>
      </c>
      <c r="GG206">
        <v>25.377199999999998</v>
      </c>
      <c r="GH206">
        <v>26.206700000000001</v>
      </c>
      <c r="GI206">
        <v>30</v>
      </c>
      <c r="GJ206">
        <v>26.342300000000002</v>
      </c>
      <c r="GK206">
        <v>26.314800000000002</v>
      </c>
      <c r="GL206">
        <v>35.560400000000001</v>
      </c>
      <c r="GM206">
        <v>-30</v>
      </c>
      <c r="GN206">
        <v>-30</v>
      </c>
      <c r="GO206">
        <v>25.402699999999999</v>
      </c>
      <c r="GP206">
        <v>800</v>
      </c>
      <c r="GQ206">
        <v>12.5298</v>
      </c>
      <c r="GR206">
        <v>99.718199999999996</v>
      </c>
      <c r="GS206">
        <v>99.540199999999999</v>
      </c>
    </row>
    <row r="207" spans="1:201" x14ac:dyDescent="0.25">
      <c r="A207">
        <v>191</v>
      </c>
      <c r="B207">
        <v>1690217195</v>
      </c>
      <c r="C207">
        <v>2249.5</v>
      </c>
      <c r="D207" t="s">
        <v>715</v>
      </c>
      <c r="E207" t="s">
        <v>716</v>
      </c>
      <c r="F207" t="s">
        <v>330</v>
      </c>
      <c r="H207">
        <v>1690217195</v>
      </c>
      <c r="I207">
        <f t="shared" si="60"/>
        <v>2.0717458398768832E-3</v>
      </c>
      <c r="J207">
        <f t="shared" si="61"/>
        <v>2.0717458398768831</v>
      </c>
      <c r="K207">
        <f t="shared" si="62"/>
        <v>35.76366396559424</v>
      </c>
      <c r="L207">
        <f t="shared" si="63"/>
        <v>390.57600000000002</v>
      </c>
      <c r="M207">
        <f t="shared" si="64"/>
        <v>82.244196869261174</v>
      </c>
      <c r="N207">
        <f t="shared" si="65"/>
        <v>8.1578779633441201</v>
      </c>
      <c r="O207">
        <f t="shared" si="66"/>
        <v>38.741594722800009</v>
      </c>
      <c r="P207">
        <f t="shared" si="67"/>
        <v>0.19662840953063554</v>
      </c>
      <c r="Q207">
        <f t="shared" si="68"/>
        <v>2.0625631901763284</v>
      </c>
      <c r="R207">
        <f t="shared" si="69"/>
        <v>0.18677651256420139</v>
      </c>
      <c r="S207">
        <f t="shared" si="70"/>
        <v>0.11757932602287829</v>
      </c>
      <c r="T207">
        <f t="shared" si="71"/>
        <v>276.11667169200001</v>
      </c>
      <c r="U207">
        <f t="shared" si="72"/>
        <v>28.344439530186616</v>
      </c>
      <c r="V207">
        <f t="shared" si="73"/>
        <v>28.344439530186616</v>
      </c>
      <c r="W207">
        <f t="shared" si="74"/>
        <v>3.8717094414294393</v>
      </c>
      <c r="X207">
        <f t="shared" si="75"/>
        <v>79.209583278666557</v>
      </c>
      <c r="Y207">
        <f t="shared" si="76"/>
        <v>2.8085216077275001</v>
      </c>
      <c r="Z207">
        <f t="shared" si="77"/>
        <v>3.545684109770991</v>
      </c>
      <c r="AA207">
        <f t="shared" si="78"/>
        <v>1.0631878337019391</v>
      </c>
      <c r="AB207">
        <f t="shared" si="79"/>
        <v>-91.363991538570545</v>
      </c>
      <c r="AC207">
        <f t="shared" si="80"/>
        <v>-167.27790239650045</v>
      </c>
      <c r="AD207">
        <f t="shared" si="81"/>
        <v>-17.606728267953653</v>
      </c>
      <c r="AE207">
        <f t="shared" si="82"/>
        <v>-0.13195051102462685</v>
      </c>
      <c r="AF207">
        <v>43</v>
      </c>
      <c r="AG207">
        <v>14</v>
      </c>
      <c r="AH207">
        <f t="shared" si="83"/>
        <v>1</v>
      </c>
      <c r="AI207">
        <f t="shared" si="84"/>
        <v>0</v>
      </c>
      <c r="AJ207">
        <f t="shared" si="85"/>
        <v>52345.849357599232</v>
      </c>
      <c r="AK207">
        <f t="shared" si="86"/>
        <v>1800</v>
      </c>
      <c r="AL207">
        <f t="shared" si="87"/>
        <v>1499.1116472000001</v>
      </c>
      <c r="AM207">
        <f t="shared" si="88"/>
        <v>0.83283980400000002</v>
      </c>
      <c r="AN207">
        <f t="shared" si="89"/>
        <v>0.15339815094000001</v>
      </c>
      <c r="AO207">
        <v>33.6</v>
      </c>
      <c r="AP207">
        <v>0.5</v>
      </c>
      <c r="AQ207" t="s">
        <v>331</v>
      </c>
      <c r="AR207">
        <v>2</v>
      </c>
      <c r="AS207">
        <v>1690217195</v>
      </c>
      <c r="AT207">
        <v>390.57600000000002</v>
      </c>
      <c r="AU207">
        <v>800.01300000000003</v>
      </c>
      <c r="AV207">
        <v>28.314299999999999</v>
      </c>
      <c r="AW207">
        <v>5.7775800000000004</v>
      </c>
      <c r="AX207">
        <v>390.67599999999999</v>
      </c>
      <c r="AY207">
        <v>28.121700000000001</v>
      </c>
      <c r="AZ207">
        <v>300.13099999999997</v>
      </c>
      <c r="BA207">
        <v>99.090900000000005</v>
      </c>
      <c r="BB207">
        <v>0.100025</v>
      </c>
      <c r="BC207">
        <v>26.8401</v>
      </c>
      <c r="BD207">
        <v>27.009</v>
      </c>
      <c r="BE207">
        <v>28.273900000000001</v>
      </c>
      <c r="BF207">
        <v>0</v>
      </c>
      <c r="BG207">
        <v>0</v>
      </c>
      <c r="BH207">
        <v>9984.3799999999992</v>
      </c>
      <c r="BI207">
        <v>1077.3</v>
      </c>
      <c r="BJ207">
        <v>1.7380500000000001</v>
      </c>
      <c r="BK207">
        <v>-409.43599999999998</v>
      </c>
      <c r="BL207">
        <v>401.95800000000003</v>
      </c>
      <c r="BM207">
        <v>804.66200000000003</v>
      </c>
      <c r="BN207">
        <v>22.5367</v>
      </c>
      <c r="BO207">
        <v>800.01300000000003</v>
      </c>
      <c r="BP207">
        <v>5.7775800000000004</v>
      </c>
      <c r="BQ207">
        <v>2.8056899999999998</v>
      </c>
      <c r="BR207">
        <v>0.57250500000000004</v>
      </c>
      <c r="BS207">
        <v>22.9176</v>
      </c>
      <c r="BT207">
        <v>-0.95177</v>
      </c>
      <c r="BU207">
        <v>1800</v>
      </c>
      <c r="BV207">
        <v>0.90998299999999999</v>
      </c>
      <c r="BW207">
        <v>3.4000500000000003E-2</v>
      </c>
      <c r="BX207">
        <v>2.2008199999999999E-2</v>
      </c>
      <c r="BY207">
        <v>3.4008799999999999E-2</v>
      </c>
      <c r="BZ207">
        <v>26</v>
      </c>
      <c r="CA207">
        <v>33528.300000000003</v>
      </c>
      <c r="CB207">
        <v>1690214843</v>
      </c>
      <c r="CC207" t="s">
        <v>332</v>
      </c>
      <c r="CD207">
        <v>1690214842</v>
      </c>
      <c r="CE207">
        <v>1690214843</v>
      </c>
      <c r="CF207">
        <v>8</v>
      </c>
      <c r="CG207">
        <v>-6.3E-2</v>
      </c>
      <c r="CH207">
        <v>1E-3</v>
      </c>
      <c r="CI207">
        <v>-0.38900000000000001</v>
      </c>
      <c r="CJ207">
        <v>-6.6000000000000003E-2</v>
      </c>
      <c r="CK207">
        <v>800</v>
      </c>
      <c r="CL207">
        <v>6</v>
      </c>
      <c r="CM207">
        <v>0.23</v>
      </c>
      <c r="CN207">
        <v>0.02</v>
      </c>
      <c r="CO207">
        <v>-408.45269999999999</v>
      </c>
      <c r="CP207">
        <v>-5.6789493433387834</v>
      </c>
      <c r="CQ207">
        <v>0.54807290573426481</v>
      </c>
      <c r="CR207">
        <v>-1</v>
      </c>
      <c r="CS207">
        <v>22.502017500000001</v>
      </c>
      <c r="CT207">
        <v>0.18913958724195501</v>
      </c>
      <c r="CU207">
        <v>1.832165232041055E-2</v>
      </c>
      <c r="CV207">
        <v>-1</v>
      </c>
      <c r="CW207">
        <v>0</v>
      </c>
      <c r="CX207">
        <v>0</v>
      </c>
      <c r="CY207" t="s">
        <v>333</v>
      </c>
      <c r="CZ207">
        <v>2.3643900000000002</v>
      </c>
      <c r="DA207">
        <v>2.7138</v>
      </c>
      <c r="DB207">
        <v>8.7904399999999994E-2</v>
      </c>
      <c r="DC207">
        <v>0.14611099999999999</v>
      </c>
      <c r="DD207">
        <v>0.12787100000000001</v>
      </c>
      <c r="DE207">
        <v>3.8258199999999999E-2</v>
      </c>
      <c r="DF207">
        <v>33298.400000000001</v>
      </c>
      <c r="DG207">
        <v>27512.7</v>
      </c>
      <c r="DH207">
        <v>31166.3</v>
      </c>
      <c r="DI207">
        <v>28075.8</v>
      </c>
      <c r="DJ207">
        <v>36888.699999999997</v>
      </c>
      <c r="DK207">
        <v>38395.699999999997</v>
      </c>
      <c r="DL207">
        <v>44351.9</v>
      </c>
      <c r="DM207">
        <v>42549.5</v>
      </c>
      <c r="DN207">
        <v>1.3647</v>
      </c>
      <c r="DO207">
        <v>2.03498</v>
      </c>
      <c r="DP207">
        <v>8.4959000000000007E-2</v>
      </c>
      <c r="DQ207">
        <v>0.17478299999999999</v>
      </c>
      <c r="DR207">
        <v>25.617999999999999</v>
      </c>
      <c r="DS207">
        <v>25.4147</v>
      </c>
      <c r="DT207">
        <v>17</v>
      </c>
      <c r="DU207">
        <v>29.8</v>
      </c>
      <c r="DV207">
        <v>7.2258800000000001</v>
      </c>
      <c r="DW207">
        <v>61.678600000000003</v>
      </c>
      <c r="DX207">
        <v>36.133800000000001</v>
      </c>
      <c r="DY207">
        <v>1</v>
      </c>
      <c r="DZ207">
        <v>-9.3945600000000004E-2</v>
      </c>
      <c r="EA207">
        <v>-0.24454000000000001</v>
      </c>
      <c r="EB207">
        <v>20.1892</v>
      </c>
      <c r="EC207">
        <v>5.2411000000000003</v>
      </c>
      <c r="ED207">
        <v>12.039899999999999</v>
      </c>
      <c r="EE207">
        <v>5.0171000000000001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1.8689100000000001</v>
      </c>
      <c r="EL207">
        <v>1.86466</v>
      </c>
      <c r="EM207">
        <v>1.8691899999999999</v>
      </c>
      <c r="EN207">
        <v>1.8672299999999999</v>
      </c>
      <c r="EO207">
        <v>1.8633999999999999</v>
      </c>
      <c r="EP207">
        <v>1.86456</v>
      </c>
      <c r="EQ207">
        <v>1.87018</v>
      </c>
      <c r="ER207">
        <v>1.86947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-0.1</v>
      </c>
      <c r="FG207">
        <v>0.19259999999999999</v>
      </c>
      <c r="FH207">
        <v>0.16202357103534001</v>
      </c>
      <c r="FI207">
        <v>-6.1462078757559423E-4</v>
      </c>
      <c r="FJ207">
        <v>-1.8861989874597051E-7</v>
      </c>
      <c r="FK207">
        <v>1.1980462299894961E-10</v>
      </c>
      <c r="FL207">
        <v>0.19260234566371101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39.200000000000003</v>
      </c>
      <c r="FU207">
        <v>39.200000000000003</v>
      </c>
      <c r="FV207">
        <v>1.7785599999999999</v>
      </c>
      <c r="FW207">
        <v>2.5805699999999998</v>
      </c>
      <c r="FX207">
        <v>1.5490699999999999</v>
      </c>
      <c r="FY207">
        <v>2.3290999999999999</v>
      </c>
      <c r="FZ207">
        <v>1.50146</v>
      </c>
      <c r="GA207">
        <v>2.4011200000000001</v>
      </c>
      <c r="GB207">
        <v>33.850900000000003</v>
      </c>
      <c r="GC207">
        <v>23.991199999999999</v>
      </c>
      <c r="GD207">
        <v>19</v>
      </c>
      <c r="GE207">
        <v>238.126</v>
      </c>
      <c r="GF207">
        <v>581.74099999999999</v>
      </c>
      <c r="GG207">
        <v>25.398599999999998</v>
      </c>
      <c r="GH207">
        <v>26.206700000000001</v>
      </c>
      <c r="GI207">
        <v>30.0002</v>
      </c>
      <c r="GJ207">
        <v>26.3416</v>
      </c>
      <c r="GK207">
        <v>26.314800000000002</v>
      </c>
      <c r="GL207">
        <v>35.559600000000003</v>
      </c>
      <c r="GM207">
        <v>-30</v>
      </c>
      <c r="GN207">
        <v>-30</v>
      </c>
      <c r="GO207">
        <v>25.3949</v>
      </c>
      <c r="GP207">
        <v>800</v>
      </c>
      <c r="GQ207">
        <v>12.5298</v>
      </c>
      <c r="GR207">
        <v>99.718000000000004</v>
      </c>
      <c r="GS207">
        <v>99.541499999999999</v>
      </c>
    </row>
    <row r="208" spans="1:201" x14ac:dyDescent="0.25">
      <c r="A208">
        <v>192</v>
      </c>
      <c r="B208">
        <v>1690217205</v>
      </c>
      <c r="C208">
        <v>2259.5</v>
      </c>
      <c r="D208" t="s">
        <v>717</v>
      </c>
      <c r="E208" t="s">
        <v>718</v>
      </c>
      <c r="F208" t="s">
        <v>330</v>
      </c>
      <c r="H208">
        <v>1690217205</v>
      </c>
      <c r="I208">
        <f t="shared" si="60"/>
        <v>2.0740423071012263E-3</v>
      </c>
      <c r="J208">
        <f t="shared" si="61"/>
        <v>2.0740423071012262</v>
      </c>
      <c r="K208">
        <f t="shared" si="62"/>
        <v>35.846620422237109</v>
      </c>
      <c r="L208">
        <f t="shared" si="63"/>
        <v>389.68299999999999</v>
      </c>
      <c r="M208">
        <f t="shared" si="64"/>
        <v>81.705349106741636</v>
      </c>
      <c r="N208">
        <f t="shared" si="65"/>
        <v>8.1048464245635152</v>
      </c>
      <c r="O208">
        <f t="shared" si="66"/>
        <v>38.655007337855999</v>
      </c>
      <c r="P208">
        <f t="shared" si="67"/>
        <v>0.19734158031188906</v>
      </c>
      <c r="Q208">
        <f t="shared" si="68"/>
        <v>2.0599334473057302</v>
      </c>
      <c r="R208">
        <f t="shared" si="69"/>
        <v>0.1874080438376563</v>
      </c>
      <c r="S208">
        <f t="shared" si="70"/>
        <v>0.11798083401964635</v>
      </c>
      <c r="T208">
        <f t="shared" si="71"/>
        <v>276.11656340399998</v>
      </c>
      <c r="U208">
        <f t="shared" si="72"/>
        <v>28.344752536622828</v>
      </c>
      <c r="V208">
        <f t="shared" si="73"/>
        <v>28.344752536622828</v>
      </c>
      <c r="W208">
        <f t="shared" si="74"/>
        <v>3.8717799092519454</v>
      </c>
      <c r="X208">
        <f t="shared" si="75"/>
        <v>79.28108447235455</v>
      </c>
      <c r="Y208">
        <f t="shared" si="76"/>
        <v>2.8109576371967999</v>
      </c>
      <c r="Z208">
        <f t="shared" si="77"/>
        <v>3.5455590143661389</v>
      </c>
      <c r="AA208">
        <f t="shared" si="78"/>
        <v>1.0608222720551455</v>
      </c>
      <c r="AB208">
        <f t="shared" si="79"/>
        <v>-91.465265743164082</v>
      </c>
      <c r="AC208">
        <f t="shared" si="80"/>
        <v>-167.1660191647612</v>
      </c>
      <c r="AD208">
        <f t="shared" si="81"/>
        <v>-17.617388961346077</v>
      </c>
      <c r="AE208">
        <f t="shared" si="82"/>
        <v>-0.13211046527138137</v>
      </c>
      <c r="AF208">
        <v>43</v>
      </c>
      <c r="AG208">
        <v>14</v>
      </c>
      <c r="AH208">
        <f t="shared" si="83"/>
        <v>1</v>
      </c>
      <c r="AI208">
        <f t="shared" si="84"/>
        <v>0</v>
      </c>
      <c r="AJ208">
        <f t="shared" si="85"/>
        <v>52225.955366177761</v>
      </c>
      <c r="AK208">
        <f t="shared" si="86"/>
        <v>1800</v>
      </c>
      <c r="AL208">
        <f t="shared" si="87"/>
        <v>1499.1115193999999</v>
      </c>
      <c r="AM208">
        <f t="shared" si="88"/>
        <v>0.83283973299999992</v>
      </c>
      <c r="AN208">
        <f t="shared" si="89"/>
        <v>0.15339809078</v>
      </c>
      <c r="AO208">
        <v>33.6</v>
      </c>
      <c r="AP208">
        <v>0.5</v>
      </c>
      <c r="AQ208" t="s">
        <v>331</v>
      </c>
      <c r="AR208">
        <v>2</v>
      </c>
      <c r="AS208">
        <v>1690217205</v>
      </c>
      <c r="AT208">
        <v>389.68299999999999</v>
      </c>
      <c r="AU208">
        <v>799.99699999999996</v>
      </c>
      <c r="AV208">
        <v>28.337399999999999</v>
      </c>
      <c r="AW208">
        <v>5.7784899999999997</v>
      </c>
      <c r="AX208">
        <v>389.78199999999998</v>
      </c>
      <c r="AY208">
        <v>28.1448</v>
      </c>
      <c r="AZ208">
        <v>300.161</v>
      </c>
      <c r="BA208">
        <v>99.096000000000004</v>
      </c>
      <c r="BB208">
        <v>0.100032</v>
      </c>
      <c r="BC208">
        <v>26.839500000000001</v>
      </c>
      <c r="BD208">
        <v>27.000599999999999</v>
      </c>
      <c r="BE208">
        <v>28.2746</v>
      </c>
      <c r="BF208">
        <v>0</v>
      </c>
      <c r="BG208">
        <v>0</v>
      </c>
      <c r="BH208">
        <v>9960</v>
      </c>
      <c r="BI208">
        <v>1077.3399999999999</v>
      </c>
      <c r="BJ208">
        <v>1.7380500000000001</v>
      </c>
      <c r="BK208">
        <v>-410.31400000000002</v>
      </c>
      <c r="BL208">
        <v>401.048</v>
      </c>
      <c r="BM208">
        <v>804.64599999999996</v>
      </c>
      <c r="BN208">
        <v>22.558900000000001</v>
      </c>
      <c r="BO208">
        <v>799.99699999999996</v>
      </c>
      <c r="BP208">
        <v>5.7784899999999997</v>
      </c>
      <c r="BQ208">
        <v>2.8081299999999998</v>
      </c>
      <c r="BR208">
        <v>0.57262599999999997</v>
      </c>
      <c r="BS208">
        <v>22.931899999999999</v>
      </c>
      <c r="BT208">
        <v>-0.948905</v>
      </c>
      <c r="BU208">
        <v>1800</v>
      </c>
      <c r="BV208">
        <v>0.90998400000000002</v>
      </c>
      <c r="BW208">
        <v>3.4000000000000002E-2</v>
      </c>
      <c r="BX208">
        <v>2.20079E-2</v>
      </c>
      <c r="BY208">
        <v>3.4008400000000001E-2</v>
      </c>
      <c r="BZ208">
        <v>26</v>
      </c>
      <c r="CA208">
        <v>33528.199999999997</v>
      </c>
      <c r="CB208">
        <v>1690214843</v>
      </c>
      <c r="CC208" t="s">
        <v>332</v>
      </c>
      <c r="CD208">
        <v>1690214842</v>
      </c>
      <c r="CE208">
        <v>1690214843</v>
      </c>
      <c r="CF208">
        <v>8</v>
      </c>
      <c r="CG208">
        <v>-6.3E-2</v>
      </c>
      <c r="CH208">
        <v>1E-3</v>
      </c>
      <c r="CI208">
        <v>-0.38900000000000001</v>
      </c>
      <c r="CJ208">
        <v>-6.6000000000000003E-2</v>
      </c>
      <c r="CK208">
        <v>800</v>
      </c>
      <c r="CL208">
        <v>6</v>
      </c>
      <c r="CM208">
        <v>0.23</v>
      </c>
      <c r="CN208">
        <v>0.02</v>
      </c>
      <c r="CO208">
        <v>-409.29026829268292</v>
      </c>
      <c r="CP208">
        <v>-5.2826550522648681</v>
      </c>
      <c r="CQ208">
        <v>0.52320489967452155</v>
      </c>
      <c r="CR208">
        <v>-1</v>
      </c>
      <c r="CS208">
        <v>22.528975609756099</v>
      </c>
      <c r="CT208">
        <v>0.16980836236935709</v>
      </c>
      <c r="CU208">
        <v>1.7024054437948639E-2</v>
      </c>
      <c r="CV208">
        <v>-1</v>
      </c>
      <c r="CW208">
        <v>0</v>
      </c>
      <c r="CX208">
        <v>0</v>
      </c>
      <c r="CY208" t="s">
        <v>333</v>
      </c>
      <c r="CZ208">
        <v>2.36449</v>
      </c>
      <c r="DA208">
        <v>2.7137899999999999</v>
      </c>
      <c r="DB208">
        <v>8.7754100000000002E-2</v>
      </c>
      <c r="DC208">
        <v>0.146116</v>
      </c>
      <c r="DD208">
        <v>0.12795000000000001</v>
      </c>
      <c r="DE208">
        <v>3.8265100000000003E-2</v>
      </c>
      <c r="DF208">
        <v>33303.9</v>
      </c>
      <c r="DG208">
        <v>27512.400000000001</v>
      </c>
      <c r="DH208">
        <v>31166.400000000001</v>
      </c>
      <c r="DI208">
        <v>28075.7</v>
      </c>
      <c r="DJ208">
        <v>36885.300000000003</v>
      </c>
      <c r="DK208">
        <v>38395.300000000003</v>
      </c>
      <c r="DL208">
        <v>44352</v>
      </c>
      <c r="DM208">
        <v>42549.4</v>
      </c>
      <c r="DN208">
        <v>1.3647</v>
      </c>
      <c r="DO208">
        <v>2.0348700000000002</v>
      </c>
      <c r="DP208">
        <v>8.4251199999999998E-2</v>
      </c>
      <c r="DQ208">
        <v>0.17463400000000001</v>
      </c>
      <c r="DR208">
        <v>25.621200000000002</v>
      </c>
      <c r="DS208">
        <v>25.417899999999999</v>
      </c>
      <c r="DT208">
        <v>17</v>
      </c>
      <c r="DU208">
        <v>29.8</v>
      </c>
      <c r="DV208">
        <v>7.22424</v>
      </c>
      <c r="DW208">
        <v>61.878599999999999</v>
      </c>
      <c r="DX208">
        <v>36.185899999999997</v>
      </c>
      <c r="DY208">
        <v>1</v>
      </c>
      <c r="DZ208">
        <v>-9.3696600000000005E-2</v>
      </c>
      <c r="EA208">
        <v>-0.21655199999999999</v>
      </c>
      <c r="EB208">
        <v>20.189499999999999</v>
      </c>
      <c r="EC208">
        <v>5.2403500000000003</v>
      </c>
      <c r="ED208">
        <v>12.039899999999999</v>
      </c>
      <c r="EE208">
        <v>5.0171000000000001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1.8689100000000001</v>
      </c>
      <c r="EL208">
        <v>1.8646499999999999</v>
      </c>
      <c r="EM208">
        <v>1.8692</v>
      </c>
      <c r="EN208">
        <v>1.8672299999999999</v>
      </c>
      <c r="EO208">
        <v>1.8633999999999999</v>
      </c>
      <c r="EP208">
        <v>1.8645799999999999</v>
      </c>
      <c r="EQ208">
        <v>1.87016</v>
      </c>
      <c r="ER208">
        <v>1.8694599999999999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-9.9000000000000005E-2</v>
      </c>
      <c r="FG208">
        <v>0.19259999999999999</v>
      </c>
      <c r="FH208">
        <v>0.16202357103534001</v>
      </c>
      <c r="FI208">
        <v>-6.1462078757559423E-4</v>
      </c>
      <c r="FJ208">
        <v>-1.8861989874597051E-7</v>
      </c>
      <c r="FK208">
        <v>1.1980462299894961E-10</v>
      </c>
      <c r="FL208">
        <v>0.19260234566371101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39.4</v>
      </c>
      <c r="FU208">
        <v>39.4</v>
      </c>
      <c r="FV208">
        <v>1.7785599999999999</v>
      </c>
      <c r="FW208">
        <v>2.5781200000000002</v>
      </c>
      <c r="FX208">
        <v>1.5490699999999999</v>
      </c>
      <c r="FY208">
        <v>2.3290999999999999</v>
      </c>
      <c r="FZ208">
        <v>1.50146</v>
      </c>
      <c r="GA208">
        <v>2.4023400000000001</v>
      </c>
      <c r="GB208">
        <v>33.850900000000003</v>
      </c>
      <c r="GC208">
        <v>23.991199999999999</v>
      </c>
      <c r="GD208">
        <v>19</v>
      </c>
      <c r="GE208">
        <v>238.126</v>
      </c>
      <c r="GF208">
        <v>581.65800000000002</v>
      </c>
      <c r="GG208">
        <v>25.390699999999999</v>
      </c>
      <c r="GH208">
        <v>26.206700000000001</v>
      </c>
      <c r="GI208">
        <v>30.0002</v>
      </c>
      <c r="GJ208">
        <v>26.3416</v>
      </c>
      <c r="GK208">
        <v>26.314800000000002</v>
      </c>
      <c r="GL208">
        <v>35.560299999999998</v>
      </c>
      <c r="GM208">
        <v>-30</v>
      </c>
      <c r="GN208">
        <v>-30</v>
      </c>
      <c r="GO208">
        <v>25.3947</v>
      </c>
      <c r="GP208">
        <v>800</v>
      </c>
      <c r="GQ208">
        <v>12.5298</v>
      </c>
      <c r="GR208">
        <v>99.718199999999996</v>
      </c>
      <c r="GS208">
        <v>99.541200000000003</v>
      </c>
    </row>
    <row r="209" spans="1:201" x14ac:dyDescent="0.25">
      <c r="A209">
        <v>193</v>
      </c>
      <c r="B209">
        <v>1690217215</v>
      </c>
      <c r="C209">
        <v>2269.5</v>
      </c>
      <c r="D209" t="s">
        <v>719</v>
      </c>
      <c r="E209" t="s">
        <v>720</v>
      </c>
      <c r="F209" t="s">
        <v>330</v>
      </c>
      <c r="H209">
        <v>1690217215</v>
      </c>
      <c r="I209">
        <f t="shared" ref="I209:I272" si="90">(J209)/1000</f>
        <v>2.0766301827056018E-3</v>
      </c>
      <c r="J209">
        <f t="shared" ref="J209:J233" si="91">1000*AZ209*AH209*(AV209-AW209)/(100*AO209*(1000-AH209*AV209))</f>
        <v>2.076630182705602</v>
      </c>
      <c r="K209">
        <f t="shared" ref="K209:K233" si="92">AZ209*AH209*(AU209-AT209*(1000-AH209*AW209)/(1000-AH209*AV209))/(100*AO209)</f>
        <v>35.923495623760246</v>
      </c>
      <c r="L209">
        <f t="shared" ref="L209:L272" si="93">AT209 - IF(AH209&gt;1, K209*AO209*100/(AJ209*BH209), 0)</f>
        <v>388.86</v>
      </c>
      <c r="M209">
        <f t="shared" ref="M209:M272" si="94">((S209-I209/2)*L209-K209)/(S209+I209/2)</f>
        <v>81.51268821021516</v>
      </c>
      <c r="N209">
        <f t="shared" ref="N209:N272" si="95">M209*(BA209+BB209)/1000</f>
        <v>8.0857668550295507</v>
      </c>
      <c r="O209">
        <f t="shared" ref="O209:O233" si="96">(AT209 - IF(AH209&gt;1, K209*AO209*100/(AJ209*BH209), 0))*(BA209+BB209)/1000</f>
        <v>38.573519881199999</v>
      </c>
      <c r="P209">
        <f t="shared" ref="P209:P272" si="97">2/((1/R209-1/Q209)+SIGN(R209)*SQRT((1/R209-1/Q209)*(1/R209-1/Q209) + 4*AP209/((AP209+1)*(AP209+1))*(2*1/R209*1/Q209-1/Q209*1/Q209)))</f>
        <v>0.19819532226073033</v>
      </c>
      <c r="Q209">
        <f t="shared" ref="Q209:Q233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2.0609027281503467</v>
      </c>
      <c r="R209">
        <f t="shared" ref="R209:R233" si="99">I209*(1000-(1000*0.61365*EXP(17.502*V209/(240.97+V209))/(BA209+BB209)+AV209)/2)/(1000*0.61365*EXP(17.502*V209/(240.97+V209))/(BA209+BB209)-AV209)</f>
        <v>0.18818244961349867</v>
      </c>
      <c r="S209">
        <f t="shared" ref="S209:S233" si="100">1/((AP209+1)/(P209/1.6)+1/(Q209/1.37)) + AP209/((AP209+1)/(P209/1.6) + AP209/(Q209/1.37))</f>
        <v>0.11847147929308585</v>
      </c>
      <c r="T209">
        <f t="shared" ref="T209:T233" si="101">(AK209*AN209)</f>
        <v>276.11644550399996</v>
      </c>
      <c r="U209">
        <f t="shared" ref="U209:U272" si="102">(BC209+(T209+2*0.95*0.0000000567*(((BC209+$B$7)+273)^4-(BC209+273)^4)-44100*I209)/(1.84*29.3*Q209+8*0.95*0.0000000567*(BC209+273)^3))</f>
        <v>28.34308084158085</v>
      </c>
      <c r="V209">
        <f t="shared" ref="V209:V272" si="103">($C$7*BD209+$D$7*BE209+$E$7*U209)</f>
        <v>28.34308084158085</v>
      </c>
      <c r="W209">
        <f t="shared" ref="W209:W272" si="104">0.61365*EXP(17.502*V209/(240.97+V209))</f>
        <v>3.8714035698643743</v>
      </c>
      <c r="X209">
        <f t="shared" ref="X209:X272" si="105">(Y209/Z209*100)</f>
        <v>79.357121104462252</v>
      </c>
      <c r="Y209">
        <f t="shared" ref="Y209:Y233" si="106">AV209*(BA209+BB209)/1000</f>
        <v>2.813637015806</v>
      </c>
      <c r="Z209">
        <f t="shared" ref="Z209:Z233" si="107">0.61365*EXP(17.502*BC209/(240.97+BC209))</f>
        <v>3.5455381655065974</v>
      </c>
      <c r="AA209">
        <f t="shared" ref="AA209:AA233" si="108">(W209-AV209*(BA209+BB209)/1000)</f>
        <v>1.0577665540583743</v>
      </c>
      <c r="AB209">
        <f t="shared" ref="AB209:AB233" si="109">(-I209*44100)</f>
        <v>-91.579391057317039</v>
      </c>
      <c r="AC209">
        <f t="shared" ref="AC209:AC233" si="110">2*29.3*Q209*0.92*(BC209-V209)</f>
        <v>-167.0700505133106</v>
      </c>
      <c r="AD209">
        <f t="shared" ref="AD209:AD233" si="111">2*0.95*0.0000000567*(((BC209+$B$7)+273)^4-(V209+273)^4)</f>
        <v>-17.598838110813286</v>
      </c>
      <c r="AE209">
        <f t="shared" ref="AE209:AE272" si="112">T209+AD209+AB209+AC209</f>
        <v>-0.1318341774409646</v>
      </c>
      <c r="AF209">
        <v>43</v>
      </c>
      <c r="AG209">
        <v>14</v>
      </c>
      <c r="AH209">
        <f t="shared" ref="AH209:AH233" si="113">IF(AF209*$H$13&gt;=AJ209,1,(AJ209/(AJ209-AF209*$H$13)))</f>
        <v>1</v>
      </c>
      <c r="AI209">
        <f t="shared" ref="AI209:AI272" si="114">(AH209-1)*100</f>
        <v>0</v>
      </c>
      <c r="AJ209">
        <f t="shared" ref="AJ209:AJ233" si="115">MAX(0,($B$13+$C$13*BH209)/(1+$D$13*BH209)*BA209/(BC209+273)*$E$13)</f>
        <v>52270.228399899504</v>
      </c>
      <c r="AK209">
        <f t="shared" ref="AK209:AK233" si="116">$B$11*BI209+$C$11*BJ209+$D$11*BU209</f>
        <v>1800</v>
      </c>
      <c r="AL209">
        <f t="shared" ref="AL209:AL272" si="117">AK209*AM209</f>
        <v>1499.1116723999999</v>
      </c>
      <c r="AM209">
        <f t="shared" ref="AM209:AM233" si="118">($B$11*$D$9+$C$11*$D$9+$D$11*(BV209*$E$9+BW209*$F$9+BX209*$G$9+BY209*$H$9))/($B$11+$C$11+$D$11)</f>
        <v>0.83283981799999995</v>
      </c>
      <c r="AN209">
        <f t="shared" ref="AN209:AN233" si="119">($B$11*$K$9+$C$11*$K$9+$D$11*(BV209*$L$9+BW209*$M$9+BX209*$N$9+BY209*$O$9))/($B$11+$C$11+$D$11)</f>
        <v>0.15339802527999999</v>
      </c>
      <c r="AO209">
        <v>33.6</v>
      </c>
      <c r="AP209">
        <v>0.5</v>
      </c>
      <c r="AQ209" t="s">
        <v>331</v>
      </c>
      <c r="AR209">
        <v>2</v>
      </c>
      <c r="AS209">
        <v>1690217215</v>
      </c>
      <c r="AT209">
        <v>388.86</v>
      </c>
      <c r="AU209">
        <v>800.01300000000003</v>
      </c>
      <c r="AV209">
        <v>28.3643</v>
      </c>
      <c r="AW209">
        <v>5.7786200000000001</v>
      </c>
      <c r="AX209">
        <v>388.959</v>
      </c>
      <c r="AY209">
        <v>28.171700000000001</v>
      </c>
      <c r="AZ209">
        <v>300.17099999999999</v>
      </c>
      <c r="BA209">
        <v>99.096400000000003</v>
      </c>
      <c r="BB209">
        <v>0.10002</v>
      </c>
      <c r="BC209">
        <v>26.839400000000001</v>
      </c>
      <c r="BD209">
        <v>26.991</v>
      </c>
      <c r="BE209">
        <v>28.2836</v>
      </c>
      <c r="BF209">
        <v>0</v>
      </c>
      <c r="BG209">
        <v>0</v>
      </c>
      <c r="BH209">
        <v>9968.75</v>
      </c>
      <c r="BI209">
        <v>1077.25</v>
      </c>
      <c r="BJ209">
        <v>1.7380500000000001</v>
      </c>
      <c r="BK209">
        <v>-411.15300000000002</v>
      </c>
      <c r="BL209">
        <v>400.21199999999999</v>
      </c>
      <c r="BM209">
        <v>804.66300000000001</v>
      </c>
      <c r="BN209">
        <v>22.585699999999999</v>
      </c>
      <c r="BO209">
        <v>800.01300000000003</v>
      </c>
      <c r="BP209">
        <v>5.7786200000000001</v>
      </c>
      <c r="BQ209">
        <v>2.8108</v>
      </c>
      <c r="BR209">
        <v>0.57264000000000004</v>
      </c>
      <c r="BS209">
        <v>22.947600000000001</v>
      </c>
      <c r="BT209">
        <v>-0.94856200000000002</v>
      </c>
      <c r="BU209">
        <v>1800</v>
      </c>
      <c r="BV209">
        <v>0.90998599999999996</v>
      </c>
      <c r="BW209">
        <v>3.39992E-2</v>
      </c>
      <c r="BX209">
        <v>2.20074E-2</v>
      </c>
      <c r="BY209">
        <v>3.4007599999999999E-2</v>
      </c>
      <c r="BZ209">
        <v>26</v>
      </c>
      <c r="CA209">
        <v>33528.199999999997</v>
      </c>
      <c r="CB209">
        <v>1690214843</v>
      </c>
      <c r="CC209" t="s">
        <v>332</v>
      </c>
      <c r="CD209">
        <v>1690214842</v>
      </c>
      <c r="CE209">
        <v>1690214843</v>
      </c>
      <c r="CF209">
        <v>8</v>
      </c>
      <c r="CG209">
        <v>-6.3E-2</v>
      </c>
      <c r="CH209">
        <v>1E-3</v>
      </c>
      <c r="CI209">
        <v>-0.38900000000000001</v>
      </c>
      <c r="CJ209">
        <v>-6.6000000000000003E-2</v>
      </c>
      <c r="CK209">
        <v>800</v>
      </c>
      <c r="CL209">
        <v>6</v>
      </c>
      <c r="CM209">
        <v>0.23</v>
      </c>
      <c r="CN209">
        <v>0.02</v>
      </c>
      <c r="CO209">
        <v>-410.21922499999999</v>
      </c>
      <c r="CP209">
        <v>-5.1987354596617514</v>
      </c>
      <c r="CQ209">
        <v>0.50101704000462743</v>
      </c>
      <c r="CR209">
        <v>-1</v>
      </c>
      <c r="CS209">
        <v>22.557337499999999</v>
      </c>
      <c r="CT209">
        <v>0.14882589118196429</v>
      </c>
      <c r="CU209">
        <v>1.438140618124698E-2</v>
      </c>
      <c r="CV209">
        <v>-1</v>
      </c>
      <c r="CW209">
        <v>0</v>
      </c>
      <c r="CX209">
        <v>0</v>
      </c>
      <c r="CY209" t="s">
        <v>333</v>
      </c>
      <c r="CZ209">
        <v>2.3645200000000002</v>
      </c>
      <c r="DA209">
        <v>2.7137799999999999</v>
      </c>
      <c r="DB209">
        <v>8.7611900000000006E-2</v>
      </c>
      <c r="DC209">
        <v>0.146119</v>
      </c>
      <c r="DD209">
        <v>0.12803400000000001</v>
      </c>
      <c r="DE209">
        <v>3.8266000000000001E-2</v>
      </c>
      <c r="DF209">
        <v>33309.5</v>
      </c>
      <c r="DG209">
        <v>27512.3</v>
      </c>
      <c r="DH209">
        <v>31166.7</v>
      </c>
      <c r="DI209">
        <v>28075.599999999999</v>
      </c>
      <c r="DJ209">
        <v>36882.1</v>
      </c>
      <c r="DK209">
        <v>38395.300000000003</v>
      </c>
      <c r="DL209">
        <v>44352.5</v>
      </c>
      <c r="DM209">
        <v>42549.5</v>
      </c>
      <c r="DN209">
        <v>1.3651500000000001</v>
      </c>
      <c r="DO209">
        <v>2.0348700000000002</v>
      </c>
      <c r="DP209">
        <v>8.3368300000000006E-2</v>
      </c>
      <c r="DQ209">
        <v>0.174984</v>
      </c>
      <c r="DR209">
        <v>25.626100000000001</v>
      </c>
      <c r="DS209">
        <v>25.421199999999999</v>
      </c>
      <c r="DT209">
        <v>17</v>
      </c>
      <c r="DU209">
        <v>29.8</v>
      </c>
      <c r="DV209">
        <v>7.2245299999999997</v>
      </c>
      <c r="DW209">
        <v>62.0486</v>
      </c>
      <c r="DX209">
        <v>36.213900000000002</v>
      </c>
      <c r="DY209">
        <v>1</v>
      </c>
      <c r="DZ209">
        <v>-9.4425800000000004E-2</v>
      </c>
      <c r="EA209">
        <v>-0.22958100000000001</v>
      </c>
      <c r="EB209">
        <v>20.189299999999999</v>
      </c>
      <c r="EC209">
        <v>5.2409499999999998</v>
      </c>
      <c r="ED209">
        <v>12.039899999999999</v>
      </c>
      <c r="EE209">
        <v>5.0169499999999996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1.8689100000000001</v>
      </c>
      <c r="EL209">
        <v>1.86463</v>
      </c>
      <c r="EM209">
        <v>1.8692</v>
      </c>
      <c r="EN209">
        <v>1.8672299999999999</v>
      </c>
      <c r="EO209">
        <v>1.8633999999999999</v>
      </c>
      <c r="EP209">
        <v>1.8645799999999999</v>
      </c>
      <c r="EQ209">
        <v>1.8702000000000001</v>
      </c>
      <c r="ER209">
        <v>1.86947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-9.9000000000000005E-2</v>
      </c>
      <c r="FG209">
        <v>0.19259999999999999</v>
      </c>
      <c r="FH209">
        <v>0.16202357103534001</v>
      </c>
      <c r="FI209">
        <v>-6.1462078757559423E-4</v>
      </c>
      <c r="FJ209">
        <v>-1.8861989874597051E-7</v>
      </c>
      <c r="FK209">
        <v>1.1980462299894961E-10</v>
      </c>
      <c r="FL209">
        <v>0.19260234566371101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39.5</v>
      </c>
      <c r="FU209">
        <v>39.5</v>
      </c>
      <c r="FV209">
        <v>1.7785599999999999</v>
      </c>
      <c r="FW209">
        <v>2.5793499999999998</v>
      </c>
      <c r="FX209">
        <v>1.5490699999999999</v>
      </c>
      <c r="FY209">
        <v>2.3290999999999999</v>
      </c>
      <c r="FZ209">
        <v>1.50146</v>
      </c>
      <c r="GA209">
        <v>2.3852500000000001</v>
      </c>
      <c r="GB209">
        <v>33.850900000000003</v>
      </c>
      <c r="GC209">
        <v>23.991199999999999</v>
      </c>
      <c r="GD209">
        <v>19</v>
      </c>
      <c r="GE209">
        <v>238.29499999999999</v>
      </c>
      <c r="GF209">
        <v>581.64400000000001</v>
      </c>
      <c r="GG209">
        <v>25.3931</v>
      </c>
      <c r="GH209">
        <v>26.206700000000001</v>
      </c>
      <c r="GI209">
        <v>30</v>
      </c>
      <c r="GJ209">
        <v>26.3416</v>
      </c>
      <c r="GK209">
        <v>26.313500000000001</v>
      </c>
      <c r="GL209">
        <v>35.56</v>
      </c>
      <c r="GM209">
        <v>-30</v>
      </c>
      <c r="GN209">
        <v>-30</v>
      </c>
      <c r="GO209">
        <v>25.3904</v>
      </c>
      <c r="GP209">
        <v>800</v>
      </c>
      <c r="GQ209">
        <v>12.5298</v>
      </c>
      <c r="GR209">
        <v>99.719300000000004</v>
      </c>
      <c r="GS209">
        <v>99.541200000000003</v>
      </c>
    </row>
    <row r="210" spans="1:201" x14ac:dyDescent="0.25">
      <c r="A210">
        <v>194</v>
      </c>
      <c r="B210">
        <v>1690217225</v>
      </c>
      <c r="C210">
        <v>2279.5</v>
      </c>
      <c r="D210" t="s">
        <v>721</v>
      </c>
      <c r="E210" t="s">
        <v>722</v>
      </c>
      <c r="F210" t="s">
        <v>330</v>
      </c>
      <c r="H210">
        <v>1690217225</v>
      </c>
      <c r="I210">
        <f t="shared" si="90"/>
        <v>2.0788420441206217E-3</v>
      </c>
      <c r="J210">
        <f t="shared" si="91"/>
        <v>2.0788420441206217</v>
      </c>
      <c r="K210">
        <f t="shared" si="92"/>
        <v>35.986464413230792</v>
      </c>
      <c r="L210">
        <f t="shared" si="93"/>
        <v>388.06099999999998</v>
      </c>
      <c r="M210">
        <f t="shared" si="94"/>
        <v>81.330559916328383</v>
      </c>
      <c r="N210">
        <f t="shared" si="95"/>
        <v>8.0676915152642437</v>
      </c>
      <c r="O210">
        <f t="shared" si="96"/>
        <v>38.494219642970997</v>
      </c>
      <c r="P210">
        <f t="shared" si="97"/>
        <v>0.19896228904391339</v>
      </c>
      <c r="Q210">
        <f t="shared" si="98"/>
        <v>2.0622785481243664</v>
      </c>
      <c r="R210">
        <f t="shared" si="99"/>
        <v>0.1888802543537047</v>
      </c>
      <c r="S210">
        <f t="shared" si="100"/>
        <v>0.11891340115521574</v>
      </c>
      <c r="T210">
        <f t="shared" si="101"/>
        <v>276.11641391400002</v>
      </c>
      <c r="U210">
        <f t="shared" si="102"/>
        <v>28.341477838015059</v>
      </c>
      <c r="V210">
        <f t="shared" si="103"/>
        <v>28.341477838015059</v>
      </c>
      <c r="W210">
        <f t="shared" si="104"/>
        <v>3.8710427245752026</v>
      </c>
      <c r="X210">
        <f t="shared" si="105"/>
        <v>79.425392214247111</v>
      </c>
      <c r="Y210">
        <f t="shared" si="106"/>
        <v>2.8160741533479001</v>
      </c>
      <c r="Z210">
        <f t="shared" si="107"/>
        <v>3.5455590143661389</v>
      </c>
      <c r="AA210">
        <f t="shared" si="108"/>
        <v>1.0549685712273025</v>
      </c>
      <c r="AB210">
        <f t="shared" si="109"/>
        <v>-91.676934145719414</v>
      </c>
      <c r="AC210">
        <f t="shared" si="110"/>
        <v>-166.99224074781165</v>
      </c>
      <c r="AD210">
        <f t="shared" si="111"/>
        <v>-17.578774337644429</v>
      </c>
      <c r="AE210">
        <f t="shared" si="112"/>
        <v>-0.1315353171754623</v>
      </c>
      <c r="AF210">
        <v>42</v>
      </c>
      <c r="AG210">
        <v>14</v>
      </c>
      <c r="AH210">
        <f t="shared" si="113"/>
        <v>1</v>
      </c>
      <c r="AI210">
        <f t="shared" si="114"/>
        <v>0</v>
      </c>
      <c r="AJ210">
        <f t="shared" si="115"/>
        <v>52333.059766740742</v>
      </c>
      <c r="AK210">
        <f t="shared" si="116"/>
        <v>1800</v>
      </c>
      <c r="AL210">
        <f t="shared" si="117"/>
        <v>1499.1122124000001</v>
      </c>
      <c r="AM210">
        <f t="shared" si="118"/>
        <v>0.83284011800000002</v>
      </c>
      <c r="AN210">
        <f t="shared" si="119"/>
        <v>0.15339800773000001</v>
      </c>
      <c r="AO210">
        <v>33.6</v>
      </c>
      <c r="AP210">
        <v>0.5</v>
      </c>
      <c r="AQ210" t="s">
        <v>331</v>
      </c>
      <c r="AR210">
        <v>2</v>
      </c>
      <c r="AS210">
        <v>1690217225</v>
      </c>
      <c r="AT210">
        <v>388.06099999999998</v>
      </c>
      <c r="AU210">
        <v>799.91399999999999</v>
      </c>
      <c r="AV210">
        <v>28.3889</v>
      </c>
      <c r="AW210">
        <v>5.7795100000000001</v>
      </c>
      <c r="AX210">
        <v>388.15899999999999</v>
      </c>
      <c r="AY210">
        <v>28.196300000000001</v>
      </c>
      <c r="AZ210">
        <v>300.16800000000001</v>
      </c>
      <c r="BA210">
        <v>99.096299999999999</v>
      </c>
      <c r="BB210">
        <v>0.100011</v>
      </c>
      <c r="BC210">
        <v>26.839500000000001</v>
      </c>
      <c r="BD210">
        <v>27.0063</v>
      </c>
      <c r="BE210">
        <v>28.275300000000001</v>
      </c>
      <c r="BF210">
        <v>0</v>
      </c>
      <c r="BG210">
        <v>0</v>
      </c>
      <c r="BH210">
        <v>9981.25</v>
      </c>
      <c r="BI210">
        <v>1077.25</v>
      </c>
      <c r="BJ210">
        <v>1.7730900000000001</v>
      </c>
      <c r="BK210">
        <v>-411.85300000000001</v>
      </c>
      <c r="BL210">
        <v>399.399</v>
      </c>
      <c r="BM210">
        <v>804.56399999999996</v>
      </c>
      <c r="BN210">
        <v>22.609400000000001</v>
      </c>
      <c r="BO210">
        <v>799.91399999999999</v>
      </c>
      <c r="BP210">
        <v>5.7795100000000001</v>
      </c>
      <c r="BQ210">
        <v>2.81324</v>
      </c>
      <c r="BR210">
        <v>0.57272800000000001</v>
      </c>
      <c r="BS210">
        <v>22.962</v>
      </c>
      <c r="BT210">
        <v>-0.94645999999999997</v>
      </c>
      <c r="BU210">
        <v>1800</v>
      </c>
      <c r="BV210">
        <v>0.90998800000000002</v>
      </c>
      <c r="BW210">
        <v>3.3998599999999997E-2</v>
      </c>
      <c r="BX210">
        <v>2.2006899999999999E-2</v>
      </c>
      <c r="BY210">
        <v>3.40069E-2</v>
      </c>
      <c r="BZ210">
        <v>26</v>
      </c>
      <c r="CA210">
        <v>33528.199999999997</v>
      </c>
      <c r="CB210">
        <v>1690214843</v>
      </c>
      <c r="CC210" t="s">
        <v>332</v>
      </c>
      <c r="CD210">
        <v>1690214842</v>
      </c>
      <c r="CE210">
        <v>1690214843</v>
      </c>
      <c r="CF210">
        <v>8</v>
      </c>
      <c r="CG210">
        <v>-6.3E-2</v>
      </c>
      <c r="CH210">
        <v>1E-3</v>
      </c>
      <c r="CI210">
        <v>-0.38900000000000001</v>
      </c>
      <c r="CJ210">
        <v>-6.6000000000000003E-2</v>
      </c>
      <c r="CK210">
        <v>800</v>
      </c>
      <c r="CL210">
        <v>6</v>
      </c>
      <c r="CM210">
        <v>0.23</v>
      </c>
      <c r="CN210">
        <v>0.02</v>
      </c>
      <c r="CO210">
        <v>-411.04995000000002</v>
      </c>
      <c r="CP210">
        <v>-4.716945590993749</v>
      </c>
      <c r="CQ210">
        <v>0.45459894137579943</v>
      </c>
      <c r="CR210">
        <v>-1</v>
      </c>
      <c r="CS210">
        <v>22.583590000000001</v>
      </c>
      <c r="CT210">
        <v>0.1623444652907641</v>
      </c>
      <c r="CU210">
        <v>1.5632718893397731E-2</v>
      </c>
      <c r="CV210">
        <v>-1</v>
      </c>
      <c r="CW210">
        <v>0</v>
      </c>
      <c r="CX210">
        <v>0</v>
      </c>
      <c r="CY210" t="s">
        <v>333</v>
      </c>
      <c r="CZ210">
        <v>2.3645200000000002</v>
      </c>
      <c r="DA210">
        <v>2.7137899999999999</v>
      </c>
      <c r="DB210">
        <v>8.7473200000000001E-2</v>
      </c>
      <c r="DC210">
        <v>0.14610699999999999</v>
      </c>
      <c r="DD210">
        <v>0.128111</v>
      </c>
      <c r="DE210">
        <v>3.8270899999999997E-2</v>
      </c>
      <c r="DF210">
        <v>33314.9</v>
      </c>
      <c r="DG210">
        <v>27512.799999999999</v>
      </c>
      <c r="DH210">
        <v>31167.1</v>
      </c>
      <c r="DI210">
        <v>28075.7</v>
      </c>
      <c r="DJ210">
        <v>36879.4</v>
      </c>
      <c r="DK210">
        <v>38395.300000000003</v>
      </c>
      <c r="DL210">
        <v>44353.2</v>
      </c>
      <c r="DM210">
        <v>42549.599999999999</v>
      </c>
      <c r="DN210">
        <v>1.3653500000000001</v>
      </c>
      <c r="DO210">
        <v>2.0351699999999999</v>
      </c>
      <c r="DP210">
        <v>8.4090999999999999E-2</v>
      </c>
      <c r="DQ210">
        <v>0.17436599999999999</v>
      </c>
      <c r="DR210">
        <v>25.6296</v>
      </c>
      <c r="DS210">
        <v>25.422999999999998</v>
      </c>
      <c r="DT210">
        <v>17</v>
      </c>
      <c r="DU210">
        <v>29.8</v>
      </c>
      <c r="DV210">
        <v>7.2256600000000004</v>
      </c>
      <c r="DW210">
        <v>61.918599999999998</v>
      </c>
      <c r="DX210">
        <v>36.394199999999998</v>
      </c>
      <c r="DY210">
        <v>1</v>
      </c>
      <c r="DZ210">
        <v>-9.4359799999999994E-2</v>
      </c>
      <c r="EA210">
        <v>-0.23366799999999999</v>
      </c>
      <c r="EB210">
        <v>20.189399999999999</v>
      </c>
      <c r="EC210">
        <v>5.2409499999999998</v>
      </c>
      <c r="ED210">
        <v>12.039899999999999</v>
      </c>
      <c r="EE210">
        <v>5.0170500000000002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1.8689100000000001</v>
      </c>
      <c r="EL210">
        <v>1.8646499999999999</v>
      </c>
      <c r="EM210">
        <v>1.8692</v>
      </c>
      <c r="EN210">
        <v>1.8672299999999999</v>
      </c>
      <c r="EO210">
        <v>1.8633999999999999</v>
      </c>
      <c r="EP210">
        <v>1.8645799999999999</v>
      </c>
      <c r="EQ210">
        <v>1.8702099999999999</v>
      </c>
      <c r="ER210">
        <v>1.8694900000000001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-9.8000000000000004E-2</v>
      </c>
      <c r="FG210">
        <v>0.19259999999999999</v>
      </c>
      <c r="FH210">
        <v>0.16202357103534001</v>
      </c>
      <c r="FI210">
        <v>-6.1462078757559423E-4</v>
      </c>
      <c r="FJ210">
        <v>-1.8861989874597051E-7</v>
      </c>
      <c r="FK210">
        <v>1.1980462299894961E-10</v>
      </c>
      <c r="FL210">
        <v>0.19260234566371101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39.700000000000003</v>
      </c>
      <c r="FU210">
        <v>39.700000000000003</v>
      </c>
      <c r="FV210">
        <v>1.7785599999999999</v>
      </c>
      <c r="FW210">
        <v>2.5793499999999998</v>
      </c>
      <c r="FX210">
        <v>1.5490699999999999</v>
      </c>
      <c r="FY210">
        <v>2.3290999999999999</v>
      </c>
      <c r="FZ210">
        <v>1.50146</v>
      </c>
      <c r="GA210">
        <v>2.3938000000000001</v>
      </c>
      <c r="GB210">
        <v>33.850900000000003</v>
      </c>
      <c r="GC210">
        <v>23.991199999999999</v>
      </c>
      <c r="GD210">
        <v>19</v>
      </c>
      <c r="GE210">
        <v>238.37100000000001</v>
      </c>
      <c r="GF210">
        <v>581.88699999999994</v>
      </c>
      <c r="GG210">
        <v>25.3917</v>
      </c>
      <c r="GH210">
        <v>26.206700000000001</v>
      </c>
      <c r="GI210">
        <v>30</v>
      </c>
      <c r="GJ210">
        <v>26.3416</v>
      </c>
      <c r="GK210">
        <v>26.313199999999998</v>
      </c>
      <c r="GL210">
        <v>35.561500000000002</v>
      </c>
      <c r="GM210">
        <v>-30</v>
      </c>
      <c r="GN210">
        <v>-30</v>
      </c>
      <c r="GO210">
        <v>25.3918</v>
      </c>
      <c r="GP210">
        <v>800</v>
      </c>
      <c r="GQ210">
        <v>12.5298</v>
      </c>
      <c r="GR210">
        <v>99.720799999999997</v>
      </c>
      <c r="GS210">
        <v>99.541499999999999</v>
      </c>
    </row>
    <row r="211" spans="1:201" x14ac:dyDescent="0.25">
      <c r="A211">
        <v>195</v>
      </c>
      <c r="B211">
        <v>1690217235</v>
      </c>
      <c r="C211">
        <v>2289.5</v>
      </c>
      <c r="D211" t="s">
        <v>723</v>
      </c>
      <c r="E211" t="s">
        <v>724</v>
      </c>
      <c r="F211" t="s">
        <v>330</v>
      </c>
      <c r="H211">
        <v>1690217235</v>
      </c>
      <c r="I211">
        <f t="shared" si="90"/>
        <v>2.0801373642321186E-3</v>
      </c>
      <c r="J211">
        <f t="shared" si="91"/>
        <v>2.0801373642321184</v>
      </c>
      <c r="K211">
        <f t="shared" si="92"/>
        <v>36.067256933750734</v>
      </c>
      <c r="L211">
        <f t="shared" si="93"/>
        <v>387.142</v>
      </c>
      <c r="M211">
        <f t="shared" si="94"/>
        <v>80.600801999883572</v>
      </c>
      <c r="N211">
        <f t="shared" si="95"/>
        <v>7.9952830229188372</v>
      </c>
      <c r="O211">
        <f t="shared" si="96"/>
        <v>38.402966015937608</v>
      </c>
      <c r="P211">
        <f t="shared" si="97"/>
        <v>0.19953592766056111</v>
      </c>
      <c r="Q211">
        <f t="shared" si="98"/>
        <v>2.0640638360800567</v>
      </c>
      <c r="R211">
        <f t="shared" si="99"/>
        <v>0.18940555525208005</v>
      </c>
      <c r="S211">
        <f t="shared" si="100"/>
        <v>0.11924577124338812</v>
      </c>
      <c r="T211">
        <f t="shared" si="101"/>
        <v>276.11632760399999</v>
      </c>
      <c r="U211">
        <f t="shared" si="102"/>
        <v>28.340035708571772</v>
      </c>
      <c r="V211">
        <f t="shared" si="103"/>
        <v>28.340035708571772</v>
      </c>
      <c r="W211">
        <f t="shared" si="104"/>
        <v>3.8707181180427437</v>
      </c>
      <c r="X211">
        <f t="shared" si="105"/>
        <v>79.479662317667902</v>
      </c>
      <c r="Y211">
        <f t="shared" si="106"/>
        <v>2.81803147335336</v>
      </c>
      <c r="Z211">
        <f t="shared" si="107"/>
        <v>3.5456007124063067</v>
      </c>
      <c r="AA211">
        <f t="shared" si="108"/>
        <v>1.0526866446893837</v>
      </c>
      <c r="AB211">
        <f t="shared" si="109"/>
        <v>-91.734057762636425</v>
      </c>
      <c r="AC211">
        <f t="shared" si="110"/>
        <v>-166.95407121062948</v>
      </c>
      <c r="AD211">
        <f t="shared" si="111"/>
        <v>-17.55944618301892</v>
      </c>
      <c r="AE211">
        <f t="shared" si="112"/>
        <v>-0.13124755228483309</v>
      </c>
      <c r="AF211">
        <v>43</v>
      </c>
      <c r="AG211">
        <v>14</v>
      </c>
      <c r="AH211">
        <f t="shared" si="113"/>
        <v>1</v>
      </c>
      <c r="AI211">
        <f t="shared" si="114"/>
        <v>0</v>
      </c>
      <c r="AJ211">
        <f t="shared" si="115"/>
        <v>52414.656714950317</v>
      </c>
      <c r="AK211">
        <f t="shared" si="116"/>
        <v>1800</v>
      </c>
      <c r="AL211">
        <f t="shared" si="117"/>
        <v>1499.1118253999998</v>
      </c>
      <c r="AM211">
        <f t="shared" si="118"/>
        <v>0.83283990299999988</v>
      </c>
      <c r="AN211">
        <f t="shared" si="119"/>
        <v>0.15339795978000001</v>
      </c>
      <c r="AO211">
        <v>33.6</v>
      </c>
      <c r="AP211">
        <v>0.5</v>
      </c>
      <c r="AQ211" t="s">
        <v>331</v>
      </c>
      <c r="AR211">
        <v>2</v>
      </c>
      <c r="AS211">
        <v>1690217235</v>
      </c>
      <c r="AT211">
        <v>387.142</v>
      </c>
      <c r="AU211">
        <v>799.98400000000004</v>
      </c>
      <c r="AV211">
        <v>28.4087</v>
      </c>
      <c r="AW211">
        <v>5.7801799999999997</v>
      </c>
      <c r="AX211">
        <v>387.24</v>
      </c>
      <c r="AY211">
        <v>28.216100000000001</v>
      </c>
      <c r="AZ211">
        <v>300.09500000000003</v>
      </c>
      <c r="BA211">
        <v>99.096100000000007</v>
      </c>
      <c r="BB211">
        <v>9.9972800000000001E-2</v>
      </c>
      <c r="BC211">
        <v>26.839700000000001</v>
      </c>
      <c r="BD211">
        <v>27.0029</v>
      </c>
      <c r="BE211">
        <v>28.2727</v>
      </c>
      <c r="BF211">
        <v>0</v>
      </c>
      <c r="BG211">
        <v>0</v>
      </c>
      <c r="BH211">
        <v>9997.5</v>
      </c>
      <c r="BI211">
        <v>1077.26</v>
      </c>
      <c r="BJ211">
        <v>1.78711</v>
      </c>
      <c r="BK211">
        <v>-412.84199999999998</v>
      </c>
      <c r="BL211">
        <v>398.46199999999999</v>
      </c>
      <c r="BM211">
        <v>804.63499999999999</v>
      </c>
      <c r="BN211">
        <v>22.628599999999999</v>
      </c>
      <c r="BO211">
        <v>799.98400000000004</v>
      </c>
      <c r="BP211">
        <v>5.7801799999999997</v>
      </c>
      <c r="BQ211">
        <v>2.8151899999999999</v>
      </c>
      <c r="BR211">
        <v>0.572793</v>
      </c>
      <c r="BS211">
        <v>22.973500000000001</v>
      </c>
      <c r="BT211">
        <v>-0.94492200000000004</v>
      </c>
      <c r="BU211">
        <v>1800</v>
      </c>
      <c r="BV211">
        <v>0.90998800000000002</v>
      </c>
      <c r="BW211">
        <v>3.3998399999999998E-2</v>
      </c>
      <c r="BX211">
        <v>2.2006899999999999E-2</v>
      </c>
      <c r="BY211">
        <v>3.4006799999999997E-2</v>
      </c>
      <c r="BZ211">
        <v>26</v>
      </c>
      <c r="CA211">
        <v>33528.300000000003</v>
      </c>
      <c r="CB211">
        <v>1690214843</v>
      </c>
      <c r="CC211" t="s">
        <v>332</v>
      </c>
      <c r="CD211">
        <v>1690214842</v>
      </c>
      <c r="CE211">
        <v>1690214843</v>
      </c>
      <c r="CF211">
        <v>8</v>
      </c>
      <c r="CG211">
        <v>-6.3E-2</v>
      </c>
      <c r="CH211">
        <v>1E-3</v>
      </c>
      <c r="CI211">
        <v>-0.38900000000000001</v>
      </c>
      <c r="CJ211">
        <v>-6.6000000000000003E-2</v>
      </c>
      <c r="CK211">
        <v>800</v>
      </c>
      <c r="CL211">
        <v>6</v>
      </c>
      <c r="CM211">
        <v>0.23</v>
      </c>
      <c r="CN211">
        <v>0.02</v>
      </c>
      <c r="CO211">
        <v>-411.87521951219509</v>
      </c>
      <c r="CP211">
        <v>-4.8959372822303946</v>
      </c>
      <c r="CQ211">
        <v>0.48464226244324249</v>
      </c>
      <c r="CR211">
        <v>-1</v>
      </c>
      <c r="CS211">
        <v>22.60690487804878</v>
      </c>
      <c r="CT211">
        <v>0.1138118466898807</v>
      </c>
      <c r="CU211">
        <v>1.139186597318379E-2</v>
      </c>
      <c r="CV211">
        <v>-1</v>
      </c>
      <c r="CW211">
        <v>0</v>
      </c>
      <c r="CX211">
        <v>0</v>
      </c>
      <c r="CY211" t="s">
        <v>333</v>
      </c>
      <c r="CZ211">
        <v>2.36429</v>
      </c>
      <c r="DA211">
        <v>2.7137600000000002</v>
      </c>
      <c r="DB211">
        <v>8.7313500000000002E-2</v>
      </c>
      <c r="DC211">
        <v>0.146116</v>
      </c>
      <c r="DD211">
        <v>0.12817300000000001</v>
      </c>
      <c r="DE211">
        <v>3.8274500000000003E-2</v>
      </c>
      <c r="DF211">
        <v>33320.400000000001</v>
      </c>
      <c r="DG211">
        <v>27512.2</v>
      </c>
      <c r="DH211">
        <v>31166.799999999999</v>
      </c>
      <c r="DI211">
        <v>28075.4</v>
      </c>
      <c r="DJ211">
        <v>36876.300000000003</v>
      </c>
      <c r="DK211">
        <v>38394.9</v>
      </c>
      <c r="DL211">
        <v>44352.7</v>
      </c>
      <c r="DM211">
        <v>42549.3</v>
      </c>
      <c r="DN211">
        <v>1.3646499999999999</v>
      </c>
      <c r="DO211">
        <v>2.03525</v>
      </c>
      <c r="DP211">
        <v>8.3882399999999996E-2</v>
      </c>
      <c r="DQ211">
        <v>0.174072</v>
      </c>
      <c r="DR211">
        <v>25.6296</v>
      </c>
      <c r="DS211">
        <v>25.4252</v>
      </c>
      <c r="DT211">
        <v>17</v>
      </c>
      <c r="DU211">
        <v>29.8</v>
      </c>
      <c r="DV211">
        <v>7.2264400000000002</v>
      </c>
      <c r="DW211">
        <v>61.638599999999997</v>
      </c>
      <c r="DX211">
        <v>36.722799999999999</v>
      </c>
      <c r="DY211">
        <v>1</v>
      </c>
      <c r="DZ211">
        <v>-9.4126000000000001E-2</v>
      </c>
      <c r="EA211">
        <v>-0.171038</v>
      </c>
      <c r="EB211">
        <v>20.189599999999999</v>
      </c>
      <c r="EC211">
        <v>5.2411000000000003</v>
      </c>
      <c r="ED211">
        <v>12.039899999999999</v>
      </c>
      <c r="EE211">
        <v>5.0170500000000002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1.8689100000000001</v>
      </c>
      <c r="EL211">
        <v>1.86466</v>
      </c>
      <c r="EM211">
        <v>1.8692</v>
      </c>
      <c r="EN211">
        <v>1.86724</v>
      </c>
      <c r="EO211">
        <v>1.8633999999999999</v>
      </c>
      <c r="EP211">
        <v>1.8646</v>
      </c>
      <c r="EQ211">
        <v>1.8702099999999999</v>
      </c>
      <c r="ER211">
        <v>1.8694900000000001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-9.8000000000000004E-2</v>
      </c>
      <c r="FG211">
        <v>0.19259999999999999</v>
      </c>
      <c r="FH211">
        <v>0.16202357103534001</v>
      </c>
      <c r="FI211">
        <v>-6.1462078757559423E-4</v>
      </c>
      <c r="FJ211">
        <v>-1.8861989874597051E-7</v>
      </c>
      <c r="FK211">
        <v>1.1980462299894961E-10</v>
      </c>
      <c r="FL211">
        <v>0.19260234566371101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39.9</v>
      </c>
      <c r="FU211">
        <v>39.9</v>
      </c>
      <c r="FV211">
        <v>1.7785599999999999</v>
      </c>
      <c r="FW211">
        <v>2.5793499999999998</v>
      </c>
      <c r="FX211">
        <v>1.5490699999999999</v>
      </c>
      <c r="FY211">
        <v>2.3290999999999999</v>
      </c>
      <c r="FZ211">
        <v>1.50146</v>
      </c>
      <c r="GA211">
        <v>2.3559600000000001</v>
      </c>
      <c r="GB211">
        <v>33.850900000000003</v>
      </c>
      <c r="GC211">
        <v>23.982399999999998</v>
      </c>
      <c r="GD211">
        <v>19</v>
      </c>
      <c r="GE211">
        <v>238.107</v>
      </c>
      <c r="GF211">
        <v>581.94299999999998</v>
      </c>
      <c r="GG211">
        <v>25.3782</v>
      </c>
      <c r="GH211">
        <v>26.206700000000001</v>
      </c>
      <c r="GI211">
        <v>30.0002</v>
      </c>
      <c r="GJ211">
        <v>26.3416</v>
      </c>
      <c r="GK211">
        <v>26.3127</v>
      </c>
      <c r="GL211">
        <v>35.562199999999997</v>
      </c>
      <c r="GM211">
        <v>-30</v>
      </c>
      <c r="GN211">
        <v>-30</v>
      </c>
      <c r="GO211">
        <v>25.362300000000001</v>
      </c>
      <c r="GP211">
        <v>800</v>
      </c>
      <c r="GQ211">
        <v>12.5298</v>
      </c>
      <c r="GR211">
        <v>99.7196</v>
      </c>
      <c r="GS211">
        <v>99.540800000000004</v>
      </c>
    </row>
    <row r="212" spans="1:201" x14ac:dyDescent="0.25">
      <c r="A212">
        <v>196</v>
      </c>
      <c r="B212">
        <v>1690217245</v>
      </c>
      <c r="C212">
        <v>2299.5</v>
      </c>
      <c r="D212" t="s">
        <v>725</v>
      </c>
      <c r="E212" t="s">
        <v>726</v>
      </c>
      <c r="F212" t="s">
        <v>330</v>
      </c>
      <c r="H212">
        <v>1690217245</v>
      </c>
      <c r="I212">
        <f t="shared" si="90"/>
        <v>2.0827873184759479E-3</v>
      </c>
      <c r="J212">
        <f t="shared" si="91"/>
        <v>2.082787318475948</v>
      </c>
      <c r="K212">
        <f t="shared" si="92"/>
        <v>36.150970742631777</v>
      </c>
      <c r="L212">
        <f t="shared" si="93"/>
        <v>386.37599999999998</v>
      </c>
      <c r="M212">
        <f t="shared" si="94"/>
        <v>80.353947131242307</v>
      </c>
      <c r="N212">
        <f t="shared" si="95"/>
        <v>7.9704412026152953</v>
      </c>
      <c r="O212">
        <f t="shared" si="96"/>
        <v>38.325275858219996</v>
      </c>
      <c r="P212">
        <f t="shared" si="97"/>
        <v>0.20035878642911911</v>
      </c>
      <c r="Q212">
        <f t="shared" si="98"/>
        <v>2.0657283872130421</v>
      </c>
      <c r="R212">
        <f t="shared" si="99"/>
        <v>0.19015476421103056</v>
      </c>
      <c r="S212">
        <f t="shared" si="100"/>
        <v>0.11972019665479169</v>
      </c>
      <c r="T212">
        <f t="shared" si="101"/>
        <v>276.11621994600006</v>
      </c>
      <c r="U212">
        <f t="shared" si="102"/>
        <v>28.336392096529487</v>
      </c>
      <c r="V212">
        <f t="shared" si="103"/>
        <v>28.336392096529487</v>
      </c>
      <c r="W212">
        <f t="shared" si="104"/>
        <v>3.8698980892068366</v>
      </c>
      <c r="X212">
        <f t="shared" si="105"/>
        <v>79.544875641228614</v>
      </c>
      <c r="Y212">
        <f t="shared" si="106"/>
        <v>2.8200783377195</v>
      </c>
      <c r="Z212">
        <f t="shared" si="107"/>
        <v>3.5452671400718558</v>
      </c>
      <c r="AA212">
        <f t="shared" si="108"/>
        <v>1.0498197514873366</v>
      </c>
      <c r="AB212">
        <f t="shared" si="109"/>
        <v>-91.850920744789306</v>
      </c>
      <c r="AC212">
        <f t="shared" si="110"/>
        <v>-166.8611181940266</v>
      </c>
      <c r="AD212">
        <f t="shared" si="111"/>
        <v>-17.535069268745577</v>
      </c>
      <c r="AE212">
        <f t="shared" si="112"/>
        <v>-0.13088826156143796</v>
      </c>
      <c r="AF212">
        <v>42</v>
      </c>
      <c r="AG212">
        <v>14</v>
      </c>
      <c r="AH212">
        <f t="shared" si="113"/>
        <v>1</v>
      </c>
      <c r="AI212">
        <f t="shared" si="114"/>
        <v>0</v>
      </c>
      <c r="AJ212">
        <f t="shared" si="115"/>
        <v>52491.037559780532</v>
      </c>
      <c r="AK212">
        <f t="shared" si="116"/>
        <v>1800</v>
      </c>
      <c r="AL212">
        <f t="shared" si="117"/>
        <v>1499.1116886</v>
      </c>
      <c r="AM212">
        <f t="shared" si="118"/>
        <v>0.83283982700000003</v>
      </c>
      <c r="AN212">
        <f t="shared" si="119"/>
        <v>0.15339789997000003</v>
      </c>
      <c r="AO212">
        <v>33.6</v>
      </c>
      <c r="AP212">
        <v>0.5</v>
      </c>
      <c r="AQ212" t="s">
        <v>331</v>
      </c>
      <c r="AR212">
        <v>2</v>
      </c>
      <c r="AS212">
        <v>1690217245</v>
      </c>
      <c r="AT212">
        <v>386.37599999999998</v>
      </c>
      <c r="AU212">
        <v>800.029</v>
      </c>
      <c r="AV212">
        <v>28.430599999999998</v>
      </c>
      <c r="AW212">
        <v>5.7803300000000002</v>
      </c>
      <c r="AX212">
        <v>386.47300000000001</v>
      </c>
      <c r="AY212">
        <v>28.238</v>
      </c>
      <c r="AZ212">
        <v>300.18200000000002</v>
      </c>
      <c r="BA212">
        <v>99.091700000000003</v>
      </c>
      <c r="BB212">
        <v>9.9957500000000005E-2</v>
      </c>
      <c r="BC212">
        <v>26.838100000000001</v>
      </c>
      <c r="BD212">
        <v>27.0093</v>
      </c>
      <c r="BE212">
        <v>28.268000000000001</v>
      </c>
      <c r="BF212">
        <v>0</v>
      </c>
      <c r="BG212">
        <v>0</v>
      </c>
      <c r="BH212">
        <v>10013.1</v>
      </c>
      <c r="BI212">
        <v>1077.3</v>
      </c>
      <c r="BJ212">
        <v>1.78711</v>
      </c>
      <c r="BK212">
        <v>-413.65300000000002</v>
      </c>
      <c r="BL212">
        <v>397.68200000000002</v>
      </c>
      <c r="BM212">
        <v>804.68</v>
      </c>
      <c r="BN212">
        <v>22.650200000000002</v>
      </c>
      <c r="BO212">
        <v>800.029</v>
      </c>
      <c r="BP212">
        <v>5.7803300000000002</v>
      </c>
      <c r="BQ212">
        <v>2.8172299999999999</v>
      </c>
      <c r="BR212">
        <v>0.57278300000000004</v>
      </c>
      <c r="BS212">
        <v>22.985399999999998</v>
      </c>
      <c r="BT212">
        <v>-0.94515899999999997</v>
      </c>
      <c r="BU212">
        <v>1800</v>
      </c>
      <c r="BV212">
        <v>0.90998900000000005</v>
      </c>
      <c r="BW212">
        <v>3.3998E-2</v>
      </c>
      <c r="BX212">
        <v>2.2006600000000001E-2</v>
      </c>
      <c r="BY212">
        <v>3.4006300000000003E-2</v>
      </c>
      <c r="BZ212">
        <v>26</v>
      </c>
      <c r="CA212">
        <v>33528.199999999997</v>
      </c>
      <c r="CB212">
        <v>1690214843</v>
      </c>
      <c r="CC212" t="s">
        <v>332</v>
      </c>
      <c r="CD212">
        <v>1690214842</v>
      </c>
      <c r="CE212">
        <v>1690214843</v>
      </c>
      <c r="CF212">
        <v>8</v>
      </c>
      <c r="CG212">
        <v>-6.3E-2</v>
      </c>
      <c r="CH212">
        <v>1E-3</v>
      </c>
      <c r="CI212">
        <v>-0.38900000000000001</v>
      </c>
      <c r="CJ212">
        <v>-6.6000000000000003E-2</v>
      </c>
      <c r="CK212">
        <v>800</v>
      </c>
      <c r="CL212">
        <v>6</v>
      </c>
      <c r="CM212">
        <v>0.23</v>
      </c>
      <c r="CN212">
        <v>0.02</v>
      </c>
      <c r="CO212">
        <v>-412.65965853658531</v>
      </c>
      <c r="CP212">
        <v>-5.5472613240416422</v>
      </c>
      <c r="CQ212">
        <v>0.54815555962616802</v>
      </c>
      <c r="CR212">
        <v>-1</v>
      </c>
      <c r="CS212">
        <v>22.626285365853661</v>
      </c>
      <c r="CT212">
        <v>0.13573797909413379</v>
      </c>
      <c r="CU212">
        <v>1.356353722077404E-2</v>
      </c>
      <c r="CV212">
        <v>-1</v>
      </c>
      <c r="CW212">
        <v>0</v>
      </c>
      <c r="CX212">
        <v>0</v>
      </c>
      <c r="CY212" t="s">
        <v>333</v>
      </c>
      <c r="CZ212">
        <v>2.3645399999999999</v>
      </c>
      <c r="DA212">
        <v>2.7137600000000002</v>
      </c>
      <c r="DB212">
        <v>8.7176600000000007E-2</v>
      </c>
      <c r="DC212">
        <v>0.14611499999999999</v>
      </c>
      <c r="DD212">
        <v>0.12823599999999999</v>
      </c>
      <c r="DE212">
        <v>3.8273700000000001E-2</v>
      </c>
      <c r="DF212">
        <v>33325.300000000003</v>
      </c>
      <c r="DG212">
        <v>27511.9</v>
      </c>
      <c r="DH212">
        <v>31166.6</v>
      </c>
      <c r="DI212">
        <v>28075.1</v>
      </c>
      <c r="DJ212">
        <v>36873.4</v>
      </c>
      <c r="DK212">
        <v>38394.6</v>
      </c>
      <c r="DL212">
        <v>44352.5</v>
      </c>
      <c r="DM212">
        <v>42548.9</v>
      </c>
      <c r="DN212">
        <v>1.3653</v>
      </c>
      <c r="DO212">
        <v>2.0350299999999999</v>
      </c>
      <c r="DP212">
        <v>8.4124500000000005E-2</v>
      </c>
      <c r="DQ212">
        <v>0.173736</v>
      </c>
      <c r="DR212">
        <v>25.632100000000001</v>
      </c>
      <c r="DS212">
        <v>25.425999999999998</v>
      </c>
      <c r="DT212">
        <v>17</v>
      </c>
      <c r="DU212">
        <v>29.8</v>
      </c>
      <c r="DV212">
        <v>7.2250800000000002</v>
      </c>
      <c r="DW212">
        <v>61.388599999999997</v>
      </c>
      <c r="DX212">
        <v>37.071300000000001</v>
      </c>
      <c r="DY212">
        <v>1</v>
      </c>
      <c r="DZ212">
        <v>-9.4367400000000004E-2</v>
      </c>
      <c r="EA212">
        <v>-0.17872299999999999</v>
      </c>
      <c r="EB212">
        <v>20.189699999999998</v>
      </c>
      <c r="EC212">
        <v>5.2404999999999999</v>
      </c>
      <c r="ED212">
        <v>12.039899999999999</v>
      </c>
      <c r="EE212">
        <v>5.0168499999999998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1.8689100000000001</v>
      </c>
      <c r="EL212">
        <v>1.8646799999999999</v>
      </c>
      <c r="EM212">
        <v>1.8691899999999999</v>
      </c>
      <c r="EN212">
        <v>1.8672200000000001</v>
      </c>
      <c r="EO212">
        <v>1.8633999999999999</v>
      </c>
      <c r="EP212">
        <v>1.86456</v>
      </c>
      <c r="EQ212">
        <v>1.8702099999999999</v>
      </c>
      <c r="ER212">
        <v>1.86947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-9.7000000000000003E-2</v>
      </c>
      <c r="FG212">
        <v>0.19259999999999999</v>
      </c>
      <c r="FH212">
        <v>0.16202357103534001</v>
      </c>
      <c r="FI212">
        <v>-6.1462078757559423E-4</v>
      </c>
      <c r="FJ212">
        <v>-1.8861989874597051E-7</v>
      </c>
      <c r="FK212">
        <v>1.1980462299894961E-10</v>
      </c>
      <c r="FL212">
        <v>0.19260234566371101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40</v>
      </c>
      <c r="FU212">
        <v>40</v>
      </c>
      <c r="FV212">
        <v>1.7785599999999999</v>
      </c>
      <c r="FW212">
        <v>2.5769000000000002</v>
      </c>
      <c r="FX212">
        <v>1.5490699999999999</v>
      </c>
      <c r="FY212">
        <v>2.3290999999999999</v>
      </c>
      <c r="FZ212">
        <v>1.50146</v>
      </c>
      <c r="GA212">
        <v>2.3339799999999999</v>
      </c>
      <c r="GB212">
        <v>33.850900000000003</v>
      </c>
      <c r="GC212">
        <v>23.982399999999998</v>
      </c>
      <c r="GD212">
        <v>19</v>
      </c>
      <c r="GE212">
        <v>238.351</v>
      </c>
      <c r="GF212">
        <v>581.75800000000004</v>
      </c>
      <c r="GG212">
        <v>25.3566</v>
      </c>
      <c r="GH212">
        <v>26.206700000000001</v>
      </c>
      <c r="GI212">
        <v>30</v>
      </c>
      <c r="GJ212">
        <v>26.341200000000001</v>
      </c>
      <c r="GK212">
        <v>26.3127</v>
      </c>
      <c r="GL212">
        <v>35.559100000000001</v>
      </c>
      <c r="GM212">
        <v>-30</v>
      </c>
      <c r="GN212">
        <v>-30</v>
      </c>
      <c r="GO212">
        <v>25.348199999999999</v>
      </c>
      <c r="GP212">
        <v>800</v>
      </c>
      <c r="GQ212">
        <v>12.5298</v>
      </c>
      <c r="GR212">
        <v>99.719099999999997</v>
      </c>
      <c r="GS212">
        <v>99.5398</v>
      </c>
    </row>
    <row r="213" spans="1:201" x14ac:dyDescent="0.25">
      <c r="A213">
        <v>197</v>
      </c>
      <c r="B213">
        <v>1690217255</v>
      </c>
      <c r="C213">
        <v>2309.5</v>
      </c>
      <c r="D213" t="s">
        <v>727</v>
      </c>
      <c r="E213" t="s">
        <v>728</v>
      </c>
      <c r="F213" t="s">
        <v>330</v>
      </c>
      <c r="H213">
        <v>1690217255</v>
      </c>
      <c r="I213">
        <f t="shared" si="90"/>
        <v>2.0845610819747139E-3</v>
      </c>
      <c r="J213">
        <f t="shared" si="91"/>
        <v>2.084561081974714</v>
      </c>
      <c r="K213">
        <f t="shared" si="92"/>
        <v>36.214254170183352</v>
      </c>
      <c r="L213">
        <f t="shared" si="93"/>
        <v>385.70699999999999</v>
      </c>
      <c r="M213">
        <f t="shared" si="94"/>
        <v>80.195012000608699</v>
      </c>
      <c r="N213">
        <f t="shared" si="95"/>
        <v>7.954766262668751</v>
      </c>
      <c r="O213">
        <f t="shared" si="96"/>
        <v>38.259349981166999</v>
      </c>
      <c r="P213">
        <f t="shared" si="97"/>
        <v>0.20107415023673805</v>
      </c>
      <c r="Q213">
        <f t="shared" si="98"/>
        <v>2.0645096480391838</v>
      </c>
      <c r="R213">
        <f t="shared" si="99"/>
        <v>0.19079340712450363</v>
      </c>
      <c r="S213">
        <f t="shared" si="100"/>
        <v>0.12012574371180343</v>
      </c>
      <c r="T213">
        <f t="shared" si="101"/>
        <v>276.11616898799997</v>
      </c>
      <c r="U213">
        <f t="shared" si="102"/>
        <v>28.332362147468167</v>
      </c>
      <c r="V213">
        <f t="shared" si="103"/>
        <v>28.332362147468167</v>
      </c>
      <c r="W213">
        <f t="shared" si="104"/>
        <v>3.8689912881231785</v>
      </c>
      <c r="X213">
        <f t="shared" si="105"/>
        <v>79.612721213748344</v>
      </c>
      <c r="Y213">
        <f t="shared" si="106"/>
        <v>2.8217866374975</v>
      </c>
      <c r="Z213">
        <f t="shared" si="107"/>
        <v>3.5443916430408424</v>
      </c>
      <c r="AA213">
        <f t="shared" si="108"/>
        <v>1.0472046506256785</v>
      </c>
      <c r="AB213">
        <f t="shared" si="109"/>
        <v>-91.929143715084876</v>
      </c>
      <c r="AC213">
        <f t="shared" si="110"/>
        <v>-166.78160039481656</v>
      </c>
      <c r="AD213">
        <f t="shared" si="111"/>
        <v>-17.536339239975351</v>
      </c>
      <c r="AE213">
        <f t="shared" si="112"/>
        <v>-0.13091436187681893</v>
      </c>
      <c r="AF213">
        <v>43</v>
      </c>
      <c r="AG213">
        <v>14</v>
      </c>
      <c r="AH213">
        <f t="shared" si="113"/>
        <v>1</v>
      </c>
      <c r="AI213">
        <f t="shared" si="114"/>
        <v>0</v>
      </c>
      <c r="AJ213">
        <f t="shared" si="115"/>
        <v>52435.997229918576</v>
      </c>
      <c r="AK213">
        <f t="shared" si="116"/>
        <v>1800</v>
      </c>
      <c r="AL213">
        <f t="shared" si="117"/>
        <v>1499.1118218000001</v>
      </c>
      <c r="AM213">
        <f t="shared" si="118"/>
        <v>0.83283990100000005</v>
      </c>
      <c r="AN213">
        <f t="shared" si="119"/>
        <v>0.15339787165999999</v>
      </c>
      <c r="AO213">
        <v>33.6</v>
      </c>
      <c r="AP213">
        <v>0.5</v>
      </c>
      <c r="AQ213" t="s">
        <v>331</v>
      </c>
      <c r="AR213">
        <v>2</v>
      </c>
      <c r="AS213">
        <v>1690217255</v>
      </c>
      <c r="AT213">
        <v>385.70699999999999</v>
      </c>
      <c r="AU213">
        <v>800.01900000000001</v>
      </c>
      <c r="AV213">
        <v>28.447500000000002</v>
      </c>
      <c r="AW213">
        <v>5.7805999999999997</v>
      </c>
      <c r="AX213">
        <v>385.803</v>
      </c>
      <c r="AY213">
        <v>28.254899999999999</v>
      </c>
      <c r="AZ213">
        <v>300.21199999999999</v>
      </c>
      <c r="BA213">
        <v>99.092699999999994</v>
      </c>
      <c r="BB213">
        <v>0.100081</v>
      </c>
      <c r="BC213">
        <v>26.8339</v>
      </c>
      <c r="BD213">
        <v>27.012699999999999</v>
      </c>
      <c r="BE213">
        <v>28.262599999999999</v>
      </c>
      <c r="BF213">
        <v>0</v>
      </c>
      <c r="BG213">
        <v>0</v>
      </c>
      <c r="BH213">
        <v>10001.9</v>
      </c>
      <c r="BI213">
        <v>1077.3499999999999</v>
      </c>
      <c r="BJ213">
        <v>1.71702</v>
      </c>
      <c r="BK213">
        <v>-414.31200000000001</v>
      </c>
      <c r="BL213">
        <v>397</v>
      </c>
      <c r="BM213">
        <v>804.67100000000005</v>
      </c>
      <c r="BN213">
        <v>22.666899999999998</v>
      </c>
      <c r="BO213">
        <v>800.01900000000001</v>
      </c>
      <c r="BP213">
        <v>5.7805999999999997</v>
      </c>
      <c r="BQ213">
        <v>2.8189299999999999</v>
      </c>
      <c r="BR213">
        <v>0.57281499999999996</v>
      </c>
      <c r="BS213">
        <v>22.9954</v>
      </c>
      <c r="BT213">
        <v>-0.94437599999999999</v>
      </c>
      <c r="BU213">
        <v>1800</v>
      </c>
      <c r="BV213">
        <v>0.90998999999999997</v>
      </c>
      <c r="BW213">
        <v>3.3997600000000003E-2</v>
      </c>
      <c r="BX213">
        <v>2.2006299999999999E-2</v>
      </c>
      <c r="BY213">
        <v>3.4006000000000002E-2</v>
      </c>
      <c r="BZ213">
        <v>26</v>
      </c>
      <c r="CA213">
        <v>33528.199999999997</v>
      </c>
      <c r="CB213">
        <v>1690214843</v>
      </c>
      <c r="CC213" t="s">
        <v>332</v>
      </c>
      <c r="CD213">
        <v>1690214842</v>
      </c>
      <c r="CE213">
        <v>1690214843</v>
      </c>
      <c r="CF213">
        <v>8</v>
      </c>
      <c r="CG213">
        <v>-6.3E-2</v>
      </c>
      <c r="CH213">
        <v>1E-3</v>
      </c>
      <c r="CI213">
        <v>-0.38900000000000001</v>
      </c>
      <c r="CJ213">
        <v>-6.6000000000000003E-2</v>
      </c>
      <c r="CK213">
        <v>800</v>
      </c>
      <c r="CL213">
        <v>6</v>
      </c>
      <c r="CM213">
        <v>0.23</v>
      </c>
      <c r="CN213">
        <v>0.02</v>
      </c>
      <c r="CO213">
        <v>-413.56842499999999</v>
      </c>
      <c r="CP213">
        <v>-4.4655872420255562</v>
      </c>
      <c r="CQ213">
        <v>0.43054093228750812</v>
      </c>
      <c r="CR213">
        <v>-1</v>
      </c>
      <c r="CS213">
        <v>22.647955</v>
      </c>
      <c r="CT213">
        <v>0.1022994371481714</v>
      </c>
      <c r="CU213">
        <v>1.0013839173863269E-2</v>
      </c>
      <c r="CV213">
        <v>-1</v>
      </c>
      <c r="CW213">
        <v>0</v>
      </c>
      <c r="CX213">
        <v>0</v>
      </c>
      <c r="CY213" t="s">
        <v>333</v>
      </c>
      <c r="CZ213">
        <v>2.3646699999999998</v>
      </c>
      <c r="DA213">
        <v>2.71387</v>
      </c>
      <c r="DB213">
        <v>8.7061399999999997E-2</v>
      </c>
      <c r="DC213">
        <v>0.14611499999999999</v>
      </c>
      <c r="DD213">
        <v>0.12828999999999999</v>
      </c>
      <c r="DE213">
        <v>3.8275499999999997E-2</v>
      </c>
      <c r="DF213">
        <v>33329.199999999997</v>
      </c>
      <c r="DG213">
        <v>27512</v>
      </c>
      <c r="DH213">
        <v>31166.3</v>
      </c>
      <c r="DI213">
        <v>28075.200000000001</v>
      </c>
      <c r="DJ213">
        <v>36870.699999999997</v>
      </c>
      <c r="DK213">
        <v>38394.699999999997</v>
      </c>
      <c r="DL213">
        <v>44352.1</v>
      </c>
      <c r="DM213">
        <v>42549.2</v>
      </c>
      <c r="DN213">
        <v>1.3651800000000001</v>
      </c>
      <c r="DO213">
        <v>2.0349200000000001</v>
      </c>
      <c r="DP213">
        <v>8.4098400000000004E-2</v>
      </c>
      <c r="DQ213">
        <v>0.17319200000000001</v>
      </c>
      <c r="DR213">
        <v>25.6358</v>
      </c>
      <c r="DS213">
        <v>25.429400000000001</v>
      </c>
      <c r="DT213">
        <v>17</v>
      </c>
      <c r="DU213">
        <v>29.8</v>
      </c>
      <c r="DV213">
        <v>7.2259900000000004</v>
      </c>
      <c r="DW213">
        <v>61.7986</v>
      </c>
      <c r="DX213">
        <v>37.335700000000003</v>
      </c>
      <c r="DY213">
        <v>1</v>
      </c>
      <c r="DZ213">
        <v>-9.4222600000000004E-2</v>
      </c>
      <c r="EA213">
        <v>-0.160885</v>
      </c>
      <c r="EB213">
        <v>20.189499999999999</v>
      </c>
      <c r="EC213">
        <v>5.2411000000000003</v>
      </c>
      <c r="ED213">
        <v>12.039899999999999</v>
      </c>
      <c r="EE213">
        <v>5.0167999999999999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</v>
      </c>
      <c r="EL213">
        <v>1.8646799999999999</v>
      </c>
      <c r="EM213">
        <v>1.8692</v>
      </c>
      <c r="EN213">
        <v>1.8672500000000001</v>
      </c>
      <c r="EO213">
        <v>1.8633999999999999</v>
      </c>
      <c r="EP213">
        <v>1.8645799999999999</v>
      </c>
      <c r="EQ213">
        <v>1.87018</v>
      </c>
      <c r="ER213">
        <v>1.86947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-9.6000000000000002E-2</v>
      </c>
      <c r="FG213">
        <v>0.19259999999999999</v>
      </c>
      <c r="FH213">
        <v>0.16202357103534001</v>
      </c>
      <c r="FI213">
        <v>-6.1462078757559423E-4</v>
      </c>
      <c r="FJ213">
        <v>-1.8861989874597051E-7</v>
      </c>
      <c r="FK213">
        <v>1.1980462299894961E-10</v>
      </c>
      <c r="FL213">
        <v>0.19260234566371101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40.200000000000003</v>
      </c>
      <c r="FU213">
        <v>40.200000000000003</v>
      </c>
      <c r="FV213">
        <v>1.7785599999999999</v>
      </c>
      <c r="FW213">
        <v>2.5854499999999998</v>
      </c>
      <c r="FX213">
        <v>1.5490699999999999</v>
      </c>
      <c r="FY213">
        <v>2.3290999999999999</v>
      </c>
      <c r="FZ213">
        <v>1.50146</v>
      </c>
      <c r="GA213">
        <v>2.3156699999999999</v>
      </c>
      <c r="GB213">
        <v>33.850900000000003</v>
      </c>
      <c r="GC213">
        <v>23.982399999999998</v>
      </c>
      <c r="GD213">
        <v>19</v>
      </c>
      <c r="GE213">
        <v>238.297</v>
      </c>
      <c r="GF213">
        <v>581.67499999999995</v>
      </c>
      <c r="GG213">
        <v>25.335999999999999</v>
      </c>
      <c r="GH213">
        <v>26.206700000000001</v>
      </c>
      <c r="GI213">
        <v>30.0001</v>
      </c>
      <c r="GJ213">
        <v>26.339400000000001</v>
      </c>
      <c r="GK213">
        <v>26.3127</v>
      </c>
      <c r="GL213">
        <v>35.561700000000002</v>
      </c>
      <c r="GM213">
        <v>-30</v>
      </c>
      <c r="GN213">
        <v>-30</v>
      </c>
      <c r="GO213">
        <v>25.3307</v>
      </c>
      <c r="GP213">
        <v>800</v>
      </c>
      <c r="GQ213">
        <v>12.5298</v>
      </c>
      <c r="GR213">
        <v>99.718199999999996</v>
      </c>
      <c r="GS213">
        <v>99.540300000000002</v>
      </c>
    </row>
    <row r="214" spans="1:201" x14ac:dyDescent="0.25">
      <c r="A214">
        <v>198</v>
      </c>
      <c r="B214">
        <v>1690217265</v>
      </c>
      <c r="C214">
        <v>2319.5</v>
      </c>
      <c r="D214" t="s">
        <v>729</v>
      </c>
      <c r="E214" t="s">
        <v>730</v>
      </c>
      <c r="F214" t="s">
        <v>330</v>
      </c>
      <c r="H214">
        <v>1690217265</v>
      </c>
      <c r="I214">
        <f t="shared" si="90"/>
        <v>2.0856540899024251E-3</v>
      </c>
      <c r="J214">
        <f t="shared" si="91"/>
        <v>2.085654089902425</v>
      </c>
      <c r="K214">
        <f t="shared" si="92"/>
        <v>36.286916487004213</v>
      </c>
      <c r="L214">
        <f t="shared" si="93"/>
        <v>384.83699999999999</v>
      </c>
      <c r="M214">
        <f t="shared" si="94"/>
        <v>79.683028836669266</v>
      </c>
      <c r="N214">
        <f t="shared" si="95"/>
        <v>7.9040916296488719</v>
      </c>
      <c r="O214">
        <f t="shared" si="96"/>
        <v>38.173585453360495</v>
      </c>
      <c r="P214">
        <f t="shared" si="97"/>
        <v>0.20172607950577018</v>
      </c>
      <c r="Q214">
        <f t="shared" si="98"/>
        <v>2.0656244080018205</v>
      </c>
      <c r="R214">
        <f t="shared" si="99"/>
        <v>0.19138568117841503</v>
      </c>
      <c r="S214">
        <f t="shared" si="100"/>
        <v>0.12050090777391556</v>
      </c>
      <c r="T214">
        <f t="shared" si="101"/>
        <v>276.11607094200002</v>
      </c>
      <c r="U214">
        <f t="shared" si="102"/>
        <v>28.32754233410029</v>
      </c>
      <c r="V214">
        <f t="shared" si="103"/>
        <v>28.32754233410029</v>
      </c>
      <c r="W214">
        <f t="shared" si="104"/>
        <v>3.8679069987154713</v>
      </c>
      <c r="X214">
        <f t="shared" si="105"/>
        <v>79.67510565619888</v>
      </c>
      <c r="Y214">
        <f t="shared" si="106"/>
        <v>2.8233833999228</v>
      </c>
      <c r="Z214">
        <f t="shared" si="107"/>
        <v>3.5436205282309974</v>
      </c>
      <c r="AA214">
        <f t="shared" si="108"/>
        <v>1.0445235987926713</v>
      </c>
      <c r="AB214">
        <f t="shared" si="109"/>
        <v>-91.977345364696944</v>
      </c>
      <c r="AC214">
        <f t="shared" si="110"/>
        <v>-166.74695178763076</v>
      </c>
      <c r="AD214">
        <f t="shared" si="111"/>
        <v>-17.522489011865186</v>
      </c>
      <c r="AE214">
        <f t="shared" si="112"/>
        <v>-0.13071522219283338</v>
      </c>
      <c r="AF214">
        <v>43</v>
      </c>
      <c r="AG214">
        <v>14</v>
      </c>
      <c r="AH214">
        <f t="shared" si="113"/>
        <v>1</v>
      </c>
      <c r="AI214">
        <f t="shared" si="114"/>
        <v>0</v>
      </c>
      <c r="AJ214">
        <f t="shared" si="115"/>
        <v>52487.712945601561</v>
      </c>
      <c r="AK214">
        <f t="shared" si="116"/>
        <v>1800</v>
      </c>
      <c r="AL214">
        <f t="shared" si="117"/>
        <v>1499.1114041999999</v>
      </c>
      <c r="AM214">
        <f t="shared" si="118"/>
        <v>0.83283966899999995</v>
      </c>
      <c r="AN214">
        <f t="shared" si="119"/>
        <v>0.15339781719000001</v>
      </c>
      <c r="AO214">
        <v>33.6</v>
      </c>
      <c r="AP214">
        <v>0.5</v>
      </c>
      <c r="AQ214" t="s">
        <v>331</v>
      </c>
      <c r="AR214">
        <v>2</v>
      </c>
      <c r="AS214">
        <v>1690217265</v>
      </c>
      <c r="AT214">
        <v>384.83699999999999</v>
      </c>
      <c r="AU214">
        <v>800.04899999999998</v>
      </c>
      <c r="AV214">
        <v>28.463200000000001</v>
      </c>
      <c r="AW214">
        <v>5.7791899999999998</v>
      </c>
      <c r="AX214">
        <v>384.93299999999999</v>
      </c>
      <c r="AY214">
        <v>28.270600000000002</v>
      </c>
      <c r="AZ214">
        <v>300.13799999999998</v>
      </c>
      <c r="BA214">
        <v>99.094200000000001</v>
      </c>
      <c r="BB214">
        <v>9.99665E-2</v>
      </c>
      <c r="BC214">
        <v>26.830200000000001</v>
      </c>
      <c r="BD214">
        <v>27.005600000000001</v>
      </c>
      <c r="BE214">
        <v>28.277000000000001</v>
      </c>
      <c r="BF214">
        <v>0</v>
      </c>
      <c r="BG214">
        <v>0</v>
      </c>
      <c r="BH214">
        <v>10011.9</v>
      </c>
      <c r="BI214">
        <v>1077.3800000000001</v>
      </c>
      <c r="BJ214">
        <v>1.7941199999999999</v>
      </c>
      <c r="BK214">
        <v>-415.21199999999999</v>
      </c>
      <c r="BL214">
        <v>396.11099999999999</v>
      </c>
      <c r="BM214">
        <v>804.7</v>
      </c>
      <c r="BN214">
        <v>22.684000000000001</v>
      </c>
      <c r="BO214">
        <v>800.04899999999998</v>
      </c>
      <c r="BP214">
        <v>5.7791899999999998</v>
      </c>
      <c r="BQ214">
        <v>2.8205399999999998</v>
      </c>
      <c r="BR214">
        <v>0.57268399999999997</v>
      </c>
      <c r="BS214">
        <v>23.004799999999999</v>
      </c>
      <c r="BT214">
        <v>-0.94750900000000005</v>
      </c>
      <c r="BU214">
        <v>1800</v>
      </c>
      <c r="BV214">
        <v>0.90998999999999997</v>
      </c>
      <c r="BW214">
        <v>3.39975E-2</v>
      </c>
      <c r="BX214">
        <v>2.20062E-2</v>
      </c>
      <c r="BY214">
        <v>3.4005899999999999E-2</v>
      </c>
      <c r="BZ214">
        <v>26</v>
      </c>
      <c r="CA214">
        <v>33528.199999999997</v>
      </c>
      <c r="CB214">
        <v>1690214843</v>
      </c>
      <c r="CC214" t="s">
        <v>332</v>
      </c>
      <c r="CD214">
        <v>1690214842</v>
      </c>
      <c r="CE214">
        <v>1690214843</v>
      </c>
      <c r="CF214">
        <v>8</v>
      </c>
      <c r="CG214">
        <v>-6.3E-2</v>
      </c>
      <c r="CH214">
        <v>1E-3</v>
      </c>
      <c r="CI214">
        <v>-0.38900000000000001</v>
      </c>
      <c r="CJ214">
        <v>-6.6000000000000003E-2</v>
      </c>
      <c r="CK214">
        <v>800</v>
      </c>
      <c r="CL214">
        <v>6</v>
      </c>
      <c r="CM214">
        <v>0.23</v>
      </c>
      <c r="CN214">
        <v>0.02</v>
      </c>
      <c r="CO214">
        <v>-414.26009756097562</v>
      </c>
      <c r="CP214">
        <v>-4.5160766550519567</v>
      </c>
      <c r="CQ214">
        <v>0.44663084581461221</v>
      </c>
      <c r="CR214">
        <v>-1</v>
      </c>
      <c r="CS214">
        <v>22.66306585365853</v>
      </c>
      <c r="CT214">
        <v>9.6756794425108233E-2</v>
      </c>
      <c r="CU214">
        <v>9.6054763281567535E-3</v>
      </c>
      <c r="CV214">
        <v>-1</v>
      </c>
      <c r="CW214">
        <v>0</v>
      </c>
      <c r="CX214">
        <v>0</v>
      </c>
      <c r="CY214" t="s">
        <v>333</v>
      </c>
      <c r="CZ214">
        <v>2.36443</v>
      </c>
      <c r="DA214">
        <v>2.7137699999999998</v>
      </c>
      <c r="DB214">
        <v>8.6911199999999994E-2</v>
      </c>
      <c r="DC214">
        <v>0.146121</v>
      </c>
      <c r="DD214">
        <v>0.12834100000000001</v>
      </c>
      <c r="DE214">
        <v>3.8268400000000001E-2</v>
      </c>
      <c r="DF214">
        <v>33334.5</v>
      </c>
      <c r="DG214">
        <v>27511.9</v>
      </c>
      <c r="DH214">
        <v>31166.2</v>
      </c>
      <c r="DI214">
        <v>28075.3</v>
      </c>
      <c r="DJ214">
        <v>36868.5</v>
      </c>
      <c r="DK214">
        <v>38394.9</v>
      </c>
      <c r="DL214">
        <v>44352</v>
      </c>
      <c r="DM214">
        <v>42549.1</v>
      </c>
      <c r="DN214">
        <v>1.3650500000000001</v>
      </c>
      <c r="DO214">
        <v>2.0352299999999999</v>
      </c>
      <c r="DP214">
        <v>8.3513599999999993E-2</v>
      </c>
      <c r="DQ214">
        <v>0.17396400000000001</v>
      </c>
      <c r="DR214">
        <v>25.638300000000001</v>
      </c>
      <c r="DS214">
        <v>25.4313</v>
      </c>
      <c r="DT214">
        <v>17</v>
      </c>
      <c r="DU214">
        <v>29.8</v>
      </c>
      <c r="DV214">
        <v>7.22546</v>
      </c>
      <c r="DW214">
        <v>61.428600000000003</v>
      </c>
      <c r="DX214">
        <v>37.251600000000003</v>
      </c>
      <c r="DY214">
        <v>1</v>
      </c>
      <c r="DZ214">
        <v>-9.4263200000000005E-2</v>
      </c>
      <c r="EA214">
        <v>-0.213864</v>
      </c>
      <c r="EB214">
        <v>20.189399999999999</v>
      </c>
      <c r="EC214">
        <v>5.2409499999999998</v>
      </c>
      <c r="ED214">
        <v>12.039899999999999</v>
      </c>
      <c r="EE214">
        <v>5.0166000000000004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</v>
      </c>
      <c r="EL214">
        <v>1.86466</v>
      </c>
      <c r="EM214">
        <v>1.86917</v>
      </c>
      <c r="EN214">
        <v>1.8672200000000001</v>
      </c>
      <c r="EO214">
        <v>1.8633999999999999</v>
      </c>
      <c r="EP214">
        <v>1.8646</v>
      </c>
      <c r="EQ214">
        <v>1.87018</v>
      </c>
      <c r="ER214">
        <v>1.8694900000000001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-9.6000000000000002E-2</v>
      </c>
      <c r="FG214">
        <v>0.19259999999999999</v>
      </c>
      <c r="FH214">
        <v>0.16202357103534001</v>
      </c>
      <c r="FI214">
        <v>-6.1462078757559423E-4</v>
      </c>
      <c r="FJ214">
        <v>-1.8861989874597051E-7</v>
      </c>
      <c r="FK214">
        <v>1.1980462299894961E-10</v>
      </c>
      <c r="FL214">
        <v>0.19260234566371101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40.4</v>
      </c>
      <c r="FU214">
        <v>40.4</v>
      </c>
      <c r="FV214">
        <v>1.7785599999999999</v>
      </c>
      <c r="FW214">
        <v>2.5866699999999998</v>
      </c>
      <c r="FX214">
        <v>1.5490699999999999</v>
      </c>
      <c r="FY214">
        <v>2.3290999999999999</v>
      </c>
      <c r="FZ214">
        <v>1.50146</v>
      </c>
      <c r="GA214">
        <v>2.2790499999999998</v>
      </c>
      <c r="GB214">
        <v>33.850900000000003</v>
      </c>
      <c r="GC214">
        <v>23.982399999999998</v>
      </c>
      <c r="GD214">
        <v>19</v>
      </c>
      <c r="GE214">
        <v>238.25</v>
      </c>
      <c r="GF214">
        <v>581.92200000000003</v>
      </c>
      <c r="GG214">
        <v>25.3218</v>
      </c>
      <c r="GH214">
        <v>26.206700000000001</v>
      </c>
      <c r="GI214">
        <v>30.0001</v>
      </c>
      <c r="GJ214">
        <v>26.339400000000001</v>
      </c>
      <c r="GK214">
        <v>26.3127</v>
      </c>
      <c r="GL214">
        <v>35.5595</v>
      </c>
      <c r="GM214">
        <v>-30</v>
      </c>
      <c r="GN214">
        <v>-30</v>
      </c>
      <c r="GO214">
        <v>25.357299999999999</v>
      </c>
      <c r="GP214">
        <v>800</v>
      </c>
      <c r="GQ214">
        <v>12.5298</v>
      </c>
      <c r="GR214">
        <v>99.7179</v>
      </c>
      <c r="GS214">
        <v>99.540199999999999</v>
      </c>
    </row>
    <row r="215" spans="1:201" x14ac:dyDescent="0.25">
      <c r="A215">
        <v>199</v>
      </c>
      <c r="B215">
        <v>1690217275</v>
      </c>
      <c r="C215">
        <v>2329.5</v>
      </c>
      <c r="D215" t="s">
        <v>731</v>
      </c>
      <c r="E215" t="s">
        <v>732</v>
      </c>
      <c r="F215" t="s">
        <v>330</v>
      </c>
      <c r="H215">
        <v>1690217275</v>
      </c>
      <c r="I215">
        <f t="shared" si="90"/>
        <v>2.0876383203636676E-3</v>
      </c>
      <c r="J215">
        <f t="shared" si="91"/>
        <v>2.0876383203636677</v>
      </c>
      <c r="K215">
        <f t="shared" si="92"/>
        <v>36.359319125476844</v>
      </c>
      <c r="L215">
        <f t="shared" si="93"/>
        <v>383.93099999999998</v>
      </c>
      <c r="M215">
        <f t="shared" si="94"/>
        <v>78.947784369171373</v>
      </c>
      <c r="N215">
        <f t="shared" si="95"/>
        <v>7.8310553853933085</v>
      </c>
      <c r="O215">
        <f t="shared" si="96"/>
        <v>38.0832084040536</v>
      </c>
      <c r="P215">
        <f t="shared" si="97"/>
        <v>0.2022678820383555</v>
      </c>
      <c r="Q215">
        <f t="shared" si="98"/>
        <v>2.0623102001222153</v>
      </c>
      <c r="R215">
        <f t="shared" si="99"/>
        <v>0.19185762014929358</v>
      </c>
      <c r="S215">
        <f t="shared" si="100"/>
        <v>0.12080166704662063</v>
      </c>
      <c r="T215">
        <f t="shared" si="101"/>
        <v>276.11618772600002</v>
      </c>
      <c r="U215">
        <f t="shared" si="102"/>
        <v>28.329408811704084</v>
      </c>
      <c r="V215">
        <f t="shared" si="103"/>
        <v>28.329408811704084</v>
      </c>
      <c r="W215">
        <f t="shared" si="104"/>
        <v>3.8683268594331031</v>
      </c>
      <c r="X215">
        <f t="shared" si="105"/>
        <v>79.730392431588854</v>
      </c>
      <c r="Y215">
        <f t="shared" si="106"/>
        <v>2.8254090140704</v>
      </c>
      <c r="Z215">
        <f t="shared" si="107"/>
        <v>3.5437038849328237</v>
      </c>
      <c r="AA215">
        <f t="shared" si="108"/>
        <v>1.042917845362703</v>
      </c>
      <c r="AB215">
        <f t="shared" si="109"/>
        <v>-92.064849928037745</v>
      </c>
      <c r="AC215">
        <f t="shared" si="110"/>
        <v>-166.64246105652489</v>
      </c>
      <c r="AD215">
        <f t="shared" si="111"/>
        <v>-17.53984890616346</v>
      </c>
      <c r="AE215">
        <f t="shared" si="112"/>
        <v>-0.13097216472607442</v>
      </c>
      <c r="AF215">
        <v>43</v>
      </c>
      <c r="AG215">
        <v>14</v>
      </c>
      <c r="AH215">
        <f t="shared" si="113"/>
        <v>1</v>
      </c>
      <c r="AI215">
        <f t="shared" si="114"/>
        <v>0</v>
      </c>
      <c r="AJ215">
        <f t="shared" si="115"/>
        <v>52335.987203193043</v>
      </c>
      <c r="AK215">
        <f t="shared" si="116"/>
        <v>1800</v>
      </c>
      <c r="AL215">
        <f t="shared" si="117"/>
        <v>1499.1122375999998</v>
      </c>
      <c r="AM215">
        <f t="shared" si="118"/>
        <v>0.83284013199999996</v>
      </c>
      <c r="AN215">
        <f t="shared" si="119"/>
        <v>0.15339788207000002</v>
      </c>
      <c r="AO215">
        <v>33.6</v>
      </c>
      <c r="AP215">
        <v>0.5</v>
      </c>
      <c r="AQ215" t="s">
        <v>331</v>
      </c>
      <c r="AR215">
        <v>2</v>
      </c>
      <c r="AS215">
        <v>1690217275</v>
      </c>
      <c r="AT215">
        <v>383.93099999999998</v>
      </c>
      <c r="AU215">
        <v>799.952</v>
      </c>
      <c r="AV215">
        <v>28.484000000000002</v>
      </c>
      <c r="AW215">
        <v>5.7782900000000001</v>
      </c>
      <c r="AX215">
        <v>384.02600000000001</v>
      </c>
      <c r="AY215">
        <v>28.291399999999999</v>
      </c>
      <c r="AZ215">
        <v>300.13</v>
      </c>
      <c r="BA215">
        <v>99.0929</v>
      </c>
      <c r="BB215">
        <v>9.9945599999999996E-2</v>
      </c>
      <c r="BC215">
        <v>26.8306</v>
      </c>
      <c r="BD215">
        <v>26.996500000000001</v>
      </c>
      <c r="BE215">
        <v>28.259899999999998</v>
      </c>
      <c r="BF215">
        <v>0</v>
      </c>
      <c r="BG215">
        <v>0</v>
      </c>
      <c r="BH215">
        <v>9981.8799999999992</v>
      </c>
      <c r="BI215">
        <v>1077.3699999999999</v>
      </c>
      <c r="BJ215">
        <v>1.7941199999999999</v>
      </c>
      <c r="BK215">
        <v>-416.02100000000002</v>
      </c>
      <c r="BL215">
        <v>395.18700000000001</v>
      </c>
      <c r="BM215">
        <v>804.601</v>
      </c>
      <c r="BN215">
        <v>22.7057</v>
      </c>
      <c r="BO215">
        <v>799.952</v>
      </c>
      <c r="BP215">
        <v>5.7782900000000001</v>
      </c>
      <c r="BQ215">
        <v>2.8225600000000002</v>
      </c>
      <c r="BR215">
        <v>0.57258799999999999</v>
      </c>
      <c r="BS215">
        <v>23.0166</v>
      </c>
      <c r="BT215">
        <v>-0.94980699999999996</v>
      </c>
      <c r="BU215">
        <v>1800</v>
      </c>
      <c r="BV215">
        <v>0.90999099999999999</v>
      </c>
      <c r="BW215">
        <v>3.3997300000000001E-2</v>
      </c>
      <c r="BX215">
        <v>2.2006100000000001E-2</v>
      </c>
      <c r="BY215">
        <v>3.40057E-2</v>
      </c>
      <c r="BZ215">
        <v>26</v>
      </c>
      <c r="CA215">
        <v>33528.300000000003</v>
      </c>
      <c r="CB215">
        <v>1690214843</v>
      </c>
      <c r="CC215" t="s">
        <v>332</v>
      </c>
      <c r="CD215">
        <v>1690214842</v>
      </c>
      <c r="CE215">
        <v>1690214843</v>
      </c>
      <c r="CF215">
        <v>8</v>
      </c>
      <c r="CG215">
        <v>-6.3E-2</v>
      </c>
      <c r="CH215">
        <v>1E-3</v>
      </c>
      <c r="CI215">
        <v>-0.38900000000000001</v>
      </c>
      <c r="CJ215">
        <v>-6.6000000000000003E-2</v>
      </c>
      <c r="CK215">
        <v>800</v>
      </c>
      <c r="CL215">
        <v>6</v>
      </c>
      <c r="CM215">
        <v>0.23</v>
      </c>
      <c r="CN215">
        <v>0.02</v>
      </c>
      <c r="CO215">
        <v>-415.10289999999998</v>
      </c>
      <c r="CP215">
        <v>-5.0229568480304927</v>
      </c>
      <c r="CQ215">
        <v>0.48717983332646098</v>
      </c>
      <c r="CR215">
        <v>-1</v>
      </c>
      <c r="CS215">
        <v>22.683087499999999</v>
      </c>
      <c r="CT215">
        <v>0.123995121951192</v>
      </c>
      <c r="CU215">
        <v>1.202416707094528E-2</v>
      </c>
      <c r="CV215">
        <v>-1</v>
      </c>
      <c r="CW215">
        <v>0</v>
      </c>
      <c r="CX215">
        <v>0</v>
      </c>
      <c r="CY215" t="s">
        <v>333</v>
      </c>
      <c r="CZ215">
        <v>2.3643900000000002</v>
      </c>
      <c r="DA215">
        <v>2.7137199999999999</v>
      </c>
      <c r="DB215">
        <v>8.6752099999999999E-2</v>
      </c>
      <c r="DC215">
        <v>0.14610699999999999</v>
      </c>
      <c r="DD215">
        <v>0.12840399999999999</v>
      </c>
      <c r="DE215">
        <v>3.8263100000000001E-2</v>
      </c>
      <c r="DF215">
        <v>33340.400000000001</v>
      </c>
      <c r="DG215">
        <v>27512.2</v>
      </c>
      <c r="DH215">
        <v>31166.3</v>
      </c>
      <c r="DI215">
        <v>28075.1</v>
      </c>
      <c r="DJ215">
        <v>36865.800000000003</v>
      </c>
      <c r="DK215">
        <v>38395</v>
      </c>
      <c r="DL215">
        <v>44352</v>
      </c>
      <c r="DM215">
        <v>42548.9</v>
      </c>
      <c r="DN215">
        <v>1.36507</v>
      </c>
      <c r="DO215">
        <v>2.0352199999999998</v>
      </c>
      <c r="DP215">
        <v>8.2831799999999997E-2</v>
      </c>
      <c r="DQ215">
        <v>0.17302899999999999</v>
      </c>
      <c r="DR215">
        <v>25.6404</v>
      </c>
      <c r="DS215">
        <v>25.429400000000001</v>
      </c>
      <c r="DT215">
        <v>17</v>
      </c>
      <c r="DU215">
        <v>29.8</v>
      </c>
      <c r="DV215">
        <v>7.2252999999999998</v>
      </c>
      <c r="DW215">
        <v>61.928600000000003</v>
      </c>
      <c r="DX215">
        <v>37.271599999999999</v>
      </c>
      <c r="DY215">
        <v>1</v>
      </c>
      <c r="DZ215">
        <v>-9.3790700000000005E-2</v>
      </c>
      <c r="EA215">
        <v>-0.22456699999999999</v>
      </c>
      <c r="EB215">
        <v>20.189399999999999</v>
      </c>
      <c r="EC215">
        <v>5.2404999999999999</v>
      </c>
      <c r="ED215">
        <v>12.039899999999999</v>
      </c>
      <c r="EE215">
        <v>5.0164499999999999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1.8689100000000001</v>
      </c>
      <c r="EL215">
        <v>1.8646799999999999</v>
      </c>
      <c r="EM215">
        <v>1.8691899999999999</v>
      </c>
      <c r="EN215">
        <v>1.8672299999999999</v>
      </c>
      <c r="EO215">
        <v>1.8633999999999999</v>
      </c>
      <c r="EP215">
        <v>1.8646100000000001</v>
      </c>
      <c r="EQ215">
        <v>1.87018</v>
      </c>
      <c r="ER215">
        <v>1.86947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-9.5000000000000001E-2</v>
      </c>
      <c r="FG215">
        <v>0.19259999999999999</v>
      </c>
      <c r="FH215">
        <v>0.16202357103534001</v>
      </c>
      <c r="FI215">
        <v>-6.1462078757559423E-4</v>
      </c>
      <c r="FJ215">
        <v>-1.8861989874597051E-7</v>
      </c>
      <c r="FK215">
        <v>1.1980462299894961E-10</v>
      </c>
      <c r="FL215">
        <v>0.19260234566371101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40.5</v>
      </c>
      <c r="FU215">
        <v>40.5</v>
      </c>
      <c r="FV215">
        <v>1.7785599999999999</v>
      </c>
      <c r="FW215">
        <v>2.5854499999999998</v>
      </c>
      <c r="FX215">
        <v>1.5490699999999999</v>
      </c>
      <c r="FY215">
        <v>2.3290999999999999</v>
      </c>
      <c r="FZ215">
        <v>1.50146</v>
      </c>
      <c r="GA215">
        <v>2.3132299999999999</v>
      </c>
      <c r="GB215">
        <v>33.850900000000003</v>
      </c>
      <c r="GC215">
        <v>23.982399999999998</v>
      </c>
      <c r="GD215">
        <v>19</v>
      </c>
      <c r="GE215">
        <v>238.25899999999999</v>
      </c>
      <c r="GF215">
        <v>581.92200000000003</v>
      </c>
      <c r="GG215">
        <v>25.353100000000001</v>
      </c>
      <c r="GH215">
        <v>26.206099999999999</v>
      </c>
      <c r="GI215">
        <v>30.0001</v>
      </c>
      <c r="GJ215">
        <v>26.339400000000001</v>
      </c>
      <c r="GK215">
        <v>26.3127</v>
      </c>
      <c r="GL215">
        <v>35.561999999999998</v>
      </c>
      <c r="GM215">
        <v>-30</v>
      </c>
      <c r="GN215">
        <v>-30</v>
      </c>
      <c r="GO215">
        <v>25.351800000000001</v>
      </c>
      <c r="GP215">
        <v>800</v>
      </c>
      <c r="GQ215">
        <v>12.5298</v>
      </c>
      <c r="GR215">
        <v>99.718100000000007</v>
      </c>
      <c r="GS215">
        <v>99.539699999999996</v>
      </c>
    </row>
    <row r="216" spans="1:201" x14ac:dyDescent="0.25">
      <c r="A216">
        <v>200</v>
      </c>
      <c r="B216">
        <v>1690217285</v>
      </c>
      <c r="C216">
        <v>2339.5</v>
      </c>
      <c r="D216" t="s">
        <v>733</v>
      </c>
      <c r="E216" t="s">
        <v>734</v>
      </c>
      <c r="F216" t="s">
        <v>330</v>
      </c>
      <c r="H216">
        <v>1690217285</v>
      </c>
      <c r="I216">
        <f t="shared" si="90"/>
        <v>2.0899993532252389E-3</v>
      </c>
      <c r="J216">
        <f t="shared" si="91"/>
        <v>2.089999353225239</v>
      </c>
      <c r="K216">
        <f t="shared" si="92"/>
        <v>36.441744366447836</v>
      </c>
      <c r="L216">
        <f t="shared" si="93"/>
        <v>383.34199999999998</v>
      </c>
      <c r="M216">
        <f t="shared" si="94"/>
        <v>78.448009757316001</v>
      </c>
      <c r="N216">
        <f t="shared" si="95"/>
        <v>7.781058280747323</v>
      </c>
      <c r="O216">
        <f t="shared" si="96"/>
        <v>38.022716607926</v>
      </c>
      <c r="P216">
        <f t="shared" si="97"/>
        <v>0.20278318554585564</v>
      </c>
      <c r="Q216">
        <f t="shared" si="98"/>
        <v>2.0660208616884179</v>
      </c>
      <c r="R216">
        <f t="shared" si="99"/>
        <v>0.19233903707278222</v>
      </c>
      <c r="S216">
        <f t="shared" si="100"/>
        <v>0.12110542010984482</v>
      </c>
      <c r="T216">
        <f t="shared" si="101"/>
        <v>276.11617811400004</v>
      </c>
      <c r="U216">
        <f t="shared" si="102"/>
        <v>28.3287208148734</v>
      </c>
      <c r="V216">
        <f t="shared" si="103"/>
        <v>28.3287208148734</v>
      </c>
      <c r="W216">
        <f t="shared" si="104"/>
        <v>3.8681720911804058</v>
      </c>
      <c r="X216">
        <f t="shared" si="105"/>
        <v>79.756127114042869</v>
      </c>
      <c r="Y216">
        <f t="shared" si="106"/>
        <v>2.8267531417923002</v>
      </c>
      <c r="Z216">
        <f t="shared" si="107"/>
        <v>3.5442457452207288</v>
      </c>
      <c r="AA216">
        <f t="shared" si="108"/>
        <v>1.0414189493881056</v>
      </c>
      <c r="AB216">
        <f t="shared" si="109"/>
        <v>-92.168971477233043</v>
      </c>
      <c r="AC216">
        <f t="shared" si="110"/>
        <v>-166.57606854752558</v>
      </c>
      <c r="AD216">
        <f t="shared" si="111"/>
        <v>-17.501537551752872</v>
      </c>
      <c r="AE216">
        <f t="shared" si="112"/>
        <v>-0.13039946251143419</v>
      </c>
      <c r="AF216">
        <v>43</v>
      </c>
      <c r="AG216">
        <v>14</v>
      </c>
      <c r="AH216">
        <f t="shared" si="113"/>
        <v>1</v>
      </c>
      <c r="AI216">
        <f t="shared" si="114"/>
        <v>0</v>
      </c>
      <c r="AJ216">
        <f t="shared" si="115"/>
        <v>52505.198014190995</v>
      </c>
      <c r="AK216">
        <f t="shared" si="116"/>
        <v>1800</v>
      </c>
      <c r="AL216">
        <f t="shared" si="117"/>
        <v>1499.1125184</v>
      </c>
      <c r="AM216">
        <f t="shared" si="118"/>
        <v>0.83284028799999998</v>
      </c>
      <c r="AN216">
        <f t="shared" si="119"/>
        <v>0.15339787673000002</v>
      </c>
      <c r="AO216">
        <v>33.6</v>
      </c>
      <c r="AP216">
        <v>0.5</v>
      </c>
      <c r="AQ216" t="s">
        <v>331</v>
      </c>
      <c r="AR216">
        <v>2</v>
      </c>
      <c r="AS216">
        <v>1690217285</v>
      </c>
      <c r="AT216">
        <v>383.34199999999998</v>
      </c>
      <c r="AU216">
        <v>800.10299999999995</v>
      </c>
      <c r="AV216">
        <v>28.499099999999999</v>
      </c>
      <c r="AW216">
        <v>5.7778299999999998</v>
      </c>
      <c r="AX216">
        <v>383.43700000000001</v>
      </c>
      <c r="AY216">
        <v>28.3065</v>
      </c>
      <c r="AZ216">
        <v>300.25900000000001</v>
      </c>
      <c r="BA216">
        <v>99.087400000000002</v>
      </c>
      <c r="BB216">
        <v>0.100053</v>
      </c>
      <c r="BC216">
        <v>26.833200000000001</v>
      </c>
      <c r="BD216">
        <v>27.003299999999999</v>
      </c>
      <c r="BE216">
        <v>28.255500000000001</v>
      </c>
      <c r="BF216">
        <v>0</v>
      </c>
      <c r="BG216">
        <v>0</v>
      </c>
      <c r="BH216">
        <v>10016.200000000001</v>
      </c>
      <c r="BI216">
        <v>1077.51</v>
      </c>
      <c r="BJ216">
        <v>1.7941199999999999</v>
      </c>
      <c r="BK216">
        <v>-416.76100000000002</v>
      </c>
      <c r="BL216">
        <v>394.58800000000002</v>
      </c>
      <c r="BM216">
        <v>804.75300000000004</v>
      </c>
      <c r="BN216">
        <v>22.721299999999999</v>
      </c>
      <c r="BO216">
        <v>800.10299999999995</v>
      </c>
      <c r="BP216">
        <v>5.7778299999999998</v>
      </c>
      <c r="BQ216">
        <v>2.8239000000000001</v>
      </c>
      <c r="BR216">
        <v>0.57250999999999996</v>
      </c>
      <c r="BS216">
        <v>23.0245</v>
      </c>
      <c r="BT216">
        <v>-0.95165200000000005</v>
      </c>
      <c r="BU216">
        <v>1800</v>
      </c>
      <c r="BV216">
        <v>0.90999200000000002</v>
      </c>
      <c r="BW216">
        <v>3.3996999999999999E-2</v>
      </c>
      <c r="BX216">
        <v>2.2005899999999998E-2</v>
      </c>
      <c r="BY216">
        <v>3.4005300000000002E-2</v>
      </c>
      <c r="BZ216">
        <v>26</v>
      </c>
      <c r="CA216">
        <v>33528.300000000003</v>
      </c>
      <c r="CB216">
        <v>1690214843</v>
      </c>
      <c r="CC216" t="s">
        <v>332</v>
      </c>
      <c r="CD216">
        <v>1690214842</v>
      </c>
      <c r="CE216">
        <v>1690214843</v>
      </c>
      <c r="CF216">
        <v>8</v>
      </c>
      <c r="CG216">
        <v>-6.3E-2</v>
      </c>
      <c r="CH216">
        <v>1E-3</v>
      </c>
      <c r="CI216">
        <v>-0.38900000000000001</v>
      </c>
      <c r="CJ216">
        <v>-6.6000000000000003E-2</v>
      </c>
      <c r="CK216">
        <v>800</v>
      </c>
      <c r="CL216">
        <v>6</v>
      </c>
      <c r="CM216">
        <v>0.23</v>
      </c>
      <c r="CN216">
        <v>0.02</v>
      </c>
      <c r="CO216">
        <v>-415.90172500000011</v>
      </c>
      <c r="CP216">
        <v>-4.7263001876159958</v>
      </c>
      <c r="CQ216">
        <v>0.45955728628213149</v>
      </c>
      <c r="CR216">
        <v>-1</v>
      </c>
      <c r="CS216">
        <v>22.7030025</v>
      </c>
      <c r="CT216">
        <v>0.11360712945590801</v>
      </c>
      <c r="CU216">
        <v>1.1010142767012241E-2</v>
      </c>
      <c r="CV216">
        <v>-1</v>
      </c>
      <c r="CW216">
        <v>0</v>
      </c>
      <c r="CX216">
        <v>0</v>
      </c>
      <c r="CY216" t="s">
        <v>333</v>
      </c>
      <c r="CZ216">
        <v>2.3647999999999998</v>
      </c>
      <c r="DA216">
        <v>2.7138599999999999</v>
      </c>
      <c r="DB216">
        <v>8.6644799999999994E-2</v>
      </c>
      <c r="DC216">
        <v>0.146118</v>
      </c>
      <c r="DD216">
        <v>0.128445</v>
      </c>
      <c r="DE216">
        <v>3.82587E-2</v>
      </c>
      <c r="DF216">
        <v>33344.6</v>
      </c>
      <c r="DG216">
        <v>27512.6</v>
      </c>
      <c r="DH216">
        <v>31166.5</v>
      </c>
      <c r="DI216">
        <v>28075.9</v>
      </c>
      <c r="DJ216">
        <v>36864.400000000001</v>
      </c>
      <c r="DK216">
        <v>38396.1</v>
      </c>
      <c r="DL216">
        <v>44352.4</v>
      </c>
      <c r="DM216">
        <v>42550</v>
      </c>
      <c r="DN216">
        <v>1.3654999999999999</v>
      </c>
      <c r="DO216">
        <v>2.0347200000000001</v>
      </c>
      <c r="DP216">
        <v>8.3193199999999995E-2</v>
      </c>
      <c r="DQ216">
        <v>0.172876</v>
      </c>
      <c r="DR216">
        <v>25.641200000000001</v>
      </c>
      <c r="DS216">
        <v>25.427600000000002</v>
      </c>
      <c r="DT216">
        <v>17</v>
      </c>
      <c r="DU216">
        <v>29.8</v>
      </c>
      <c r="DV216">
        <v>7.2267200000000003</v>
      </c>
      <c r="DW216">
        <v>61.738599999999998</v>
      </c>
      <c r="DX216">
        <v>36.955100000000002</v>
      </c>
      <c r="DY216">
        <v>1</v>
      </c>
      <c r="DZ216">
        <v>-9.4344499999999998E-2</v>
      </c>
      <c r="EA216">
        <v>-0.21641099999999999</v>
      </c>
      <c r="EB216">
        <v>20.189599999999999</v>
      </c>
      <c r="EC216">
        <v>5.2408000000000001</v>
      </c>
      <c r="ED216">
        <v>12.039899999999999</v>
      </c>
      <c r="EE216">
        <v>5.0162500000000003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1.8689100000000001</v>
      </c>
      <c r="EL216">
        <v>1.86466</v>
      </c>
      <c r="EM216">
        <v>1.8692</v>
      </c>
      <c r="EN216">
        <v>1.86724</v>
      </c>
      <c r="EO216">
        <v>1.8633999999999999</v>
      </c>
      <c r="EP216">
        <v>1.8645700000000001</v>
      </c>
      <c r="EQ216">
        <v>1.87019</v>
      </c>
      <c r="ER216">
        <v>1.8694900000000001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-9.5000000000000001E-2</v>
      </c>
      <c r="FG216">
        <v>0.19259999999999999</v>
      </c>
      <c r="FH216">
        <v>0.16202357103534001</v>
      </c>
      <c r="FI216">
        <v>-6.1462078757559423E-4</v>
      </c>
      <c r="FJ216">
        <v>-1.8861989874597051E-7</v>
      </c>
      <c r="FK216">
        <v>1.1980462299894961E-10</v>
      </c>
      <c r="FL216">
        <v>0.19260234566371101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40.700000000000003</v>
      </c>
      <c r="FU216">
        <v>40.700000000000003</v>
      </c>
      <c r="FV216">
        <v>1.7785599999999999</v>
      </c>
      <c r="FW216">
        <v>2.5842299999999998</v>
      </c>
      <c r="FX216">
        <v>1.5490699999999999</v>
      </c>
      <c r="FY216">
        <v>2.3290999999999999</v>
      </c>
      <c r="FZ216">
        <v>1.50146</v>
      </c>
      <c r="GA216">
        <v>2.3303199999999999</v>
      </c>
      <c r="GB216">
        <v>33.850900000000003</v>
      </c>
      <c r="GC216">
        <v>23.982399999999998</v>
      </c>
      <c r="GD216">
        <v>19</v>
      </c>
      <c r="GE216">
        <v>238.42</v>
      </c>
      <c r="GF216">
        <v>581.48500000000001</v>
      </c>
      <c r="GG216">
        <v>25.354700000000001</v>
      </c>
      <c r="GH216">
        <v>26.204499999999999</v>
      </c>
      <c r="GI216">
        <v>30</v>
      </c>
      <c r="GJ216">
        <v>26.339400000000001</v>
      </c>
      <c r="GK216">
        <v>26.310400000000001</v>
      </c>
      <c r="GL216">
        <v>35.557699999999997</v>
      </c>
      <c r="GM216">
        <v>-30</v>
      </c>
      <c r="GN216">
        <v>-30</v>
      </c>
      <c r="GO216">
        <v>25.353200000000001</v>
      </c>
      <c r="GP216">
        <v>800</v>
      </c>
      <c r="GQ216">
        <v>12.5298</v>
      </c>
      <c r="GR216">
        <v>99.718999999999994</v>
      </c>
      <c r="GS216">
        <v>99.542400000000001</v>
      </c>
    </row>
    <row r="217" spans="1:201" x14ac:dyDescent="0.25">
      <c r="A217">
        <v>201</v>
      </c>
      <c r="B217">
        <v>1690217295</v>
      </c>
      <c r="C217">
        <v>2349.5</v>
      </c>
      <c r="D217" t="s">
        <v>735</v>
      </c>
      <c r="E217" t="s">
        <v>736</v>
      </c>
      <c r="F217" t="s">
        <v>330</v>
      </c>
      <c r="H217">
        <v>1690217295</v>
      </c>
      <c r="I217">
        <f t="shared" si="90"/>
        <v>2.0911788085134003E-3</v>
      </c>
      <c r="J217">
        <f t="shared" si="91"/>
        <v>2.0911788085134004</v>
      </c>
      <c r="K217">
        <f t="shared" si="92"/>
        <v>36.498565920407266</v>
      </c>
      <c r="L217">
        <f t="shared" si="93"/>
        <v>382.56299999999999</v>
      </c>
      <c r="M217">
        <f t="shared" si="94"/>
        <v>77.960104985582831</v>
      </c>
      <c r="N217">
        <f t="shared" si="95"/>
        <v>7.7328960245246856</v>
      </c>
      <c r="O217">
        <f t="shared" si="96"/>
        <v>37.946586941838</v>
      </c>
      <c r="P217">
        <f t="shared" si="97"/>
        <v>0.20331478751471402</v>
      </c>
      <c r="Q217">
        <f t="shared" si="98"/>
        <v>2.0642753775068261</v>
      </c>
      <c r="R217">
        <f t="shared" si="99"/>
        <v>0.19280894664448447</v>
      </c>
      <c r="S217">
        <f t="shared" si="100"/>
        <v>0.12140424337610213</v>
      </c>
      <c r="T217">
        <f t="shared" si="101"/>
        <v>276.11625742200005</v>
      </c>
      <c r="U217">
        <f t="shared" si="102"/>
        <v>28.328544580316915</v>
      </c>
      <c r="V217">
        <f t="shared" si="103"/>
        <v>28.328544580316915</v>
      </c>
      <c r="W217">
        <f t="shared" si="104"/>
        <v>3.8681324472238106</v>
      </c>
      <c r="X217">
        <f t="shared" si="105"/>
        <v>79.813676855067129</v>
      </c>
      <c r="Y217">
        <f t="shared" si="106"/>
        <v>2.8286431353697998</v>
      </c>
      <c r="Z217">
        <f t="shared" si="107"/>
        <v>3.5440581700130229</v>
      </c>
      <c r="AA217">
        <f t="shared" si="108"/>
        <v>1.0394893118540107</v>
      </c>
      <c r="AB217">
        <f t="shared" si="109"/>
        <v>-92.220985455440953</v>
      </c>
      <c r="AC217">
        <f t="shared" si="110"/>
        <v>-166.51588352288002</v>
      </c>
      <c r="AD217">
        <f t="shared" si="111"/>
        <v>-17.50991357937961</v>
      </c>
      <c r="AE217">
        <f t="shared" si="112"/>
        <v>-0.13052513570050905</v>
      </c>
      <c r="AF217">
        <v>43</v>
      </c>
      <c r="AG217">
        <v>14</v>
      </c>
      <c r="AH217">
        <f t="shared" si="113"/>
        <v>1</v>
      </c>
      <c r="AI217">
        <f t="shared" si="114"/>
        <v>0</v>
      </c>
      <c r="AJ217">
        <f t="shared" si="115"/>
        <v>52425.506513636901</v>
      </c>
      <c r="AK217">
        <f t="shared" si="116"/>
        <v>1800</v>
      </c>
      <c r="AL217">
        <f t="shared" si="117"/>
        <v>1499.1125201999998</v>
      </c>
      <c r="AM217">
        <f t="shared" si="118"/>
        <v>0.83284028899999996</v>
      </c>
      <c r="AN217">
        <f t="shared" si="119"/>
        <v>0.15339792079000003</v>
      </c>
      <c r="AO217">
        <v>33.6</v>
      </c>
      <c r="AP217">
        <v>0.5</v>
      </c>
      <c r="AQ217" t="s">
        <v>331</v>
      </c>
      <c r="AR217">
        <v>2</v>
      </c>
      <c r="AS217">
        <v>1690217295</v>
      </c>
      <c r="AT217">
        <v>382.56299999999999</v>
      </c>
      <c r="AU217">
        <v>800.07600000000002</v>
      </c>
      <c r="AV217">
        <v>28.517299999999999</v>
      </c>
      <c r="AW217">
        <v>5.7765899999999997</v>
      </c>
      <c r="AX217">
        <v>382.65699999999998</v>
      </c>
      <c r="AY217">
        <v>28.3247</v>
      </c>
      <c r="AZ217">
        <v>300.166</v>
      </c>
      <c r="BA217">
        <v>99.090400000000002</v>
      </c>
      <c r="BB217">
        <v>0.100026</v>
      </c>
      <c r="BC217">
        <v>26.8323</v>
      </c>
      <c r="BD217">
        <v>26.9878</v>
      </c>
      <c r="BE217">
        <v>28.251799999999999</v>
      </c>
      <c r="BF217">
        <v>0</v>
      </c>
      <c r="BG217">
        <v>0</v>
      </c>
      <c r="BH217">
        <v>10000</v>
      </c>
      <c r="BI217">
        <v>1077.51</v>
      </c>
      <c r="BJ217">
        <v>1.8501799999999999</v>
      </c>
      <c r="BK217">
        <v>-417.51299999999998</v>
      </c>
      <c r="BL217">
        <v>393.79300000000001</v>
      </c>
      <c r="BM217">
        <v>804.72500000000002</v>
      </c>
      <c r="BN217">
        <v>22.7407</v>
      </c>
      <c r="BO217">
        <v>800.07600000000002</v>
      </c>
      <c r="BP217">
        <v>5.7765899999999997</v>
      </c>
      <c r="BQ217">
        <v>2.82579</v>
      </c>
      <c r="BR217">
        <v>0.57240500000000005</v>
      </c>
      <c r="BS217">
        <v>23.035499999999999</v>
      </c>
      <c r="BT217">
        <v>-0.95417399999999997</v>
      </c>
      <c r="BU217">
        <v>1800</v>
      </c>
      <c r="BV217">
        <v>0.90999099999999999</v>
      </c>
      <c r="BW217">
        <v>3.3997399999999997E-2</v>
      </c>
      <c r="BX217">
        <v>2.20062E-2</v>
      </c>
      <c r="BY217">
        <v>3.40057E-2</v>
      </c>
      <c r="BZ217">
        <v>26</v>
      </c>
      <c r="CA217">
        <v>33528.300000000003</v>
      </c>
      <c r="CB217">
        <v>1690214843</v>
      </c>
      <c r="CC217" t="s">
        <v>332</v>
      </c>
      <c r="CD217">
        <v>1690214842</v>
      </c>
      <c r="CE217">
        <v>1690214843</v>
      </c>
      <c r="CF217">
        <v>8</v>
      </c>
      <c r="CG217">
        <v>-6.3E-2</v>
      </c>
      <c r="CH217">
        <v>1E-3</v>
      </c>
      <c r="CI217">
        <v>-0.38900000000000001</v>
      </c>
      <c r="CJ217">
        <v>-6.6000000000000003E-2</v>
      </c>
      <c r="CK217">
        <v>800</v>
      </c>
      <c r="CL217">
        <v>6</v>
      </c>
      <c r="CM217">
        <v>0.23</v>
      </c>
      <c r="CN217">
        <v>0.02</v>
      </c>
      <c r="CO217">
        <v>-416.57231707317072</v>
      </c>
      <c r="CP217">
        <v>-3.9633867595831949</v>
      </c>
      <c r="CQ217">
        <v>0.39653341993222091</v>
      </c>
      <c r="CR217">
        <v>-1</v>
      </c>
      <c r="CS217">
        <v>22.71825365853659</v>
      </c>
      <c r="CT217">
        <v>8.6694773519157622E-2</v>
      </c>
      <c r="CU217">
        <v>8.5857254636437889E-3</v>
      </c>
      <c r="CV217">
        <v>-1</v>
      </c>
      <c r="CW217">
        <v>0</v>
      </c>
      <c r="CX217">
        <v>0</v>
      </c>
      <c r="CY217" t="s">
        <v>333</v>
      </c>
      <c r="CZ217">
        <v>2.3645200000000002</v>
      </c>
      <c r="DA217">
        <v>2.7138200000000001</v>
      </c>
      <c r="DB217">
        <v>8.6511299999999999E-2</v>
      </c>
      <c r="DC217">
        <v>0.146119</v>
      </c>
      <c r="DD217">
        <v>0.12850500000000001</v>
      </c>
      <c r="DE217">
        <v>3.8253099999999998E-2</v>
      </c>
      <c r="DF217">
        <v>33350.400000000001</v>
      </c>
      <c r="DG217">
        <v>27512.9</v>
      </c>
      <c r="DH217">
        <v>31167.4</v>
      </c>
      <c r="DI217">
        <v>28076.3</v>
      </c>
      <c r="DJ217">
        <v>36862.9</v>
      </c>
      <c r="DK217">
        <v>38396.699999999997</v>
      </c>
      <c r="DL217">
        <v>44353.7</v>
      </c>
      <c r="DM217">
        <v>42550.400000000001</v>
      </c>
      <c r="DN217">
        <v>1.36503</v>
      </c>
      <c r="DO217">
        <v>2.03498</v>
      </c>
      <c r="DP217">
        <v>8.2165000000000002E-2</v>
      </c>
      <c r="DQ217">
        <v>0.17253299999999999</v>
      </c>
      <c r="DR217">
        <v>25.642600000000002</v>
      </c>
      <c r="DS217">
        <v>25.429400000000001</v>
      </c>
      <c r="DT217">
        <v>17</v>
      </c>
      <c r="DU217">
        <v>29.8</v>
      </c>
      <c r="DV217">
        <v>7.2263200000000003</v>
      </c>
      <c r="DW217">
        <v>61.818600000000004</v>
      </c>
      <c r="DX217">
        <v>36.474400000000003</v>
      </c>
      <c r="DY217">
        <v>1</v>
      </c>
      <c r="DZ217">
        <v>-9.4319100000000003E-2</v>
      </c>
      <c r="EA217">
        <v>-0.229327</v>
      </c>
      <c r="EB217">
        <v>20.189299999999999</v>
      </c>
      <c r="EC217">
        <v>5.2406499999999996</v>
      </c>
      <c r="ED217">
        <v>12.039899999999999</v>
      </c>
      <c r="EE217">
        <v>5.0159500000000001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1.8689100000000001</v>
      </c>
      <c r="EL217">
        <v>1.86467</v>
      </c>
      <c r="EM217">
        <v>1.8691899999999999</v>
      </c>
      <c r="EN217">
        <v>1.8672599999999999</v>
      </c>
      <c r="EO217">
        <v>1.8633999999999999</v>
      </c>
      <c r="EP217">
        <v>1.8645799999999999</v>
      </c>
      <c r="EQ217">
        <v>1.8702099999999999</v>
      </c>
      <c r="ER217">
        <v>1.8694999999999999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-9.4E-2</v>
      </c>
      <c r="FG217">
        <v>0.19259999999999999</v>
      </c>
      <c r="FH217">
        <v>0.16202357103534001</v>
      </c>
      <c r="FI217">
        <v>-6.1462078757559423E-4</v>
      </c>
      <c r="FJ217">
        <v>-1.8861989874597051E-7</v>
      </c>
      <c r="FK217">
        <v>1.1980462299894961E-10</v>
      </c>
      <c r="FL217">
        <v>0.19260234566371101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40.9</v>
      </c>
      <c r="FU217">
        <v>40.9</v>
      </c>
      <c r="FV217">
        <v>1.7785599999999999</v>
      </c>
      <c r="FW217">
        <v>2.5805699999999998</v>
      </c>
      <c r="FX217">
        <v>1.5490699999999999</v>
      </c>
      <c r="FY217">
        <v>2.3290999999999999</v>
      </c>
      <c r="FZ217">
        <v>1.50146</v>
      </c>
      <c r="GA217">
        <v>2.36694</v>
      </c>
      <c r="GB217">
        <v>33.850900000000003</v>
      </c>
      <c r="GC217">
        <v>23.982399999999998</v>
      </c>
      <c r="GD217">
        <v>19</v>
      </c>
      <c r="GE217">
        <v>238.24100000000001</v>
      </c>
      <c r="GF217">
        <v>581.69100000000003</v>
      </c>
      <c r="GG217">
        <v>25.353899999999999</v>
      </c>
      <c r="GH217">
        <v>26.204499999999999</v>
      </c>
      <c r="GI217">
        <v>30</v>
      </c>
      <c r="GJ217">
        <v>26.339400000000001</v>
      </c>
      <c r="GK217">
        <v>26.310400000000001</v>
      </c>
      <c r="GL217">
        <v>35.559100000000001</v>
      </c>
      <c r="GM217">
        <v>-30</v>
      </c>
      <c r="GN217">
        <v>-30</v>
      </c>
      <c r="GO217">
        <v>25.364699999999999</v>
      </c>
      <c r="GP217">
        <v>800</v>
      </c>
      <c r="GQ217">
        <v>12.5298</v>
      </c>
      <c r="GR217">
        <v>99.721800000000002</v>
      </c>
      <c r="GS217">
        <v>99.543499999999995</v>
      </c>
    </row>
    <row r="218" spans="1:201" x14ac:dyDescent="0.25">
      <c r="A218">
        <v>202</v>
      </c>
      <c r="B218">
        <v>1690217305</v>
      </c>
      <c r="C218">
        <v>2359.5</v>
      </c>
      <c r="D218" t="s">
        <v>737</v>
      </c>
      <c r="E218" t="s">
        <v>738</v>
      </c>
      <c r="F218" t="s">
        <v>330</v>
      </c>
      <c r="H218">
        <v>1690217305</v>
      </c>
      <c r="I218">
        <f t="shared" si="90"/>
        <v>2.0936078607956417E-3</v>
      </c>
      <c r="J218">
        <f t="shared" si="91"/>
        <v>2.0936078607956419</v>
      </c>
      <c r="K218">
        <f t="shared" si="92"/>
        <v>36.560240148584604</v>
      </c>
      <c r="L218">
        <f t="shared" si="93"/>
        <v>381.94499999999999</v>
      </c>
      <c r="M218">
        <f t="shared" si="94"/>
        <v>77.92436985780617</v>
      </c>
      <c r="N218">
        <f t="shared" si="95"/>
        <v>7.7292761826209446</v>
      </c>
      <c r="O218">
        <f t="shared" si="96"/>
        <v>37.884918376089004</v>
      </c>
      <c r="P218">
        <f t="shared" si="97"/>
        <v>0.20409540831924272</v>
      </c>
      <c r="Q218">
        <f t="shared" si="98"/>
        <v>2.0603444512658085</v>
      </c>
      <c r="R218">
        <f t="shared" si="99"/>
        <v>0.19349192709257027</v>
      </c>
      <c r="S218">
        <f t="shared" si="100"/>
        <v>0.12183920938225984</v>
      </c>
      <c r="T218">
        <f t="shared" si="101"/>
        <v>276.11614913400001</v>
      </c>
      <c r="U218">
        <f t="shared" si="102"/>
        <v>28.325761424946126</v>
      </c>
      <c r="V218">
        <f t="shared" si="103"/>
        <v>28.325761424946126</v>
      </c>
      <c r="W218">
        <f t="shared" si="104"/>
        <v>3.8675064235237659</v>
      </c>
      <c r="X218">
        <f t="shared" si="105"/>
        <v>79.887213936044617</v>
      </c>
      <c r="Y218">
        <f t="shared" si="106"/>
        <v>2.83050019310526</v>
      </c>
      <c r="Z218">
        <f t="shared" si="107"/>
        <v>3.5431204239658132</v>
      </c>
      <c r="AA218">
        <f t="shared" si="108"/>
        <v>1.0370062304185059</v>
      </c>
      <c r="AB218">
        <f t="shared" si="109"/>
        <v>-92.328106661087801</v>
      </c>
      <c r="AC218">
        <f t="shared" si="110"/>
        <v>-166.38949569240205</v>
      </c>
      <c r="AD218">
        <f t="shared" si="111"/>
        <v>-17.529368205089074</v>
      </c>
      <c r="AE218">
        <f t="shared" si="112"/>
        <v>-0.13082142457895429</v>
      </c>
      <c r="AF218">
        <v>43</v>
      </c>
      <c r="AG218">
        <v>14</v>
      </c>
      <c r="AH218">
        <f t="shared" si="113"/>
        <v>1</v>
      </c>
      <c r="AI218">
        <f t="shared" si="114"/>
        <v>0</v>
      </c>
      <c r="AJ218">
        <f t="shared" si="115"/>
        <v>52246.615855796081</v>
      </c>
      <c r="AK218">
        <f t="shared" si="116"/>
        <v>1800</v>
      </c>
      <c r="AL218">
        <f t="shared" si="117"/>
        <v>1499.1123923999999</v>
      </c>
      <c r="AM218">
        <f t="shared" si="118"/>
        <v>0.83284021799999997</v>
      </c>
      <c r="AN218">
        <f t="shared" si="119"/>
        <v>0.15339786063000002</v>
      </c>
      <c r="AO218">
        <v>33.6</v>
      </c>
      <c r="AP218">
        <v>0.5</v>
      </c>
      <c r="AQ218" t="s">
        <v>331</v>
      </c>
      <c r="AR218">
        <v>2</v>
      </c>
      <c r="AS218">
        <v>1690217305</v>
      </c>
      <c r="AT218">
        <v>381.94499999999999</v>
      </c>
      <c r="AU218">
        <v>800.04399999999998</v>
      </c>
      <c r="AV218">
        <v>28.536300000000001</v>
      </c>
      <c r="AW218">
        <v>5.77508</v>
      </c>
      <c r="AX218">
        <v>382.03899999999999</v>
      </c>
      <c r="AY218">
        <v>28.343699999999998</v>
      </c>
      <c r="AZ218">
        <v>300.238</v>
      </c>
      <c r="BA218">
        <v>99.089500000000001</v>
      </c>
      <c r="BB218">
        <v>9.9960199999999999E-2</v>
      </c>
      <c r="BC218">
        <v>26.8278</v>
      </c>
      <c r="BD218">
        <v>27.0108</v>
      </c>
      <c r="BE218">
        <v>28.2608</v>
      </c>
      <c r="BF218">
        <v>0</v>
      </c>
      <c r="BG218">
        <v>0</v>
      </c>
      <c r="BH218">
        <v>9964.3799999999992</v>
      </c>
      <c r="BI218">
        <v>1077.51</v>
      </c>
      <c r="BJ218">
        <v>1.7941199999999999</v>
      </c>
      <c r="BK218">
        <v>-418.09899999999999</v>
      </c>
      <c r="BL218">
        <v>393.16500000000002</v>
      </c>
      <c r="BM218">
        <v>804.69100000000003</v>
      </c>
      <c r="BN218">
        <v>22.761199999999999</v>
      </c>
      <c r="BO218">
        <v>800.04399999999998</v>
      </c>
      <c r="BP218">
        <v>5.77508</v>
      </c>
      <c r="BQ218">
        <v>2.8276400000000002</v>
      </c>
      <c r="BR218">
        <v>0.57225000000000004</v>
      </c>
      <c r="BS218">
        <v>23.046399999999998</v>
      </c>
      <c r="BT218">
        <v>-0.95786499999999997</v>
      </c>
      <c r="BU218">
        <v>1800</v>
      </c>
      <c r="BV218">
        <v>0.90999200000000002</v>
      </c>
      <c r="BW218">
        <v>3.3996899999999997E-2</v>
      </c>
      <c r="BX218">
        <v>2.2005899999999998E-2</v>
      </c>
      <c r="BY218">
        <v>3.4005300000000002E-2</v>
      </c>
      <c r="BZ218">
        <v>26</v>
      </c>
      <c r="CA218">
        <v>33528.400000000001</v>
      </c>
      <c r="CB218">
        <v>1690214843</v>
      </c>
      <c r="CC218" t="s">
        <v>332</v>
      </c>
      <c r="CD218">
        <v>1690214842</v>
      </c>
      <c r="CE218">
        <v>1690214843</v>
      </c>
      <c r="CF218">
        <v>8</v>
      </c>
      <c r="CG218">
        <v>-6.3E-2</v>
      </c>
      <c r="CH218">
        <v>1E-3</v>
      </c>
      <c r="CI218">
        <v>-0.38900000000000001</v>
      </c>
      <c r="CJ218">
        <v>-6.6000000000000003E-2</v>
      </c>
      <c r="CK218">
        <v>800</v>
      </c>
      <c r="CL218">
        <v>6</v>
      </c>
      <c r="CM218">
        <v>0.23</v>
      </c>
      <c r="CN218">
        <v>0.02</v>
      </c>
      <c r="CO218">
        <v>-417.34640000000002</v>
      </c>
      <c r="CP218">
        <v>-4.6047354596614047</v>
      </c>
      <c r="CQ218">
        <v>0.44861474563371279</v>
      </c>
      <c r="CR218">
        <v>-1</v>
      </c>
      <c r="CS218">
        <v>22.738924999999998</v>
      </c>
      <c r="CT218">
        <v>0.1382566604126885</v>
      </c>
      <c r="CU218">
        <v>1.348326277278588E-2</v>
      </c>
      <c r="CV218">
        <v>-1</v>
      </c>
      <c r="CW218">
        <v>0</v>
      </c>
      <c r="CX218">
        <v>0</v>
      </c>
      <c r="CY218" t="s">
        <v>333</v>
      </c>
      <c r="CZ218">
        <v>2.3647499999999999</v>
      </c>
      <c r="DA218">
        <v>2.7137199999999999</v>
      </c>
      <c r="DB218">
        <v>8.6402699999999999E-2</v>
      </c>
      <c r="DC218">
        <v>0.14611399999999999</v>
      </c>
      <c r="DD218">
        <v>0.12856300000000001</v>
      </c>
      <c r="DE218">
        <v>3.8244599999999997E-2</v>
      </c>
      <c r="DF218">
        <v>33354.199999999997</v>
      </c>
      <c r="DG218">
        <v>27512.9</v>
      </c>
      <c r="DH218">
        <v>31167.3</v>
      </c>
      <c r="DI218">
        <v>28076</v>
      </c>
      <c r="DJ218">
        <v>36860</v>
      </c>
      <c r="DK218">
        <v>38396.9</v>
      </c>
      <c r="DL218">
        <v>44353.3</v>
      </c>
      <c r="DM218">
        <v>42550.2</v>
      </c>
      <c r="DN218">
        <v>1.3653999999999999</v>
      </c>
      <c r="DO218">
        <v>2.03505</v>
      </c>
      <c r="DP218">
        <v>8.35732E-2</v>
      </c>
      <c r="DQ218">
        <v>0.17321500000000001</v>
      </c>
      <c r="DR218">
        <v>25.642600000000002</v>
      </c>
      <c r="DS218">
        <v>25.427299999999999</v>
      </c>
      <c r="DT218">
        <v>17</v>
      </c>
      <c r="DU218">
        <v>29.8</v>
      </c>
      <c r="DV218">
        <v>7.2244200000000003</v>
      </c>
      <c r="DW218">
        <v>61.6586</v>
      </c>
      <c r="DX218">
        <v>36.161900000000003</v>
      </c>
      <c r="DY218">
        <v>1</v>
      </c>
      <c r="DZ218">
        <v>-9.4481700000000002E-2</v>
      </c>
      <c r="EA218">
        <v>-0.25319199999999997</v>
      </c>
      <c r="EB218">
        <v>20.189299999999999</v>
      </c>
      <c r="EC218">
        <v>5.2406499999999996</v>
      </c>
      <c r="ED218">
        <v>12.039899999999999</v>
      </c>
      <c r="EE218">
        <v>5.0160999999999998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1.8689199999999999</v>
      </c>
      <c r="EL218">
        <v>1.86466</v>
      </c>
      <c r="EM218">
        <v>1.8691899999999999</v>
      </c>
      <c r="EN218">
        <v>1.8672500000000001</v>
      </c>
      <c r="EO218">
        <v>1.8633999999999999</v>
      </c>
      <c r="EP218">
        <v>1.8645799999999999</v>
      </c>
      <c r="EQ218">
        <v>1.87018</v>
      </c>
      <c r="ER218">
        <v>1.86948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-9.4E-2</v>
      </c>
      <c r="FG218">
        <v>0.19259999999999999</v>
      </c>
      <c r="FH218">
        <v>0.16202357103534001</v>
      </c>
      <c r="FI218">
        <v>-6.1462078757559423E-4</v>
      </c>
      <c r="FJ218">
        <v>-1.8861989874597051E-7</v>
      </c>
      <c r="FK218">
        <v>1.1980462299894961E-10</v>
      </c>
      <c r="FL218">
        <v>0.19260234566371101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41</v>
      </c>
      <c r="FU218">
        <v>41</v>
      </c>
      <c r="FV218">
        <v>1.7785599999999999</v>
      </c>
      <c r="FW218">
        <v>2.5817899999999998</v>
      </c>
      <c r="FX218">
        <v>1.5490699999999999</v>
      </c>
      <c r="FY218">
        <v>2.3290999999999999</v>
      </c>
      <c r="FZ218">
        <v>1.50146</v>
      </c>
      <c r="GA218">
        <v>2.3803700000000001</v>
      </c>
      <c r="GB218">
        <v>33.850900000000003</v>
      </c>
      <c r="GC218">
        <v>23.991199999999999</v>
      </c>
      <c r="GD218">
        <v>19</v>
      </c>
      <c r="GE218">
        <v>238.38</v>
      </c>
      <c r="GF218">
        <v>581.75300000000004</v>
      </c>
      <c r="GG218">
        <v>25.3718</v>
      </c>
      <c r="GH218">
        <v>26.204499999999999</v>
      </c>
      <c r="GI218">
        <v>29.9999</v>
      </c>
      <c r="GJ218">
        <v>26.338799999999999</v>
      </c>
      <c r="GK218">
        <v>26.310400000000001</v>
      </c>
      <c r="GL218">
        <v>35.557699999999997</v>
      </c>
      <c r="GM218">
        <v>-30</v>
      </c>
      <c r="GN218">
        <v>-30</v>
      </c>
      <c r="GO218">
        <v>25.372900000000001</v>
      </c>
      <c r="GP218">
        <v>800</v>
      </c>
      <c r="GQ218">
        <v>12.5298</v>
      </c>
      <c r="GR218">
        <v>99.721100000000007</v>
      </c>
      <c r="GS218">
        <v>99.5428</v>
      </c>
    </row>
    <row r="219" spans="1:201" x14ac:dyDescent="0.25">
      <c r="A219">
        <v>203</v>
      </c>
      <c r="B219">
        <v>1690217315</v>
      </c>
      <c r="C219">
        <v>2369.5</v>
      </c>
      <c r="D219" t="s">
        <v>739</v>
      </c>
      <c r="E219" t="s">
        <v>740</v>
      </c>
      <c r="F219" t="s">
        <v>330</v>
      </c>
      <c r="H219">
        <v>1690217315</v>
      </c>
      <c r="I219">
        <f t="shared" si="90"/>
        <v>2.0950224419707501E-3</v>
      </c>
      <c r="J219">
        <f t="shared" si="91"/>
        <v>2.0950224419707499</v>
      </c>
      <c r="K219">
        <f t="shared" si="92"/>
        <v>36.62931339165452</v>
      </c>
      <c r="L219">
        <f t="shared" si="93"/>
        <v>381.06799999999998</v>
      </c>
      <c r="M219">
        <f t="shared" si="94"/>
        <v>76.854994053808696</v>
      </c>
      <c r="N219">
        <f t="shared" si="95"/>
        <v>7.6235096274219547</v>
      </c>
      <c r="O219">
        <f t="shared" si="96"/>
        <v>37.799437791492004</v>
      </c>
      <c r="P219">
        <f t="shared" si="97"/>
        <v>0.20433848385986297</v>
      </c>
      <c r="Q219">
        <f t="shared" si="98"/>
        <v>2.0625204674439557</v>
      </c>
      <c r="R219">
        <f t="shared" si="99"/>
        <v>0.19372102375222724</v>
      </c>
      <c r="S219">
        <f t="shared" si="100"/>
        <v>0.12198358433379039</v>
      </c>
      <c r="T219">
        <f t="shared" si="101"/>
        <v>276.116069826</v>
      </c>
      <c r="U219">
        <f t="shared" si="102"/>
        <v>28.331011696041493</v>
      </c>
      <c r="V219">
        <f t="shared" si="103"/>
        <v>28.331011696041493</v>
      </c>
      <c r="W219">
        <f t="shared" si="104"/>
        <v>3.868687457058019</v>
      </c>
      <c r="X219">
        <f t="shared" si="105"/>
        <v>79.900798456096624</v>
      </c>
      <c r="Y219">
        <f t="shared" si="106"/>
        <v>2.8321804186299002</v>
      </c>
      <c r="Z219">
        <f t="shared" si="107"/>
        <v>3.5446209216371081</v>
      </c>
      <c r="AA219">
        <f t="shared" si="108"/>
        <v>1.0365070384281188</v>
      </c>
      <c r="AB219">
        <f t="shared" si="109"/>
        <v>-92.390489690910087</v>
      </c>
      <c r="AC219">
        <f t="shared" si="110"/>
        <v>-166.34842728419002</v>
      </c>
      <c r="AD219">
        <f t="shared" si="111"/>
        <v>-17.507639636997403</v>
      </c>
      <c r="AE219">
        <f t="shared" si="112"/>
        <v>-0.13048678609752073</v>
      </c>
      <c r="AF219">
        <v>42</v>
      </c>
      <c r="AG219">
        <v>14</v>
      </c>
      <c r="AH219">
        <f t="shared" si="113"/>
        <v>1</v>
      </c>
      <c r="AI219">
        <f t="shared" si="114"/>
        <v>0</v>
      </c>
      <c r="AJ219">
        <f t="shared" si="115"/>
        <v>52344.838224012412</v>
      </c>
      <c r="AK219">
        <f t="shared" si="116"/>
        <v>1800</v>
      </c>
      <c r="AL219">
        <f t="shared" si="117"/>
        <v>1499.1123906</v>
      </c>
      <c r="AM219">
        <f t="shared" si="118"/>
        <v>0.83284021699999999</v>
      </c>
      <c r="AN219">
        <f t="shared" si="119"/>
        <v>0.15339781657000001</v>
      </c>
      <c r="AO219">
        <v>33.6</v>
      </c>
      <c r="AP219">
        <v>0.5</v>
      </c>
      <c r="AQ219" t="s">
        <v>331</v>
      </c>
      <c r="AR219">
        <v>2</v>
      </c>
      <c r="AS219">
        <v>1690217315</v>
      </c>
      <c r="AT219">
        <v>381.06799999999998</v>
      </c>
      <c r="AU219">
        <v>799.952</v>
      </c>
      <c r="AV219">
        <v>28.552099999999999</v>
      </c>
      <c r="AW219">
        <v>5.7744299999999997</v>
      </c>
      <c r="AX219">
        <v>381.161</v>
      </c>
      <c r="AY219">
        <v>28.359500000000001</v>
      </c>
      <c r="AZ219">
        <v>300.21899999999999</v>
      </c>
      <c r="BA219">
        <v>99.093299999999999</v>
      </c>
      <c r="BB219">
        <v>0.100119</v>
      </c>
      <c r="BC219">
        <v>26.835000000000001</v>
      </c>
      <c r="BD219">
        <v>26.989699999999999</v>
      </c>
      <c r="BE219">
        <v>28.2681</v>
      </c>
      <c r="BF219">
        <v>0</v>
      </c>
      <c r="BG219">
        <v>0</v>
      </c>
      <c r="BH219">
        <v>9983.75</v>
      </c>
      <c r="BI219">
        <v>1077.5</v>
      </c>
      <c r="BJ219">
        <v>1.7941199999999999</v>
      </c>
      <c r="BK219">
        <v>-418.88400000000001</v>
      </c>
      <c r="BL219">
        <v>392.26799999999997</v>
      </c>
      <c r="BM219">
        <v>804.59799999999996</v>
      </c>
      <c r="BN219">
        <v>22.7776</v>
      </c>
      <c r="BO219">
        <v>799.952</v>
      </c>
      <c r="BP219">
        <v>5.7744299999999997</v>
      </c>
      <c r="BQ219">
        <v>2.8293200000000001</v>
      </c>
      <c r="BR219">
        <v>0.57220700000000002</v>
      </c>
      <c r="BS219">
        <v>23.056100000000001</v>
      </c>
      <c r="BT219">
        <v>-0.95889800000000003</v>
      </c>
      <c r="BU219">
        <v>1800</v>
      </c>
      <c r="BV219">
        <v>0.90999300000000005</v>
      </c>
      <c r="BW219">
        <v>3.3996499999999999E-2</v>
      </c>
      <c r="BX219">
        <v>2.20056E-2</v>
      </c>
      <c r="BY219">
        <v>3.4004899999999998E-2</v>
      </c>
      <c r="BZ219">
        <v>26</v>
      </c>
      <c r="CA219">
        <v>33528.199999999997</v>
      </c>
      <c r="CB219">
        <v>1690214843</v>
      </c>
      <c r="CC219" t="s">
        <v>332</v>
      </c>
      <c r="CD219">
        <v>1690214842</v>
      </c>
      <c r="CE219">
        <v>1690214843</v>
      </c>
      <c r="CF219">
        <v>8</v>
      </c>
      <c r="CG219">
        <v>-6.3E-2</v>
      </c>
      <c r="CH219">
        <v>1E-3</v>
      </c>
      <c r="CI219">
        <v>-0.38900000000000001</v>
      </c>
      <c r="CJ219">
        <v>-6.6000000000000003E-2</v>
      </c>
      <c r="CK219">
        <v>800</v>
      </c>
      <c r="CL219">
        <v>6</v>
      </c>
      <c r="CM219">
        <v>0.23</v>
      </c>
      <c r="CN219">
        <v>0.02</v>
      </c>
      <c r="CO219">
        <v>-418.099175</v>
      </c>
      <c r="CP219">
        <v>-4.3969868667912371</v>
      </c>
      <c r="CQ219">
        <v>0.42534285508869651</v>
      </c>
      <c r="CR219">
        <v>-1</v>
      </c>
      <c r="CS219">
        <v>22.7597725</v>
      </c>
      <c r="CT219">
        <v>0.1044033771107004</v>
      </c>
      <c r="CU219">
        <v>1.011058820000086E-2</v>
      </c>
      <c r="CV219">
        <v>-1</v>
      </c>
      <c r="CW219">
        <v>0</v>
      </c>
      <c r="CX219">
        <v>0</v>
      </c>
      <c r="CY219" t="s">
        <v>333</v>
      </c>
      <c r="CZ219">
        <v>2.3647</v>
      </c>
      <c r="DA219">
        <v>2.7139000000000002</v>
      </c>
      <c r="DB219">
        <v>8.6252700000000002E-2</v>
      </c>
      <c r="DC219">
        <v>0.14610799999999999</v>
      </c>
      <c r="DD219">
        <v>0.12861800000000001</v>
      </c>
      <c r="DE219">
        <v>3.8242400000000003E-2</v>
      </c>
      <c r="DF219">
        <v>33359.4</v>
      </c>
      <c r="DG219">
        <v>27513.1</v>
      </c>
      <c r="DH219">
        <v>31167</v>
      </c>
      <c r="DI219">
        <v>28076.1</v>
      </c>
      <c r="DJ219">
        <v>36857.4</v>
      </c>
      <c r="DK219">
        <v>38397.199999999997</v>
      </c>
      <c r="DL219">
        <v>44353</v>
      </c>
      <c r="DM219">
        <v>42550.400000000001</v>
      </c>
      <c r="DN219">
        <v>1.36585</v>
      </c>
      <c r="DO219">
        <v>2.0350299999999999</v>
      </c>
      <c r="DP219">
        <v>8.2280500000000006E-2</v>
      </c>
      <c r="DQ219">
        <v>0.173792</v>
      </c>
      <c r="DR219">
        <v>25.642600000000002</v>
      </c>
      <c r="DS219">
        <v>25.4252</v>
      </c>
      <c r="DT219">
        <v>17</v>
      </c>
      <c r="DU219">
        <v>29.8</v>
      </c>
      <c r="DV219">
        <v>7.22539</v>
      </c>
      <c r="DW219">
        <v>61.498600000000003</v>
      </c>
      <c r="DX219">
        <v>35.997599999999998</v>
      </c>
      <c r="DY219">
        <v>1</v>
      </c>
      <c r="DZ219">
        <v>-9.4258099999999997E-2</v>
      </c>
      <c r="EA219">
        <v>-0.20862700000000001</v>
      </c>
      <c r="EB219">
        <v>20.189399999999999</v>
      </c>
      <c r="EC219">
        <v>5.2408000000000001</v>
      </c>
      <c r="ED219">
        <v>12.039899999999999</v>
      </c>
      <c r="EE219">
        <v>5.0166000000000004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1.8689199999999999</v>
      </c>
      <c r="EL219">
        <v>1.86466</v>
      </c>
      <c r="EM219">
        <v>1.8692</v>
      </c>
      <c r="EN219">
        <v>1.8672500000000001</v>
      </c>
      <c r="EO219">
        <v>1.8633999999999999</v>
      </c>
      <c r="EP219">
        <v>1.8646</v>
      </c>
      <c r="EQ219">
        <v>1.87015</v>
      </c>
      <c r="ER219">
        <v>1.8694900000000001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-9.2999999999999999E-2</v>
      </c>
      <c r="FG219">
        <v>0.19259999999999999</v>
      </c>
      <c r="FH219">
        <v>0.16202357103534001</v>
      </c>
      <c r="FI219">
        <v>-6.1462078757559423E-4</v>
      </c>
      <c r="FJ219">
        <v>-1.8861989874597051E-7</v>
      </c>
      <c r="FK219">
        <v>1.1980462299894961E-10</v>
      </c>
      <c r="FL219">
        <v>0.19260234566371101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41.2</v>
      </c>
      <c r="FU219">
        <v>41.2</v>
      </c>
      <c r="FV219">
        <v>1.7785599999999999</v>
      </c>
      <c r="FW219">
        <v>2.5817899999999998</v>
      </c>
      <c r="FX219">
        <v>1.5490699999999999</v>
      </c>
      <c r="FY219">
        <v>2.3290999999999999</v>
      </c>
      <c r="FZ219">
        <v>1.50146</v>
      </c>
      <c r="GA219">
        <v>2.3938000000000001</v>
      </c>
      <c r="GB219">
        <v>33.850900000000003</v>
      </c>
      <c r="GC219">
        <v>23.991199999999999</v>
      </c>
      <c r="GD219">
        <v>19</v>
      </c>
      <c r="GE219">
        <v>238.54300000000001</v>
      </c>
      <c r="GF219">
        <v>581.73199999999997</v>
      </c>
      <c r="GG219">
        <v>25.367000000000001</v>
      </c>
      <c r="GH219">
        <v>26.204499999999999</v>
      </c>
      <c r="GI219">
        <v>30.0001</v>
      </c>
      <c r="GJ219">
        <v>26.3371</v>
      </c>
      <c r="GK219">
        <v>26.310400000000001</v>
      </c>
      <c r="GL219">
        <v>35.560499999999998</v>
      </c>
      <c r="GM219">
        <v>-30</v>
      </c>
      <c r="GN219">
        <v>-30</v>
      </c>
      <c r="GO219">
        <v>25.366399999999999</v>
      </c>
      <c r="GP219">
        <v>800</v>
      </c>
      <c r="GQ219">
        <v>12.5298</v>
      </c>
      <c r="GR219">
        <v>99.720399999999998</v>
      </c>
      <c r="GS219">
        <v>99.543199999999999</v>
      </c>
    </row>
    <row r="220" spans="1:201" x14ac:dyDescent="0.25">
      <c r="A220">
        <v>204</v>
      </c>
      <c r="B220">
        <v>1690217325</v>
      </c>
      <c r="C220">
        <v>2379.5</v>
      </c>
      <c r="D220" t="s">
        <v>741</v>
      </c>
      <c r="E220" t="s">
        <v>742</v>
      </c>
      <c r="F220" t="s">
        <v>330</v>
      </c>
      <c r="H220">
        <v>1690217325</v>
      </c>
      <c r="I220">
        <f t="shared" si="90"/>
        <v>2.0952565619493076E-3</v>
      </c>
      <c r="J220">
        <f t="shared" si="91"/>
        <v>2.0952565619493075</v>
      </c>
      <c r="K220">
        <f t="shared" si="92"/>
        <v>36.673705003272779</v>
      </c>
      <c r="L220">
        <f t="shared" si="93"/>
        <v>380.51100000000002</v>
      </c>
      <c r="M220">
        <f t="shared" si="94"/>
        <v>76.818273810491931</v>
      </c>
      <c r="N220">
        <f t="shared" si="95"/>
        <v>7.6198481546452923</v>
      </c>
      <c r="O220">
        <f t="shared" si="96"/>
        <v>37.744092614278799</v>
      </c>
      <c r="P220">
        <f t="shared" si="97"/>
        <v>0.20494716898275281</v>
      </c>
      <c r="Q220">
        <f t="shared" si="98"/>
        <v>2.0648557262260363</v>
      </c>
      <c r="R220">
        <f t="shared" si="99"/>
        <v>0.1942795374767172</v>
      </c>
      <c r="S220">
        <f t="shared" si="100"/>
        <v>0.12233686512811118</v>
      </c>
      <c r="T220">
        <f t="shared" si="101"/>
        <v>276.11606021400002</v>
      </c>
      <c r="U220">
        <f t="shared" si="102"/>
        <v>28.321007440468161</v>
      </c>
      <c r="V220">
        <f t="shared" si="103"/>
        <v>28.321007440468161</v>
      </c>
      <c r="W220">
        <f t="shared" si="104"/>
        <v>3.8664372995781449</v>
      </c>
      <c r="X220">
        <f t="shared" si="105"/>
        <v>79.957436029937142</v>
      </c>
      <c r="Y220">
        <f t="shared" si="106"/>
        <v>2.8327883296576397</v>
      </c>
      <c r="Z220">
        <f t="shared" si="107"/>
        <v>3.5428703949398845</v>
      </c>
      <c r="AA220">
        <f t="shared" si="108"/>
        <v>1.0336489699205051</v>
      </c>
      <c r="AB220">
        <f t="shared" si="109"/>
        <v>-92.400814381964466</v>
      </c>
      <c r="AC220">
        <f t="shared" si="110"/>
        <v>-166.35818633438853</v>
      </c>
      <c r="AD220">
        <f t="shared" si="111"/>
        <v>-17.487258830061705</v>
      </c>
      <c r="AE220">
        <f t="shared" si="112"/>
        <v>-0.13019933241469062</v>
      </c>
      <c r="AF220">
        <v>43</v>
      </c>
      <c r="AG220">
        <v>14</v>
      </c>
      <c r="AH220">
        <f t="shared" si="113"/>
        <v>1</v>
      </c>
      <c r="AI220">
        <f t="shared" si="114"/>
        <v>0</v>
      </c>
      <c r="AJ220">
        <f t="shared" si="115"/>
        <v>52453.125311833952</v>
      </c>
      <c r="AK220">
        <f t="shared" si="116"/>
        <v>1800</v>
      </c>
      <c r="AL220">
        <f t="shared" si="117"/>
        <v>1499.1126714</v>
      </c>
      <c r="AM220">
        <f t="shared" si="118"/>
        <v>0.83284037299999991</v>
      </c>
      <c r="AN220">
        <f t="shared" si="119"/>
        <v>0.15339781123000001</v>
      </c>
      <c r="AO220">
        <v>33.6</v>
      </c>
      <c r="AP220">
        <v>0.5</v>
      </c>
      <c r="AQ220" t="s">
        <v>331</v>
      </c>
      <c r="AR220">
        <v>2</v>
      </c>
      <c r="AS220">
        <v>1690217325</v>
      </c>
      <c r="AT220">
        <v>380.51100000000002</v>
      </c>
      <c r="AU220">
        <v>799.95799999999997</v>
      </c>
      <c r="AV220">
        <v>28.558299999999999</v>
      </c>
      <c r="AW220">
        <v>5.7739799999999999</v>
      </c>
      <c r="AX220">
        <v>380.60399999999998</v>
      </c>
      <c r="AY220">
        <v>28.3657</v>
      </c>
      <c r="AZ220">
        <v>300.16300000000001</v>
      </c>
      <c r="BA220">
        <v>99.093199999999996</v>
      </c>
      <c r="BB220">
        <v>9.9970799999999999E-2</v>
      </c>
      <c r="BC220">
        <v>26.826599999999999</v>
      </c>
      <c r="BD220">
        <v>26.9895</v>
      </c>
      <c r="BE220">
        <v>28.270099999999999</v>
      </c>
      <c r="BF220">
        <v>0</v>
      </c>
      <c r="BG220">
        <v>0</v>
      </c>
      <c r="BH220">
        <v>10005</v>
      </c>
      <c r="BI220">
        <v>1077.55</v>
      </c>
      <c r="BJ220">
        <v>1.7030099999999999</v>
      </c>
      <c r="BK220">
        <v>-419.44600000000003</v>
      </c>
      <c r="BL220">
        <v>391.69799999999998</v>
      </c>
      <c r="BM220">
        <v>804.60400000000004</v>
      </c>
      <c r="BN220">
        <v>22.784400000000002</v>
      </c>
      <c r="BO220">
        <v>799.95799999999997</v>
      </c>
      <c r="BP220">
        <v>5.7739799999999999</v>
      </c>
      <c r="BQ220">
        <v>2.8299400000000001</v>
      </c>
      <c r="BR220">
        <v>0.57216199999999995</v>
      </c>
      <c r="BS220">
        <v>23.059799999999999</v>
      </c>
      <c r="BT220">
        <v>-0.95996499999999996</v>
      </c>
      <c r="BU220">
        <v>1800</v>
      </c>
      <c r="BV220">
        <v>0.90999399999999997</v>
      </c>
      <c r="BW220">
        <v>3.3996199999999997E-2</v>
      </c>
      <c r="BX220">
        <v>2.2005400000000001E-2</v>
      </c>
      <c r="BY220">
        <v>3.40045E-2</v>
      </c>
      <c r="BZ220">
        <v>26</v>
      </c>
      <c r="CA220">
        <v>33528.199999999997</v>
      </c>
      <c r="CB220">
        <v>1690214843</v>
      </c>
      <c r="CC220" t="s">
        <v>332</v>
      </c>
      <c r="CD220">
        <v>1690214842</v>
      </c>
      <c r="CE220">
        <v>1690214843</v>
      </c>
      <c r="CF220">
        <v>8</v>
      </c>
      <c r="CG220">
        <v>-6.3E-2</v>
      </c>
      <c r="CH220">
        <v>1E-3</v>
      </c>
      <c r="CI220">
        <v>-0.38900000000000001</v>
      </c>
      <c r="CJ220">
        <v>-6.6000000000000003E-2</v>
      </c>
      <c r="CK220">
        <v>800</v>
      </c>
      <c r="CL220">
        <v>6</v>
      </c>
      <c r="CM220">
        <v>0.23</v>
      </c>
      <c r="CN220">
        <v>0.02</v>
      </c>
      <c r="CO220">
        <v>-418.80242500000003</v>
      </c>
      <c r="CP220">
        <v>-4.1815272045031513</v>
      </c>
      <c r="CQ220">
        <v>0.40539140885692232</v>
      </c>
      <c r="CR220">
        <v>-1</v>
      </c>
      <c r="CS220">
        <v>22.775187500000001</v>
      </c>
      <c r="CT220">
        <v>8.0963977485903393E-2</v>
      </c>
      <c r="CU220">
        <v>7.9812025253091119E-3</v>
      </c>
      <c r="CV220">
        <v>-1</v>
      </c>
      <c r="CW220">
        <v>0</v>
      </c>
      <c r="CX220">
        <v>0</v>
      </c>
      <c r="CY220" t="s">
        <v>333</v>
      </c>
      <c r="CZ220">
        <v>2.3645100000000001</v>
      </c>
      <c r="DA220">
        <v>2.7137699999999998</v>
      </c>
      <c r="DB220">
        <v>8.6155300000000004E-2</v>
      </c>
      <c r="DC220">
        <v>0.14610899999999999</v>
      </c>
      <c r="DD220">
        <v>0.128637</v>
      </c>
      <c r="DE220">
        <v>3.8240000000000003E-2</v>
      </c>
      <c r="DF220">
        <v>33363.5</v>
      </c>
      <c r="DG220">
        <v>27512.799999999999</v>
      </c>
      <c r="DH220">
        <v>31167.5</v>
      </c>
      <c r="DI220">
        <v>28075.8</v>
      </c>
      <c r="DJ220">
        <v>36857.1</v>
      </c>
      <c r="DK220">
        <v>38396.800000000003</v>
      </c>
      <c r="DL220">
        <v>44353.7</v>
      </c>
      <c r="DM220">
        <v>42549.9</v>
      </c>
      <c r="DN220">
        <v>1.36528</v>
      </c>
      <c r="DO220">
        <v>2.0348799999999998</v>
      </c>
      <c r="DP220">
        <v>8.2269300000000004E-2</v>
      </c>
      <c r="DQ220">
        <v>0.174124</v>
      </c>
      <c r="DR220">
        <v>25.642600000000002</v>
      </c>
      <c r="DS220">
        <v>25.421700000000001</v>
      </c>
      <c r="DT220">
        <v>17</v>
      </c>
      <c r="DU220">
        <v>29.8</v>
      </c>
      <c r="DV220">
        <v>7.2259500000000001</v>
      </c>
      <c r="DW220">
        <v>61.7286</v>
      </c>
      <c r="DX220">
        <v>36.229999999999997</v>
      </c>
      <c r="DY220">
        <v>1</v>
      </c>
      <c r="DZ220">
        <v>-9.4250500000000001E-2</v>
      </c>
      <c r="EA220">
        <v>-0.25804199999999999</v>
      </c>
      <c r="EB220">
        <v>20.189299999999999</v>
      </c>
      <c r="EC220">
        <v>5.2406499999999996</v>
      </c>
      <c r="ED220">
        <v>12.039899999999999</v>
      </c>
      <c r="EE220">
        <v>5.0161499999999997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1.8689100000000001</v>
      </c>
      <c r="EL220">
        <v>1.86467</v>
      </c>
      <c r="EM220">
        <v>1.8691899999999999</v>
      </c>
      <c r="EN220">
        <v>1.86724</v>
      </c>
      <c r="EO220">
        <v>1.8633999999999999</v>
      </c>
      <c r="EP220">
        <v>1.8646100000000001</v>
      </c>
      <c r="EQ220">
        <v>1.87018</v>
      </c>
      <c r="ER220">
        <v>1.8694900000000001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-9.2999999999999999E-2</v>
      </c>
      <c r="FG220">
        <v>0.19259999999999999</v>
      </c>
      <c r="FH220">
        <v>0.16202357103534001</v>
      </c>
      <c r="FI220">
        <v>-6.1462078757559423E-4</v>
      </c>
      <c r="FJ220">
        <v>-1.8861989874597051E-7</v>
      </c>
      <c r="FK220">
        <v>1.1980462299894961E-10</v>
      </c>
      <c r="FL220">
        <v>0.19260234566371101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41.4</v>
      </c>
      <c r="FU220">
        <v>41.4</v>
      </c>
      <c r="FV220">
        <v>1.7785599999999999</v>
      </c>
      <c r="FW220">
        <v>2.5769000000000002</v>
      </c>
      <c r="FX220">
        <v>1.5490699999999999</v>
      </c>
      <c r="FY220">
        <v>2.3290999999999999</v>
      </c>
      <c r="FZ220">
        <v>1.50146</v>
      </c>
      <c r="GA220">
        <v>2.4011200000000001</v>
      </c>
      <c r="GB220">
        <v>33.850900000000003</v>
      </c>
      <c r="GC220">
        <v>23.991199999999999</v>
      </c>
      <c r="GD220">
        <v>19</v>
      </c>
      <c r="GE220">
        <v>238.327</v>
      </c>
      <c r="GF220">
        <v>581.60900000000004</v>
      </c>
      <c r="GG220">
        <v>25.3719</v>
      </c>
      <c r="GH220">
        <v>26.204499999999999</v>
      </c>
      <c r="GI220">
        <v>30.0001</v>
      </c>
      <c r="GJ220">
        <v>26.3371</v>
      </c>
      <c r="GK220">
        <v>26.310400000000001</v>
      </c>
      <c r="GL220">
        <v>35.561</v>
      </c>
      <c r="GM220">
        <v>-30</v>
      </c>
      <c r="GN220">
        <v>-30</v>
      </c>
      <c r="GO220">
        <v>25.383299999999998</v>
      </c>
      <c r="GP220">
        <v>800</v>
      </c>
      <c r="GQ220">
        <v>12.5298</v>
      </c>
      <c r="GR220">
        <v>99.721900000000005</v>
      </c>
      <c r="GS220">
        <v>99.542000000000002</v>
      </c>
    </row>
    <row r="221" spans="1:201" x14ac:dyDescent="0.25">
      <c r="A221">
        <v>205</v>
      </c>
      <c r="B221">
        <v>1690217335</v>
      </c>
      <c r="C221">
        <v>2389.5</v>
      </c>
      <c r="D221" t="s">
        <v>743</v>
      </c>
      <c r="E221" t="s">
        <v>744</v>
      </c>
      <c r="F221" t="s">
        <v>330</v>
      </c>
      <c r="H221">
        <v>1690217335</v>
      </c>
      <c r="I221">
        <f t="shared" si="90"/>
        <v>2.0961371886032264E-3</v>
      </c>
      <c r="J221">
        <f t="shared" si="91"/>
        <v>2.0961371886032265</v>
      </c>
      <c r="K221">
        <f t="shared" si="92"/>
        <v>36.7252928427379</v>
      </c>
      <c r="L221">
        <f t="shared" si="93"/>
        <v>379.76100000000002</v>
      </c>
      <c r="M221">
        <f t="shared" si="94"/>
        <v>75.844319032715461</v>
      </c>
      <c r="N221">
        <f t="shared" si="95"/>
        <v>7.5228765629314109</v>
      </c>
      <c r="O221">
        <f t="shared" si="96"/>
        <v>37.667885516686802</v>
      </c>
      <c r="P221">
        <f t="shared" si="97"/>
        <v>0.20508445839069234</v>
      </c>
      <c r="Q221">
        <f t="shared" si="98"/>
        <v>2.0633627860771764</v>
      </c>
      <c r="R221">
        <f t="shared" si="99"/>
        <v>0.1943956341219501</v>
      </c>
      <c r="S221">
        <f t="shared" si="100"/>
        <v>0.12241117647970626</v>
      </c>
      <c r="T221">
        <f t="shared" si="101"/>
        <v>276.115980906</v>
      </c>
      <c r="U221">
        <f t="shared" si="102"/>
        <v>28.326962239510344</v>
      </c>
      <c r="V221">
        <f t="shared" si="103"/>
        <v>28.326962239510344</v>
      </c>
      <c r="W221">
        <f t="shared" si="104"/>
        <v>3.8677765155975798</v>
      </c>
      <c r="X221">
        <f t="shared" si="105"/>
        <v>79.97737237752915</v>
      </c>
      <c r="Y221">
        <f t="shared" si="106"/>
        <v>2.8343779275891601</v>
      </c>
      <c r="Z221">
        <f t="shared" si="107"/>
        <v>3.5439748060359149</v>
      </c>
      <c r="AA221">
        <f t="shared" si="108"/>
        <v>1.0333985880084198</v>
      </c>
      <c r="AB221">
        <f t="shared" si="109"/>
        <v>-92.439650017402286</v>
      </c>
      <c r="AC221">
        <f t="shared" si="110"/>
        <v>-166.3107452359086</v>
      </c>
      <c r="AD221">
        <f t="shared" si="111"/>
        <v>-17.495903897070733</v>
      </c>
      <c r="AE221">
        <f t="shared" si="112"/>
        <v>-0.13031824438161266</v>
      </c>
      <c r="AF221">
        <v>43</v>
      </c>
      <c r="AG221">
        <v>14</v>
      </c>
      <c r="AH221">
        <f t="shared" si="113"/>
        <v>1</v>
      </c>
      <c r="AI221">
        <f t="shared" si="114"/>
        <v>0</v>
      </c>
      <c r="AJ221">
        <f t="shared" si="115"/>
        <v>52383.790398909012</v>
      </c>
      <c r="AK221">
        <f t="shared" si="116"/>
        <v>1800</v>
      </c>
      <c r="AL221">
        <f t="shared" si="117"/>
        <v>1499.1126696000001</v>
      </c>
      <c r="AM221">
        <f t="shared" si="118"/>
        <v>0.83284037200000005</v>
      </c>
      <c r="AN221">
        <f t="shared" si="119"/>
        <v>0.15339776717</v>
      </c>
      <c r="AO221">
        <v>33.6</v>
      </c>
      <c r="AP221">
        <v>0.5</v>
      </c>
      <c r="AQ221" t="s">
        <v>331</v>
      </c>
      <c r="AR221">
        <v>2</v>
      </c>
      <c r="AS221">
        <v>1690217335</v>
      </c>
      <c r="AT221">
        <v>379.76100000000002</v>
      </c>
      <c r="AU221">
        <v>799.92700000000002</v>
      </c>
      <c r="AV221">
        <v>28.575700000000001</v>
      </c>
      <c r="AW221">
        <v>5.7737800000000004</v>
      </c>
      <c r="AX221">
        <v>379.85300000000001</v>
      </c>
      <c r="AY221">
        <v>28.383099999999999</v>
      </c>
      <c r="AZ221">
        <v>300.05200000000002</v>
      </c>
      <c r="BA221">
        <v>99.0886</v>
      </c>
      <c r="BB221">
        <v>9.9798799999999993E-2</v>
      </c>
      <c r="BC221">
        <v>26.831900000000001</v>
      </c>
      <c r="BD221">
        <v>26.993099999999998</v>
      </c>
      <c r="BE221">
        <v>28.267099999999999</v>
      </c>
      <c r="BF221">
        <v>0</v>
      </c>
      <c r="BG221">
        <v>0</v>
      </c>
      <c r="BH221">
        <v>9991.8799999999992</v>
      </c>
      <c r="BI221">
        <v>1077.57</v>
      </c>
      <c r="BJ221">
        <v>1.7941199999999999</v>
      </c>
      <c r="BK221">
        <v>-420.166</v>
      </c>
      <c r="BL221">
        <v>390.93200000000002</v>
      </c>
      <c r="BM221">
        <v>804.572</v>
      </c>
      <c r="BN221">
        <v>22.8019</v>
      </c>
      <c r="BO221">
        <v>799.92700000000002</v>
      </c>
      <c r="BP221">
        <v>5.7737800000000004</v>
      </c>
      <c r="BQ221">
        <v>2.8315299999999999</v>
      </c>
      <c r="BR221">
        <v>0.57211599999999996</v>
      </c>
      <c r="BS221">
        <v>23.069099999999999</v>
      </c>
      <c r="BT221">
        <v>-0.961063</v>
      </c>
      <c r="BU221">
        <v>1800</v>
      </c>
      <c r="BV221">
        <v>0.909995</v>
      </c>
      <c r="BW221">
        <v>3.39958E-2</v>
      </c>
      <c r="BX221">
        <v>2.20051E-2</v>
      </c>
      <c r="BY221">
        <v>3.4004100000000002E-2</v>
      </c>
      <c r="BZ221">
        <v>26</v>
      </c>
      <c r="CA221">
        <v>33528.199999999997</v>
      </c>
      <c r="CB221">
        <v>1690214843</v>
      </c>
      <c r="CC221" t="s">
        <v>332</v>
      </c>
      <c r="CD221">
        <v>1690214842</v>
      </c>
      <c r="CE221">
        <v>1690214843</v>
      </c>
      <c r="CF221">
        <v>8</v>
      </c>
      <c r="CG221">
        <v>-6.3E-2</v>
      </c>
      <c r="CH221">
        <v>1E-3</v>
      </c>
      <c r="CI221">
        <v>-0.38900000000000001</v>
      </c>
      <c r="CJ221">
        <v>-6.6000000000000003E-2</v>
      </c>
      <c r="CK221">
        <v>800</v>
      </c>
      <c r="CL221">
        <v>6</v>
      </c>
      <c r="CM221">
        <v>0.23</v>
      </c>
      <c r="CN221">
        <v>0.02</v>
      </c>
      <c r="CO221">
        <v>-419.50835000000001</v>
      </c>
      <c r="CP221">
        <v>-4.2116848030015719</v>
      </c>
      <c r="CQ221">
        <v>0.40900999682159539</v>
      </c>
      <c r="CR221">
        <v>-1</v>
      </c>
      <c r="CS221">
        <v>22.786840000000002</v>
      </c>
      <c r="CT221">
        <v>6.0326454033723151E-2</v>
      </c>
      <c r="CU221">
        <v>6.0478425905441972E-3</v>
      </c>
      <c r="CV221">
        <v>-1</v>
      </c>
      <c r="CW221">
        <v>0</v>
      </c>
      <c r="CX221">
        <v>0</v>
      </c>
      <c r="CY221" t="s">
        <v>333</v>
      </c>
      <c r="CZ221">
        <v>2.3641200000000002</v>
      </c>
      <c r="DA221">
        <v>2.7135799999999999</v>
      </c>
      <c r="DB221">
        <v>8.6019999999999999E-2</v>
      </c>
      <c r="DC221">
        <v>0.14609900000000001</v>
      </c>
      <c r="DD221">
        <v>0.12868599999999999</v>
      </c>
      <c r="DE221">
        <v>3.8237399999999998E-2</v>
      </c>
      <c r="DF221">
        <v>33367.4</v>
      </c>
      <c r="DG221">
        <v>27513.5</v>
      </c>
      <c r="DH221">
        <v>31166.6</v>
      </c>
      <c r="DI221">
        <v>28076.2</v>
      </c>
      <c r="DJ221">
        <v>36854.1</v>
      </c>
      <c r="DK221">
        <v>38397.599999999999</v>
      </c>
      <c r="DL221">
        <v>44352.5</v>
      </c>
      <c r="DM221">
        <v>42550.7</v>
      </c>
      <c r="DN221">
        <v>1.36425</v>
      </c>
      <c r="DO221">
        <v>2.0352999999999999</v>
      </c>
      <c r="DP221">
        <v>8.2388500000000003E-2</v>
      </c>
      <c r="DQ221">
        <v>0.17399000000000001</v>
      </c>
      <c r="DR221">
        <v>25.644200000000001</v>
      </c>
      <c r="DS221">
        <v>25.4209</v>
      </c>
      <c r="DT221">
        <v>17</v>
      </c>
      <c r="DU221">
        <v>29.8</v>
      </c>
      <c r="DV221">
        <v>7.2258399999999998</v>
      </c>
      <c r="DW221">
        <v>61.718600000000002</v>
      </c>
      <c r="DX221">
        <v>36.474400000000003</v>
      </c>
      <c r="DY221">
        <v>1</v>
      </c>
      <c r="DZ221">
        <v>-9.4481700000000002E-2</v>
      </c>
      <c r="EA221">
        <v>-0.279028</v>
      </c>
      <c r="EB221">
        <v>20.1892</v>
      </c>
      <c r="EC221">
        <v>5.2408000000000001</v>
      </c>
      <c r="ED221">
        <v>12.039899999999999</v>
      </c>
      <c r="EE221">
        <v>5.0159000000000002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1.86893</v>
      </c>
      <c r="EL221">
        <v>1.8646799999999999</v>
      </c>
      <c r="EM221">
        <v>1.8691899999999999</v>
      </c>
      <c r="EN221">
        <v>1.8672599999999999</v>
      </c>
      <c r="EO221">
        <v>1.8633999999999999</v>
      </c>
      <c r="EP221">
        <v>1.86459</v>
      </c>
      <c r="EQ221">
        <v>1.87019</v>
      </c>
      <c r="ER221">
        <v>1.8694900000000001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-9.1999999999999998E-2</v>
      </c>
      <c r="FG221">
        <v>0.19259999999999999</v>
      </c>
      <c r="FH221">
        <v>0.16202357103534001</v>
      </c>
      <c r="FI221">
        <v>-6.1462078757559423E-4</v>
      </c>
      <c r="FJ221">
        <v>-1.8861989874597051E-7</v>
      </c>
      <c r="FK221">
        <v>1.1980462299894961E-10</v>
      </c>
      <c r="FL221">
        <v>0.19260234566371101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41.5</v>
      </c>
      <c r="FU221">
        <v>41.5</v>
      </c>
      <c r="FV221">
        <v>1.7785599999999999</v>
      </c>
      <c r="FW221">
        <v>2.5817899999999998</v>
      </c>
      <c r="FX221">
        <v>1.5490699999999999</v>
      </c>
      <c r="FY221">
        <v>2.3290999999999999</v>
      </c>
      <c r="FZ221">
        <v>1.50146</v>
      </c>
      <c r="GA221">
        <v>2.3754900000000001</v>
      </c>
      <c r="GB221">
        <v>33.850900000000003</v>
      </c>
      <c r="GC221">
        <v>23.991199999999999</v>
      </c>
      <c r="GD221">
        <v>19</v>
      </c>
      <c r="GE221">
        <v>237.941</v>
      </c>
      <c r="GF221">
        <v>581.93399999999997</v>
      </c>
      <c r="GG221">
        <v>25.3903</v>
      </c>
      <c r="GH221">
        <v>26.204499999999999</v>
      </c>
      <c r="GI221">
        <v>30</v>
      </c>
      <c r="GJ221">
        <v>26.3371</v>
      </c>
      <c r="GK221">
        <v>26.308199999999999</v>
      </c>
      <c r="GL221">
        <v>35.564</v>
      </c>
      <c r="GM221">
        <v>-30</v>
      </c>
      <c r="GN221">
        <v>-30</v>
      </c>
      <c r="GO221">
        <v>25.4011</v>
      </c>
      <c r="GP221">
        <v>800</v>
      </c>
      <c r="GQ221">
        <v>12.5298</v>
      </c>
      <c r="GR221">
        <v>99.719099999999997</v>
      </c>
      <c r="GS221">
        <v>99.543800000000005</v>
      </c>
    </row>
    <row r="222" spans="1:201" x14ac:dyDescent="0.25">
      <c r="A222">
        <v>206</v>
      </c>
      <c r="B222">
        <v>1690217345</v>
      </c>
      <c r="C222">
        <v>2399.5</v>
      </c>
      <c r="D222" t="s">
        <v>745</v>
      </c>
      <c r="E222" t="s">
        <v>746</v>
      </c>
      <c r="F222" t="s">
        <v>330</v>
      </c>
      <c r="H222">
        <v>1690217345</v>
      </c>
      <c r="I222">
        <f t="shared" si="90"/>
        <v>2.0982827422059086E-3</v>
      </c>
      <c r="J222">
        <f t="shared" si="91"/>
        <v>2.0982827422059085</v>
      </c>
      <c r="K222">
        <f t="shared" si="92"/>
        <v>36.804585414147006</v>
      </c>
      <c r="L222">
        <f t="shared" si="93"/>
        <v>379.101</v>
      </c>
      <c r="M222">
        <f t="shared" si="94"/>
        <v>75.328702191334571</v>
      </c>
      <c r="N222">
        <f t="shared" si="95"/>
        <v>7.4719399354734168</v>
      </c>
      <c r="O222">
        <f t="shared" si="96"/>
        <v>37.603460820061201</v>
      </c>
      <c r="P222">
        <f t="shared" si="97"/>
        <v>0.20564030962665156</v>
      </c>
      <c r="Q222">
        <f t="shared" si="98"/>
        <v>2.0633223329791917</v>
      </c>
      <c r="R222">
        <f t="shared" si="99"/>
        <v>0.19489489721446818</v>
      </c>
      <c r="S222">
        <f t="shared" si="100"/>
        <v>0.12272793366581447</v>
      </c>
      <c r="T222">
        <f t="shared" si="101"/>
        <v>276.11595192600004</v>
      </c>
      <c r="U222">
        <f t="shared" si="102"/>
        <v>28.325719071868292</v>
      </c>
      <c r="V222">
        <f t="shared" si="103"/>
        <v>28.325719071868292</v>
      </c>
      <c r="W222">
        <f t="shared" si="104"/>
        <v>3.8674968975983925</v>
      </c>
      <c r="X222">
        <f t="shared" si="105"/>
        <v>80.016082492781692</v>
      </c>
      <c r="Y222">
        <f t="shared" si="106"/>
        <v>2.8356664255114801</v>
      </c>
      <c r="Z222">
        <f t="shared" si="107"/>
        <v>3.5438706034718552</v>
      </c>
      <c r="AA222">
        <f t="shared" si="108"/>
        <v>1.0318304720869125</v>
      </c>
      <c r="AB222">
        <f t="shared" si="109"/>
        <v>-92.534268931280565</v>
      </c>
      <c r="AC222">
        <f t="shared" si="110"/>
        <v>-166.22481628506449</v>
      </c>
      <c r="AD222">
        <f t="shared" si="111"/>
        <v>-17.487054780255882</v>
      </c>
      <c r="AE222">
        <f t="shared" si="112"/>
        <v>-0.13018807060092286</v>
      </c>
      <c r="AF222">
        <v>43</v>
      </c>
      <c r="AG222">
        <v>14</v>
      </c>
      <c r="AH222">
        <f t="shared" si="113"/>
        <v>1</v>
      </c>
      <c r="AI222">
        <f t="shared" si="114"/>
        <v>0</v>
      </c>
      <c r="AJ222">
        <f t="shared" si="115"/>
        <v>52382.083634954783</v>
      </c>
      <c r="AK222">
        <f t="shared" si="116"/>
        <v>1800</v>
      </c>
      <c r="AL222">
        <f t="shared" si="117"/>
        <v>1499.1125436</v>
      </c>
      <c r="AM222">
        <f t="shared" si="118"/>
        <v>0.83284030200000003</v>
      </c>
      <c r="AN222">
        <f t="shared" si="119"/>
        <v>0.15339775107</v>
      </c>
      <c r="AO222">
        <v>33.6</v>
      </c>
      <c r="AP222">
        <v>0.5</v>
      </c>
      <c r="AQ222" t="s">
        <v>331</v>
      </c>
      <c r="AR222">
        <v>2</v>
      </c>
      <c r="AS222">
        <v>1690217345</v>
      </c>
      <c r="AT222">
        <v>379.101</v>
      </c>
      <c r="AU222">
        <v>799.96900000000005</v>
      </c>
      <c r="AV222">
        <v>28.587900000000001</v>
      </c>
      <c r="AW222">
        <v>5.7726600000000001</v>
      </c>
      <c r="AX222">
        <v>379.19200000000001</v>
      </c>
      <c r="AY222">
        <v>28.395299999999999</v>
      </c>
      <c r="AZ222">
        <v>300.18</v>
      </c>
      <c r="BA222">
        <v>99.091200000000001</v>
      </c>
      <c r="BB222">
        <v>9.9941199999999994E-2</v>
      </c>
      <c r="BC222">
        <v>26.831399999999999</v>
      </c>
      <c r="BD222">
        <v>26.9909</v>
      </c>
      <c r="BE222">
        <v>28.240500000000001</v>
      </c>
      <c r="BF222">
        <v>0</v>
      </c>
      <c r="BG222">
        <v>0</v>
      </c>
      <c r="BH222">
        <v>9991.25</v>
      </c>
      <c r="BI222">
        <v>1077.55</v>
      </c>
      <c r="BJ222">
        <v>1.6749799999999999</v>
      </c>
      <c r="BK222">
        <v>-420.86799999999999</v>
      </c>
      <c r="BL222">
        <v>390.25700000000001</v>
      </c>
      <c r="BM222">
        <v>804.61300000000006</v>
      </c>
      <c r="BN222">
        <v>22.815200000000001</v>
      </c>
      <c r="BO222">
        <v>799.96900000000005</v>
      </c>
      <c r="BP222">
        <v>5.7726600000000001</v>
      </c>
      <c r="BQ222">
        <v>2.8328000000000002</v>
      </c>
      <c r="BR222">
        <v>0.57201999999999997</v>
      </c>
      <c r="BS222">
        <v>23.076499999999999</v>
      </c>
      <c r="BT222">
        <v>-0.96336500000000003</v>
      </c>
      <c r="BU222">
        <v>1800</v>
      </c>
      <c r="BV222">
        <v>0.909995</v>
      </c>
      <c r="BW222">
        <v>3.3995699999999997E-2</v>
      </c>
      <c r="BX222">
        <v>2.20051E-2</v>
      </c>
      <c r="BY222">
        <v>3.4004100000000002E-2</v>
      </c>
      <c r="BZ222">
        <v>26</v>
      </c>
      <c r="CA222">
        <v>33528.300000000003</v>
      </c>
      <c r="CB222">
        <v>1690214843</v>
      </c>
      <c r="CC222" t="s">
        <v>332</v>
      </c>
      <c r="CD222">
        <v>1690214842</v>
      </c>
      <c r="CE222">
        <v>1690214843</v>
      </c>
      <c r="CF222">
        <v>8</v>
      </c>
      <c r="CG222">
        <v>-6.3E-2</v>
      </c>
      <c r="CH222">
        <v>1E-3</v>
      </c>
      <c r="CI222">
        <v>-0.38900000000000001</v>
      </c>
      <c r="CJ222">
        <v>-6.6000000000000003E-2</v>
      </c>
      <c r="CK222">
        <v>800</v>
      </c>
      <c r="CL222">
        <v>6</v>
      </c>
      <c r="CM222">
        <v>0.23</v>
      </c>
      <c r="CN222">
        <v>0.02</v>
      </c>
      <c r="CO222">
        <v>-420.19824390243912</v>
      </c>
      <c r="CP222">
        <v>-3.9265505226488102</v>
      </c>
      <c r="CQ222">
        <v>0.39119072639064151</v>
      </c>
      <c r="CR222">
        <v>-1</v>
      </c>
      <c r="CS222">
        <v>22.800517073170731</v>
      </c>
      <c r="CT222">
        <v>9.8627874564467463E-2</v>
      </c>
      <c r="CU222">
        <v>9.7758513431032631E-3</v>
      </c>
      <c r="CV222">
        <v>-1</v>
      </c>
      <c r="CW222">
        <v>0</v>
      </c>
      <c r="CX222">
        <v>0</v>
      </c>
      <c r="CY222" t="s">
        <v>333</v>
      </c>
      <c r="CZ222">
        <v>2.3645800000000001</v>
      </c>
      <c r="DA222">
        <v>2.7137199999999999</v>
      </c>
      <c r="DB222">
        <v>8.5906800000000005E-2</v>
      </c>
      <c r="DC222">
        <v>0.14610799999999999</v>
      </c>
      <c r="DD222">
        <v>0.12872800000000001</v>
      </c>
      <c r="DE222">
        <v>3.8232299999999997E-2</v>
      </c>
      <c r="DF222">
        <v>33372.5</v>
      </c>
      <c r="DG222">
        <v>27513.8</v>
      </c>
      <c r="DH222">
        <v>31167.4</v>
      </c>
      <c r="DI222">
        <v>28076.799999999999</v>
      </c>
      <c r="DJ222">
        <v>36853.300000000003</v>
      </c>
      <c r="DK222">
        <v>38398.300000000003</v>
      </c>
      <c r="DL222">
        <v>44353.8</v>
      </c>
      <c r="DM222">
        <v>42551.199999999997</v>
      </c>
      <c r="DN222">
        <v>1.3651199999999999</v>
      </c>
      <c r="DO222">
        <v>2.03498</v>
      </c>
      <c r="DP222">
        <v>8.2306599999999994E-2</v>
      </c>
      <c r="DQ222">
        <v>0.17249600000000001</v>
      </c>
      <c r="DR222">
        <v>25.6434</v>
      </c>
      <c r="DS222">
        <v>25.418700000000001</v>
      </c>
      <c r="DT222">
        <v>17</v>
      </c>
      <c r="DU222">
        <v>29.8</v>
      </c>
      <c r="DV222">
        <v>7.2252599999999996</v>
      </c>
      <c r="DW222">
        <v>61.348599999999998</v>
      </c>
      <c r="DX222">
        <v>36.698700000000002</v>
      </c>
      <c r="DY222">
        <v>1</v>
      </c>
      <c r="DZ222">
        <v>-9.4606200000000001E-2</v>
      </c>
      <c r="EA222">
        <v>-0.24266299999999999</v>
      </c>
      <c r="EB222">
        <v>20.189399999999999</v>
      </c>
      <c r="EC222">
        <v>5.2401999999999997</v>
      </c>
      <c r="ED222">
        <v>12.039899999999999</v>
      </c>
      <c r="EE222">
        <v>5.0164499999999999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1.86893</v>
      </c>
      <c r="EL222">
        <v>1.86466</v>
      </c>
      <c r="EM222">
        <v>1.8692</v>
      </c>
      <c r="EN222">
        <v>1.86724</v>
      </c>
      <c r="EO222">
        <v>1.8633999999999999</v>
      </c>
      <c r="EP222">
        <v>1.8646100000000001</v>
      </c>
      <c r="EQ222">
        <v>1.87019</v>
      </c>
      <c r="ER222">
        <v>1.8694999999999999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-9.0999999999999998E-2</v>
      </c>
      <c r="FG222">
        <v>0.19259999999999999</v>
      </c>
      <c r="FH222">
        <v>0.16202357103534001</v>
      </c>
      <c r="FI222">
        <v>-6.1462078757559423E-4</v>
      </c>
      <c r="FJ222">
        <v>-1.8861989874597051E-7</v>
      </c>
      <c r="FK222">
        <v>1.1980462299894961E-10</v>
      </c>
      <c r="FL222">
        <v>0.19260234566371101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41.7</v>
      </c>
      <c r="FU222">
        <v>41.7</v>
      </c>
      <c r="FV222">
        <v>1.7785599999999999</v>
      </c>
      <c r="FW222">
        <v>2.5769000000000002</v>
      </c>
      <c r="FX222">
        <v>1.5490699999999999</v>
      </c>
      <c r="FY222">
        <v>2.3290999999999999</v>
      </c>
      <c r="FZ222">
        <v>1.50146</v>
      </c>
      <c r="GA222">
        <v>2.3889200000000002</v>
      </c>
      <c r="GB222">
        <v>33.850900000000003</v>
      </c>
      <c r="GC222">
        <v>23.991199999999999</v>
      </c>
      <c r="GD222">
        <v>19</v>
      </c>
      <c r="GE222">
        <v>238.26300000000001</v>
      </c>
      <c r="GF222">
        <v>581.66600000000005</v>
      </c>
      <c r="GG222">
        <v>25.4041</v>
      </c>
      <c r="GH222">
        <v>26.202300000000001</v>
      </c>
      <c r="GI222">
        <v>30.0001</v>
      </c>
      <c r="GJ222">
        <v>26.334900000000001</v>
      </c>
      <c r="GK222">
        <v>26.308199999999999</v>
      </c>
      <c r="GL222">
        <v>35.5625</v>
      </c>
      <c r="GM222">
        <v>-30</v>
      </c>
      <c r="GN222">
        <v>-30</v>
      </c>
      <c r="GO222">
        <v>25.385200000000001</v>
      </c>
      <c r="GP222">
        <v>800</v>
      </c>
      <c r="GQ222">
        <v>12.5298</v>
      </c>
      <c r="GR222">
        <v>99.721900000000005</v>
      </c>
      <c r="GS222">
        <v>99.545299999999997</v>
      </c>
    </row>
    <row r="223" spans="1:201" x14ac:dyDescent="0.25">
      <c r="A223">
        <v>207</v>
      </c>
      <c r="B223">
        <v>1690217355</v>
      </c>
      <c r="C223">
        <v>2409.5</v>
      </c>
      <c r="D223" t="s">
        <v>747</v>
      </c>
      <c r="E223" t="s">
        <v>748</v>
      </c>
      <c r="F223" t="s">
        <v>330</v>
      </c>
      <c r="H223">
        <v>1690217355</v>
      </c>
      <c r="I223">
        <f t="shared" si="90"/>
        <v>2.099072672506043E-3</v>
      </c>
      <c r="J223">
        <f t="shared" si="91"/>
        <v>2.0990726725060429</v>
      </c>
      <c r="K223">
        <f t="shared" si="92"/>
        <v>36.863865660751969</v>
      </c>
      <c r="L223">
        <f t="shared" si="93"/>
        <v>378.40600000000001</v>
      </c>
      <c r="M223">
        <f t="shared" si="94"/>
        <v>75.098361186861069</v>
      </c>
      <c r="N223">
        <f t="shared" si="95"/>
        <v>7.4489152842241051</v>
      </c>
      <c r="O223">
        <f t="shared" si="96"/>
        <v>37.533631792956598</v>
      </c>
      <c r="P223">
        <f t="shared" si="97"/>
        <v>0.20629868519337946</v>
      </c>
      <c r="Q223">
        <f t="shared" si="98"/>
        <v>2.065421827908001</v>
      </c>
      <c r="R223">
        <f t="shared" si="99"/>
        <v>0.19549667322598652</v>
      </c>
      <c r="S223">
        <f t="shared" si="100"/>
        <v>0.12310878523396183</v>
      </c>
      <c r="T223">
        <f t="shared" si="101"/>
        <v>276.11587261800003</v>
      </c>
      <c r="U223">
        <f t="shared" si="102"/>
        <v>28.318167962817121</v>
      </c>
      <c r="V223">
        <f t="shared" si="103"/>
        <v>28.318167962817121</v>
      </c>
      <c r="W223">
        <f t="shared" si="104"/>
        <v>3.8657988522086222</v>
      </c>
      <c r="X223">
        <f t="shared" si="105"/>
        <v>80.075267925334359</v>
      </c>
      <c r="Y223">
        <f t="shared" si="106"/>
        <v>2.8367794447027799</v>
      </c>
      <c r="Z223">
        <f t="shared" si="107"/>
        <v>3.5426412151975759</v>
      </c>
      <c r="AA223">
        <f t="shared" si="108"/>
        <v>1.0290194075058423</v>
      </c>
      <c r="AB223">
        <f t="shared" si="109"/>
        <v>-92.569104857516493</v>
      </c>
      <c r="AC223">
        <f t="shared" si="110"/>
        <v>-166.21010254864265</v>
      </c>
      <c r="AD223">
        <f t="shared" si="111"/>
        <v>-17.466560165285735</v>
      </c>
      <c r="AE223">
        <f t="shared" si="112"/>
        <v>-0.12989495344484681</v>
      </c>
      <c r="AF223">
        <v>43</v>
      </c>
      <c r="AG223">
        <v>14</v>
      </c>
      <c r="AH223">
        <f t="shared" si="113"/>
        <v>1</v>
      </c>
      <c r="AI223">
        <f t="shared" si="114"/>
        <v>0</v>
      </c>
      <c r="AJ223">
        <f t="shared" si="115"/>
        <v>52479.140790361482</v>
      </c>
      <c r="AK223">
        <f t="shared" si="116"/>
        <v>1800</v>
      </c>
      <c r="AL223">
        <f t="shared" si="117"/>
        <v>1499.1125417999999</v>
      </c>
      <c r="AM223">
        <f t="shared" si="118"/>
        <v>0.83284030099999995</v>
      </c>
      <c r="AN223">
        <f t="shared" si="119"/>
        <v>0.15339770701000002</v>
      </c>
      <c r="AO223">
        <v>33.6</v>
      </c>
      <c r="AP223">
        <v>0.5</v>
      </c>
      <c r="AQ223" t="s">
        <v>331</v>
      </c>
      <c r="AR223">
        <v>2</v>
      </c>
      <c r="AS223">
        <v>1690217355</v>
      </c>
      <c r="AT223">
        <v>378.40600000000001</v>
      </c>
      <c r="AU223">
        <v>799.99900000000002</v>
      </c>
      <c r="AV223">
        <v>28.599799999999998</v>
      </c>
      <c r="AW223">
        <v>5.7722199999999999</v>
      </c>
      <c r="AX223">
        <v>378.49700000000001</v>
      </c>
      <c r="AY223">
        <v>28.4072</v>
      </c>
      <c r="AZ223">
        <v>300.12700000000001</v>
      </c>
      <c r="BA223">
        <v>99.088800000000006</v>
      </c>
      <c r="BB223">
        <v>9.9986099999999994E-2</v>
      </c>
      <c r="BC223">
        <v>26.825500000000002</v>
      </c>
      <c r="BD223">
        <v>26.9925</v>
      </c>
      <c r="BE223">
        <v>28.267299999999999</v>
      </c>
      <c r="BF223">
        <v>0</v>
      </c>
      <c r="BG223">
        <v>0</v>
      </c>
      <c r="BH223">
        <v>10010.6</v>
      </c>
      <c r="BI223">
        <v>1077.55</v>
      </c>
      <c r="BJ223">
        <v>1.7941199999999999</v>
      </c>
      <c r="BK223">
        <v>-421.59399999999999</v>
      </c>
      <c r="BL223">
        <v>389.54700000000003</v>
      </c>
      <c r="BM223">
        <v>804.64400000000001</v>
      </c>
      <c r="BN223">
        <v>22.8276</v>
      </c>
      <c r="BO223">
        <v>799.99900000000002</v>
      </c>
      <c r="BP223">
        <v>5.7722199999999999</v>
      </c>
      <c r="BQ223">
        <v>2.83392</v>
      </c>
      <c r="BR223">
        <v>0.57196199999999997</v>
      </c>
      <c r="BS223">
        <v>23.082999999999998</v>
      </c>
      <c r="BT223">
        <v>-0.96473799999999998</v>
      </c>
      <c r="BU223">
        <v>1800</v>
      </c>
      <c r="BV223">
        <v>0.90999600000000003</v>
      </c>
      <c r="BW223">
        <v>3.3995299999999999E-2</v>
      </c>
      <c r="BX223">
        <v>2.2004800000000001E-2</v>
      </c>
      <c r="BY223">
        <v>3.4003699999999998E-2</v>
      </c>
      <c r="BZ223">
        <v>26</v>
      </c>
      <c r="CA223">
        <v>33528.300000000003</v>
      </c>
      <c r="CB223">
        <v>1690214843</v>
      </c>
      <c r="CC223" t="s">
        <v>332</v>
      </c>
      <c r="CD223">
        <v>1690214842</v>
      </c>
      <c r="CE223">
        <v>1690214843</v>
      </c>
      <c r="CF223">
        <v>8</v>
      </c>
      <c r="CG223">
        <v>-6.3E-2</v>
      </c>
      <c r="CH223">
        <v>1E-3</v>
      </c>
      <c r="CI223">
        <v>-0.38900000000000001</v>
      </c>
      <c r="CJ223">
        <v>-6.6000000000000003E-2</v>
      </c>
      <c r="CK223">
        <v>800</v>
      </c>
      <c r="CL223">
        <v>6</v>
      </c>
      <c r="CM223">
        <v>0.23</v>
      </c>
      <c r="CN223">
        <v>0.02</v>
      </c>
      <c r="CO223">
        <v>-420.79924390243912</v>
      </c>
      <c r="CP223">
        <v>-4.3816724738676944</v>
      </c>
      <c r="CQ223">
        <v>0.4326847994019975</v>
      </c>
      <c r="CR223">
        <v>-1</v>
      </c>
      <c r="CS223">
        <v>22.813597560975609</v>
      </c>
      <c r="CT223">
        <v>7.4644599303093181E-2</v>
      </c>
      <c r="CU223">
        <v>7.4131553403351232E-3</v>
      </c>
      <c r="CV223">
        <v>-1</v>
      </c>
      <c r="CW223">
        <v>0</v>
      </c>
      <c r="CX223">
        <v>0</v>
      </c>
      <c r="CY223" t="s">
        <v>333</v>
      </c>
      <c r="CZ223">
        <v>2.3643800000000001</v>
      </c>
      <c r="DA223">
        <v>2.7137899999999999</v>
      </c>
      <c r="DB223">
        <v>8.5782800000000006E-2</v>
      </c>
      <c r="DC223">
        <v>0.14610799999999999</v>
      </c>
      <c r="DD223">
        <v>0.12876199999999999</v>
      </c>
      <c r="DE223">
        <v>3.8228999999999999E-2</v>
      </c>
      <c r="DF223">
        <v>33376.800000000003</v>
      </c>
      <c r="DG223">
        <v>27513.5</v>
      </c>
      <c r="DH223">
        <v>31167.200000000001</v>
      </c>
      <c r="DI223">
        <v>28076.5</v>
      </c>
      <c r="DJ223">
        <v>36851.599999999999</v>
      </c>
      <c r="DK223">
        <v>38398.1</v>
      </c>
      <c r="DL223">
        <v>44353.5</v>
      </c>
      <c r="DM223">
        <v>42550.8</v>
      </c>
      <c r="DN223">
        <v>1.3650500000000001</v>
      </c>
      <c r="DO223">
        <v>2.0348700000000002</v>
      </c>
      <c r="DP223">
        <v>8.25375E-2</v>
      </c>
      <c r="DQ223">
        <v>0.17421700000000001</v>
      </c>
      <c r="DR223">
        <v>25.641200000000001</v>
      </c>
      <c r="DS223">
        <v>25.417400000000001</v>
      </c>
      <c r="DT223">
        <v>17</v>
      </c>
      <c r="DU223">
        <v>29.8</v>
      </c>
      <c r="DV223">
        <v>7.2262399999999998</v>
      </c>
      <c r="DW223">
        <v>61.818600000000004</v>
      </c>
      <c r="DX223">
        <v>37.111400000000003</v>
      </c>
      <c r="DY223">
        <v>1</v>
      </c>
      <c r="DZ223">
        <v>-9.4646800000000003E-2</v>
      </c>
      <c r="EA223">
        <v>-0.23724400000000001</v>
      </c>
      <c r="EB223">
        <v>20.189499999999999</v>
      </c>
      <c r="EC223">
        <v>5.2409499999999998</v>
      </c>
      <c r="ED223">
        <v>12.039899999999999</v>
      </c>
      <c r="EE223">
        <v>5.0168499999999998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1.8689199999999999</v>
      </c>
      <c r="EL223">
        <v>1.8646499999999999</v>
      </c>
      <c r="EM223">
        <v>1.8691899999999999</v>
      </c>
      <c r="EN223">
        <v>1.86727</v>
      </c>
      <c r="EO223">
        <v>1.8633999999999999</v>
      </c>
      <c r="EP223">
        <v>1.8645700000000001</v>
      </c>
      <c r="EQ223">
        <v>1.87016</v>
      </c>
      <c r="ER223">
        <v>1.8694900000000001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-9.0999999999999998E-2</v>
      </c>
      <c r="FG223">
        <v>0.19259999999999999</v>
      </c>
      <c r="FH223">
        <v>0.16202357103534001</v>
      </c>
      <c r="FI223">
        <v>-6.1462078757559423E-4</v>
      </c>
      <c r="FJ223">
        <v>-1.8861989874597051E-7</v>
      </c>
      <c r="FK223">
        <v>1.1980462299894961E-10</v>
      </c>
      <c r="FL223">
        <v>0.19260234566371101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41.9</v>
      </c>
      <c r="FU223">
        <v>41.9</v>
      </c>
      <c r="FV223">
        <v>1.7785599999999999</v>
      </c>
      <c r="FW223">
        <v>2.5805699999999998</v>
      </c>
      <c r="FX223">
        <v>1.5490699999999999</v>
      </c>
      <c r="FY223">
        <v>2.3290999999999999</v>
      </c>
      <c r="FZ223">
        <v>1.50146</v>
      </c>
      <c r="GA223">
        <v>2.35107</v>
      </c>
      <c r="GB223">
        <v>33.850900000000003</v>
      </c>
      <c r="GC223">
        <v>23.991199999999999</v>
      </c>
      <c r="GD223">
        <v>19</v>
      </c>
      <c r="GE223">
        <v>238.23400000000001</v>
      </c>
      <c r="GF223">
        <v>581.58399999999995</v>
      </c>
      <c r="GG223">
        <v>25.388400000000001</v>
      </c>
      <c r="GH223">
        <v>26.202300000000001</v>
      </c>
      <c r="GI223">
        <v>30.0001</v>
      </c>
      <c r="GJ223">
        <v>26.334900000000001</v>
      </c>
      <c r="GK223">
        <v>26.308199999999999</v>
      </c>
      <c r="GL223">
        <v>35.562899999999999</v>
      </c>
      <c r="GM223">
        <v>-30</v>
      </c>
      <c r="GN223">
        <v>-30</v>
      </c>
      <c r="GO223">
        <v>25.391200000000001</v>
      </c>
      <c r="GP223">
        <v>800</v>
      </c>
      <c r="GQ223">
        <v>12.5298</v>
      </c>
      <c r="GR223">
        <v>99.721400000000003</v>
      </c>
      <c r="GS223">
        <v>99.544300000000007</v>
      </c>
    </row>
    <row r="224" spans="1:201" x14ac:dyDescent="0.25">
      <c r="A224">
        <v>208</v>
      </c>
      <c r="B224">
        <v>1690217365</v>
      </c>
      <c r="C224">
        <v>2419.5</v>
      </c>
      <c r="D224" t="s">
        <v>749</v>
      </c>
      <c r="E224" t="s">
        <v>750</v>
      </c>
      <c r="F224" t="s">
        <v>330</v>
      </c>
      <c r="H224">
        <v>1690217365</v>
      </c>
      <c r="I224">
        <f t="shared" si="90"/>
        <v>2.1007220411183433E-3</v>
      </c>
      <c r="J224">
        <f t="shared" si="91"/>
        <v>2.1007220411183432</v>
      </c>
      <c r="K224">
        <f t="shared" si="92"/>
        <v>36.927299964172299</v>
      </c>
      <c r="L224">
        <f t="shared" si="93"/>
        <v>377.78500000000003</v>
      </c>
      <c r="M224">
        <f t="shared" si="94"/>
        <v>74.599549408363586</v>
      </c>
      <c r="N224">
        <f t="shared" si="95"/>
        <v>7.3992815756319086</v>
      </c>
      <c r="O224">
        <f t="shared" si="96"/>
        <v>37.471239601572002</v>
      </c>
      <c r="P224">
        <f t="shared" si="97"/>
        <v>0.20675684285869184</v>
      </c>
      <c r="Q224">
        <f t="shared" si="98"/>
        <v>2.0636166155195159</v>
      </c>
      <c r="R224">
        <f t="shared" si="99"/>
        <v>0.19589919825860247</v>
      </c>
      <c r="S224">
        <f t="shared" si="100"/>
        <v>0.12336498004170994</v>
      </c>
      <c r="T224">
        <f t="shared" si="101"/>
        <v>276.11433864092993</v>
      </c>
      <c r="U224">
        <f t="shared" si="102"/>
        <v>28.319045387418473</v>
      </c>
      <c r="V224">
        <f t="shared" si="103"/>
        <v>28.319045387418473</v>
      </c>
      <c r="W224">
        <f t="shared" si="104"/>
        <v>3.8659961284748237</v>
      </c>
      <c r="X224">
        <f t="shared" si="105"/>
        <v>80.117230219245357</v>
      </c>
      <c r="Y224">
        <f t="shared" si="106"/>
        <v>2.8383160933192797</v>
      </c>
      <c r="Z224">
        <f t="shared" si="107"/>
        <v>3.5427037174800802</v>
      </c>
      <c r="AA224">
        <f t="shared" si="108"/>
        <v>1.027680035155544</v>
      </c>
      <c r="AB224">
        <f t="shared" si="109"/>
        <v>-92.641842013318936</v>
      </c>
      <c r="AC224">
        <f t="shared" si="110"/>
        <v>-166.1290728289882</v>
      </c>
      <c r="AD224">
        <f t="shared" si="111"/>
        <v>-17.473419695269563</v>
      </c>
      <c r="AE224">
        <f t="shared" si="112"/>
        <v>-0.12999589664676137</v>
      </c>
      <c r="AF224">
        <v>43</v>
      </c>
      <c r="AG224">
        <v>14</v>
      </c>
      <c r="AH224">
        <f t="shared" si="113"/>
        <v>1</v>
      </c>
      <c r="AI224">
        <f t="shared" si="114"/>
        <v>0</v>
      </c>
      <c r="AJ224">
        <f t="shared" si="115"/>
        <v>52396.424695678441</v>
      </c>
      <c r="AK224">
        <f t="shared" si="116"/>
        <v>1799.99</v>
      </c>
      <c r="AL224">
        <f t="shared" si="117"/>
        <v>1499.10421339699</v>
      </c>
      <c r="AM224">
        <f t="shared" si="118"/>
        <v>0.83284030099999995</v>
      </c>
      <c r="AN224">
        <f t="shared" si="119"/>
        <v>0.15339770701000002</v>
      </c>
      <c r="AO224">
        <v>33.6</v>
      </c>
      <c r="AP224">
        <v>0.5</v>
      </c>
      <c r="AQ224" t="s">
        <v>331</v>
      </c>
      <c r="AR224">
        <v>2</v>
      </c>
      <c r="AS224">
        <v>1690217365</v>
      </c>
      <c r="AT224">
        <v>377.78500000000003</v>
      </c>
      <c r="AU224">
        <v>800.05100000000004</v>
      </c>
      <c r="AV224">
        <v>28.6159</v>
      </c>
      <c r="AW224">
        <v>5.7723599999999999</v>
      </c>
      <c r="AX224">
        <v>377.875</v>
      </c>
      <c r="AY224">
        <v>28.423300000000001</v>
      </c>
      <c r="AZ224">
        <v>300.14800000000002</v>
      </c>
      <c r="BA224">
        <v>99.086699999999993</v>
      </c>
      <c r="BB224">
        <v>9.9979200000000004E-2</v>
      </c>
      <c r="BC224">
        <v>26.825800000000001</v>
      </c>
      <c r="BD224">
        <v>26.988499999999998</v>
      </c>
      <c r="BE224">
        <v>28.2502</v>
      </c>
      <c r="BF224">
        <v>0</v>
      </c>
      <c r="BG224">
        <v>0</v>
      </c>
      <c r="BH224">
        <v>9994.3799999999992</v>
      </c>
      <c r="BI224">
        <v>1077.51</v>
      </c>
      <c r="BJ224">
        <v>1.7730900000000001</v>
      </c>
      <c r="BK224">
        <v>-422.267</v>
      </c>
      <c r="BL224">
        <v>388.91399999999999</v>
      </c>
      <c r="BM224">
        <v>804.69600000000003</v>
      </c>
      <c r="BN224">
        <v>22.843499999999999</v>
      </c>
      <c r="BO224">
        <v>800.05100000000004</v>
      </c>
      <c r="BP224">
        <v>5.7723599999999999</v>
      </c>
      <c r="BQ224">
        <v>2.8354499999999998</v>
      </c>
      <c r="BR224">
        <v>0.57196400000000003</v>
      </c>
      <c r="BS224">
        <v>23.091899999999999</v>
      </c>
      <c r="BT224">
        <v>-0.96469099999999997</v>
      </c>
      <c r="BU224">
        <v>1799.99</v>
      </c>
      <c r="BV224">
        <v>0.90999600000000003</v>
      </c>
      <c r="BW224">
        <v>3.3995299999999999E-2</v>
      </c>
      <c r="BX224">
        <v>2.2004800000000001E-2</v>
      </c>
      <c r="BY224">
        <v>3.4003699999999998E-2</v>
      </c>
      <c r="BZ224">
        <v>26</v>
      </c>
      <c r="CA224">
        <v>33528.199999999997</v>
      </c>
      <c r="CB224">
        <v>1690214843</v>
      </c>
      <c r="CC224" t="s">
        <v>332</v>
      </c>
      <c r="CD224">
        <v>1690214842</v>
      </c>
      <c r="CE224">
        <v>1690214843</v>
      </c>
      <c r="CF224">
        <v>8</v>
      </c>
      <c r="CG224">
        <v>-6.3E-2</v>
      </c>
      <c r="CH224">
        <v>1E-3</v>
      </c>
      <c r="CI224">
        <v>-0.38900000000000001</v>
      </c>
      <c r="CJ224">
        <v>-6.6000000000000003E-2</v>
      </c>
      <c r="CK224">
        <v>800</v>
      </c>
      <c r="CL224">
        <v>6</v>
      </c>
      <c r="CM224">
        <v>0.23</v>
      </c>
      <c r="CN224">
        <v>0.02</v>
      </c>
      <c r="CO224">
        <v>-421.56212499999998</v>
      </c>
      <c r="CP224">
        <v>-4.1849718574104093</v>
      </c>
      <c r="CQ224">
        <v>0.40613570315228631</v>
      </c>
      <c r="CR224">
        <v>-1</v>
      </c>
      <c r="CS224">
        <v>22.827985000000002</v>
      </c>
      <c r="CT224">
        <v>9.1197748592837122E-2</v>
      </c>
      <c r="CU224">
        <v>8.852218648451789E-3</v>
      </c>
      <c r="CV224">
        <v>-1</v>
      </c>
      <c r="CW224">
        <v>0</v>
      </c>
      <c r="CX224">
        <v>0</v>
      </c>
      <c r="CY224" t="s">
        <v>333</v>
      </c>
      <c r="CZ224">
        <v>2.3644699999999998</v>
      </c>
      <c r="DA224">
        <v>2.7137699999999998</v>
      </c>
      <c r="DB224">
        <v>8.5671999999999998E-2</v>
      </c>
      <c r="DC224">
        <v>0.14611199999999999</v>
      </c>
      <c r="DD224">
        <v>0.12880900000000001</v>
      </c>
      <c r="DE224">
        <v>3.8229199999999998E-2</v>
      </c>
      <c r="DF224">
        <v>33381</v>
      </c>
      <c r="DG224">
        <v>27513.5</v>
      </c>
      <c r="DH224">
        <v>31167.3</v>
      </c>
      <c r="DI224">
        <v>28076.6</v>
      </c>
      <c r="DJ224">
        <v>36849.599999999999</v>
      </c>
      <c r="DK224">
        <v>38398.1</v>
      </c>
      <c r="DL224">
        <v>44353.599999999999</v>
      </c>
      <c r="DM224">
        <v>42550.9</v>
      </c>
      <c r="DN224">
        <v>1.3651199999999999</v>
      </c>
      <c r="DO224">
        <v>2.0347</v>
      </c>
      <c r="DP224">
        <v>8.2466800000000007E-2</v>
      </c>
      <c r="DQ224">
        <v>0.173349</v>
      </c>
      <c r="DR224">
        <v>25.638300000000001</v>
      </c>
      <c r="DS224">
        <v>25.4145</v>
      </c>
      <c r="DT224">
        <v>17</v>
      </c>
      <c r="DU224">
        <v>29.8</v>
      </c>
      <c r="DV224">
        <v>7.2265199999999998</v>
      </c>
      <c r="DW224">
        <v>61.748600000000003</v>
      </c>
      <c r="DX224">
        <v>37.311700000000002</v>
      </c>
      <c r="DY224">
        <v>1</v>
      </c>
      <c r="DZ224">
        <v>-9.5020300000000002E-2</v>
      </c>
      <c r="EA224">
        <v>-0.278696</v>
      </c>
      <c r="EB224">
        <v>20.189399999999999</v>
      </c>
      <c r="EC224">
        <v>5.2411000000000003</v>
      </c>
      <c r="ED224">
        <v>12.039899999999999</v>
      </c>
      <c r="EE224">
        <v>5.0165499999999996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1.86893</v>
      </c>
      <c r="EL224">
        <v>1.8646400000000001</v>
      </c>
      <c r="EM224">
        <v>1.8692</v>
      </c>
      <c r="EN224">
        <v>1.8672599999999999</v>
      </c>
      <c r="EO224">
        <v>1.8633999999999999</v>
      </c>
      <c r="EP224">
        <v>1.8646</v>
      </c>
      <c r="EQ224">
        <v>1.8701399999999999</v>
      </c>
      <c r="ER224">
        <v>1.86948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-0.09</v>
      </c>
      <c r="FG224">
        <v>0.19259999999999999</v>
      </c>
      <c r="FH224">
        <v>0.16202357103534001</v>
      </c>
      <c r="FI224">
        <v>-6.1462078757559423E-4</v>
      </c>
      <c r="FJ224">
        <v>-1.8861989874597051E-7</v>
      </c>
      <c r="FK224">
        <v>1.1980462299894961E-10</v>
      </c>
      <c r="FL224">
        <v>0.19260234566371101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42</v>
      </c>
      <c r="FU224">
        <v>42</v>
      </c>
      <c r="FV224">
        <v>1.7785599999999999</v>
      </c>
      <c r="FW224">
        <v>2.5878899999999998</v>
      </c>
      <c r="FX224">
        <v>1.5490699999999999</v>
      </c>
      <c r="FY224">
        <v>2.3290999999999999</v>
      </c>
      <c r="FZ224">
        <v>1.50146</v>
      </c>
      <c r="GA224">
        <v>2.32666</v>
      </c>
      <c r="GB224">
        <v>33.850900000000003</v>
      </c>
      <c r="GC224">
        <v>23.982399999999998</v>
      </c>
      <c r="GD224">
        <v>19</v>
      </c>
      <c r="GE224">
        <v>238.262</v>
      </c>
      <c r="GF224">
        <v>581.41499999999996</v>
      </c>
      <c r="GG224">
        <v>25.395700000000001</v>
      </c>
      <c r="GH224">
        <v>26.2</v>
      </c>
      <c r="GI224">
        <v>30</v>
      </c>
      <c r="GJ224">
        <v>26.334900000000001</v>
      </c>
      <c r="GK224">
        <v>26.306000000000001</v>
      </c>
      <c r="GL224">
        <v>35.557899999999997</v>
      </c>
      <c r="GM224">
        <v>-30</v>
      </c>
      <c r="GN224">
        <v>-30</v>
      </c>
      <c r="GO224">
        <v>25.406099999999999</v>
      </c>
      <c r="GP224">
        <v>800</v>
      </c>
      <c r="GQ224">
        <v>12.5298</v>
      </c>
      <c r="GR224">
        <v>99.721500000000006</v>
      </c>
      <c r="GS224">
        <v>99.544700000000006</v>
      </c>
    </row>
    <row r="225" spans="1:201" x14ac:dyDescent="0.25">
      <c r="A225">
        <v>209</v>
      </c>
      <c r="B225">
        <v>1690217375</v>
      </c>
      <c r="C225">
        <v>2429.5</v>
      </c>
      <c r="D225" t="s">
        <v>751</v>
      </c>
      <c r="E225" t="s">
        <v>752</v>
      </c>
      <c r="F225" t="s">
        <v>330</v>
      </c>
      <c r="H225">
        <v>1690217375</v>
      </c>
      <c r="I225">
        <f t="shared" si="90"/>
        <v>2.1020081144117191E-3</v>
      </c>
      <c r="J225">
        <f t="shared" si="91"/>
        <v>2.1020081144117189</v>
      </c>
      <c r="K225">
        <f t="shared" si="92"/>
        <v>36.975412361604405</v>
      </c>
      <c r="L225">
        <f t="shared" si="93"/>
        <v>377.24799999999999</v>
      </c>
      <c r="M225">
        <f t="shared" si="94"/>
        <v>74.168807976088289</v>
      </c>
      <c r="N225">
        <f t="shared" si="95"/>
        <v>7.356735308663203</v>
      </c>
      <c r="O225">
        <f t="shared" si="96"/>
        <v>37.418879411103994</v>
      </c>
      <c r="P225">
        <f t="shared" si="97"/>
        <v>0.20711200977232083</v>
      </c>
      <c r="Q225">
        <f t="shared" si="98"/>
        <v>2.0626103520877712</v>
      </c>
      <c r="R225">
        <f t="shared" si="99"/>
        <v>0.19621307166298976</v>
      </c>
      <c r="S225">
        <f t="shared" si="100"/>
        <v>0.12356458062394317</v>
      </c>
      <c r="T225">
        <f t="shared" si="101"/>
        <v>276.11586300599993</v>
      </c>
      <c r="U225">
        <f t="shared" si="102"/>
        <v>28.319854748450144</v>
      </c>
      <c r="V225">
        <f t="shared" si="103"/>
        <v>28.319854748450144</v>
      </c>
      <c r="W225">
        <f t="shared" si="104"/>
        <v>3.8661781094152703</v>
      </c>
      <c r="X225">
        <f t="shared" si="105"/>
        <v>80.147693612591723</v>
      </c>
      <c r="Y225">
        <f t="shared" si="106"/>
        <v>2.8394955116783001</v>
      </c>
      <c r="Z225">
        <f t="shared" si="107"/>
        <v>3.5428287249331358</v>
      </c>
      <c r="AA225">
        <f t="shared" si="108"/>
        <v>1.0266825977369702</v>
      </c>
      <c r="AB225">
        <f t="shared" si="109"/>
        <v>-92.698557845556806</v>
      </c>
      <c r="AC225">
        <f t="shared" si="110"/>
        <v>-166.07134558474849</v>
      </c>
      <c r="AD225">
        <f t="shared" si="111"/>
        <v>-17.475992507195372</v>
      </c>
      <c r="AE225">
        <f t="shared" si="112"/>
        <v>-0.13003293150075024</v>
      </c>
      <c r="AF225">
        <v>42</v>
      </c>
      <c r="AG225">
        <v>14</v>
      </c>
      <c r="AH225">
        <f t="shared" si="113"/>
        <v>1</v>
      </c>
      <c r="AI225">
        <f t="shared" si="114"/>
        <v>0</v>
      </c>
      <c r="AJ225">
        <f t="shared" si="115"/>
        <v>52350.356401069359</v>
      </c>
      <c r="AK225">
        <f t="shared" si="116"/>
        <v>1800</v>
      </c>
      <c r="AL225">
        <f t="shared" si="117"/>
        <v>1499.1128226000001</v>
      </c>
      <c r="AM225">
        <f t="shared" si="118"/>
        <v>0.83284045699999998</v>
      </c>
      <c r="AN225">
        <f t="shared" si="119"/>
        <v>0.15339770166999997</v>
      </c>
      <c r="AO225">
        <v>33.6</v>
      </c>
      <c r="AP225">
        <v>0.5</v>
      </c>
      <c r="AQ225" t="s">
        <v>331</v>
      </c>
      <c r="AR225">
        <v>2</v>
      </c>
      <c r="AS225">
        <v>1690217375</v>
      </c>
      <c r="AT225">
        <v>377.24799999999999</v>
      </c>
      <c r="AU225">
        <v>800.01300000000003</v>
      </c>
      <c r="AV225">
        <v>28.627099999999999</v>
      </c>
      <c r="AW225">
        <v>5.7715899999999998</v>
      </c>
      <c r="AX225">
        <v>377.339</v>
      </c>
      <c r="AY225">
        <v>28.4345</v>
      </c>
      <c r="AZ225">
        <v>300.17099999999999</v>
      </c>
      <c r="BA225">
        <v>99.088999999999999</v>
      </c>
      <c r="BB225">
        <v>0.100073</v>
      </c>
      <c r="BC225">
        <v>26.8264</v>
      </c>
      <c r="BD225">
        <v>27.005800000000001</v>
      </c>
      <c r="BE225">
        <v>28.257200000000001</v>
      </c>
      <c r="BF225">
        <v>0</v>
      </c>
      <c r="BG225">
        <v>0</v>
      </c>
      <c r="BH225">
        <v>9985</v>
      </c>
      <c r="BI225">
        <v>1077.55</v>
      </c>
      <c r="BJ225">
        <v>1.78711</v>
      </c>
      <c r="BK225">
        <v>-422.76400000000001</v>
      </c>
      <c r="BL225">
        <v>388.36599999999999</v>
      </c>
      <c r="BM225">
        <v>804.65700000000004</v>
      </c>
      <c r="BN225">
        <v>22.855499999999999</v>
      </c>
      <c r="BO225">
        <v>800.01300000000003</v>
      </c>
      <c r="BP225">
        <v>5.7715899999999998</v>
      </c>
      <c r="BQ225">
        <v>2.83663</v>
      </c>
      <c r="BR225">
        <v>0.57190099999999999</v>
      </c>
      <c r="BS225">
        <v>23.098800000000001</v>
      </c>
      <c r="BT225">
        <v>-0.96619600000000005</v>
      </c>
      <c r="BU225">
        <v>1800</v>
      </c>
      <c r="BV225">
        <v>0.90999699999999994</v>
      </c>
      <c r="BW225">
        <v>3.3994999999999997E-2</v>
      </c>
      <c r="BX225">
        <v>2.2004599999999999E-2</v>
      </c>
      <c r="BY225">
        <v>3.40033E-2</v>
      </c>
      <c r="BZ225">
        <v>26</v>
      </c>
      <c r="CA225">
        <v>33528.300000000003</v>
      </c>
      <c r="CB225">
        <v>1690214843</v>
      </c>
      <c r="CC225" t="s">
        <v>332</v>
      </c>
      <c r="CD225">
        <v>1690214842</v>
      </c>
      <c r="CE225">
        <v>1690214843</v>
      </c>
      <c r="CF225">
        <v>8</v>
      </c>
      <c r="CG225">
        <v>-6.3E-2</v>
      </c>
      <c r="CH225">
        <v>1E-3</v>
      </c>
      <c r="CI225">
        <v>-0.38900000000000001</v>
      </c>
      <c r="CJ225">
        <v>-6.6000000000000003E-2</v>
      </c>
      <c r="CK225">
        <v>800</v>
      </c>
      <c r="CL225">
        <v>6</v>
      </c>
      <c r="CM225">
        <v>0.23</v>
      </c>
      <c r="CN225">
        <v>0.02</v>
      </c>
      <c r="CO225">
        <v>-422.19184999999999</v>
      </c>
      <c r="CP225">
        <v>-3.3314296435271968</v>
      </c>
      <c r="CQ225">
        <v>0.32406060775725137</v>
      </c>
      <c r="CR225">
        <v>-1</v>
      </c>
      <c r="CS225">
        <v>22.841345</v>
      </c>
      <c r="CT225">
        <v>7.6385741088171977E-2</v>
      </c>
      <c r="CU225">
        <v>7.5413841567716347E-3</v>
      </c>
      <c r="CV225">
        <v>-1</v>
      </c>
      <c r="CW225">
        <v>0</v>
      </c>
      <c r="CX225">
        <v>0</v>
      </c>
      <c r="CY225" t="s">
        <v>333</v>
      </c>
      <c r="CZ225">
        <v>2.3645100000000001</v>
      </c>
      <c r="DA225">
        <v>2.7138499999999999</v>
      </c>
      <c r="DB225">
        <v>8.5580199999999995E-2</v>
      </c>
      <c r="DC225">
        <v>0.14611099999999999</v>
      </c>
      <c r="DD225">
        <v>0.12884799999999999</v>
      </c>
      <c r="DE225">
        <v>3.82259E-2</v>
      </c>
      <c r="DF225">
        <v>33384.300000000003</v>
      </c>
      <c r="DG225">
        <v>27513.7</v>
      </c>
      <c r="DH225">
        <v>31167.3</v>
      </c>
      <c r="DI225">
        <v>28076.7</v>
      </c>
      <c r="DJ225">
        <v>36848</v>
      </c>
      <c r="DK225">
        <v>38398.400000000001</v>
      </c>
      <c r="DL225">
        <v>44353.599999999999</v>
      </c>
      <c r="DM225">
        <v>42551</v>
      </c>
      <c r="DN225">
        <v>1.3656999999999999</v>
      </c>
      <c r="DO225">
        <v>2.0351699999999999</v>
      </c>
      <c r="DP225">
        <v>8.3789199999999994E-2</v>
      </c>
      <c r="DQ225">
        <v>0.17399000000000001</v>
      </c>
      <c r="DR225">
        <v>25.634</v>
      </c>
      <c r="DS225">
        <v>25.411000000000001</v>
      </c>
      <c r="DT225">
        <v>17</v>
      </c>
      <c r="DU225">
        <v>29.8</v>
      </c>
      <c r="DV225">
        <v>7.2255500000000001</v>
      </c>
      <c r="DW225">
        <v>61.738599999999998</v>
      </c>
      <c r="DX225">
        <v>37.379800000000003</v>
      </c>
      <c r="DY225">
        <v>1</v>
      </c>
      <c r="DZ225">
        <v>-9.5124500000000001E-2</v>
      </c>
      <c r="EA225">
        <v>-0.26122800000000002</v>
      </c>
      <c r="EB225">
        <v>20.1892</v>
      </c>
      <c r="EC225">
        <v>5.2409499999999998</v>
      </c>
      <c r="ED225">
        <v>12.039899999999999</v>
      </c>
      <c r="EE225">
        <v>5.0166000000000004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1.8689499999999999</v>
      </c>
      <c r="EL225">
        <v>1.8647</v>
      </c>
      <c r="EM225">
        <v>1.8692</v>
      </c>
      <c r="EN225">
        <v>1.8672800000000001</v>
      </c>
      <c r="EO225">
        <v>1.8633999999999999</v>
      </c>
      <c r="EP225">
        <v>1.8646</v>
      </c>
      <c r="EQ225">
        <v>1.8702000000000001</v>
      </c>
      <c r="ER225">
        <v>1.86947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-9.0999999999999998E-2</v>
      </c>
      <c r="FG225">
        <v>0.19259999999999999</v>
      </c>
      <c r="FH225">
        <v>0.16202357103534001</v>
      </c>
      <c r="FI225">
        <v>-6.1462078757559423E-4</v>
      </c>
      <c r="FJ225">
        <v>-1.8861989874597051E-7</v>
      </c>
      <c r="FK225">
        <v>1.1980462299894961E-10</v>
      </c>
      <c r="FL225">
        <v>0.19260234566371101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42.2</v>
      </c>
      <c r="FU225">
        <v>42.2</v>
      </c>
      <c r="FV225">
        <v>1.7785599999999999</v>
      </c>
      <c r="FW225">
        <v>2.5866699999999998</v>
      </c>
      <c r="FX225">
        <v>1.5490699999999999</v>
      </c>
      <c r="FY225">
        <v>2.3290999999999999</v>
      </c>
      <c r="FZ225">
        <v>1.50146</v>
      </c>
      <c r="GA225">
        <v>2.2729499999999998</v>
      </c>
      <c r="GB225">
        <v>33.850900000000003</v>
      </c>
      <c r="GC225">
        <v>23.973700000000001</v>
      </c>
      <c r="GD225">
        <v>19</v>
      </c>
      <c r="GE225">
        <v>238.471</v>
      </c>
      <c r="GF225">
        <v>581.80600000000004</v>
      </c>
      <c r="GG225">
        <v>25.410599999999999</v>
      </c>
      <c r="GH225">
        <v>26.2</v>
      </c>
      <c r="GI225">
        <v>29.9999</v>
      </c>
      <c r="GJ225">
        <v>26.332699999999999</v>
      </c>
      <c r="GK225">
        <v>26.306000000000001</v>
      </c>
      <c r="GL225">
        <v>35.5595</v>
      </c>
      <c r="GM225">
        <v>-30</v>
      </c>
      <c r="GN225">
        <v>-30</v>
      </c>
      <c r="GO225">
        <v>25.399799999999999</v>
      </c>
      <c r="GP225">
        <v>800</v>
      </c>
      <c r="GQ225">
        <v>12.5298</v>
      </c>
      <c r="GR225">
        <v>99.721599999999995</v>
      </c>
      <c r="GS225">
        <v>99.545000000000002</v>
      </c>
    </row>
    <row r="226" spans="1:201" x14ac:dyDescent="0.25">
      <c r="A226">
        <v>210</v>
      </c>
      <c r="B226">
        <v>1690217385</v>
      </c>
      <c r="C226">
        <v>2439.5</v>
      </c>
      <c r="D226" t="s">
        <v>753</v>
      </c>
      <c r="E226" t="s">
        <v>754</v>
      </c>
      <c r="F226" t="s">
        <v>330</v>
      </c>
      <c r="H226">
        <v>1690217385</v>
      </c>
      <c r="I226">
        <f t="shared" si="90"/>
        <v>2.1033277475700496E-3</v>
      </c>
      <c r="J226">
        <f t="shared" si="91"/>
        <v>2.1033277475700496</v>
      </c>
      <c r="K226">
        <f t="shared" si="92"/>
        <v>37.050685065604462</v>
      </c>
      <c r="L226">
        <f t="shared" si="93"/>
        <v>376.40499999999997</v>
      </c>
      <c r="M226">
        <f t="shared" si="94"/>
        <v>73.532707921572651</v>
      </c>
      <c r="N226">
        <f t="shared" si="95"/>
        <v>7.2936068750319274</v>
      </c>
      <c r="O226">
        <f t="shared" si="96"/>
        <v>37.335087655475498</v>
      </c>
      <c r="P226">
        <f t="shared" si="97"/>
        <v>0.20767325213877819</v>
      </c>
      <c r="Q226">
        <f t="shared" si="98"/>
        <v>2.0659694492884033</v>
      </c>
      <c r="R226">
        <f t="shared" si="99"/>
        <v>0.19673364939472285</v>
      </c>
      <c r="S226">
        <f t="shared" si="100"/>
        <v>0.12389336786463978</v>
      </c>
      <c r="T226">
        <f t="shared" si="101"/>
        <v>276.11755235987994</v>
      </c>
      <c r="U226">
        <f t="shared" si="102"/>
        <v>28.316796959140284</v>
      </c>
      <c r="V226">
        <f t="shared" si="103"/>
        <v>28.316796959140284</v>
      </c>
      <c r="W226">
        <f t="shared" si="104"/>
        <v>3.8654906193864567</v>
      </c>
      <c r="X226">
        <f t="shared" si="105"/>
        <v>80.188959206515648</v>
      </c>
      <c r="Y226">
        <f t="shared" si="106"/>
        <v>2.84089065253323</v>
      </c>
      <c r="Z226">
        <f t="shared" si="107"/>
        <v>3.5427453862032379</v>
      </c>
      <c r="AA226">
        <f t="shared" si="108"/>
        <v>1.0245999668532266</v>
      </c>
      <c r="AB226">
        <f t="shared" si="109"/>
        <v>-92.756753667839192</v>
      </c>
      <c r="AC226">
        <f t="shared" si="110"/>
        <v>-166.04577771890192</v>
      </c>
      <c r="AD226">
        <f t="shared" si="111"/>
        <v>-17.444590386546643</v>
      </c>
      <c r="AE226">
        <f t="shared" si="112"/>
        <v>-0.12956941340777917</v>
      </c>
      <c r="AF226">
        <v>43</v>
      </c>
      <c r="AG226">
        <v>14</v>
      </c>
      <c r="AH226">
        <f t="shared" si="113"/>
        <v>1</v>
      </c>
      <c r="AI226">
        <f t="shared" si="114"/>
        <v>0</v>
      </c>
      <c r="AJ226">
        <f t="shared" si="115"/>
        <v>52504.132165006056</v>
      </c>
      <c r="AK226">
        <f t="shared" si="116"/>
        <v>1800.01</v>
      </c>
      <c r="AL226">
        <f t="shared" si="117"/>
        <v>1499.12182960834</v>
      </c>
      <c r="AM226">
        <f t="shared" si="118"/>
        <v>0.83284083399999997</v>
      </c>
      <c r="AN226">
        <f t="shared" si="119"/>
        <v>0.15339778799000001</v>
      </c>
      <c r="AO226">
        <v>33.6</v>
      </c>
      <c r="AP226">
        <v>0.5</v>
      </c>
      <c r="AQ226" t="s">
        <v>331</v>
      </c>
      <c r="AR226">
        <v>2</v>
      </c>
      <c r="AS226">
        <v>1690217385</v>
      </c>
      <c r="AT226">
        <v>376.40499999999997</v>
      </c>
      <c r="AU226">
        <v>800.01099999999997</v>
      </c>
      <c r="AV226">
        <v>28.641300000000001</v>
      </c>
      <c r="AW226">
        <v>5.7710900000000001</v>
      </c>
      <c r="AX226">
        <v>376.49400000000003</v>
      </c>
      <c r="AY226">
        <v>28.448699999999999</v>
      </c>
      <c r="AZ226">
        <v>300.16199999999998</v>
      </c>
      <c r="BA226">
        <v>99.088700000000003</v>
      </c>
      <c r="BB226">
        <v>9.9907099999999999E-2</v>
      </c>
      <c r="BC226">
        <v>26.826000000000001</v>
      </c>
      <c r="BD226">
        <v>27.006399999999999</v>
      </c>
      <c r="BE226">
        <v>28.2668</v>
      </c>
      <c r="BF226">
        <v>0</v>
      </c>
      <c r="BG226">
        <v>0</v>
      </c>
      <c r="BH226">
        <v>10015.6</v>
      </c>
      <c r="BI226">
        <v>1077.46</v>
      </c>
      <c r="BJ226">
        <v>1.7941199999999999</v>
      </c>
      <c r="BK226">
        <v>-423.60599999999999</v>
      </c>
      <c r="BL226">
        <v>387.50299999999999</v>
      </c>
      <c r="BM226">
        <v>804.65499999999997</v>
      </c>
      <c r="BN226">
        <v>22.870200000000001</v>
      </c>
      <c r="BO226">
        <v>800.01099999999997</v>
      </c>
      <c r="BP226">
        <v>5.7710900000000001</v>
      </c>
      <c r="BQ226">
        <v>2.8380299999999998</v>
      </c>
      <c r="BR226">
        <v>0.57184999999999997</v>
      </c>
      <c r="BS226">
        <v>23.106999999999999</v>
      </c>
      <c r="BT226">
        <v>-0.96741100000000002</v>
      </c>
      <c r="BU226">
        <v>1800.01</v>
      </c>
      <c r="BV226">
        <v>0.90999699999999994</v>
      </c>
      <c r="BW226">
        <v>3.3995200000000003E-2</v>
      </c>
      <c r="BX226">
        <v>2.2004699999999999E-2</v>
      </c>
      <c r="BY226">
        <v>3.4003499999999999E-2</v>
      </c>
      <c r="BZ226">
        <v>26</v>
      </c>
      <c r="CA226">
        <v>33528.5</v>
      </c>
      <c r="CB226">
        <v>1690214843</v>
      </c>
      <c r="CC226" t="s">
        <v>332</v>
      </c>
      <c r="CD226">
        <v>1690214842</v>
      </c>
      <c r="CE226">
        <v>1690214843</v>
      </c>
      <c r="CF226">
        <v>8</v>
      </c>
      <c r="CG226">
        <v>-6.3E-2</v>
      </c>
      <c r="CH226">
        <v>1E-3</v>
      </c>
      <c r="CI226">
        <v>-0.38900000000000001</v>
      </c>
      <c r="CJ226">
        <v>-6.6000000000000003E-2</v>
      </c>
      <c r="CK226">
        <v>800</v>
      </c>
      <c r="CL226">
        <v>6</v>
      </c>
      <c r="CM226">
        <v>0.23</v>
      </c>
      <c r="CN226">
        <v>0.02</v>
      </c>
      <c r="CO226">
        <v>-422.79424999999998</v>
      </c>
      <c r="CP226">
        <v>-3.8354971857393489</v>
      </c>
      <c r="CQ226">
        <v>0.37337057663935302</v>
      </c>
      <c r="CR226">
        <v>-1</v>
      </c>
      <c r="CS226">
        <v>22.855377499999999</v>
      </c>
      <c r="CT226">
        <v>9.4488180112530767E-2</v>
      </c>
      <c r="CU226">
        <v>9.1933804310489753E-3</v>
      </c>
      <c r="CV226">
        <v>-1</v>
      </c>
      <c r="CW226">
        <v>0</v>
      </c>
      <c r="CX226">
        <v>0</v>
      </c>
      <c r="CY226" t="s">
        <v>333</v>
      </c>
      <c r="CZ226">
        <v>2.3645</v>
      </c>
      <c r="DA226">
        <v>2.7137099999999998</v>
      </c>
      <c r="DB226">
        <v>8.5431499999999994E-2</v>
      </c>
      <c r="DC226">
        <v>0.14610999999999999</v>
      </c>
      <c r="DD226">
        <v>0.12889200000000001</v>
      </c>
      <c r="DE226">
        <v>3.8223100000000003E-2</v>
      </c>
      <c r="DF226">
        <v>33389.800000000003</v>
      </c>
      <c r="DG226">
        <v>27513.4</v>
      </c>
      <c r="DH226">
        <v>31167.4</v>
      </c>
      <c r="DI226">
        <v>28076.400000000001</v>
      </c>
      <c r="DJ226">
        <v>36846</v>
      </c>
      <c r="DK226">
        <v>38398.1</v>
      </c>
      <c r="DL226">
        <v>44353.5</v>
      </c>
      <c r="DM226">
        <v>42550.6</v>
      </c>
      <c r="DN226">
        <v>1.3651</v>
      </c>
      <c r="DO226">
        <v>2.0351699999999999</v>
      </c>
      <c r="DP226">
        <v>8.3960599999999996E-2</v>
      </c>
      <c r="DQ226">
        <v>0.174757</v>
      </c>
      <c r="DR226">
        <v>25.631799999999998</v>
      </c>
      <c r="DS226">
        <v>25.408000000000001</v>
      </c>
      <c r="DT226">
        <v>17</v>
      </c>
      <c r="DU226">
        <v>29.8</v>
      </c>
      <c r="DV226">
        <v>7.2253999999999996</v>
      </c>
      <c r="DW226">
        <v>61.518599999999999</v>
      </c>
      <c r="DX226">
        <v>37.311700000000002</v>
      </c>
      <c r="DY226">
        <v>1</v>
      </c>
      <c r="DZ226">
        <v>-9.4911099999999998E-2</v>
      </c>
      <c r="EA226">
        <v>-0.255185</v>
      </c>
      <c r="EB226">
        <v>20.1892</v>
      </c>
      <c r="EC226">
        <v>5.2403500000000003</v>
      </c>
      <c r="ED226">
        <v>12.039899999999999</v>
      </c>
      <c r="EE226">
        <v>5.0164999999999997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1.8689199999999999</v>
      </c>
      <c r="EL226">
        <v>1.86467</v>
      </c>
      <c r="EM226">
        <v>1.8692</v>
      </c>
      <c r="EN226">
        <v>1.8672500000000001</v>
      </c>
      <c r="EO226">
        <v>1.8633999999999999</v>
      </c>
      <c r="EP226">
        <v>1.8646</v>
      </c>
      <c r="EQ226">
        <v>1.87022</v>
      </c>
      <c r="ER226">
        <v>1.8694900000000001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-8.8999999999999996E-2</v>
      </c>
      <c r="FG226">
        <v>0.19259999999999999</v>
      </c>
      <c r="FH226">
        <v>0.16202357103534001</v>
      </c>
      <c r="FI226">
        <v>-6.1462078757559423E-4</v>
      </c>
      <c r="FJ226">
        <v>-1.8861989874597051E-7</v>
      </c>
      <c r="FK226">
        <v>1.1980462299894961E-10</v>
      </c>
      <c r="FL226">
        <v>0.19260234566371101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42.4</v>
      </c>
      <c r="FU226">
        <v>42.4</v>
      </c>
      <c r="FV226">
        <v>1.7785599999999999</v>
      </c>
      <c r="FW226">
        <v>2.5854499999999998</v>
      </c>
      <c r="FX226">
        <v>1.5490699999999999</v>
      </c>
      <c r="FY226">
        <v>2.3290999999999999</v>
      </c>
      <c r="FZ226">
        <v>1.50146</v>
      </c>
      <c r="GA226">
        <v>2.3059099999999999</v>
      </c>
      <c r="GB226">
        <v>33.850900000000003</v>
      </c>
      <c r="GC226">
        <v>23.982399999999998</v>
      </c>
      <c r="GD226">
        <v>19</v>
      </c>
      <c r="GE226">
        <v>238.245</v>
      </c>
      <c r="GF226">
        <v>581.80600000000004</v>
      </c>
      <c r="GG226">
        <v>25.4023</v>
      </c>
      <c r="GH226">
        <v>26.198599999999999</v>
      </c>
      <c r="GI226">
        <v>30.0001</v>
      </c>
      <c r="GJ226">
        <v>26.332699999999999</v>
      </c>
      <c r="GK226">
        <v>26.306000000000001</v>
      </c>
      <c r="GL226">
        <v>35.558700000000002</v>
      </c>
      <c r="GM226">
        <v>-30</v>
      </c>
      <c r="GN226">
        <v>-30</v>
      </c>
      <c r="GO226">
        <v>25.406400000000001</v>
      </c>
      <c r="GP226">
        <v>800</v>
      </c>
      <c r="GQ226">
        <v>12.5298</v>
      </c>
      <c r="GR226">
        <v>99.721500000000006</v>
      </c>
      <c r="GS226">
        <v>99.543899999999994</v>
      </c>
    </row>
    <row r="227" spans="1:201" x14ac:dyDescent="0.25">
      <c r="A227">
        <v>211</v>
      </c>
      <c r="B227">
        <v>1690217395</v>
      </c>
      <c r="C227">
        <v>2449.5</v>
      </c>
      <c r="D227" t="s">
        <v>755</v>
      </c>
      <c r="E227" t="s">
        <v>756</v>
      </c>
      <c r="F227" t="s">
        <v>330</v>
      </c>
      <c r="H227">
        <v>1690217395</v>
      </c>
      <c r="I227">
        <f t="shared" si="90"/>
        <v>2.1043424911866455E-3</v>
      </c>
      <c r="J227">
        <f t="shared" si="91"/>
        <v>2.1043424911866455</v>
      </c>
      <c r="K227">
        <f t="shared" si="92"/>
        <v>37.105949620696656</v>
      </c>
      <c r="L227">
        <f t="shared" si="93"/>
        <v>375.84899999999999</v>
      </c>
      <c r="M227">
        <f t="shared" si="94"/>
        <v>72.659047487031557</v>
      </c>
      <c r="N227">
        <f t="shared" si="95"/>
        <v>7.2069160650465234</v>
      </c>
      <c r="O227">
        <f t="shared" si="96"/>
        <v>37.279764734255991</v>
      </c>
      <c r="P227">
        <f t="shared" si="97"/>
        <v>0.2077750975259291</v>
      </c>
      <c r="Q227">
        <f t="shared" si="98"/>
        <v>2.0623934645676281</v>
      </c>
      <c r="R227">
        <f t="shared" si="99"/>
        <v>0.19680715619187372</v>
      </c>
      <c r="S227">
        <f t="shared" si="100"/>
        <v>0.1239416299261183</v>
      </c>
      <c r="T227">
        <f t="shared" si="101"/>
        <v>276.11447416217703</v>
      </c>
      <c r="U227">
        <f t="shared" si="102"/>
        <v>28.3207450742856</v>
      </c>
      <c r="V227">
        <f t="shared" si="103"/>
        <v>28.3207450742856</v>
      </c>
      <c r="W227">
        <f t="shared" si="104"/>
        <v>3.8663783035338604</v>
      </c>
      <c r="X227">
        <f t="shared" si="105"/>
        <v>80.201829183754469</v>
      </c>
      <c r="Y227">
        <f t="shared" si="106"/>
        <v>2.8416808127135997</v>
      </c>
      <c r="Z227">
        <f t="shared" si="107"/>
        <v>3.5431620969677402</v>
      </c>
      <c r="AA227">
        <f t="shared" si="108"/>
        <v>1.0246974908202606</v>
      </c>
      <c r="AB227">
        <f t="shared" si="109"/>
        <v>-92.801503861331071</v>
      </c>
      <c r="AC227">
        <f t="shared" si="110"/>
        <v>-165.97497577917412</v>
      </c>
      <c r="AD227">
        <f t="shared" si="111"/>
        <v>-17.467905081323352</v>
      </c>
      <c r="AE227">
        <f t="shared" si="112"/>
        <v>-0.12991055965150622</v>
      </c>
      <c r="AF227">
        <v>43</v>
      </c>
      <c r="AG227">
        <v>14</v>
      </c>
      <c r="AH227">
        <f t="shared" si="113"/>
        <v>1</v>
      </c>
      <c r="AI227">
        <f t="shared" si="114"/>
        <v>0</v>
      </c>
      <c r="AJ227">
        <f t="shared" si="115"/>
        <v>52340.14408647977</v>
      </c>
      <c r="AK227">
        <f t="shared" si="116"/>
        <v>1799.99</v>
      </c>
      <c r="AL227">
        <f t="shared" si="117"/>
        <v>1499.1054625900499</v>
      </c>
      <c r="AM227">
        <f t="shared" si="118"/>
        <v>0.83284099499999997</v>
      </c>
      <c r="AN227">
        <f t="shared" si="119"/>
        <v>0.15339778230000001</v>
      </c>
      <c r="AO227">
        <v>33.6</v>
      </c>
      <c r="AP227">
        <v>0.5</v>
      </c>
      <c r="AQ227" t="s">
        <v>331</v>
      </c>
      <c r="AR227">
        <v>2</v>
      </c>
      <c r="AS227">
        <v>1690217395</v>
      </c>
      <c r="AT227">
        <v>375.84899999999999</v>
      </c>
      <c r="AU227">
        <v>800.02099999999996</v>
      </c>
      <c r="AV227">
        <v>28.6494</v>
      </c>
      <c r="AW227">
        <v>5.7707100000000002</v>
      </c>
      <c r="AX227">
        <v>375.93900000000002</v>
      </c>
      <c r="AY227">
        <v>28.456800000000001</v>
      </c>
      <c r="AZ227">
        <v>300.19299999999998</v>
      </c>
      <c r="BA227">
        <v>99.088099999999997</v>
      </c>
      <c r="BB227">
        <v>0.10004399999999999</v>
      </c>
      <c r="BC227">
        <v>26.827999999999999</v>
      </c>
      <c r="BD227">
        <v>26.992799999999999</v>
      </c>
      <c r="BE227">
        <v>28.253699999999998</v>
      </c>
      <c r="BF227">
        <v>0</v>
      </c>
      <c r="BG227">
        <v>0</v>
      </c>
      <c r="BH227">
        <v>9983.1200000000008</v>
      </c>
      <c r="BI227">
        <v>1077.5</v>
      </c>
      <c r="BJ227">
        <v>1.7941199999999999</v>
      </c>
      <c r="BK227">
        <v>-424.17099999999999</v>
      </c>
      <c r="BL227">
        <v>386.935</v>
      </c>
      <c r="BM227">
        <v>804.66399999999999</v>
      </c>
      <c r="BN227">
        <v>22.878699999999998</v>
      </c>
      <c r="BO227">
        <v>800.02099999999996</v>
      </c>
      <c r="BP227">
        <v>5.7707100000000002</v>
      </c>
      <c r="BQ227">
        <v>2.8388200000000001</v>
      </c>
      <c r="BR227">
        <v>0.57180900000000001</v>
      </c>
      <c r="BS227">
        <v>23.111499999999999</v>
      </c>
      <c r="BT227">
        <v>-0.968391</v>
      </c>
      <c r="BU227">
        <v>1799.99</v>
      </c>
      <c r="BV227">
        <v>0.90999799999999997</v>
      </c>
      <c r="BW227">
        <v>3.3994799999999999E-2</v>
      </c>
      <c r="BX227">
        <v>2.20045E-2</v>
      </c>
      <c r="BY227">
        <v>3.4003199999999997E-2</v>
      </c>
      <c r="BZ227">
        <v>26</v>
      </c>
      <c r="CA227">
        <v>33528.199999999997</v>
      </c>
      <c r="CB227">
        <v>1690214843</v>
      </c>
      <c r="CC227" t="s">
        <v>332</v>
      </c>
      <c r="CD227">
        <v>1690214842</v>
      </c>
      <c r="CE227">
        <v>1690214843</v>
      </c>
      <c r="CF227">
        <v>8</v>
      </c>
      <c r="CG227">
        <v>-6.3E-2</v>
      </c>
      <c r="CH227">
        <v>1E-3</v>
      </c>
      <c r="CI227">
        <v>-0.38900000000000001</v>
      </c>
      <c r="CJ227">
        <v>-6.6000000000000003E-2</v>
      </c>
      <c r="CK227">
        <v>800</v>
      </c>
      <c r="CL227">
        <v>6</v>
      </c>
      <c r="CM227">
        <v>0.23</v>
      </c>
      <c r="CN227">
        <v>0.02</v>
      </c>
      <c r="CO227">
        <v>-423.46442499999989</v>
      </c>
      <c r="CP227">
        <v>-4.1364315196990198</v>
      </c>
      <c r="CQ227">
        <v>0.40133651014453842</v>
      </c>
      <c r="CR227">
        <v>-1</v>
      </c>
      <c r="CS227">
        <v>22.868825000000001</v>
      </c>
      <c r="CT227">
        <v>6.6848780487734308E-2</v>
      </c>
      <c r="CU227">
        <v>6.5872129918502853E-3</v>
      </c>
      <c r="CV227">
        <v>-1</v>
      </c>
      <c r="CW227">
        <v>0</v>
      </c>
      <c r="CX227">
        <v>0</v>
      </c>
      <c r="CY227" t="s">
        <v>333</v>
      </c>
      <c r="CZ227">
        <v>2.3646099999999999</v>
      </c>
      <c r="DA227">
        <v>2.7138200000000001</v>
      </c>
      <c r="DB227">
        <v>8.5333800000000001E-2</v>
      </c>
      <c r="DC227">
        <v>0.14611099999999999</v>
      </c>
      <c r="DD227">
        <v>0.128917</v>
      </c>
      <c r="DE227">
        <v>3.8220999999999998E-2</v>
      </c>
      <c r="DF227">
        <v>33393.4</v>
      </c>
      <c r="DG227">
        <v>27513.4</v>
      </c>
      <c r="DH227">
        <v>31167.4</v>
      </c>
      <c r="DI227">
        <v>28076.5</v>
      </c>
      <c r="DJ227">
        <v>36845</v>
      </c>
      <c r="DK227">
        <v>38398.199999999997</v>
      </c>
      <c r="DL227">
        <v>44353.599999999999</v>
      </c>
      <c r="DM227">
        <v>42550.7</v>
      </c>
      <c r="DN227">
        <v>1.3651800000000001</v>
      </c>
      <c r="DO227">
        <v>2.0352700000000001</v>
      </c>
      <c r="DP227">
        <v>8.3126099999999994E-2</v>
      </c>
      <c r="DQ227">
        <v>0.17408699999999999</v>
      </c>
      <c r="DR227">
        <v>25.631799999999998</v>
      </c>
      <c r="DS227">
        <v>25.405899999999999</v>
      </c>
      <c r="DT227">
        <v>17</v>
      </c>
      <c r="DU227">
        <v>29.8</v>
      </c>
      <c r="DV227">
        <v>7.2255700000000003</v>
      </c>
      <c r="DW227">
        <v>61.868600000000001</v>
      </c>
      <c r="DX227">
        <v>37.071300000000001</v>
      </c>
      <c r="DY227">
        <v>1</v>
      </c>
      <c r="DZ227">
        <v>-9.4883099999999998E-2</v>
      </c>
      <c r="EA227">
        <v>-0.25201499999999999</v>
      </c>
      <c r="EB227">
        <v>20.189499999999999</v>
      </c>
      <c r="EC227">
        <v>5.24125</v>
      </c>
      <c r="ED227">
        <v>12.039899999999999</v>
      </c>
      <c r="EE227">
        <v>5.0166500000000003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1.86896</v>
      </c>
      <c r="EL227">
        <v>1.86466</v>
      </c>
      <c r="EM227">
        <v>1.8692</v>
      </c>
      <c r="EN227">
        <v>1.8672599999999999</v>
      </c>
      <c r="EO227">
        <v>1.8633999999999999</v>
      </c>
      <c r="EP227">
        <v>1.86459</v>
      </c>
      <c r="EQ227">
        <v>1.8702099999999999</v>
      </c>
      <c r="ER227">
        <v>1.86947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-0.09</v>
      </c>
      <c r="FG227">
        <v>0.19259999999999999</v>
      </c>
      <c r="FH227">
        <v>0.16202357103534001</v>
      </c>
      <c r="FI227">
        <v>-6.1462078757559423E-4</v>
      </c>
      <c r="FJ227">
        <v>-1.8861989874597051E-7</v>
      </c>
      <c r="FK227">
        <v>1.1980462299894961E-10</v>
      </c>
      <c r="FL227">
        <v>0.19260234566371101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42.5</v>
      </c>
      <c r="FU227">
        <v>42.5</v>
      </c>
      <c r="FV227">
        <v>1.7785599999999999</v>
      </c>
      <c r="FW227">
        <v>2.5891099999999998</v>
      </c>
      <c r="FX227">
        <v>1.5490699999999999</v>
      </c>
      <c r="FY227">
        <v>2.3290999999999999</v>
      </c>
      <c r="FZ227">
        <v>1.50146</v>
      </c>
      <c r="GA227">
        <v>2.3290999999999999</v>
      </c>
      <c r="GB227">
        <v>33.850900000000003</v>
      </c>
      <c r="GC227">
        <v>23.982399999999998</v>
      </c>
      <c r="GD227">
        <v>19</v>
      </c>
      <c r="GE227">
        <v>238.26599999999999</v>
      </c>
      <c r="GF227">
        <v>581.86400000000003</v>
      </c>
      <c r="GG227">
        <v>25.4041</v>
      </c>
      <c r="GH227">
        <v>26.197900000000001</v>
      </c>
      <c r="GI227">
        <v>30.0001</v>
      </c>
      <c r="GJ227">
        <v>26.330500000000001</v>
      </c>
      <c r="GK227">
        <v>26.303899999999999</v>
      </c>
      <c r="GL227">
        <v>35.556899999999999</v>
      </c>
      <c r="GM227">
        <v>-30</v>
      </c>
      <c r="GN227">
        <v>-30</v>
      </c>
      <c r="GO227">
        <v>25.4041</v>
      </c>
      <c r="GP227">
        <v>800</v>
      </c>
      <c r="GQ227">
        <v>12.5298</v>
      </c>
      <c r="GR227">
        <v>99.721599999999995</v>
      </c>
      <c r="GS227">
        <v>99.5441</v>
      </c>
    </row>
    <row r="228" spans="1:201" x14ac:dyDescent="0.25">
      <c r="A228">
        <v>212</v>
      </c>
      <c r="B228">
        <v>1690217405</v>
      </c>
      <c r="C228">
        <v>2459.5</v>
      </c>
      <c r="D228" t="s">
        <v>757</v>
      </c>
      <c r="E228" t="s">
        <v>758</v>
      </c>
      <c r="F228" t="s">
        <v>330</v>
      </c>
      <c r="H228">
        <v>1690217405</v>
      </c>
      <c r="I228">
        <f t="shared" si="90"/>
        <v>2.1051869091964974E-3</v>
      </c>
      <c r="J228">
        <f t="shared" si="91"/>
        <v>2.1051869091964974</v>
      </c>
      <c r="K228">
        <f t="shared" si="92"/>
        <v>37.161340079833728</v>
      </c>
      <c r="L228">
        <f t="shared" si="93"/>
        <v>375.20600000000002</v>
      </c>
      <c r="M228">
        <f t="shared" si="94"/>
        <v>72.138904460709085</v>
      </c>
      <c r="N228">
        <f t="shared" si="95"/>
        <v>7.155444876316027</v>
      </c>
      <c r="O228">
        <f t="shared" si="96"/>
        <v>37.216615227714001</v>
      </c>
      <c r="P228">
        <f t="shared" si="97"/>
        <v>0.2081808910643288</v>
      </c>
      <c r="Q228">
        <f t="shared" si="98"/>
        <v>2.0618618466242937</v>
      </c>
      <c r="R228">
        <f t="shared" si="99"/>
        <v>0.19716860774468439</v>
      </c>
      <c r="S228">
        <f t="shared" si="100"/>
        <v>0.12417122463015173</v>
      </c>
      <c r="T228">
        <f t="shared" si="101"/>
        <v>276.11601838199999</v>
      </c>
      <c r="U228">
        <f t="shared" si="102"/>
        <v>28.318905493926817</v>
      </c>
      <c r="V228">
        <f t="shared" si="103"/>
        <v>28.318905493926817</v>
      </c>
      <c r="W228">
        <f t="shared" si="104"/>
        <v>3.8659646748525298</v>
      </c>
      <c r="X228">
        <f t="shared" si="105"/>
        <v>80.240143479369863</v>
      </c>
      <c r="Y228">
        <f t="shared" si="106"/>
        <v>2.8427206986486002</v>
      </c>
      <c r="Z228">
        <f t="shared" si="107"/>
        <v>3.5427662207252628</v>
      </c>
      <c r="AA228">
        <f t="shared" si="108"/>
        <v>1.0232439762039296</v>
      </c>
      <c r="AB228">
        <f t="shared" si="109"/>
        <v>-92.838742695565529</v>
      </c>
      <c r="AC228">
        <f t="shared" si="110"/>
        <v>-165.93890902244962</v>
      </c>
      <c r="AD228">
        <f t="shared" si="111"/>
        <v>-17.468286113809274</v>
      </c>
      <c r="AE228">
        <f t="shared" si="112"/>
        <v>-0.1299194498244276</v>
      </c>
      <c r="AF228">
        <v>43</v>
      </c>
      <c r="AG228">
        <v>14</v>
      </c>
      <c r="AH228">
        <f t="shared" si="113"/>
        <v>1</v>
      </c>
      <c r="AI228">
        <f t="shared" si="114"/>
        <v>0</v>
      </c>
      <c r="AJ228">
        <f t="shared" si="115"/>
        <v>52316.217779237515</v>
      </c>
      <c r="AK228">
        <f t="shared" si="116"/>
        <v>1800</v>
      </c>
      <c r="AL228">
        <f t="shared" si="117"/>
        <v>1499.1135012</v>
      </c>
      <c r="AM228">
        <f t="shared" si="118"/>
        <v>0.83284083399999997</v>
      </c>
      <c r="AN228">
        <f t="shared" si="119"/>
        <v>0.15339778799000001</v>
      </c>
      <c r="AO228">
        <v>33.6</v>
      </c>
      <c r="AP228">
        <v>0.5</v>
      </c>
      <c r="AQ228" t="s">
        <v>331</v>
      </c>
      <c r="AR228">
        <v>2</v>
      </c>
      <c r="AS228">
        <v>1690217405</v>
      </c>
      <c r="AT228">
        <v>375.20600000000002</v>
      </c>
      <c r="AU228">
        <v>800.02599999999995</v>
      </c>
      <c r="AV228">
        <v>28.659400000000002</v>
      </c>
      <c r="AW228">
        <v>5.7696300000000003</v>
      </c>
      <c r="AX228">
        <v>375.29500000000002</v>
      </c>
      <c r="AY228">
        <v>28.466799999999999</v>
      </c>
      <c r="AZ228">
        <v>300.16500000000002</v>
      </c>
      <c r="BA228">
        <v>99.089799999999997</v>
      </c>
      <c r="BB228">
        <v>0.100019</v>
      </c>
      <c r="BC228">
        <v>26.8261</v>
      </c>
      <c r="BD228">
        <v>26.9849</v>
      </c>
      <c r="BE228">
        <v>28.2514</v>
      </c>
      <c r="BF228">
        <v>0</v>
      </c>
      <c r="BG228">
        <v>0</v>
      </c>
      <c r="BH228">
        <v>9978.1200000000008</v>
      </c>
      <c r="BI228">
        <v>1077.54</v>
      </c>
      <c r="BJ228">
        <v>1.7941199999999999</v>
      </c>
      <c r="BK228">
        <v>-424.82</v>
      </c>
      <c r="BL228">
        <v>386.27699999999999</v>
      </c>
      <c r="BM228">
        <v>804.66899999999998</v>
      </c>
      <c r="BN228">
        <v>22.889700000000001</v>
      </c>
      <c r="BO228">
        <v>800.02599999999995</v>
      </c>
      <c r="BP228">
        <v>5.7696300000000003</v>
      </c>
      <c r="BQ228">
        <v>2.8398500000000002</v>
      </c>
      <c r="BR228">
        <v>0.57171099999999997</v>
      </c>
      <c r="BS228">
        <v>23.117599999999999</v>
      </c>
      <c r="BT228">
        <v>-0.97072999999999998</v>
      </c>
      <c r="BU228">
        <v>1800</v>
      </c>
      <c r="BV228">
        <v>0.90999699999999994</v>
      </c>
      <c r="BW228">
        <v>3.3995200000000003E-2</v>
      </c>
      <c r="BX228">
        <v>2.2004699999999999E-2</v>
      </c>
      <c r="BY228">
        <v>3.4003499999999999E-2</v>
      </c>
      <c r="BZ228">
        <v>26</v>
      </c>
      <c r="CA228">
        <v>33528.300000000003</v>
      </c>
      <c r="CB228">
        <v>1690214843</v>
      </c>
      <c r="CC228" t="s">
        <v>332</v>
      </c>
      <c r="CD228">
        <v>1690214842</v>
      </c>
      <c r="CE228">
        <v>1690214843</v>
      </c>
      <c r="CF228">
        <v>8</v>
      </c>
      <c r="CG228">
        <v>-6.3E-2</v>
      </c>
      <c r="CH228">
        <v>1E-3</v>
      </c>
      <c r="CI228">
        <v>-0.38900000000000001</v>
      </c>
      <c r="CJ228">
        <v>-6.6000000000000003E-2</v>
      </c>
      <c r="CK228">
        <v>800</v>
      </c>
      <c r="CL228">
        <v>6</v>
      </c>
      <c r="CM228">
        <v>0.23</v>
      </c>
      <c r="CN228">
        <v>0.02</v>
      </c>
      <c r="CO228">
        <v>-424.12085365853648</v>
      </c>
      <c r="CP228">
        <v>-3.5352752613232798</v>
      </c>
      <c r="CQ228">
        <v>0.34958125200718659</v>
      </c>
      <c r="CR228">
        <v>-1</v>
      </c>
      <c r="CS228">
        <v>22.879297560975608</v>
      </c>
      <c r="CT228">
        <v>6.0037630661981527E-2</v>
      </c>
      <c r="CU228">
        <v>5.942262351667036E-3</v>
      </c>
      <c r="CV228">
        <v>-1</v>
      </c>
      <c r="CW228">
        <v>0</v>
      </c>
      <c r="CX228">
        <v>0</v>
      </c>
      <c r="CY228" t="s">
        <v>333</v>
      </c>
      <c r="CZ228">
        <v>2.3645100000000001</v>
      </c>
      <c r="DA228">
        <v>2.7137899999999999</v>
      </c>
      <c r="DB228">
        <v>8.52218E-2</v>
      </c>
      <c r="DC228">
        <v>0.14611399999999999</v>
      </c>
      <c r="DD228">
        <v>0.12895000000000001</v>
      </c>
      <c r="DE228">
        <v>3.8215699999999998E-2</v>
      </c>
      <c r="DF228">
        <v>33397.4</v>
      </c>
      <c r="DG228">
        <v>27513.3</v>
      </c>
      <c r="DH228">
        <v>31167.3</v>
      </c>
      <c r="DI228">
        <v>28076.5</v>
      </c>
      <c r="DJ228">
        <v>36843.4</v>
      </c>
      <c r="DK228">
        <v>38398.400000000001</v>
      </c>
      <c r="DL228">
        <v>44353.5</v>
      </c>
      <c r="DM228">
        <v>42550.6</v>
      </c>
      <c r="DN228">
        <v>1.36503</v>
      </c>
      <c r="DO228">
        <v>2.03538</v>
      </c>
      <c r="DP228">
        <v>8.26456E-2</v>
      </c>
      <c r="DQ228">
        <v>0.174128</v>
      </c>
      <c r="DR228">
        <v>25.631799999999998</v>
      </c>
      <c r="DS228">
        <v>25.402899999999999</v>
      </c>
      <c r="DT228">
        <v>17</v>
      </c>
      <c r="DU228">
        <v>29.8</v>
      </c>
      <c r="DV228">
        <v>7.2251099999999999</v>
      </c>
      <c r="DW228">
        <v>61.828600000000002</v>
      </c>
      <c r="DX228">
        <v>36.706699999999998</v>
      </c>
      <c r="DY228">
        <v>1</v>
      </c>
      <c r="DZ228">
        <v>-9.5185500000000006E-2</v>
      </c>
      <c r="EA228">
        <v>-0.28098899999999999</v>
      </c>
      <c r="EB228">
        <v>20.189499999999999</v>
      </c>
      <c r="EC228">
        <v>5.24125</v>
      </c>
      <c r="ED228">
        <v>12.039899999999999</v>
      </c>
      <c r="EE228">
        <v>5.0164999999999997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1.86893</v>
      </c>
      <c r="EL228">
        <v>1.8646400000000001</v>
      </c>
      <c r="EM228">
        <v>1.8691899999999999</v>
      </c>
      <c r="EN228">
        <v>1.8672599999999999</v>
      </c>
      <c r="EO228">
        <v>1.8633999999999999</v>
      </c>
      <c r="EP228">
        <v>1.8646</v>
      </c>
      <c r="EQ228">
        <v>1.87018</v>
      </c>
      <c r="ER228">
        <v>1.8694500000000001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-8.8999999999999996E-2</v>
      </c>
      <c r="FG228">
        <v>0.19259999999999999</v>
      </c>
      <c r="FH228">
        <v>0.16202357103534001</v>
      </c>
      <c r="FI228">
        <v>-6.1462078757559423E-4</v>
      </c>
      <c r="FJ228">
        <v>-1.8861989874597051E-7</v>
      </c>
      <c r="FK228">
        <v>1.1980462299894961E-10</v>
      </c>
      <c r="FL228">
        <v>0.19260234566371101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42.7</v>
      </c>
      <c r="FU228">
        <v>42.7</v>
      </c>
      <c r="FV228">
        <v>1.7785599999999999</v>
      </c>
      <c r="FW228">
        <v>2.5854499999999998</v>
      </c>
      <c r="FX228">
        <v>1.5490699999999999</v>
      </c>
      <c r="FY228">
        <v>2.3290999999999999</v>
      </c>
      <c r="FZ228">
        <v>1.50146</v>
      </c>
      <c r="GA228">
        <v>2.3596200000000001</v>
      </c>
      <c r="GB228">
        <v>33.850900000000003</v>
      </c>
      <c r="GC228">
        <v>23.982399999999998</v>
      </c>
      <c r="GD228">
        <v>19</v>
      </c>
      <c r="GE228">
        <v>238.209</v>
      </c>
      <c r="GF228">
        <v>581.947</v>
      </c>
      <c r="GG228">
        <v>25.409099999999999</v>
      </c>
      <c r="GH228">
        <v>26.197500000000002</v>
      </c>
      <c r="GI228">
        <v>29.9999</v>
      </c>
      <c r="GJ228">
        <v>26.330500000000001</v>
      </c>
      <c r="GK228">
        <v>26.303899999999999</v>
      </c>
      <c r="GL228">
        <v>35.556899999999999</v>
      </c>
      <c r="GM228">
        <v>-30</v>
      </c>
      <c r="GN228">
        <v>-30</v>
      </c>
      <c r="GO228">
        <v>25.417300000000001</v>
      </c>
      <c r="GP228">
        <v>800</v>
      </c>
      <c r="GQ228">
        <v>12.5298</v>
      </c>
      <c r="GR228">
        <v>99.721400000000003</v>
      </c>
      <c r="GS228">
        <v>99.543999999999997</v>
      </c>
    </row>
    <row r="229" spans="1:201" x14ac:dyDescent="0.25">
      <c r="A229">
        <v>213</v>
      </c>
      <c r="B229">
        <v>1690217415</v>
      </c>
      <c r="C229">
        <v>2469.5</v>
      </c>
      <c r="D229" t="s">
        <v>759</v>
      </c>
      <c r="E229" t="s">
        <v>760</v>
      </c>
      <c r="F229" t="s">
        <v>330</v>
      </c>
      <c r="H229">
        <v>1690217415</v>
      </c>
      <c r="I229">
        <f t="shared" si="90"/>
        <v>2.1072044207722071E-3</v>
      </c>
      <c r="J229">
        <f t="shared" si="91"/>
        <v>2.1072044207722072</v>
      </c>
      <c r="K229">
        <f t="shared" si="92"/>
        <v>37.224376885698796</v>
      </c>
      <c r="L229">
        <f t="shared" si="93"/>
        <v>374.60300000000001</v>
      </c>
      <c r="M229">
        <f t="shared" si="94"/>
        <v>71.826496852522084</v>
      </c>
      <c r="N229">
        <f t="shared" si="95"/>
        <v>7.1244092349231876</v>
      </c>
      <c r="O229">
        <f t="shared" si="96"/>
        <v>37.1565534945927</v>
      </c>
      <c r="P229">
        <f t="shared" si="97"/>
        <v>0.20873049933180279</v>
      </c>
      <c r="Q229">
        <f t="shared" si="98"/>
        <v>2.0665234570729534</v>
      </c>
      <c r="R229">
        <f t="shared" si="99"/>
        <v>0.19768520321031491</v>
      </c>
      <c r="S229">
        <f t="shared" si="100"/>
        <v>0.12449689985356499</v>
      </c>
      <c r="T229">
        <f t="shared" si="101"/>
        <v>276.11584426800005</v>
      </c>
      <c r="U229">
        <f t="shared" si="102"/>
        <v>28.318226995935781</v>
      </c>
      <c r="V229">
        <f t="shared" si="103"/>
        <v>28.318226995935781</v>
      </c>
      <c r="W229">
        <f t="shared" si="104"/>
        <v>3.8658121246783663</v>
      </c>
      <c r="X229">
        <f t="shared" si="105"/>
        <v>80.269484419045213</v>
      </c>
      <c r="Y229">
        <f t="shared" si="106"/>
        <v>2.8442786588027702</v>
      </c>
      <c r="Z229">
        <f t="shared" si="107"/>
        <v>3.543412143965285</v>
      </c>
      <c r="AA229">
        <f t="shared" si="108"/>
        <v>1.0215334658755961</v>
      </c>
      <c r="AB229">
        <f t="shared" si="109"/>
        <v>-92.927714956054331</v>
      </c>
      <c r="AC229">
        <f t="shared" si="110"/>
        <v>-165.89311201612506</v>
      </c>
      <c r="AD229">
        <f t="shared" si="111"/>
        <v>-17.424281473108852</v>
      </c>
      <c r="AE229">
        <f t="shared" si="112"/>
        <v>-0.12926417728820638</v>
      </c>
      <c r="AF229">
        <v>42</v>
      </c>
      <c r="AG229">
        <v>14</v>
      </c>
      <c r="AH229">
        <f t="shared" si="113"/>
        <v>1</v>
      </c>
      <c r="AI229">
        <f t="shared" si="114"/>
        <v>0</v>
      </c>
      <c r="AJ229">
        <f t="shared" si="115"/>
        <v>52528.964777924273</v>
      </c>
      <c r="AK229">
        <f t="shared" si="116"/>
        <v>1800</v>
      </c>
      <c r="AL229">
        <f t="shared" si="117"/>
        <v>1499.1124067999999</v>
      </c>
      <c r="AM229">
        <f t="shared" si="118"/>
        <v>0.83284022599999996</v>
      </c>
      <c r="AN229">
        <f t="shared" si="119"/>
        <v>0.15339769126000002</v>
      </c>
      <c r="AO229">
        <v>33.6</v>
      </c>
      <c r="AP229">
        <v>0.5</v>
      </c>
      <c r="AQ229" t="s">
        <v>331</v>
      </c>
      <c r="AR229">
        <v>2</v>
      </c>
      <c r="AS229">
        <v>1690217415</v>
      </c>
      <c r="AT229">
        <v>374.60300000000001</v>
      </c>
      <c r="AU229">
        <v>800.03499999999997</v>
      </c>
      <c r="AV229">
        <v>28.6753</v>
      </c>
      <c r="AW229">
        <v>5.7686999999999999</v>
      </c>
      <c r="AX229">
        <v>374.69099999999997</v>
      </c>
      <c r="AY229">
        <v>28.482700000000001</v>
      </c>
      <c r="AZ229">
        <v>300.22699999999998</v>
      </c>
      <c r="BA229">
        <v>99.089200000000005</v>
      </c>
      <c r="BB229">
        <v>9.9950899999999995E-2</v>
      </c>
      <c r="BC229">
        <v>26.8292</v>
      </c>
      <c r="BD229">
        <v>26.990500000000001</v>
      </c>
      <c r="BE229">
        <v>28.257300000000001</v>
      </c>
      <c r="BF229">
        <v>0</v>
      </c>
      <c r="BG229">
        <v>0</v>
      </c>
      <c r="BH229">
        <v>10020.6</v>
      </c>
      <c r="BI229">
        <v>1077.51</v>
      </c>
      <c r="BJ229">
        <v>1.7941199999999999</v>
      </c>
      <c r="BK229">
        <v>-425.43200000000002</v>
      </c>
      <c r="BL229">
        <v>385.66199999999998</v>
      </c>
      <c r="BM229">
        <v>804.67700000000002</v>
      </c>
      <c r="BN229">
        <v>22.906600000000001</v>
      </c>
      <c r="BO229">
        <v>800.03499999999997</v>
      </c>
      <c r="BP229">
        <v>5.7686999999999999</v>
      </c>
      <c r="BQ229">
        <v>2.8414199999999998</v>
      </c>
      <c r="BR229">
        <v>0.57161600000000001</v>
      </c>
      <c r="BS229">
        <v>23.1267</v>
      </c>
      <c r="BT229">
        <v>-0.97301300000000002</v>
      </c>
      <c r="BU229">
        <v>1800</v>
      </c>
      <c r="BV229">
        <v>0.90999600000000003</v>
      </c>
      <c r="BW229">
        <v>3.3995299999999999E-2</v>
      </c>
      <c r="BX229">
        <v>2.2004800000000001E-2</v>
      </c>
      <c r="BY229">
        <v>3.4003600000000002E-2</v>
      </c>
      <c r="BZ229">
        <v>26</v>
      </c>
      <c r="CA229">
        <v>33528.400000000001</v>
      </c>
      <c r="CB229">
        <v>1690214843</v>
      </c>
      <c r="CC229" t="s">
        <v>332</v>
      </c>
      <c r="CD229">
        <v>1690214842</v>
      </c>
      <c r="CE229">
        <v>1690214843</v>
      </c>
      <c r="CF229">
        <v>8</v>
      </c>
      <c r="CG229">
        <v>-6.3E-2</v>
      </c>
      <c r="CH229">
        <v>1E-3</v>
      </c>
      <c r="CI229">
        <v>-0.38900000000000001</v>
      </c>
      <c r="CJ229">
        <v>-6.6000000000000003E-2</v>
      </c>
      <c r="CK229">
        <v>800</v>
      </c>
      <c r="CL229">
        <v>6</v>
      </c>
      <c r="CM229">
        <v>0.23</v>
      </c>
      <c r="CN229">
        <v>0.02</v>
      </c>
      <c r="CO229">
        <v>-424.70741463414629</v>
      </c>
      <c r="CP229">
        <v>-4.0482229965151202</v>
      </c>
      <c r="CQ229">
        <v>0.40165322839907908</v>
      </c>
      <c r="CR229">
        <v>-1</v>
      </c>
      <c r="CS229">
        <v>22.888431707317071</v>
      </c>
      <c r="CT229">
        <v>6.5161672473883686E-2</v>
      </c>
      <c r="CU229">
        <v>6.4609687042472656E-3</v>
      </c>
      <c r="CV229">
        <v>-1</v>
      </c>
      <c r="CW229">
        <v>0</v>
      </c>
      <c r="CX229">
        <v>0</v>
      </c>
      <c r="CY229" t="s">
        <v>333</v>
      </c>
      <c r="CZ229">
        <v>2.3647100000000001</v>
      </c>
      <c r="DA229">
        <v>2.7137600000000002</v>
      </c>
      <c r="DB229">
        <v>8.5115200000000002E-2</v>
      </c>
      <c r="DC229">
        <v>0.14611499999999999</v>
      </c>
      <c r="DD229">
        <v>0.128999</v>
      </c>
      <c r="DE229">
        <v>3.82107E-2</v>
      </c>
      <c r="DF229">
        <v>33401.199999999997</v>
      </c>
      <c r="DG229">
        <v>27513</v>
      </c>
      <c r="DH229">
        <v>31167.200000000001</v>
      </c>
      <c r="DI229">
        <v>28076.2</v>
      </c>
      <c r="DJ229">
        <v>36841.4</v>
      </c>
      <c r="DK229">
        <v>38398.5</v>
      </c>
      <c r="DL229">
        <v>44353.5</v>
      </c>
      <c r="DM229">
        <v>42550.5</v>
      </c>
      <c r="DN229">
        <v>1.36598</v>
      </c>
      <c r="DO229">
        <v>2.0351300000000001</v>
      </c>
      <c r="DP229">
        <v>8.3122399999999999E-2</v>
      </c>
      <c r="DQ229">
        <v>0.17469699999999999</v>
      </c>
      <c r="DR229">
        <v>25.6296</v>
      </c>
      <c r="DS229">
        <v>25.3994</v>
      </c>
      <c r="DT229">
        <v>17</v>
      </c>
      <c r="DU229">
        <v>29.8</v>
      </c>
      <c r="DV229">
        <v>7.2261699999999998</v>
      </c>
      <c r="DW229">
        <v>61.518599999999999</v>
      </c>
      <c r="DX229">
        <v>36.322099999999999</v>
      </c>
      <c r="DY229">
        <v>1</v>
      </c>
      <c r="DZ229">
        <v>-9.5294699999999996E-2</v>
      </c>
      <c r="EA229">
        <v>-0.27242100000000002</v>
      </c>
      <c r="EB229">
        <v>20.189299999999999</v>
      </c>
      <c r="EC229">
        <v>5.24125</v>
      </c>
      <c r="ED229">
        <v>12.039899999999999</v>
      </c>
      <c r="EE229">
        <v>5.0167000000000002</v>
      </c>
      <c r="EF229">
        <v>3.2879999999999998</v>
      </c>
      <c r="EG229">
        <v>9999</v>
      </c>
      <c r="EH229">
        <v>9999</v>
      </c>
      <c r="EI229">
        <v>9999</v>
      </c>
      <c r="EJ229">
        <v>999.9</v>
      </c>
      <c r="EK229">
        <v>1.86893</v>
      </c>
      <c r="EL229">
        <v>1.8646400000000001</v>
      </c>
      <c r="EM229">
        <v>1.8692</v>
      </c>
      <c r="EN229">
        <v>1.86724</v>
      </c>
      <c r="EO229">
        <v>1.8633999999999999</v>
      </c>
      <c r="EP229">
        <v>1.8645799999999999</v>
      </c>
      <c r="EQ229">
        <v>1.8702000000000001</v>
      </c>
      <c r="ER229">
        <v>1.8694599999999999</v>
      </c>
      <c r="ES229">
        <v>0</v>
      </c>
      <c r="ET229">
        <v>0</v>
      </c>
      <c r="EU229">
        <v>0</v>
      </c>
      <c r="EV229">
        <v>0</v>
      </c>
      <c r="EW229" t="s">
        <v>334</v>
      </c>
      <c r="EX229" t="s">
        <v>335</v>
      </c>
      <c r="EY229" t="s">
        <v>336</v>
      </c>
      <c r="EZ229" t="s">
        <v>336</v>
      </c>
      <c r="FA229" t="s">
        <v>336</v>
      </c>
      <c r="FB229" t="s">
        <v>336</v>
      </c>
      <c r="FC229">
        <v>0</v>
      </c>
      <c r="FD229">
        <v>100</v>
      </c>
      <c r="FE229">
        <v>100</v>
      </c>
      <c r="FF229">
        <v>-8.7999999999999995E-2</v>
      </c>
      <c r="FG229">
        <v>0.19259999999999999</v>
      </c>
      <c r="FH229">
        <v>0.16202357103534001</v>
      </c>
      <c r="FI229">
        <v>-6.1462078757559423E-4</v>
      </c>
      <c r="FJ229">
        <v>-1.8861989874597051E-7</v>
      </c>
      <c r="FK229">
        <v>1.1980462299894961E-10</v>
      </c>
      <c r="FL229">
        <v>0.19260234566371101</v>
      </c>
      <c r="FM229">
        <v>0</v>
      </c>
      <c r="FN229">
        <v>0</v>
      </c>
      <c r="FO229">
        <v>0</v>
      </c>
      <c r="FP229">
        <v>3</v>
      </c>
      <c r="FQ229">
        <v>2158</v>
      </c>
      <c r="FR229">
        <v>1</v>
      </c>
      <c r="FS229">
        <v>19</v>
      </c>
      <c r="FT229">
        <v>42.9</v>
      </c>
      <c r="FU229">
        <v>42.9</v>
      </c>
      <c r="FV229">
        <v>1.7785599999999999</v>
      </c>
      <c r="FW229">
        <v>2.5854499999999998</v>
      </c>
      <c r="FX229">
        <v>1.5490699999999999</v>
      </c>
      <c r="FY229">
        <v>2.3290999999999999</v>
      </c>
      <c r="FZ229">
        <v>1.50146</v>
      </c>
      <c r="GA229">
        <v>2.3754900000000001</v>
      </c>
      <c r="GB229">
        <v>33.850900000000003</v>
      </c>
      <c r="GC229">
        <v>23.991199999999999</v>
      </c>
      <c r="GD229">
        <v>19</v>
      </c>
      <c r="GE229">
        <v>238.565</v>
      </c>
      <c r="GF229">
        <v>581.71900000000005</v>
      </c>
      <c r="GG229">
        <v>25.422499999999999</v>
      </c>
      <c r="GH229">
        <v>26.195599999999999</v>
      </c>
      <c r="GI229">
        <v>30</v>
      </c>
      <c r="GJ229">
        <v>26.33</v>
      </c>
      <c r="GK229">
        <v>26.3019</v>
      </c>
      <c r="GL229">
        <v>35.557400000000001</v>
      </c>
      <c r="GM229">
        <v>-30</v>
      </c>
      <c r="GN229">
        <v>-30</v>
      </c>
      <c r="GO229">
        <v>25.4129</v>
      </c>
      <c r="GP229">
        <v>800</v>
      </c>
      <c r="GQ229">
        <v>12.5298</v>
      </c>
      <c r="GR229">
        <v>99.721299999999999</v>
      </c>
      <c r="GS229">
        <v>99.543499999999995</v>
      </c>
    </row>
    <row r="230" spans="1:201" x14ac:dyDescent="0.25">
      <c r="A230">
        <v>214</v>
      </c>
      <c r="B230">
        <v>1690217425</v>
      </c>
      <c r="C230">
        <v>2479.5</v>
      </c>
      <c r="D230" t="s">
        <v>761</v>
      </c>
      <c r="E230" t="s">
        <v>762</v>
      </c>
      <c r="F230" t="s">
        <v>330</v>
      </c>
      <c r="H230">
        <v>1690217425</v>
      </c>
      <c r="I230">
        <f t="shared" si="90"/>
        <v>2.1079020039016039E-3</v>
      </c>
      <c r="J230">
        <f t="shared" si="91"/>
        <v>2.1079020039016041</v>
      </c>
      <c r="K230">
        <f t="shared" si="92"/>
        <v>37.268374309227788</v>
      </c>
      <c r="L230">
        <f t="shared" si="93"/>
        <v>374.01600000000002</v>
      </c>
      <c r="M230">
        <f t="shared" si="94"/>
        <v>71.277070813539297</v>
      </c>
      <c r="N230">
        <f t="shared" si="95"/>
        <v>7.0700457842696167</v>
      </c>
      <c r="O230">
        <f t="shared" si="96"/>
        <v>37.099030780415994</v>
      </c>
      <c r="P230">
        <f t="shared" si="97"/>
        <v>0.2090071145400085</v>
      </c>
      <c r="Q230">
        <f t="shared" si="98"/>
        <v>2.0664776177961555</v>
      </c>
      <c r="R230">
        <f t="shared" si="99"/>
        <v>0.19793312626888168</v>
      </c>
      <c r="S230">
        <f t="shared" si="100"/>
        <v>0.12465424082982848</v>
      </c>
      <c r="T230">
        <f t="shared" si="101"/>
        <v>276.11595081000002</v>
      </c>
      <c r="U230">
        <f t="shared" si="102"/>
        <v>28.318706726597433</v>
      </c>
      <c r="V230">
        <f t="shared" si="103"/>
        <v>28.318706726597433</v>
      </c>
      <c r="W230">
        <f t="shared" si="104"/>
        <v>3.865919984433253</v>
      </c>
      <c r="X230">
        <f t="shared" si="105"/>
        <v>80.295409571901615</v>
      </c>
      <c r="Y230">
        <f t="shared" si="106"/>
        <v>2.8453144190151995</v>
      </c>
      <c r="Z230">
        <f t="shared" si="107"/>
        <v>3.5435580118279666</v>
      </c>
      <c r="AA230">
        <f t="shared" si="108"/>
        <v>1.0206055654180535</v>
      </c>
      <c r="AB230">
        <f t="shared" si="109"/>
        <v>-92.958478372060739</v>
      </c>
      <c r="AC230">
        <f t="shared" si="110"/>
        <v>-165.8648924494089</v>
      </c>
      <c r="AD230">
        <f t="shared" si="111"/>
        <v>-17.421806464131528</v>
      </c>
      <c r="AE230">
        <f t="shared" si="112"/>
        <v>-0.12922647560114342</v>
      </c>
      <c r="AF230">
        <v>43</v>
      </c>
      <c r="AG230">
        <v>14</v>
      </c>
      <c r="AH230">
        <f t="shared" si="113"/>
        <v>1</v>
      </c>
      <c r="AI230">
        <f t="shared" si="114"/>
        <v>0</v>
      </c>
      <c r="AJ230">
        <f t="shared" si="115"/>
        <v>52526.781131507545</v>
      </c>
      <c r="AK230">
        <f t="shared" si="116"/>
        <v>1800</v>
      </c>
      <c r="AL230">
        <f t="shared" si="117"/>
        <v>1499.1135300000001</v>
      </c>
      <c r="AM230">
        <f t="shared" si="118"/>
        <v>0.83284085000000008</v>
      </c>
      <c r="AN230">
        <f t="shared" si="119"/>
        <v>0.15339775045000001</v>
      </c>
      <c r="AO230">
        <v>33.6</v>
      </c>
      <c r="AP230">
        <v>0.5</v>
      </c>
      <c r="AQ230" t="s">
        <v>331</v>
      </c>
      <c r="AR230">
        <v>2</v>
      </c>
      <c r="AS230">
        <v>1690217425</v>
      </c>
      <c r="AT230">
        <v>374.01600000000002</v>
      </c>
      <c r="AU230">
        <v>799.99900000000002</v>
      </c>
      <c r="AV230">
        <v>28.685199999999998</v>
      </c>
      <c r="AW230">
        <v>5.7675099999999997</v>
      </c>
      <c r="AX230">
        <v>374.10399999999998</v>
      </c>
      <c r="AY230">
        <v>28.492599999999999</v>
      </c>
      <c r="AZ230">
        <v>300.178</v>
      </c>
      <c r="BA230">
        <v>99.090999999999994</v>
      </c>
      <c r="BB230">
        <v>0.100026</v>
      </c>
      <c r="BC230">
        <v>26.829899999999999</v>
      </c>
      <c r="BD230">
        <v>26.9907</v>
      </c>
      <c r="BE230">
        <v>28.2532</v>
      </c>
      <c r="BF230">
        <v>0</v>
      </c>
      <c r="BG230">
        <v>0</v>
      </c>
      <c r="BH230">
        <v>10020</v>
      </c>
      <c r="BI230">
        <v>1077.48</v>
      </c>
      <c r="BJ230">
        <v>1.7941199999999999</v>
      </c>
      <c r="BK230">
        <v>-425.983</v>
      </c>
      <c r="BL230">
        <v>385.06200000000001</v>
      </c>
      <c r="BM230">
        <v>804.64</v>
      </c>
      <c r="BN230">
        <v>22.9177</v>
      </c>
      <c r="BO230">
        <v>799.99900000000002</v>
      </c>
      <c r="BP230">
        <v>5.7675099999999997</v>
      </c>
      <c r="BQ230">
        <v>2.8424499999999999</v>
      </c>
      <c r="BR230">
        <v>0.57150800000000002</v>
      </c>
      <c r="BS230">
        <v>23.1327</v>
      </c>
      <c r="BT230">
        <v>-0.97558400000000001</v>
      </c>
      <c r="BU230">
        <v>1800</v>
      </c>
      <c r="BV230">
        <v>0.90999799999999997</v>
      </c>
      <c r="BW230">
        <v>3.3994700000000003E-2</v>
      </c>
      <c r="BX230">
        <v>2.20045E-2</v>
      </c>
      <c r="BY230">
        <v>3.4003100000000001E-2</v>
      </c>
      <c r="BZ230">
        <v>26</v>
      </c>
      <c r="CA230">
        <v>33528.400000000001</v>
      </c>
      <c r="CB230">
        <v>1690214843</v>
      </c>
      <c r="CC230" t="s">
        <v>332</v>
      </c>
      <c r="CD230">
        <v>1690214842</v>
      </c>
      <c r="CE230">
        <v>1690214843</v>
      </c>
      <c r="CF230">
        <v>8</v>
      </c>
      <c r="CG230">
        <v>-6.3E-2</v>
      </c>
      <c r="CH230">
        <v>1E-3</v>
      </c>
      <c r="CI230">
        <v>-0.38900000000000001</v>
      </c>
      <c r="CJ230">
        <v>-6.6000000000000003E-2</v>
      </c>
      <c r="CK230">
        <v>800</v>
      </c>
      <c r="CL230">
        <v>6</v>
      </c>
      <c r="CM230">
        <v>0.23</v>
      </c>
      <c r="CN230">
        <v>0.02</v>
      </c>
      <c r="CO230">
        <v>-425.37849999999997</v>
      </c>
      <c r="CP230">
        <v>-3.3416510318947048</v>
      </c>
      <c r="CQ230">
        <v>0.32550483867371027</v>
      </c>
      <c r="CR230">
        <v>-1</v>
      </c>
      <c r="CS230">
        <v>22.9031175</v>
      </c>
      <c r="CT230">
        <v>9.3713696060004251E-2</v>
      </c>
      <c r="CU230">
        <v>9.1432457994959637E-3</v>
      </c>
      <c r="CV230">
        <v>-1</v>
      </c>
      <c r="CW230">
        <v>0</v>
      </c>
      <c r="CX230">
        <v>0</v>
      </c>
      <c r="CY230" t="s">
        <v>333</v>
      </c>
      <c r="CZ230">
        <v>2.36456</v>
      </c>
      <c r="DA230">
        <v>2.7138399999999998</v>
      </c>
      <c r="DB230">
        <v>8.5013500000000006E-2</v>
      </c>
      <c r="DC230">
        <v>0.14611299999999999</v>
      </c>
      <c r="DD230">
        <v>0.12903200000000001</v>
      </c>
      <c r="DE230">
        <v>3.82049E-2</v>
      </c>
      <c r="DF230">
        <v>33405.599999999999</v>
      </c>
      <c r="DG230">
        <v>27513.200000000001</v>
      </c>
      <c r="DH230">
        <v>31167.8</v>
      </c>
      <c r="DI230">
        <v>28076.3</v>
      </c>
      <c r="DJ230">
        <v>36840.6</v>
      </c>
      <c r="DK230">
        <v>38398.699999999997</v>
      </c>
      <c r="DL230">
        <v>44354.400000000001</v>
      </c>
      <c r="DM230">
        <v>42550.5</v>
      </c>
      <c r="DN230">
        <v>1.3651500000000001</v>
      </c>
      <c r="DO230">
        <v>2.03505</v>
      </c>
      <c r="DP230">
        <v>8.3215499999999998E-2</v>
      </c>
      <c r="DQ230">
        <v>0.17457800000000001</v>
      </c>
      <c r="DR230">
        <v>25.628299999999999</v>
      </c>
      <c r="DS230">
        <v>25.397300000000001</v>
      </c>
      <c r="DT230">
        <v>17</v>
      </c>
      <c r="DU230">
        <v>29.8</v>
      </c>
      <c r="DV230">
        <v>7.2253499999999997</v>
      </c>
      <c r="DW230">
        <v>61.4786</v>
      </c>
      <c r="DX230">
        <v>36.153799999999997</v>
      </c>
      <c r="DY230">
        <v>1</v>
      </c>
      <c r="DZ230">
        <v>-9.5414100000000002E-2</v>
      </c>
      <c r="EA230">
        <v>-0.271928</v>
      </c>
      <c r="EB230">
        <v>20.189399999999999</v>
      </c>
      <c r="EC230">
        <v>5.2406499999999996</v>
      </c>
      <c r="ED230">
        <v>12.039899999999999</v>
      </c>
      <c r="EE230">
        <v>5.01675</v>
      </c>
      <c r="EF230">
        <v>3.2879999999999998</v>
      </c>
      <c r="EG230">
        <v>9999</v>
      </c>
      <c r="EH230">
        <v>9999</v>
      </c>
      <c r="EI230">
        <v>9999</v>
      </c>
      <c r="EJ230">
        <v>999.9</v>
      </c>
      <c r="EK230">
        <v>1.8689199999999999</v>
      </c>
      <c r="EL230">
        <v>1.86467</v>
      </c>
      <c r="EM230">
        <v>1.8691899999999999</v>
      </c>
      <c r="EN230">
        <v>1.86724</v>
      </c>
      <c r="EO230">
        <v>1.8633999999999999</v>
      </c>
      <c r="EP230">
        <v>1.8646100000000001</v>
      </c>
      <c r="EQ230">
        <v>1.87018</v>
      </c>
      <c r="ER230">
        <v>1.86944</v>
      </c>
      <c r="ES230">
        <v>0</v>
      </c>
      <c r="ET230">
        <v>0</v>
      </c>
      <c r="EU230">
        <v>0</v>
      </c>
      <c r="EV230">
        <v>0</v>
      </c>
      <c r="EW230" t="s">
        <v>334</v>
      </c>
      <c r="EX230" t="s">
        <v>335</v>
      </c>
      <c r="EY230" t="s">
        <v>336</v>
      </c>
      <c r="EZ230" t="s">
        <v>336</v>
      </c>
      <c r="FA230" t="s">
        <v>336</v>
      </c>
      <c r="FB230" t="s">
        <v>336</v>
      </c>
      <c r="FC230">
        <v>0</v>
      </c>
      <c r="FD230">
        <v>100</v>
      </c>
      <c r="FE230">
        <v>100</v>
      </c>
      <c r="FF230">
        <v>-8.7999999999999995E-2</v>
      </c>
      <c r="FG230">
        <v>0.19259999999999999</v>
      </c>
      <c r="FH230">
        <v>0.16202357103534001</v>
      </c>
      <c r="FI230">
        <v>-6.1462078757559423E-4</v>
      </c>
      <c r="FJ230">
        <v>-1.8861989874597051E-7</v>
      </c>
      <c r="FK230">
        <v>1.1980462299894961E-10</v>
      </c>
      <c r="FL230">
        <v>0.19260234566371101</v>
      </c>
      <c r="FM230">
        <v>0</v>
      </c>
      <c r="FN230">
        <v>0</v>
      </c>
      <c r="FO230">
        <v>0</v>
      </c>
      <c r="FP230">
        <v>3</v>
      </c>
      <c r="FQ230">
        <v>2158</v>
      </c>
      <c r="FR230">
        <v>1</v>
      </c>
      <c r="FS230">
        <v>19</v>
      </c>
      <c r="FT230">
        <v>43</v>
      </c>
      <c r="FU230">
        <v>43</v>
      </c>
      <c r="FV230">
        <v>1.7785599999999999</v>
      </c>
      <c r="FW230">
        <v>2.5805699999999998</v>
      </c>
      <c r="FX230">
        <v>1.5490699999999999</v>
      </c>
      <c r="FY230">
        <v>2.3290999999999999</v>
      </c>
      <c r="FZ230">
        <v>1.50146</v>
      </c>
      <c r="GA230">
        <v>2.3828100000000001</v>
      </c>
      <c r="GB230">
        <v>33.850900000000003</v>
      </c>
      <c r="GC230">
        <v>23.991199999999999</v>
      </c>
      <c r="GD230">
        <v>19</v>
      </c>
      <c r="GE230">
        <v>238.249</v>
      </c>
      <c r="GF230">
        <v>581.654</v>
      </c>
      <c r="GG230">
        <v>25.414899999999999</v>
      </c>
      <c r="GH230">
        <v>26.195599999999999</v>
      </c>
      <c r="GI230">
        <v>30.0001</v>
      </c>
      <c r="GJ230">
        <v>26.328299999999999</v>
      </c>
      <c r="GK230">
        <v>26.301600000000001</v>
      </c>
      <c r="GL230">
        <v>35.558300000000003</v>
      </c>
      <c r="GM230">
        <v>-30</v>
      </c>
      <c r="GN230">
        <v>-30</v>
      </c>
      <c r="GO230">
        <v>25.423200000000001</v>
      </c>
      <c r="GP230">
        <v>800</v>
      </c>
      <c r="GQ230">
        <v>12.5298</v>
      </c>
      <c r="GR230">
        <v>99.723299999999995</v>
      </c>
      <c r="GS230">
        <v>99.543599999999998</v>
      </c>
    </row>
    <row r="231" spans="1:201" x14ac:dyDescent="0.25">
      <c r="A231">
        <v>215</v>
      </c>
      <c r="B231">
        <v>1690217435</v>
      </c>
      <c r="C231">
        <v>2489.5</v>
      </c>
      <c r="D231" t="s">
        <v>763</v>
      </c>
      <c r="E231" t="s">
        <v>764</v>
      </c>
      <c r="F231" t="s">
        <v>330</v>
      </c>
      <c r="H231">
        <v>1690217435</v>
      </c>
      <c r="I231">
        <f t="shared" si="90"/>
        <v>2.1089829356186404E-3</v>
      </c>
      <c r="J231">
        <f t="shared" si="91"/>
        <v>2.1089829356186405</v>
      </c>
      <c r="K231">
        <f t="shared" si="92"/>
        <v>37.309182442232881</v>
      </c>
      <c r="L231">
        <f t="shared" si="93"/>
        <v>373.43</v>
      </c>
      <c r="M231">
        <f t="shared" si="94"/>
        <v>71.1915069083975</v>
      </c>
      <c r="N231">
        <f t="shared" si="95"/>
        <v>7.0615793508159976</v>
      </c>
      <c r="O231">
        <f t="shared" si="96"/>
        <v>37.041013619338997</v>
      </c>
      <c r="P231">
        <f t="shared" si="97"/>
        <v>0.20956921912885998</v>
      </c>
      <c r="Q231">
        <f t="shared" si="98"/>
        <v>2.0737188925743557</v>
      </c>
      <c r="R231">
        <f t="shared" si="99"/>
        <v>0.19847395116270014</v>
      </c>
      <c r="S231">
        <f t="shared" si="100"/>
        <v>0.1249941119056021</v>
      </c>
      <c r="T231">
        <f t="shared" si="101"/>
        <v>276.11597066400003</v>
      </c>
      <c r="U231">
        <f t="shared" si="102"/>
        <v>28.316706782345189</v>
      </c>
      <c r="V231">
        <f t="shared" si="103"/>
        <v>28.316706782345189</v>
      </c>
      <c r="W231">
        <f t="shared" si="104"/>
        <v>3.8654703463424802</v>
      </c>
      <c r="X231">
        <f t="shared" si="105"/>
        <v>80.331944998431752</v>
      </c>
      <c r="Y231">
        <f t="shared" si="106"/>
        <v>2.8471280569888195</v>
      </c>
      <c r="Z231">
        <f t="shared" si="107"/>
        <v>3.5442040610922612</v>
      </c>
      <c r="AA231">
        <f t="shared" si="108"/>
        <v>1.0183422893536607</v>
      </c>
      <c r="AB231">
        <f t="shared" si="109"/>
        <v>-93.006147460782046</v>
      </c>
      <c r="AC231">
        <f t="shared" si="110"/>
        <v>-165.87594483272431</v>
      </c>
      <c r="AD231">
        <f t="shared" si="111"/>
        <v>-17.362222220874994</v>
      </c>
      <c r="AE231">
        <f t="shared" si="112"/>
        <v>-0.12834385038129881</v>
      </c>
      <c r="AF231">
        <v>43</v>
      </c>
      <c r="AG231">
        <v>14</v>
      </c>
      <c r="AH231">
        <f t="shared" si="113"/>
        <v>1</v>
      </c>
      <c r="AI231">
        <f t="shared" si="114"/>
        <v>0</v>
      </c>
      <c r="AJ231">
        <f t="shared" si="115"/>
        <v>52858.809066576032</v>
      </c>
      <c r="AK231">
        <f t="shared" si="116"/>
        <v>1800</v>
      </c>
      <c r="AL231">
        <f t="shared" si="117"/>
        <v>1499.1129593999999</v>
      </c>
      <c r="AM231">
        <f t="shared" si="118"/>
        <v>0.83284053299999994</v>
      </c>
      <c r="AN231">
        <f t="shared" si="119"/>
        <v>0.15339776148000001</v>
      </c>
      <c r="AO231">
        <v>33.6</v>
      </c>
      <c r="AP231">
        <v>0.5</v>
      </c>
      <c r="AQ231" t="s">
        <v>331</v>
      </c>
      <c r="AR231">
        <v>2</v>
      </c>
      <c r="AS231">
        <v>1690217435</v>
      </c>
      <c r="AT231">
        <v>373.43</v>
      </c>
      <c r="AU231">
        <v>800.00400000000002</v>
      </c>
      <c r="AV231">
        <v>28.703399999999998</v>
      </c>
      <c r="AW231">
        <v>5.7666700000000004</v>
      </c>
      <c r="AX231">
        <v>373.517</v>
      </c>
      <c r="AY231">
        <v>28.5108</v>
      </c>
      <c r="AZ231">
        <v>300.077</v>
      </c>
      <c r="BA231">
        <v>99.091399999999993</v>
      </c>
      <c r="BB231">
        <v>9.9917300000000001E-2</v>
      </c>
      <c r="BC231">
        <v>26.832999999999998</v>
      </c>
      <c r="BD231">
        <v>27.001100000000001</v>
      </c>
      <c r="BE231">
        <v>28.252400000000002</v>
      </c>
      <c r="BF231">
        <v>0</v>
      </c>
      <c r="BG231">
        <v>0</v>
      </c>
      <c r="BH231">
        <v>10086.200000000001</v>
      </c>
      <c r="BI231">
        <v>1077.57</v>
      </c>
      <c r="BJ231">
        <v>1.7941199999999999</v>
      </c>
      <c r="BK231">
        <v>-426.57400000000001</v>
      </c>
      <c r="BL231">
        <v>384.46499999999997</v>
      </c>
      <c r="BM231">
        <v>804.64400000000001</v>
      </c>
      <c r="BN231">
        <v>22.936800000000002</v>
      </c>
      <c r="BO231">
        <v>800.00400000000002</v>
      </c>
      <c r="BP231">
        <v>5.7666700000000004</v>
      </c>
      <c r="BQ231">
        <v>2.8442599999999998</v>
      </c>
      <c r="BR231">
        <v>0.57142800000000005</v>
      </c>
      <c r="BS231">
        <v>23.1433</v>
      </c>
      <c r="BT231">
        <v>-0.97749699999999995</v>
      </c>
      <c r="BU231">
        <v>1800</v>
      </c>
      <c r="BV231">
        <v>0.90999600000000003</v>
      </c>
      <c r="BW231">
        <v>3.3995400000000002E-2</v>
      </c>
      <c r="BX231">
        <v>2.2004900000000001E-2</v>
      </c>
      <c r="BY231">
        <v>3.4003800000000001E-2</v>
      </c>
      <c r="BZ231">
        <v>26</v>
      </c>
      <c r="CA231">
        <v>33528.300000000003</v>
      </c>
      <c r="CB231">
        <v>1690214843</v>
      </c>
      <c r="CC231" t="s">
        <v>332</v>
      </c>
      <c r="CD231">
        <v>1690214842</v>
      </c>
      <c r="CE231">
        <v>1690214843</v>
      </c>
      <c r="CF231">
        <v>8</v>
      </c>
      <c r="CG231">
        <v>-6.3E-2</v>
      </c>
      <c r="CH231">
        <v>1E-3</v>
      </c>
      <c r="CI231">
        <v>-0.38900000000000001</v>
      </c>
      <c r="CJ231">
        <v>-6.6000000000000003E-2</v>
      </c>
      <c r="CK231">
        <v>800</v>
      </c>
      <c r="CL231">
        <v>6</v>
      </c>
      <c r="CM231">
        <v>0.23</v>
      </c>
      <c r="CN231">
        <v>0.02</v>
      </c>
      <c r="CO231">
        <v>-425.95429999999999</v>
      </c>
      <c r="CP231">
        <v>-3.660202626639173</v>
      </c>
      <c r="CQ231">
        <v>0.35531163786175501</v>
      </c>
      <c r="CR231">
        <v>-1</v>
      </c>
      <c r="CS231">
        <v>22.918064999999999</v>
      </c>
      <c r="CT231">
        <v>8.0607129455878265E-2</v>
      </c>
      <c r="CU231">
        <v>7.8939074608206424E-3</v>
      </c>
      <c r="CV231">
        <v>-1</v>
      </c>
      <c r="CW231">
        <v>0</v>
      </c>
      <c r="CX231">
        <v>0</v>
      </c>
      <c r="CY231" t="s">
        <v>333</v>
      </c>
      <c r="CZ231">
        <v>2.3642500000000002</v>
      </c>
      <c r="DA231">
        <v>2.7137799999999999</v>
      </c>
      <c r="DB231">
        <v>8.49105E-2</v>
      </c>
      <c r="DC231">
        <v>0.14611499999999999</v>
      </c>
      <c r="DD231">
        <v>0.12909000000000001</v>
      </c>
      <c r="DE231">
        <v>3.8200499999999998E-2</v>
      </c>
      <c r="DF231">
        <v>33409</v>
      </c>
      <c r="DG231">
        <v>27512.9</v>
      </c>
      <c r="DH231">
        <v>31167.5</v>
      </c>
      <c r="DI231">
        <v>28076.1</v>
      </c>
      <c r="DJ231">
        <v>36837.699999999997</v>
      </c>
      <c r="DK231">
        <v>38398.699999999997</v>
      </c>
      <c r="DL231">
        <v>44353.8</v>
      </c>
      <c r="DM231">
        <v>42550.3</v>
      </c>
      <c r="DN231">
        <v>1.3648</v>
      </c>
      <c r="DO231">
        <v>2.0350299999999999</v>
      </c>
      <c r="DP231">
        <v>8.3785499999999999E-2</v>
      </c>
      <c r="DQ231">
        <v>0.17452999999999999</v>
      </c>
      <c r="DR231">
        <v>25.629300000000001</v>
      </c>
      <c r="DS231">
        <v>25.397300000000001</v>
      </c>
      <c r="DT231">
        <v>17</v>
      </c>
      <c r="DU231">
        <v>29.8</v>
      </c>
      <c r="DV231">
        <v>7.2268299999999996</v>
      </c>
      <c r="DW231">
        <v>60.868600000000001</v>
      </c>
      <c r="DX231">
        <v>36.229999999999997</v>
      </c>
      <c r="DY231">
        <v>1</v>
      </c>
      <c r="DZ231">
        <v>-9.5475099999999993E-2</v>
      </c>
      <c r="EA231">
        <v>-0.29716199999999998</v>
      </c>
      <c r="EB231">
        <v>20.189399999999999</v>
      </c>
      <c r="EC231">
        <v>5.2404999999999999</v>
      </c>
      <c r="ED231">
        <v>12.039899999999999</v>
      </c>
      <c r="EE231">
        <v>5.0164999999999997</v>
      </c>
      <c r="EF231">
        <v>3.2879999999999998</v>
      </c>
      <c r="EG231">
        <v>9999</v>
      </c>
      <c r="EH231">
        <v>9999</v>
      </c>
      <c r="EI231">
        <v>9999</v>
      </c>
      <c r="EJ231">
        <v>999.9</v>
      </c>
      <c r="EK231">
        <v>1.86893</v>
      </c>
      <c r="EL231">
        <v>1.86467</v>
      </c>
      <c r="EM231">
        <v>1.8691899999999999</v>
      </c>
      <c r="EN231">
        <v>1.86724</v>
      </c>
      <c r="EO231">
        <v>1.8633999999999999</v>
      </c>
      <c r="EP231">
        <v>1.8646100000000001</v>
      </c>
      <c r="EQ231">
        <v>1.87019</v>
      </c>
      <c r="ER231">
        <v>1.86947</v>
      </c>
      <c r="ES231">
        <v>0</v>
      </c>
      <c r="ET231">
        <v>0</v>
      </c>
      <c r="EU231">
        <v>0</v>
      </c>
      <c r="EV231">
        <v>0</v>
      </c>
      <c r="EW231" t="s">
        <v>334</v>
      </c>
      <c r="EX231" t="s">
        <v>335</v>
      </c>
      <c r="EY231" t="s">
        <v>336</v>
      </c>
      <c r="EZ231" t="s">
        <v>336</v>
      </c>
      <c r="FA231" t="s">
        <v>336</v>
      </c>
      <c r="FB231" t="s">
        <v>336</v>
      </c>
      <c r="FC231">
        <v>0</v>
      </c>
      <c r="FD231">
        <v>100</v>
      </c>
      <c r="FE231">
        <v>100</v>
      </c>
      <c r="FF231">
        <v>-8.6999999999999994E-2</v>
      </c>
      <c r="FG231">
        <v>0.19259999999999999</v>
      </c>
      <c r="FH231">
        <v>0.16202357103534001</v>
      </c>
      <c r="FI231">
        <v>-6.1462078757559423E-4</v>
      </c>
      <c r="FJ231">
        <v>-1.8861989874597051E-7</v>
      </c>
      <c r="FK231">
        <v>1.1980462299894961E-10</v>
      </c>
      <c r="FL231">
        <v>0.19260234566371101</v>
      </c>
      <c r="FM231">
        <v>0</v>
      </c>
      <c r="FN231">
        <v>0</v>
      </c>
      <c r="FO231">
        <v>0</v>
      </c>
      <c r="FP231">
        <v>3</v>
      </c>
      <c r="FQ231">
        <v>2158</v>
      </c>
      <c r="FR231">
        <v>1</v>
      </c>
      <c r="FS231">
        <v>19</v>
      </c>
      <c r="FT231">
        <v>43.2</v>
      </c>
      <c r="FU231">
        <v>43.2</v>
      </c>
      <c r="FV231">
        <v>1.7785599999999999</v>
      </c>
      <c r="FW231">
        <v>2.5793499999999998</v>
      </c>
      <c r="FX231">
        <v>1.5490699999999999</v>
      </c>
      <c r="FY231">
        <v>2.3290999999999999</v>
      </c>
      <c r="FZ231">
        <v>1.50146</v>
      </c>
      <c r="GA231">
        <v>2.3840300000000001</v>
      </c>
      <c r="GB231">
        <v>33.850900000000003</v>
      </c>
      <c r="GC231">
        <v>23.991199999999999</v>
      </c>
      <c r="GD231">
        <v>19</v>
      </c>
      <c r="GE231">
        <v>238.11699999999999</v>
      </c>
      <c r="GF231">
        <v>581.63300000000004</v>
      </c>
      <c r="GG231">
        <v>25.430099999999999</v>
      </c>
      <c r="GH231">
        <v>26.1935</v>
      </c>
      <c r="GI231">
        <v>30.0001</v>
      </c>
      <c r="GJ231">
        <v>26.328299999999999</v>
      </c>
      <c r="GK231">
        <v>26.301600000000001</v>
      </c>
      <c r="GL231">
        <v>35.556399999999996</v>
      </c>
      <c r="GM231">
        <v>-30</v>
      </c>
      <c r="GN231">
        <v>-30</v>
      </c>
      <c r="GO231">
        <v>25.432700000000001</v>
      </c>
      <c r="GP231">
        <v>800</v>
      </c>
      <c r="GQ231">
        <v>12.5298</v>
      </c>
      <c r="GR231">
        <v>99.721999999999994</v>
      </c>
      <c r="GS231">
        <v>99.543000000000006</v>
      </c>
    </row>
    <row r="232" spans="1:201" x14ac:dyDescent="0.25">
      <c r="A232">
        <v>216</v>
      </c>
      <c r="B232">
        <v>1690217445</v>
      </c>
      <c r="C232">
        <v>2499.5</v>
      </c>
      <c r="D232" t="s">
        <v>765</v>
      </c>
      <c r="E232" t="s">
        <v>766</v>
      </c>
      <c r="F232" t="s">
        <v>330</v>
      </c>
      <c r="H232">
        <v>1690217445</v>
      </c>
      <c r="I232">
        <f t="shared" si="90"/>
        <v>2.1115519126079295E-3</v>
      </c>
      <c r="J232">
        <f t="shared" si="91"/>
        <v>2.1115519126079296</v>
      </c>
      <c r="K232">
        <f t="shared" si="92"/>
        <v>37.37126611453948</v>
      </c>
      <c r="L232">
        <f t="shared" si="93"/>
        <v>372.89699999999999</v>
      </c>
      <c r="M232">
        <f t="shared" si="94"/>
        <v>70.542736967589931</v>
      </c>
      <c r="N232">
        <f t="shared" si="95"/>
        <v>6.99700533932028</v>
      </c>
      <c r="O232">
        <f t="shared" si="96"/>
        <v>36.986972892974997</v>
      </c>
      <c r="P232">
        <f t="shared" si="97"/>
        <v>0.20989396424719572</v>
      </c>
      <c r="Q232">
        <f t="shared" si="98"/>
        <v>2.063014081458725</v>
      </c>
      <c r="R232">
        <f t="shared" si="99"/>
        <v>0.19871082210082355</v>
      </c>
      <c r="S232">
        <f t="shared" si="100"/>
        <v>0.12514934880492662</v>
      </c>
      <c r="T232">
        <f t="shared" si="101"/>
        <v>276.11600814000002</v>
      </c>
      <c r="U232">
        <f t="shared" si="102"/>
        <v>28.324652944245486</v>
      </c>
      <c r="V232">
        <f t="shared" si="103"/>
        <v>28.324652944245486</v>
      </c>
      <c r="W232">
        <f t="shared" si="104"/>
        <v>3.8672571141598597</v>
      </c>
      <c r="X232">
        <f t="shared" si="105"/>
        <v>80.374152595215733</v>
      </c>
      <c r="Y232">
        <f t="shared" si="106"/>
        <v>2.8489422752549998</v>
      </c>
      <c r="Z232">
        <f t="shared" si="107"/>
        <v>3.5446000775933317</v>
      </c>
      <c r="AA232">
        <f t="shared" si="108"/>
        <v>1.01831483890486</v>
      </c>
      <c r="AB232">
        <f t="shared" si="109"/>
        <v>-93.119439346009685</v>
      </c>
      <c r="AC232">
        <f t="shared" si="110"/>
        <v>-165.69213274657878</v>
      </c>
      <c r="AD232">
        <f t="shared" si="111"/>
        <v>-17.433831416494801</v>
      </c>
      <c r="AE232">
        <f t="shared" si="112"/>
        <v>-0.12939536908325522</v>
      </c>
      <c r="AF232">
        <v>42</v>
      </c>
      <c r="AG232">
        <v>14</v>
      </c>
      <c r="AH232">
        <f t="shared" si="113"/>
        <v>1</v>
      </c>
      <c r="AI232">
        <f t="shared" si="114"/>
        <v>0</v>
      </c>
      <c r="AJ232">
        <f t="shared" si="115"/>
        <v>52367.31235219197</v>
      </c>
      <c r="AK232">
        <f t="shared" si="116"/>
        <v>1800</v>
      </c>
      <c r="AL232">
        <f t="shared" si="117"/>
        <v>1499.113791</v>
      </c>
      <c r="AM232">
        <f t="shared" si="118"/>
        <v>0.83284099499999997</v>
      </c>
      <c r="AN232">
        <f t="shared" si="119"/>
        <v>0.15339778230000001</v>
      </c>
      <c r="AO232">
        <v>33.6</v>
      </c>
      <c r="AP232">
        <v>0.5</v>
      </c>
      <c r="AQ232" t="s">
        <v>331</v>
      </c>
      <c r="AR232">
        <v>2</v>
      </c>
      <c r="AS232">
        <v>1690217445</v>
      </c>
      <c r="AT232">
        <v>372.89699999999999</v>
      </c>
      <c r="AU232">
        <v>800.01199999999994</v>
      </c>
      <c r="AV232">
        <v>28.7226</v>
      </c>
      <c r="AW232">
        <v>5.7665699999999998</v>
      </c>
      <c r="AX232">
        <v>372.98500000000001</v>
      </c>
      <c r="AY232">
        <v>28.53</v>
      </c>
      <c r="AZ232">
        <v>300.18400000000003</v>
      </c>
      <c r="BA232">
        <v>99.088200000000001</v>
      </c>
      <c r="BB232">
        <v>9.9974999999999994E-2</v>
      </c>
      <c r="BC232">
        <v>26.834900000000001</v>
      </c>
      <c r="BD232">
        <v>26.9985</v>
      </c>
      <c r="BE232">
        <v>28.253299999999999</v>
      </c>
      <c r="BF232">
        <v>0</v>
      </c>
      <c r="BG232">
        <v>0</v>
      </c>
      <c r="BH232">
        <v>9988.75</v>
      </c>
      <c r="BI232">
        <v>1077.5999999999999</v>
      </c>
      <c r="BJ232">
        <v>1.7941199999999999</v>
      </c>
      <c r="BK232">
        <v>-427.11399999999998</v>
      </c>
      <c r="BL232">
        <v>383.92500000000001</v>
      </c>
      <c r="BM232">
        <v>804.65200000000004</v>
      </c>
      <c r="BN232">
        <v>22.956</v>
      </c>
      <c r="BO232">
        <v>800.01199999999994</v>
      </c>
      <c r="BP232">
        <v>5.7665699999999998</v>
      </c>
      <c r="BQ232">
        <v>2.8460700000000001</v>
      </c>
      <c r="BR232">
        <v>0.57139899999999999</v>
      </c>
      <c r="BS232">
        <v>23.153700000000001</v>
      </c>
      <c r="BT232">
        <v>-0.978182</v>
      </c>
      <c r="BU232">
        <v>1800</v>
      </c>
      <c r="BV232">
        <v>0.90999799999999997</v>
      </c>
      <c r="BW232">
        <v>3.3994799999999999E-2</v>
      </c>
      <c r="BX232">
        <v>2.20045E-2</v>
      </c>
      <c r="BY232">
        <v>3.4003199999999997E-2</v>
      </c>
      <c r="BZ232">
        <v>26</v>
      </c>
      <c r="CA232">
        <v>33528.400000000001</v>
      </c>
      <c r="CB232">
        <v>1690214843</v>
      </c>
      <c r="CC232" t="s">
        <v>332</v>
      </c>
      <c r="CD232">
        <v>1690214842</v>
      </c>
      <c r="CE232">
        <v>1690214843</v>
      </c>
      <c r="CF232">
        <v>8</v>
      </c>
      <c r="CG232">
        <v>-6.3E-2</v>
      </c>
      <c r="CH232">
        <v>1E-3</v>
      </c>
      <c r="CI232">
        <v>-0.38900000000000001</v>
      </c>
      <c r="CJ232">
        <v>-6.6000000000000003E-2</v>
      </c>
      <c r="CK232">
        <v>800</v>
      </c>
      <c r="CL232">
        <v>6</v>
      </c>
      <c r="CM232">
        <v>0.23</v>
      </c>
      <c r="CN232">
        <v>0.02</v>
      </c>
      <c r="CO232">
        <v>-426.55241463414637</v>
      </c>
      <c r="CP232">
        <v>-3.4303066202093282</v>
      </c>
      <c r="CQ232">
        <v>0.34014214930975228</v>
      </c>
      <c r="CR232">
        <v>-1</v>
      </c>
      <c r="CS232">
        <v>22.934695121951219</v>
      </c>
      <c r="CT232">
        <v>0.1146146341463806</v>
      </c>
      <c r="CU232">
        <v>1.133010131096987E-2</v>
      </c>
      <c r="CV232">
        <v>-1</v>
      </c>
      <c r="CW232">
        <v>0</v>
      </c>
      <c r="CX232">
        <v>0</v>
      </c>
      <c r="CY232" t="s">
        <v>333</v>
      </c>
      <c r="CZ232">
        <v>2.3645900000000002</v>
      </c>
      <c r="DA232">
        <v>2.7137600000000002</v>
      </c>
      <c r="DB232">
        <v>8.4814000000000001E-2</v>
      </c>
      <c r="DC232">
        <v>0.14611199999999999</v>
      </c>
      <c r="DD232">
        <v>0.12914500000000001</v>
      </c>
      <c r="DE232">
        <v>3.8198999999999997E-2</v>
      </c>
      <c r="DF232">
        <v>33412.400000000001</v>
      </c>
      <c r="DG232">
        <v>27513.200000000001</v>
      </c>
      <c r="DH232">
        <v>31167.4</v>
      </c>
      <c r="DI232">
        <v>28076.2</v>
      </c>
      <c r="DJ232">
        <v>36835.199999999997</v>
      </c>
      <c r="DK232">
        <v>38398.9</v>
      </c>
      <c r="DL232">
        <v>44353.7</v>
      </c>
      <c r="DM232">
        <v>42550.400000000001</v>
      </c>
      <c r="DN232">
        <v>1.36582</v>
      </c>
      <c r="DO232">
        <v>2.0350999999999999</v>
      </c>
      <c r="DP232">
        <v>8.3744499999999999E-2</v>
      </c>
      <c r="DQ232">
        <v>0.17458599999999999</v>
      </c>
      <c r="DR232">
        <v>25.627500000000001</v>
      </c>
      <c r="DS232">
        <v>25.397300000000001</v>
      </c>
      <c r="DT232">
        <v>17</v>
      </c>
      <c r="DU232">
        <v>29.8</v>
      </c>
      <c r="DV232">
        <v>7.2257499999999997</v>
      </c>
      <c r="DW232">
        <v>61.458599999999997</v>
      </c>
      <c r="DX232">
        <v>36.4223</v>
      </c>
      <c r="DY232">
        <v>1</v>
      </c>
      <c r="DZ232">
        <v>-9.54319E-2</v>
      </c>
      <c r="EA232">
        <v>-0.255803</v>
      </c>
      <c r="EB232">
        <v>20.189499999999999</v>
      </c>
      <c r="EC232">
        <v>5.2408000000000001</v>
      </c>
      <c r="ED232">
        <v>12.039899999999999</v>
      </c>
      <c r="EE232">
        <v>5.0166500000000003</v>
      </c>
      <c r="EF232">
        <v>3.2879999999999998</v>
      </c>
      <c r="EG232">
        <v>9999</v>
      </c>
      <c r="EH232">
        <v>9999</v>
      </c>
      <c r="EI232">
        <v>9999</v>
      </c>
      <c r="EJ232">
        <v>999.9</v>
      </c>
      <c r="EK232">
        <v>1.8689</v>
      </c>
      <c r="EL232">
        <v>1.86466</v>
      </c>
      <c r="EM232">
        <v>1.86917</v>
      </c>
      <c r="EN232">
        <v>1.8672599999999999</v>
      </c>
      <c r="EO232">
        <v>1.86341</v>
      </c>
      <c r="EP232">
        <v>1.8645700000000001</v>
      </c>
      <c r="EQ232">
        <v>1.87018</v>
      </c>
      <c r="ER232">
        <v>1.86947</v>
      </c>
      <c r="ES232">
        <v>0</v>
      </c>
      <c r="ET232">
        <v>0</v>
      </c>
      <c r="EU232">
        <v>0</v>
      </c>
      <c r="EV232">
        <v>0</v>
      </c>
      <c r="EW232" t="s">
        <v>334</v>
      </c>
      <c r="EX232" t="s">
        <v>335</v>
      </c>
      <c r="EY232" t="s">
        <v>336</v>
      </c>
      <c r="EZ232" t="s">
        <v>336</v>
      </c>
      <c r="FA232" t="s">
        <v>336</v>
      </c>
      <c r="FB232" t="s">
        <v>336</v>
      </c>
      <c r="FC232">
        <v>0</v>
      </c>
      <c r="FD232">
        <v>100</v>
      </c>
      <c r="FE232">
        <v>100</v>
      </c>
      <c r="FF232">
        <v>-8.7999999999999995E-2</v>
      </c>
      <c r="FG232">
        <v>0.19259999999999999</v>
      </c>
      <c r="FH232">
        <v>0.16202357103534001</v>
      </c>
      <c r="FI232">
        <v>-6.1462078757559423E-4</v>
      </c>
      <c r="FJ232">
        <v>-1.8861989874597051E-7</v>
      </c>
      <c r="FK232">
        <v>1.1980462299894961E-10</v>
      </c>
      <c r="FL232">
        <v>0.19260234566371101</v>
      </c>
      <c r="FM232">
        <v>0</v>
      </c>
      <c r="FN232">
        <v>0</v>
      </c>
      <c r="FO232">
        <v>0</v>
      </c>
      <c r="FP232">
        <v>3</v>
      </c>
      <c r="FQ232">
        <v>2158</v>
      </c>
      <c r="FR232">
        <v>1</v>
      </c>
      <c r="FS232">
        <v>19</v>
      </c>
      <c r="FT232">
        <v>43.4</v>
      </c>
      <c r="FU232">
        <v>43.4</v>
      </c>
      <c r="FV232">
        <v>1.7785599999999999</v>
      </c>
      <c r="FW232">
        <v>2.5793499999999998</v>
      </c>
      <c r="FX232">
        <v>1.5490699999999999</v>
      </c>
      <c r="FY232">
        <v>2.3290999999999999</v>
      </c>
      <c r="FZ232">
        <v>1.50146</v>
      </c>
      <c r="GA232">
        <v>2.3950200000000001</v>
      </c>
      <c r="GB232">
        <v>33.850900000000003</v>
      </c>
      <c r="GC232">
        <v>23.991199999999999</v>
      </c>
      <c r="GD232">
        <v>19</v>
      </c>
      <c r="GE232">
        <v>238.499</v>
      </c>
      <c r="GF232">
        <v>581.67399999999998</v>
      </c>
      <c r="GG232">
        <v>25.427399999999999</v>
      </c>
      <c r="GH232">
        <v>26.1935</v>
      </c>
      <c r="GI232">
        <v>30.0001</v>
      </c>
      <c r="GJ232">
        <v>26.327400000000001</v>
      </c>
      <c r="GK232">
        <v>26.299700000000001</v>
      </c>
      <c r="GL232">
        <v>35.557400000000001</v>
      </c>
      <c r="GM232">
        <v>-30</v>
      </c>
      <c r="GN232">
        <v>-30</v>
      </c>
      <c r="GO232">
        <v>25.4267</v>
      </c>
      <c r="GP232">
        <v>800</v>
      </c>
      <c r="GQ232">
        <v>12.5298</v>
      </c>
      <c r="GR232">
        <v>99.721800000000002</v>
      </c>
      <c r="GS232">
        <v>99.543300000000002</v>
      </c>
    </row>
    <row r="233" spans="1:201" x14ac:dyDescent="0.25">
      <c r="A233">
        <v>217</v>
      </c>
      <c r="B233">
        <v>1690217455</v>
      </c>
      <c r="C233">
        <v>2509.5</v>
      </c>
      <c r="D233" t="s">
        <v>767</v>
      </c>
      <c r="E233" t="s">
        <v>768</v>
      </c>
      <c r="F233" t="s">
        <v>330</v>
      </c>
      <c r="H233">
        <v>1690217455</v>
      </c>
      <c r="I233">
        <f t="shared" si="90"/>
        <v>2.1127373016570847E-3</v>
      </c>
      <c r="J233">
        <f t="shared" si="91"/>
        <v>2.1127373016570847</v>
      </c>
      <c r="K233">
        <f t="shared" si="92"/>
        <v>37.423016022935919</v>
      </c>
      <c r="L233">
        <f t="shared" si="93"/>
        <v>372.28199999999998</v>
      </c>
      <c r="M233">
        <f t="shared" si="94"/>
        <v>70.834120725365793</v>
      </c>
      <c r="N233">
        <f t="shared" si="95"/>
        <v>7.0258790767498418</v>
      </c>
      <c r="O233">
        <f t="shared" si="96"/>
        <v>36.925824555536998</v>
      </c>
      <c r="P233">
        <f t="shared" si="97"/>
        <v>0.21084538909226413</v>
      </c>
      <c r="Q233">
        <f t="shared" si="98"/>
        <v>2.0653448722603294</v>
      </c>
      <c r="R233">
        <f t="shared" si="99"/>
        <v>0.19957556036734006</v>
      </c>
      <c r="S233">
        <f t="shared" si="100"/>
        <v>0.1256970528129881</v>
      </c>
      <c r="T233">
        <f t="shared" si="101"/>
        <v>276.11435737882573</v>
      </c>
      <c r="U233">
        <f t="shared" si="102"/>
        <v>28.315002806888003</v>
      </c>
      <c r="V233">
        <f t="shared" si="103"/>
        <v>28.315002806888003</v>
      </c>
      <c r="W233">
        <f t="shared" si="104"/>
        <v>3.8650872855204526</v>
      </c>
      <c r="X233">
        <f t="shared" si="105"/>
        <v>80.457825966193369</v>
      </c>
      <c r="Y233">
        <f t="shared" si="106"/>
        <v>2.8506170789786003</v>
      </c>
      <c r="Z233">
        <f t="shared" si="107"/>
        <v>3.5429954075273771</v>
      </c>
      <c r="AA233">
        <f t="shared" si="108"/>
        <v>1.0144702065418523</v>
      </c>
      <c r="AB233">
        <f t="shared" si="109"/>
        <v>-93.171715003077438</v>
      </c>
      <c r="AC233">
        <f t="shared" si="110"/>
        <v>-165.66218982055926</v>
      </c>
      <c r="AD233">
        <f t="shared" si="111"/>
        <v>-17.409502203481548</v>
      </c>
      <c r="AE233">
        <f t="shared" si="112"/>
        <v>-0.1290496482925505</v>
      </c>
      <c r="AF233">
        <v>42</v>
      </c>
      <c r="AG233">
        <v>14</v>
      </c>
      <c r="AH233">
        <f t="shared" si="113"/>
        <v>1</v>
      </c>
      <c r="AI233">
        <f t="shared" si="114"/>
        <v>0</v>
      </c>
      <c r="AJ233">
        <f t="shared" si="115"/>
        <v>52475.297593623844</v>
      </c>
      <c r="AK233">
        <f t="shared" si="116"/>
        <v>1799.99</v>
      </c>
      <c r="AL233">
        <f t="shared" si="117"/>
        <v>1499.10462919468</v>
      </c>
      <c r="AM233">
        <f t="shared" si="118"/>
        <v>0.83284053199999997</v>
      </c>
      <c r="AN233">
        <f t="shared" si="119"/>
        <v>0.15339771741999997</v>
      </c>
      <c r="AO233">
        <v>33.6</v>
      </c>
      <c r="AP233">
        <v>0.5</v>
      </c>
      <c r="AQ233" t="s">
        <v>331</v>
      </c>
      <c r="AR233">
        <v>2</v>
      </c>
      <c r="AS233">
        <v>1690217455</v>
      </c>
      <c r="AT233">
        <v>372.28199999999998</v>
      </c>
      <c r="AU233">
        <v>800.05499999999995</v>
      </c>
      <c r="AV233">
        <v>28.739599999999999</v>
      </c>
      <c r="AW233">
        <v>5.7663399999999996</v>
      </c>
      <c r="AX233">
        <v>372.36900000000003</v>
      </c>
      <c r="AY233">
        <v>28.547000000000001</v>
      </c>
      <c r="AZ233">
        <v>300.12200000000001</v>
      </c>
      <c r="BA233">
        <v>99.087800000000001</v>
      </c>
      <c r="BB233">
        <v>9.9978499999999998E-2</v>
      </c>
      <c r="BC233">
        <v>26.827200000000001</v>
      </c>
      <c r="BD233">
        <v>26.994499999999999</v>
      </c>
      <c r="BE233">
        <v>28.262899999999998</v>
      </c>
      <c r="BF233">
        <v>0</v>
      </c>
      <c r="BG233">
        <v>0</v>
      </c>
      <c r="BH233">
        <v>10010</v>
      </c>
      <c r="BI233">
        <v>1077.55</v>
      </c>
      <c r="BJ233">
        <v>1.35259</v>
      </c>
      <c r="BK233">
        <v>-427.77199999999999</v>
      </c>
      <c r="BL233">
        <v>383.298</v>
      </c>
      <c r="BM233">
        <v>804.69500000000005</v>
      </c>
      <c r="BN233">
        <v>22.973299999999998</v>
      </c>
      <c r="BO233">
        <v>800.05499999999995</v>
      </c>
      <c r="BP233">
        <v>5.7663399999999996</v>
      </c>
      <c r="BQ233">
        <v>2.84775</v>
      </c>
      <c r="BR233">
        <v>0.57137300000000002</v>
      </c>
      <c r="BS233">
        <v>23.163499999999999</v>
      </c>
      <c r="BT233">
        <v>-0.97880299999999998</v>
      </c>
      <c r="BU233">
        <v>1799.99</v>
      </c>
      <c r="BV233">
        <v>0.90999699999999994</v>
      </c>
      <c r="BW233">
        <v>3.3994999999999997E-2</v>
      </c>
      <c r="BX233">
        <v>2.2004599999999999E-2</v>
      </c>
      <c r="BY233">
        <v>3.4003400000000003E-2</v>
      </c>
      <c r="BZ233">
        <v>26</v>
      </c>
      <c r="CA233">
        <v>33528.199999999997</v>
      </c>
      <c r="CB233">
        <v>1690214843</v>
      </c>
      <c r="CC233" t="s">
        <v>332</v>
      </c>
      <c r="CD233">
        <v>1690214842</v>
      </c>
      <c r="CE233">
        <v>1690214843</v>
      </c>
      <c r="CF233">
        <v>8</v>
      </c>
      <c r="CG233">
        <v>-6.3E-2</v>
      </c>
      <c r="CH233">
        <v>1E-3</v>
      </c>
      <c r="CI233">
        <v>-0.38900000000000001</v>
      </c>
      <c r="CJ233">
        <v>-6.6000000000000003E-2</v>
      </c>
      <c r="CK233">
        <v>800</v>
      </c>
      <c r="CL233">
        <v>6</v>
      </c>
      <c r="CM233">
        <v>0.23</v>
      </c>
      <c r="CN233">
        <v>0.02</v>
      </c>
      <c r="CO233">
        <v>-427.04968292682918</v>
      </c>
      <c r="CP233">
        <v>-3.3594982578403521</v>
      </c>
      <c r="CQ233">
        <v>0.33350996906329877</v>
      </c>
      <c r="CR233">
        <v>-1</v>
      </c>
      <c r="CS233">
        <v>22.951980487804882</v>
      </c>
      <c r="CT233">
        <v>0.11006968641115079</v>
      </c>
      <c r="CU233">
        <v>1.090361809524353E-2</v>
      </c>
      <c r="CV233">
        <v>-1</v>
      </c>
      <c r="CW233">
        <v>0</v>
      </c>
      <c r="CX233">
        <v>0</v>
      </c>
      <c r="CY233" t="s">
        <v>333</v>
      </c>
      <c r="CZ233">
        <v>2.3643700000000001</v>
      </c>
      <c r="DA233">
        <v>2.7137799999999999</v>
      </c>
      <c r="DB233">
        <v>8.4705299999999997E-2</v>
      </c>
      <c r="DC233">
        <v>0.146116</v>
      </c>
      <c r="DD233">
        <v>0.12919800000000001</v>
      </c>
      <c r="DE233">
        <v>3.8197599999999998E-2</v>
      </c>
      <c r="DF233">
        <v>33416.199999999997</v>
      </c>
      <c r="DG233">
        <v>27513.1</v>
      </c>
      <c r="DH233">
        <v>31167.200000000001</v>
      </c>
      <c r="DI233">
        <v>28076.3</v>
      </c>
      <c r="DJ233">
        <v>36832.699999999997</v>
      </c>
      <c r="DK233">
        <v>38399.199999999997</v>
      </c>
      <c r="DL233">
        <v>44353.4</v>
      </c>
      <c r="DM233">
        <v>42550.6</v>
      </c>
      <c r="DN233">
        <v>1.3655999999999999</v>
      </c>
      <c r="DO233">
        <v>2.0352000000000001</v>
      </c>
      <c r="DP233">
        <v>8.3513599999999993E-2</v>
      </c>
      <c r="DQ233">
        <v>0.17530100000000001</v>
      </c>
      <c r="DR233">
        <v>25.627199999999998</v>
      </c>
      <c r="DS233">
        <v>25.395199999999999</v>
      </c>
      <c r="DT233">
        <v>17</v>
      </c>
      <c r="DU233">
        <v>29.8</v>
      </c>
      <c r="DV233">
        <v>7.2254800000000001</v>
      </c>
      <c r="DW233">
        <v>61.748600000000003</v>
      </c>
      <c r="DX233">
        <v>36.850999999999999</v>
      </c>
      <c r="DY233">
        <v>1</v>
      </c>
      <c r="DZ233">
        <v>-9.5543699999999995E-2</v>
      </c>
      <c r="EA233">
        <v>-0.27067799999999997</v>
      </c>
      <c r="EB233">
        <v>20.189299999999999</v>
      </c>
      <c r="EC233">
        <v>5.2401999999999997</v>
      </c>
      <c r="ED233">
        <v>12.039899999999999</v>
      </c>
      <c r="EE233">
        <v>5.0169499999999996</v>
      </c>
      <c r="EF233">
        <v>3.2879999999999998</v>
      </c>
      <c r="EG233">
        <v>9999</v>
      </c>
      <c r="EH233">
        <v>9999</v>
      </c>
      <c r="EI233">
        <v>9999</v>
      </c>
      <c r="EJ233">
        <v>999.9</v>
      </c>
      <c r="EK233">
        <v>1.86893</v>
      </c>
      <c r="EL233">
        <v>1.86467</v>
      </c>
      <c r="EM233">
        <v>1.8691800000000001</v>
      </c>
      <c r="EN233">
        <v>1.8672500000000001</v>
      </c>
      <c r="EO233">
        <v>1.8633999999999999</v>
      </c>
      <c r="EP233">
        <v>1.8645799999999999</v>
      </c>
      <c r="EQ233">
        <v>1.87022</v>
      </c>
      <c r="ER233">
        <v>1.86948</v>
      </c>
      <c r="ES233">
        <v>0</v>
      </c>
      <c r="ET233">
        <v>0</v>
      </c>
      <c r="EU233">
        <v>0</v>
      </c>
      <c r="EV233">
        <v>0</v>
      </c>
      <c r="EW233" t="s">
        <v>334</v>
      </c>
      <c r="EX233" t="s">
        <v>335</v>
      </c>
      <c r="EY233" t="s">
        <v>336</v>
      </c>
      <c r="EZ233" t="s">
        <v>336</v>
      </c>
      <c r="FA233" t="s">
        <v>336</v>
      </c>
      <c r="FB233" t="s">
        <v>336</v>
      </c>
      <c r="FC233">
        <v>0</v>
      </c>
      <c r="FD233">
        <v>100</v>
      </c>
      <c r="FE233">
        <v>100</v>
      </c>
      <c r="FF233">
        <v>-8.6999999999999994E-2</v>
      </c>
      <c r="FG233">
        <v>0.19259999999999999</v>
      </c>
      <c r="FH233">
        <v>0.16202357103534001</v>
      </c>
      <c r="FI233">
        <v>-6.1462078757559423E-4</v>
      </c>
      <c r="FJ233">
        <v>-1.8861989874597051E-7</v>
      </c>
      <c r="FK233">
        <v>1.1980462299894961E-10</v>
      </c>
      <c r="FL233">
        <v>0.19260234566371101</v>
      </c>
      <c r="FM233">
        <v>0</v>
      </c>
      <c r="FN233">
        <v>0</v>
      </c>
      <c r="FO233">
        <v>0</v>
      </c>
      <c r="FP233">
        <v>3</v>
      </c>
      <c r="FQ233">
        <v>2158</v>
      </c>
      <c r="FR233">
        <v>1</v>
      </c>
      <c r="FS233">
        <v>19</v>
      </c>
      <c r="FT233">
        <v>43.5</v>
      </c>
      <c r="FU233">
        <v>43.5</v>
      </c>
      <c r="FV233">
        <v>1.7785599999999999</v>
      </c>
      <c r="FW233">
        <v>2.5805699999999998</v>
      </c>
      <c r="FX233">
        <v>1.5490699999999999</v>
      </c>
      <c r="FY233">
        <v>2.3290999999999999</v>
      </c>
      <c r="FZ233">
        <v>1.50146</v>
      </c>
      <c r="GA233">
        <v>2.36816</v>
      </c>
      <c r="GB233">
        <v>33.850900000000003</v>
      </c>
      <c r="GC233">
        <v>23.982399999999998</v>
      </c>
      <c r="GD233">
        <v>19</v>
      </c>
      <c r="GE233">
        <v>238.411</v>
      </c>
      <c r="GF233">
        <v>581.75300000000004</v>
      </c>
      <c r="GG233">
        <v>25.427</v>
      </c>
      <c r="GH233">
        <v>26.192499999999999</v>
      </c>
      <c r="GI233">
        <v>30</v>
      </c>
      <c r="GJ233">
        <v>26.3261</v>
      </c>
      <c r="GK233">
        <v>26.299399999999999</v>
      </c>
      <c r="GL233">
        <v>35.5578</v>
      </c>
      <c r="GM233">
        <v>-30</v>
      </c>
      <c r="GN233">
        <v>-30</v>
      </c>
      <c r="GO233">
        <v>25.428699999999999</v>
      </c>
      <c r="GP233">
        <v>800</v>
      </c>
      <c r="GQ233">
        <v>12.5298</v>
      </c>
      <c r="GR233">
        <v>99.721199999999996</v>
      </c>
      <c r="GS233">
        <v>99.543899999999994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2023-07-24T16:53:10Z</dcterms:created>
  <dcterms:modified xsi:type="dcterms:W3CDTF">2023-07-24T22:20:48Z</dcterms:modified>
</cp:coreProperties>
</file>